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X:\Anca\#-Groupe\A_DETP_OP\0. EQUIPE\Indicateurs\Indicateurs V2\"/>
    </mc:Choice>
  </mc:AlternateContent>
  <bookViews>
    <workbookView xWindow="25080" yWindow="-120" windowWidth="25440" windowHeight="15390" tabRatio="905" activeTab="1"/>
  </bookViews>
  <sheets>
    <sheet name="SAISIE" sheetId="1" r:id="rId1"/>
    <sheet name="TDB STATS" sheetId="68" r:id="rId2"/>
    <sheet name="SYNTH_ST" sheetId="73" r:id="rId3"/>
    <sheet name="LOG_ANNUEL" sheetId="66" state="veryHidden" r:id="rId4"/>
    <sheet name="LOG_M" sheetId="65" state="veryHidden" r:id="rId5"/>
    <sheet name="LOG_ANNUEL_A-1" sheetId="67" state="veryHidden" r:id="rId6"/>
    <sheet name="SYNTH" sheetId="64" state="veryHidden" r:id="rId7"/>
    <sheet name="CR" sheetId="72" state="veryHidden" r:id="rId8"/>
    <sheet name="CON+ADD" sheetId="69" state="veryHidden" r:id="rId9"/>
    <sheet name="LOG_ST" sheetId="63" state="veryHidden" r:id="rId10"/>
    <sheet name="DATA_ST" sheetId="32" state="veryHidden" r:id="rId11"/>
    <sheet name="DATA_MAIN" sheetId="24" state="veryHidden" r:id="rId12"/>
    <sheet name="LOG_OPS" sheetId="49" state="veryHidden" r:id="rId13"/>
    <sheet name="DATA_HDG1" sheetId="34" state="veryHidden" r:id="rId14"/>
    <sheet name="DATA_HDG2" sheetId="35" state="veryHidden" r:id="rId15"/>
    <sheet name="DATA_HDG3" sheetId="37" state="veryHidden" r:id="rId16"/>
    <sheet name="DATA_HDG4" sheetId="36" state="veryHidden" r:id="rId17"/>
    <sheet name="EXTRACT_INF" sheetId="38" state="veryHidden" r:id="rId18"/>
    <sheet name="CR_PP" sheetId="52" state="veryHidden" r:id="rId19"/>
    <sheet name="DATA_BASE" sheetId="26" state="veryHidden" r:id="rId20"/>
    <sheet name="DATA_ST3" sheetId="51" state="veryHidden" r:id="rId21"/>
    <sheet name="CONSULTATION2" sheetId="50" state="veryHidden" r:id="rId22"/>
    <sheet name="CR_ASS" sheetId="43" state="veryHidden" r:id="rId23"/>
  </sheets>
  <definedNames>
    <definedName name="_xlnm._FilterDatabase" localSheetId="2" hidden="1">SYNTH_ST!$B$6:$AN$162</definedName>
    <definedName name="ACT_CHECK">DATA_MAIN!$V$51</definedName>
    <definedName name="ACT_MOD">DATA_MAIN!$V$49</definedName>
    <definedName name="ACT_SP">DATA_MAIN!$V$50</definedName>
    <definedName name="ADD_ASS_CR">DATA_ST!$D$4</definedName>
    <definedName name="ADD_FACT_HDG">'CON+ADD'!$C$284</definedName>
    <definedName name="ADD_FACT_MAIN">'CON+ADD'!$C$282</definedName>
    <definedName name="ADD_JJ_1">'CON+ADD'!$E$7</definedName>
    <definedName name="ADD_JJ_10">'CON+ADD'!$E$16</definedName>
    <definedName name="ADD_JJ_100">'CON+ADD'!$E$154</definedName>
    <definedName name="ADD_JJ_101">'CON+ADD'!$E$155</definedName>
    <definedName name="ADD_JJ_102">'CON+ADD'!$E$156</definedName>
    <definedName name="ADD_JJ_103">'CON+ADD'!$E$157</definedName>
    <definedName name="ADD_JJ_104">'CON+ADD'!$E$158</definedName>
    <definedName name="ADD_JJ_105">'CON+ADD'!$E$159</definedName>
    <definedName name="ADD_JJ_106">'CON+ADD'!$E$160</definedName>
    <definedName name="ADD_JJ_107">'CON+ADD'!$E$161</definedName>
    <definedName name="ADD_JJ_108">'CON+ADD'!$E$164</definedName>
    <definedName name="ADD_JJ_109">'CON+ADD'!$E$171</definedName>
    <definedName name="ADD_JJ_11">'CON+ADD'!$E$17</definedName>
    <definedName name="ADD_JJ_110">'CON+ADD'!$E$167</definedName>
    <definedName name="ADD_JJ_111">'CON+ADD'!$E$169</definedName>
    <definedName name="ADD_JJ_112">'CON+ADD'!$E$186</definedName>
    <definedName name="ADD_JJ_113">'CON+ADD'!$E$188</definedName>
    <definedName name="ADD_JJ_114">'CON+ADD'!$E$189</definedName>
    <definedName name="ADD_JJ_115">'CON+ADD'!$E$190</definedName>
    <definedName name="ADD_JJ_116">'CON+ADD'!$E$191</definedName>
    <definedName name="ADD_JJ_117">'CON+ADD'!$E$192</definedName>
    <definedName name="ADD_JJ_118">'CON+ADD'!$E$193</definedName>
    <definedName name="ADD_JJ_119">'CON+ADD'!$E$194</definedName>
    <definedName name="ADD_JJ_12">'CON+ADD'!$E$19</definedName>
    <definedName name="ADD_JJ_120">'CON+ADD'!$E$195</definedName>
    <definedName name="ADD_JJ_121">'CON+ADD'!$E$196</definedName>
    <definedName name="ADD_JJ_122">'CON+ADD'!$E$197</definedName>
    <definedName name="ADD_JJ_123">'CON+ADD'!$E$198</definedName>
    <definedName name="ADD_JJ_124">'CON+ADD'!$E$199</definedName>
    <definedName name="ADD_JJ_125">'CON+ADD'!$E$201</definedName>
    <definedName name="ADD_JJ_126">'CON+ADD'!$E$203</definedName>
    <definedName name="ADD_JJ_127">'CON+ADD'!$E$204</definedName>
    <definedName name="ADD_JJ_128">'CON+ADD'!$E$205</definedName>
    <definedName name="ADD_JJ_129">'CON+ADD'!$E$206</definedName>
    <definedName name="ADD_JJ_13">'CON+ADD'!$E$20</definedName>
    <definedName name="ADD_JJ_130">'CON+ADD'!$E$207</definedName>
    <definedName name="ADD_JJ_131">'CON+ADD'!$E$208</definedName>
    <definedName name="ADD_JJ_132">'CON+ADD'!$E$209</definedName>
    <definedName name="ADD_JJ_133">'CON+ADD'!$E$210</definedName>
    <definedName name="ADD_JJ_134">'CON+ADD'!$E$211</definedName>
    <definedName name="ADD_JJ_135">'CON+ADD'!$E$212</definedName>
    <definedName name="ADD_JJ_136">'CON+ADD'!$E$213</definedName>
    <definedName name="ADD_JJ_137">'CON+ADD'!$E$214</definedName>
    <definedName name="ADD_JJ_14">'CON+ADD'!$E$21</definedName>
    <definedName name="ADD_JJ_144">'CON+ADD'!$E$224</definedName>
    <definedName name="ADD_JJ_145">'CON+ADD'!$E$228</definedName>
    <definedName name="ADD_JJ_146">'CON+ADD'!$E$229</definedName>
    <definedName name="ADD_JJ_147">'CON+ADD'!$E$230</definedName>
    <definedName name="ADD_JJ_148">'CON+ADD'!$E$231</definedName>
    <definedName name="ADD_JJ_149">'CON+ADD'!$E$232</definedName>
    <definedName name="ADD_JJ_15">'CON+ADD'!$E$22</definedName>
    <definedName name="ADD_JJ_150">'CON+ADD'!$E$233</definedName>
    <definedName name="ADD_JJ_151">'CON+ADD'!$E$234</definedName>
    <definedName name="ADD_JJ_16">'CON+ADD'!$E$24</definedName>
    <definedName name="ADD_JJ_17">'CON+ADD'!$E$25</definedName>
    <definedName name="ADD_JJ_18">'CON+ADD'!$E$26</definedName>
    <definedName name="ADD_JJ_183">'CON+ADD'!$E$85</definedName>
    <definedName name="ADD_JJ_184">'CON+ADD'!$E$86</definedName>
    <definedName name="ADD_JJ_185">'CON+ADD'!$E$87</definedName>
    <definedName name="ADD_JJ_186">'CON+ADD'!$E$88</definedName>
    <definedName name="ADD_JJ_187">'CON+ADD'!$E$89</definedName>
    <definedName name="ADD_JJ_188">'CON+ADD'!$E$90</definedName>
    <definedName name="ADD_JJ_189">'CON+ADD'!$E$91</definedName>
    <definedName name="ADD_JJ_19">'CON+ADD'!$E$27</definedName>
    <definedName name="ADD_JJ_190">'CON+ADD'!$E$92</definedName>
    <definedName name="ADD_JJ_191">'CON+ADD'!$E$93</definedName>
    <definedName name="ADD_JJ_192">'CON+ADD'!$E$94</definedName>
    <definedName name="ADD_JJ_193">'CON+ADD'!$E$95</definedName>
    <definedName name="ADD_JJ_194">'CON+ADD'!$E$96</definedName>
    <definedName name="ADD_JJ_195">'CON+ADD'!$E$173</definedName>
    <definedName name="ADD_JJ_196">'CON+ADD'!$E$174</definedName>
    <definedName name="ADD_JJ_197">'CON+ADD'!$E$175</definedName>
    <definedName name="ADD_JJ_198">'CON+ADD'!$E$176</definedName>
    <definedName name="ADD_JJ_199">'CON+ADD'!$E$177</definedName>
    <definedName name="ADD_JJ_2">'CON+ADD'!$E$8</definedName>
    <definedName name="ADD_JJ_20">'CON+ADD'!$E$29</definedName>
    <definedName name="ADD_JJ_200">'CON+ADD'!$E$178</definedName>
    <definedName name="ADD_JJ_201">'CON+ADD'!$E$179</definedName>
    <definedName name="ADD_JJ_202">'CON+ADD'!$E$180</definedName>
    <definedName name="ADD_JJ_203">'CON+ADD'!$E$181</definedName>
    <definedName name="ADD_JJ_204">'CON+ADD'!$E$182</definedName>
    <definedName name="ADD_JJ_205">'CON+ADD'!$E$183</definedName>
    <definedName name="ADD_JJ_206">'CON+ADD'!$E$184</definedName>
    <definedName name="ADD_JJ_21">'CON+ADD'!$E$32</definedName>
    <definedName name="ADD_JJ_22">'CON+ADD'!$E$33</definedName>
    <definedName name="ADD_JJ_23">'CON+ADD'!$E$34</definedName>
    <definedName name="ADD_JJ_24">'CON+ADD'!$E$35</definedName>
    <definedName name="ADD_JJ_25">'CON+ADD'!$E$36</definedName>
    <definedName name="ADD_JJ_26">'CON+ADD'!$E$39</definedName>
    <definedName name="ADD_JJ_27">'CON+ADD'!$E$40</definedName>
    <definedName name="ADD_JJ_28">'CON+ADD'!$E$41</definedName>
    <definedName name="ADD_JJ_29">'CON+ADD'!$E$42</definedName>
    <definedName name="ADD_JJ_3">'CON+ADD'!$E$9</definedName>
    <definedName name="ADD_JJ_30">'CON+ADD'!$E$43</definedName>
    <definedName name="ADD_JJ_31">'CON+ADD'!$E$44</definedName>
    <definedName name="ADD_JJ_32">'CON+ADD'!$E$47</definedName>
    <definedName name="ADD_JJ_33">'CON+ADD'!$E$48</definedName>
    <definedName name="ADD_JJ_34">'CON+ADD'!$E$49</definedName>
    <definedName name="ADD_JJ_35">'CON+ADD'!$E$50</definedName>
    <definedName name="ADD_JJ_36">'CON+ADD'!$E$51</definedName>
    <definedName name="ADD_JJ_37">'CON+ADD'!$E$52</definedName>
    <definedName name="ADD_JJ_38">'CON+ADD'!$E$53</definedName>
    <definedName name="ADD_JJ_39">'CON+ADD'!$E$54</definedName>
    <definedName name="ADD_JJ_4">'CON+ADD'!$E$10</definedName>
    <definedName name="ADD_JJ_41">'CON+ADD'!$E$56</definedName>
    <definedName name="ADD_JJ_42">'CON+ADD'!$E$57</definedName>
    <definedName name="ADD_JJ_43">'CON+ADD'!$E$61</definedName>
    <definedName name="ADD_JJ_44">'CON+ADD'!$E$62</definedName>
    <definedName name="ADD_JJ_45">'CON+ADD'!$E$63</definedName>
    <definedName name="ADD_JJ_46">'CON+ADD'!$E$64</definedName>
    <definedName name="ADD_JJ_47">'CON+ADD'!$E$66</definedName>
    <definedName name="ADD_JJ_48">'CON+ADD'!$E$67</definedName>
    <definedName name="ADD_JJ_49">'CON+ADD'!$E$68</definedName>
    <definedName name="ADD_JJ_5">'CON+ADD'!$E$11</definedName>
    <definedName name="ADD_JJ_50">'CON+ADD'!$E$69</definedName>
    <definedName name="ADD_JJ_51">'CON+ADD'!$E$70</definedName>
    <definedName name="ADD_JJ_52">'CON+ADD'!$E$71</definedName>
    <definedName name="ADD_JJ_53">'CON+ADD'!$E$72</definedName>
    <definedName name="ADD_JJ_54">'CON+ADD'!$E$73</definedName>
    <definedName name="ADD_JJ_55">'CON+ADD'!$E$75</definedName>
    <definedName name="ADD_JJ_56">'CON+ADD'!$E$100</definedName>
    <definedName name="ADD_JJ_57">'CON+ADD'!$E$102</definedName>
    <definedName name="ADD_JJ_58">'CON+ADD'!$E$103</definedName>
    <definedName name="ADD_JJ_59">'CON+ADD'!$E$104</definedName>
    <definedName name="ADD_JJ_6">'CON+ADD'!$E$12</definedName>
    <definedName name="ADD_JJ_60">'CON+ADD'!$E$105</definedName>
    <definedName name="ADD_JJ_61">'CON+ADD'!$E$106</definedName>
    <definedName name="ADD_JJ_62">'CON+ADD'!$E$107</definedName>
    <definedName name="ADD_JJ_63">'CON+ADD'!$E$108</definedName>
    <definedName name="ADD_JJ_64">'CON+ADD'!$E$109</definedName>
    <definedName name="ADD_JJ_65">'CON+ADD'!$E$110</definedName>
    <definedName name="ADD_JJ_66">'CON+ADD'!$E$111</definedName>
    <definedName name="ADD_JJ_67">'CON+ADD'!$E$112</definedName>
    <definedName name="ADD_JJ_68">'CON+ADD'!$E$113</definedName>
    <definedName name="ADD_JJ_69">'CON+ADD'!$E$116</definedName>
    <definedName name="ADD_JJ_7">'CON+ADD'!$E$13</definedName>
    <definedName name="ADD_JJ_70">'CON+ADD'!$E$118</definedName>
    <definedName name="ADD_JJ_71">'CON+ADD'!$E$119</definedName>
    <definedName name="ADD_JJ_72">'CON+ADD'!$E$120</definedName>
    <definedName name="ADD_JJ_73">'CON+ADD'!$E$121</definedName>
    <definedName name="ADD_JJ_74">'CON+ADD'!$E$122</definedName>
    <definedName name="ADD_JJ_75">'CON+ADD'!$E$123</definedName>
    <definedName name="ADD_JJ_76">'CON+ADD'!$E$124</definedName>
    <definedName name="ADD_JJ_77">'CON+ADD'!$E$125</definedName>
    <definedName name="ADD_JJ_78">'CON+ADD'!$E$126</definedName>
    <definedName name="ADD_JJ_79">'CON+ADD'!$E$127</definedName>
    <definedName name="ADD_JJ_8">'CON+ADD'!$E$14</definedName>
    <definedName name="ADD_JJ_80">'CON+ADD'!$E$128</definedName>
    <definedName name="ADD_JJ_81">'CON+ADD'!$E$129</definedName>
    <definedName name="ADD_JJ_82">'CON+ADD'!$E$132</definedName>
    <definedName name="ADD_JJ_83">'CON+ADD'!$E$134</definedName>
    <definedName name="ADD_JJ_84">'CON+ADD'!$E$135</definedName>
    <definedName name="ADD_JJ_85">'CON+ADD'!$E$136</definedName>
    <definedName name="ADD_JJ_86">'CON+ADD'!$E$137</definedName>
    <definedName name="ADD_JJ_87">'CON+ADD'!$E$138</definedName>
    <definedName name="ADD_JJ_88">'CON+ADD'!$E$139</definedName>
    <definedName name="ADD_JJ_89">'CON+ADD'!$E$140</definedName>
    <definedName name="ADD_JJ_9">'CON+ADD'!$E$15</definedName>
    <definedName name="ADD_JJ_90">'CON+ADD'!$E$141</definedName>
    <definedName name="ADD_JJ_91">'CON+ADD'!$E$142</definedName>
    <definedName name="ADD_JJ_92">'CON+ADD'!$E$143</definedName>
    <definedName name="ADD_JJ_93">'CON+ADD'!$E$144</definedName>
    <definedName name="ADD_JJ_94">'CON+ADD'!$E$145</definedName>
    <definedName name="ADD_JJ_95">'CON+ADD'!$E$148</definedName>
    <definedName name="ADD_JJ_96">'CON+ADD'!$E$150</definedName>
    <definedName name="ADD_JJ_97">'CON+ADD'!$E$151</definedName>
    <definedName name="ADD_JJ_98">'CON+ADD'!$E$152</definedName>
    <definedName name="ADD_JJ_99">'CON+ADD'!$E$153</definedName>
    <definedName name="ADD_JJ_FACT">'CON+ADD'!$E$282</definedName>
    <definedName name="ADD_JJ_FASS">'CON+ADD'!$E$284</definedName>
    <definedName name="ADD_JJ_TMAFR">'CON+ADD'!$E$279</definedName>
    <definedName name="ADD_JJ_TMAIN">'CON+ADD'!$E$277</definedName>
    <definedName name="ADD_JX_1">'CON+ADD'!$F$7</definedName>
    <definedName name="ADD_JX_10">'CON+ADD'!$F$16</definedName>
    <definedName name="ADD_JX_100">'CON+ADD'!$F$154</definedName>
    <definedName name="ADD_JX_101">'CON+ADD'!$F$155</definedName>
    <definedName name="ADD_JX_102">'CON+ADD'!$F$156</definedName>
    <definedName name="ADD_JX_103">'CON+ADD'!$F$157</definedName>
    <definedName name="ADD_JX_104">'CON+ADD'!$F$158</definedName>
    <definedName name="ADD_JX_105">'CON+ADD'!$F$159</definedName>
    <definedName name="ADD_JX_106">'CON+ADD'!$F$160</definedName>
    <definedName name="ADD_JX_107">'CON+ADD'!$F$161</definedName>
    <definedName name="ADD_JX_108">'CON+ADD'!$F$164</definedName>
    <definedName name="ADD_JX_109">'CON+ADD'!$F$171</definedName>
    <definedName name="ADD_JX_11">'CON+ADD'!$F$17</definedName>
    <definedName name="ADD_JX_110">'CON+ADD'!$F$167</definedName>
    <definedName name="ADD_JX_111">'CON+ADD'!$F$169</definedName>
    <definedName name="ADD_JX_112">'CON+ADD'!$F$186</definedName>
    <definedName name="ADD_JX_113">'CON+ADD'!$F$188</definedName>
    <definedName name="ADD_JX_114">'CON+ADD'!$F$189</definedName>
    <definedName name="ADD_JX_115">'CON+ADD'!$F$190</definedName>
    <definedName name="ADD_JX_116">'CON+ADD'!$F$191</definedName>
    <definedName name="ADD_JX_117">'CON+ADD'!$F$192</definedName>
    <definedName name="ADD_JX_118">'CON+ADD'!$F$193</definedName>
    <definedName name="ADD_JX_119">'CON+ADD'!$F$194</definedName>
    <definedName name="ADD_JX_12">'CON+ADD'!$F$19</definedName>
    <definedName name="ADD_JX_120">'CON+ADD'!$F$195</definedName>
    <definedName name="ADD_JX_121">'CON+ADD'!$F$196</definedName>
    <definedName name="ADD_JX_122">'CON+ADD'!$F$197</definedName>
    <definedName name="ADD_JX_123">'CON+ADD'!$F$198</definedName>
    <definedName name="ADD_JX_124">'CON+ADD'!$F$199</definedName>
    <definedName name="ADD_JX_125">'CON+ADD'!$F$201</definedName>
    <definedName name="ADD_JX_126">'CON+ADD'!$F$203</definedName>
    <definedName name="ADD_JX_127">'CON+ADD'!$F$204</definedName>
    <definedName name="ADD_JX_128">'CON+ADD'!$F$205</definedName>
    <definedName name="ADD_JX_129">'CON+ADD'!$F$206</definedName>
    <definedName name="ADD_JX_13">'CON+ADD'!$F$20</definedName>
    <definedName name="ADD_JX_130">'CON+ADD'!$F$207</definedName>
    <definedName name="ADD_JX_131">'CON+ADD'!$F$208</definedName>
    <definedName name="ADD_JX_132">'CON+ADD'!$F$209</definedName>
    <definedName name="ADD_JX_133">'CON+ADD'!$F$210</definedName>
    <definedName name="ADD_JX_134">'CON+ADD'!$F$211</definedName>
    <definedName name="ADD_JX_135">'CON+ADD'!$F$212</definedName>
    <definedName name="ADD_JX_136">'CON+ADD'!$F$213</definedName>
    <definedName name="ADD_JX_137">'CON+ADD'!$F$214</definedName>
    <definedName name="ADD_JX_14">'CON+ADD'!$F$21</definedName>
    <definedName name="ADD_JX_144">'CON+ADD'!$F$224</definedName>
    <definedName name="ADD_JX_145">'CON+ADD'!$F$228</definedName>
    <definedName name="ADD_JX_146">'CON+ADD'!$F$229</definedName>
    <definedName name="ADD_JX_147">'CON+ADD'!$F$230</definedName>
    <definedName name="ADD_JX_148">'CON+ADD'!$F$231</definedName>
    <definedName name="ADD_JX_149">'CON+ADD'!$F$232</definedName>
    <definedName name="ADD_JX_15">'CON+ADD'!$F$22</definedName>
    <definedName name="ADD_JX_150">'CON+ADD'!$F$233</definedName>
    <definedName name="ADD_JX_151">'CON+ADD'!$F$234</definedName>
    <definedName name="ADD_JX_16">'CON+ADD'!$F$24</definedName>
    <definedName name="ADD_JX_17">'CON+ADD'!$F$25</definedName>
    <definedName name="ADD_JX_18">'CON+ADD'!$F$26</definedName>
    <definedName name="ADD_JX_183">'CON+ADD'!$F$85</definedName>
    <definedName name="ADD_JX_184">'CON+ADD'!$F$86</definedName>
    <definedName name="ADD_JX_185">'CON+ADD'!$F$87</definedName>
    <definedName name="ADD_JX_186">'CON+ADD'!$F$88</definedName>
    <definedName name="ADD_JX_187">'CON+ADD'!$F$89</definedName>
    <definedName name="ADD_JX_188">'CON+ADD'!$F$90</definedName>
    <definedName name="ADD_JX_189">'CON+ADD'!$F$91</definedName>
    <definedName name="ADD_JX_19">'CON+ADD'!$F$27</definedName>
    <definedName name="ADD_JX_190">'CON+ADD'!$F$92</definedName>
    <definedName name="ADD_JX_191">'CON+ADD'!$F$93</definedName>
    <definedName name="ADD_JX_192">'CON+ADD'!$F$94</definedName>
    <definedName name="ADD_JX_193">'CON+ADD'!$F$95</definedName>
    <definedName name="ADD_JX_194">'CON+ADD'!$F$96</definedName>
    <definedName name="ADD_JX_195">'CON+ADD'!$F$173</definedName>
    <definedName name="ADD_JX_196">'CON+ADD'!$F$174</definedName>
    <definedName name="ADD_JX_197">'CON+ADD'!$F$175</definedName>
    <definedName name="ADD_JX_198">'CON+ADD'!$F$176</definedName>
    <definedName name="ADD_JX_199">'CON+ADD'!$F$177</definedName>
    <definedName name="ADD_JX_2">'CON+ADD'!$F$8</definedName>
    <definedName name="ADD_JX_20">'CON+ADD'!$F$29</definedName>
    <definedName name="ADD_JX_200">'CON+ADD'!$F$178</definedName>
    <definedName name="ADD_JX_201">'CON+ADD'!$F$179</definedName>
    <definedName name="ADD_JX_202">'CON+ADD'!$F$180</definedName>
    <definedName name="ADD_JX_203">'CON+ADD'!$F$181</definedName>
    <definedName name="ADD_JX_204">'CON+ADD'!$F$182</definedName>
    <definedName name="ADD_JX_205">'CON+ADD'!$F$183</definedName>
    <definedName name="ADD_JX_206">'CON+ADD'!$F$184</definedName>
    <definedName name="ADD_JX_21">'CON+ADD'!$F$32</definedName>
    <definedName name="ADD_JX_22">'CON+ADD'!$F$33</definedName>
    <definedName name="ADD_JX_23">'CON+ADD'!$F$34</definedName>
    <definedName name="ADD_JX_24">'CON+ADD'!$F$35</definedName>
    <definedName name="ADD_JX_25">'CON+ADD'!$F$36</definedName>
    <definedName name="ADD_JX_26">'CON+ADD'!$F$39</definedName>
    <definedName name="ADD_JX_27">'CON+ADD'!$F$40</definedName>
    <definedName name="ADD_JX_28">'CON+ADD'!$F$41</definedName>
    <definedName name="ADD_JX_29">'CON+ADD'!$F$42</definedName>
    <definedName name="ADD_JX_3">'CON+ADD'!$F$9</definedName>
    <definedName name="ADD_JX_30">'CON+ADD'!$F$43</definedName>
    <definedName name="ADD_JX_31">'CON+ADD'!$F$44</definedName>
    <definedName name="ADD_JX_32">'CON+ADD'!$F$47</definedName>
    <definedName name="ADD_JX_33">'CON+ADD'!$F$48</definedName>
    <definedName name="ADD_JX_34">'CON+ADD'!$F$49</definedName>
    <definedName name="ADD_JX_35">'CON+ADD'!$F$50</definedName>
    <definedName name="ADD_JX_36">'CON+ADD'!$F$51</definedName>
    <definedName name="ADD_JX_37">'CON+ADD'!$F$52</definedName>
    <definedName name="ADD_JX_38">'CON+ADD'!$F$53</definedName>
    <definedName name="ADD_JX_39">'CON+ADD'!$F$54</definedName>
    <definedName name="ADD_JX_4">'CON+ADD'!$F$10</definedName>
    <definedName name="ADD_JX_41">'CON+ADD'!$F$56</definedName>
    <definedName name="ADD_JX_42">'CON+ADD'!$F$57</definedName>
    <definedName name="ADD_JX_43">'CON+ADD'!$F$61</definedName>
    <definedName name="ADD_JX_44">'CON+ADD'!$F$62</definedName>
    <definedName name="ADD_JX_45">'CON+ADD'!$F$63</definedName>
    <definedName name="ADD_JX_46">'CON+ADD'!$F$64</definedName>
    <definedName name="ADD_JX_47">'CON+ADD'!$F$66</definedName>
    <definedName name="ADD_JX_48">'CON+ADD'!$F$67</definedName>
    <definedName name="ADD_JX_49">'CON+ADD'!$F$68</definedName>
    <definedName name="ADD_JX_5">'CON+ADD'!$F$11</definedName>
    <definedName name="ADD_JX_50">'CON+ADD'!$F$69</definedName>
    <definedName name="ADD_JX_51">'CON+ADD'!$F$70</definedName>
    <definedName name="ADD_JX_52">'CON+ADD'!$F$71</definedName>
    <definedName name="ADD_JX_53">'CON+ADD'!$F$72</definedName>
    <definedName name="ADD_JX_54">'CON+ADD'!$F$73</definedName>
    <definedName name="ADD_JX_55">'CON+ADD'!$F$75</definedName>
    <definedName name="ADD_JX_56">'CON+ADD'!$F$100</definedName>
    <definedName name="ADD_JX_57">'CON+ADD'!$F$102</definedName>
    <definedName name="ADD_JX_58">'CON+ADD'!$F$103</definedName>
    <definedName name="ADD_JX_59">'CON+ADD'!$F$104</definedName>
    <definedName name="ADD_JX_6">'CON+ADD'!$F$12</definedName>
    <definedName name="ADD_JX_60">'CON+ADD'!$F$105</definedName>
    <definedName name="ADD_JX_61">'CON+ADD'!$F$106</definedName>
    <definedName name="ADD_JX_62">'CON+ADD'!$F$107</definedName>
    <definedName name="ADD_JX_63">'CON+ADD'!$F$108</definedName>
    <definedName name="ADD_JX_64">'CON+ADD'!$F$109</definedName>
    <definedName name="ADD_JX_65">'CON+ADD'!$F$110</definedName>
    <definedName name="ADD_JX_66">'CON+ADD'!$F$111</definedName>
    <definedName name="ADD_JX_67">'CON+ADD'!$F$112</definedName>
    <definedName name="ADD_JX_68">'CON+ADD'!$F$113</definedName>
    <definedName name="ADD_JX_69">'CON+ADD'!$F$116</definedName>
    <definedName name="ADD_JX_7">'CON+ADD'!$F$13</definedName>
    <definedName name="ADD_JX_70">'CON+ADD'!$F$118</definedName>
    <definedName name="ADD_JX_71">'CON+ADD'!$F$119</definedName>
    <definedName name="ADD_JX_72">'CON+ADD'!$F$120</definedName>
    <definedName name="ADD_JX_73">'CON+ADD'!$F$121</definedName>
    <definedName name="ADD_JX_74">'CON+ADD'!$F$122</definedName>
    <definedName name="ADD_JX_75">'CON+ADD'!$F$123</definedName>
    <definedName name="ADD_JX_76">'CON+ADD'!$F$124</definedName>
    <definedName name="ADD_JX_77">'CON+ADD'!$F$125</definedName>
    <definedName name="ADD_JX_78">'CON+ADD'!$F$126</definedName>
    <definedName name="ADD_JX_79">'CON+ADD'!$F$127</definedName>
    <definedName name="ADD_JX_8">'CON+ADD'!$F$14</definedName>
    <definedName name="ADD_JX_80">'CON+ADD'!$F$128</definedName>
    <definedName name="ADD_JX_81">'CON+ADD'!$F$129</definedName>
    <definedName name="ADD_JX_82">'CON+ADD'!$F$132</definedName>
    <definedName name="ADD_JX_83">'CON+ADD'!$F$134</definedName>
    <definedName name="ADD_JX_84">'CON+ADD'!$F$135</definedName>
    <definedName name="ADD_JX_85">'CON+ADD'!$F$136</definedName>
    <definedName name="ADD_JX_86">'CON+ADD'!$F$137</definedName>
    <definedName name="ADD_JX_87">'CON+ADD'!$F$138</definedName>
    <definedName name="ADD_JX_88">'CON+ADD'!$F$139</definedName>
    <definedName name="ADD_JX_89">'CON+ADD'!$F$140</definedName>
    <definedName name="ADD_JX_9">'CON+ADD'!$F$15</definedName>
    <definedName name="ADD_JX_90">'CON+ADD'!$F$141</definedName>
    <definedName name="ADD_JX_91">'CON+ADD'!$F$142</definedName>
    <definedName name="ADD_JX_92">'CON+ADD'!$F$143</definedName>
    <definedName name="ADD_JX_93">'CON+ADD'!$F$144</definedName>
    <definedName name="ADD_JX_94">'CON+ADD'!$F$145</definedName>
    <definedName name="ADD_JX_95">'CON+ADD'!$F$148</definedName>
    <definedName name="ADD_JX_96">'CON+ADD'!$F$150</definedName>
    <definedName name="ADD_JX_97">'CON+ADD'!$F$151</definedName>
    <definedName name="ADD_JX_98">'CON+ADD'!$F$152</definedName>
    <definedName name="ADD_JX_99">'CON+ADD'!$F$153</definedName>
    <definedName name="ADD_JX_CGP">'CON+ADD'!$F$283</definedName>
    <definedName name="ADD_JX_FACT">'CON+ADD'!$F$282</definedName>
    <definedName name="ADD_JX_PBSF">'CON+ADD'!$F$284</definedName>
    <definedName name="ADD_JX_THDG">'CON+ADD'!$F$279</definedName>
    <definedName name="ADD_JX_TMAIN">'CON+ADD'!$F$277</definedName>
    <definedName name="ADD_LOG_CK">DATA_MAIN!$AB$6</definedName>
    <definedName name="ADD_MCR_1">'CON+ADD'!$H$7</definedName>
    <definedName name="ADD_MCR_10">'CON+ADD'!$H$16</definedName>
    <definedName name="ADD_MCR_100">'CON+ADD'!$H$154</definedName>
    <definedName name="ADD_MCR_101">'CON+ADD'!$H$155</definedName>
    <definedName name="ADD_MCR_102">'CON+ADD'!$H$156</definedName>
    <definedName name="ADD_MCR_103">'CON+ADD'!$H$157</definedName>
    <definedName name="ADD_MCR_104">'CON+ADD'!$H$158</definedName>
    <definedName name="ADD_MCR_105">'CON+ADD'!$H$159</definedName>
    <definedName name="ADD_MCR_106">'CON+ADD'!$H$160</definedName>
    <definedName name="ADD_MCR_107">'CON+ADD'!$H$161</definedName>
    <definedName name="ADD_MCR_108">'CON+ADD'!$H$164</definedName>
    <definedName name="ADD_MCR_109">'CON+ADD'!$H$171</definedName>
    <definedName name="ADD_MCR_11">'CON+ADD'!$H$17</definedName>
    <definedName name="ADD_MCR_110">'CON+ADD'!$H$167</definedName>
    <definedName name="ADD_MCR_111">'CON+ADD'!$H$169</definedName>
    <definedName name="ADD_MCR_112">'CON+ADD'!$H$186</definedName>
    <definedName name="ADD_MCR_113">'CON+ADD'!$H$188</definedName>
    <definedName name="ADD_MCR_114">'CON+ADD'!$H$189</definedName>
    <definedName name="ADD_MCR_115">'CON+ADD'!$H$190</definedName>
    <definedName name="ADD_MCR_116">'CON+ADD'!$H$191</definedName>
    <definedName name="ADD_MCR_117">'CON+ADD'!$H$192</definedName>
    <definedName name="ADD_MCR_118">'CON+ADD'!$H$193</definedName>
    <definedName name="ADD_MCR_119">'CON+ADD'!$H$194</definedName>
    <definedName name="ADD_MCR_12">'CON+ADD'!$H$19</definedName>
    <definedName name="ADD_MCR_120">'CON+ADD'!$H$195</definedName>
    <definedName name="ADD_MCR_121">'CON+ADD'!$H$196</definedName>
    <definedName name="ADD_MCR_122">'CON+ADD'!$H$197</definedName>
    <definedName name="ADD_MCR_123">'CON+ADD'!$H$198</definedName>
    <definedName name="ADD_MCR_124">'CON+ADD'!$H$199</definedName>
    <definedName name="ADD_MCR_125">'CON+ADD'!$H$201</definedName>
    <definedName name="ADD_MCR_126">'CON+ADD'!$H$203</definedName>
    <definedName name="ADD_MCR_127">'CON+ADD'!$H$204</definedName>
    <definedName name="ADD_MCR_128">'CON+ADD'!$H$205</definedName>
    <definedName name="ADD_MCR_129">'CON+ADD'!$H$206</definedName>
    <definedName name="ADD_MCR_13">'CON+ADD'!$H$20</definedName>
    <definedName name="ADD_MCR_130">'CON+ADD'!$H$207</definedName>
    <definedName name="ADD_MCR_131">'CON+ADD'!$H$208</definedName>
    <definedName name="ADD_MCR_132">'CON+ADD'!$H$209</definedName>
    <definedName name="ADD_MCR_133">'CON+ADD'!$H$210</definedName>
    <definedName name="ADD_MCR_134">'CON+ADD'!$H$211</definedName>
    <definedName name="ADD_MCR_135">'CON+ADD'!$H$212</definedName>
    <definedName name="ADD_MCR_136">'CON+ADD'!$H$213</definedName>
    <definedName name="ADD_MCR_137">'CON+ADD'!$H$214</definedName>
    <definedName name="ADD_MCR_138">'CON+ADD'!$H$218</definedName>
    <definedName name="ADD_MCR_139">'CON+ADD'!$H$219</definedName>
    <definedName name="ADD_MCR_14">'CON+ADD'!$H$21</definedName>
    <definedName name="ADD_MCR_140">'CON+ADD'!$H$220</definedName>
    <definedName name="ADD_MCR_141">'CON+ADD'!$H$221</definedName>
    <definedName name="ADD_MCR_142">'CON+ADD'!$H$222</definedName>
    <definedName name="ADD_MCR_143">'CON+ADD'!$H$223</definedName>
    <definedName name="ADD_MCR_144">'CON+ADD'!$H$224</definedName>
    <definedName name="ADD_MCR_145">'CON+ADD'!$H$228</definedName>
    <definedName name="ADD_MCR_146">'CON+ADD'!$H$229</definedName>
    <definedName name="ADD_MCR_147">'CON+ADD'!$H$230</definedName>
    <definedName name="ADD_MCR_148">'CON+ADD'!$H$231</definedName>
    <definedName name="ADD_MCR_149">'CON+ADD'!$H$232</definedName>
    <definedName name="ADD_MCR_150">'CON+ADD'!$H$233</definedName>
    <definedName name="ADD_MCR_151">'CON+ADD'!$H$234</definedName>
    <definedName name="ADD_MCR_152">'CON+ADD'!$H$238</definedName>
    <definedName name="ADD_MCR_153">'CON+ADD'!$H$239</definedName>
    <definedName name="ADD_MCR_154">'CON+ADD'!$H$240</definedName>
    <definedName name="ADD_MCR_155">'CON+ADD'!$H$241</definedName>
    <definedName name="ADD_MCR_156">'CON+ADD'!$H$242</definedName>
    <definedName name="ADD_MCR_157">'CON+ADD'!$H$243</definedName>
    <definedName name="ADD_MCR_158">'CON+ADD'!$H$245</definedName>
    <definedName name="ADD_MCR_159">'CON+ADD'!$H$246</definedName>
    <definedName name="ADD_MCR_16">'CON+ADD'!$H$24</definedName>
    <definedName name="ADD_MCR_160">'CON+ADD'!$H$247</definedName>
    <definedName name="ADD_MCR_161">'CON+ADD'!$H$248</definedName>
    <definedName name="ADD_MCR_162">'CON+ADD'!$H$251</definedName>
    <definedName name="ADD_MCR_163">'CON+ADD'!$H$252</definedName>
    <definedName name="ADD_MCR_164">'CON+ADD'!$H$253</definedName>
    <definedName name="ADD_MCR_165">'CON+ADD'!$H$254</definedName>
    <definedName name="ADD_MCR_166">'CON+ADD'!$H$255</definedName>
    <definedName name="ADD_MCR_167">'CON+ADD'!$H$257</definedName>
    <definedName name="ADD_MCR_168">'CON+ADD'!$H$258</definedName>
    <definedName name="ADD_MCR_169">'CON+ADD'!$H$259</definedName>
    <definedName name="ADD_MCR_17">'CON+ADD'!$H$25</definedName>
    <definedName name="ADD_MCR_170">'CON+ADD'!$H$260</definedName>
    <definedName name="ADD_MCR_171">'CON+ADD'!$H$261</definedName>
    <definedName name="ADD_MCR_172">'CON+ADD'!$H$263</definedName>
    <definedName name="ADD_MCR_173">'CON+ADD'!$H$265</definedName>
    <definedName name="ADD_MCR_174">'CON+ADD'!$H$266</definedName>
    <definedName name="ADD_MCR_175">'CON+ADD'!$H$267</definedName>
    <definedName name="ADD_MCR_176">'CON+ADD'!$H$268</definedName>
    <definedName name="ADD_MCR_177">'CON+ADD'!$H$269</definedName>
    <definedName name="ADD_MCR_178">'CON+ADD'!$H$270</definedName>
    <definedName name="ADD_MCR_179">'CON+ADD'!$H$271</definedName>
    <definedName name="ADD_MCR_18">'CON+ADD'!$H$26</definedName>
    <definedName name="ADD_MCR_180">'CON+ADD'!$H$272</definedName>
    <definedName name="ADD_MCR_181">'CON+ADD'!$H$273</definedName>
    <definedName name="ADD_MCR_182">'CON+ADD'!$H$274</definedName>
    <definedName name="ADD_MCR_19">'CON+ADD'!$H$27</definedName>
    <definedName name="ADD_MCR_195">'CON+ADD'!$H$173</definedName>
    <definedName name="ADD_MCR_196">'CON+ADD'!$H$174</definedName>
    <definedName name="ADD_MCR_197">'CON+ADD'!$H$175</definedName>
    <definedName name="ADD_MCR_198">'CON+ADD'!$H$176</definedName>
    <definedName name="ADD_MCR_199">'CON+ADD'!$H$177</definedName>
    <definedName name="ADD_MCR_2">'CON+ADD'!$H$8</definedName>
    <definedName name="ADD_MCR_20">'CON+ADD'!$H$29</definedName>
    <definedName name="ADD_MCR_200">'CON+ADD'!$H$178</definedName>
    <definedName name="ADD_MCR_201">'CON+ADD'!$H$179</definedName>
    <definedName name="ADD_MCR_202">'CON+ADD'!$H$180</definedName>
    <definedName name="ADD_MCR_203">'CON+ADD'!$H$181</definedName>
    <definedName name="ADD_MCR_204">'CON+ADD'!$H$182</definedName>
    <definedName name="ADD_MCR_205">'CON+ADD'!$H$183</definedName>
    <definedName name="ADD_MCR_206">'CON+ADD'!$H$184</definedName>
    <definedName name="ADD_MCR_21">'CON+ADD'!$H$32</definedName>
    <definedName name="ADD_MCR_22">'CON+ADD'!$H$33</definedName>
    <definedName name="ADD_MCR_23">'CON+ADD'!$H$34</definedName>
    <definedName name="ADD_MCR_24">'CON+ADD'!$H$35</definedName>
    <definedName name="ADD_MCR_25">'CON+ADD'!$H$36</definedName>
    <definedName name="ADD_MCR_26">'CON+ADD'!$H$39</definedName>
    <definedName name="ADD_MCR_27">'CON+ADD'!$H$40</definedName>
    <definedName name="ADD_MCR_28">'CON+ADD'!$H$41</definedName>
    <definedName name="ADD_MCR_29">'CON+ADD'!$H$42</definedName>
    <definedName name="ADD_MCR_3">'CON+ADD'!$H$9</definedName>
    <definedName name="ADD_MCR_30">'CON+ADD'!$H$43</definedName>
    <definedName name="ADD_MCR_32">'CON+ADD'!$H$47</definedName>
    <definedName name="ADD_MCR_33">'CON+ADD'!$H$48</definedName>
    <definedName name="ADD_MCR_34">'CON+ADD'!$H$49</definedName>
    <definedName name="ADD_MCR_35">'CON+ADD'!$H$50</definedName>
    <definedName name="ADD_MCR_36">'CON+ADD'!$H$51</definedName>
    <definedName name="ADD_MCR_37">'CON+ADD'!$H$52</definedName>
    <definedName name="ADD_MCR_38">'CON+ADD'!$H$53</definedName>
    <definedName name="ADD_MCR_39">'CON+ADD'!$H$54</definedName>
    <definedName name="ADD_MCR_4">'CON+ADD'!$H$10</definedName>
    <definedName name="ADD_MCR_40">'CON+ADD'!$H$55</definedName>
    <definedName name="ADD_MCR_41">'CON+ADD'!$H$56</definedName>
    <definedName name="ADD_MCR_42">'CON+ADD'!$H$57</definedName>
    <definedName name="ADD_MCR_43">'CON+ADD'!$H$61</definedName>
    <definedName name="ADD_MCR_44">'CON+ADD'!$H$62</definedName>
    <definedName name="ADD_MCR_45">'CON+ADD'!$H$63</definedName>
    <definedName name="ADD_MCR_46">'CON+ADD'!$H$64</definedName>
    <definedName name="ADD_MCR_47">'CON+ADD'!$H$66</definedName>
    <definedName name="ADD_MCR_48">'CON+ADD'!$H$67</definedName>
    <definedName name="ADD_MCR_49">'CON+ADD'!$H$68</definedName>
    <definedName name="ADD_MCR_5">'CON+ADD'!$H$11</definedName>
    <definedName name="ADD_MCR_50">'CON+ADD'!$H$69</definedName>
    <definedName name="ADD_MCR_51">'CON+ADD'!$H$70</definedName>
    <definedName name="ADD_MCR_52">'CON+ADD'!$H$71</definedName>
    <definedName name="ADD_MCR_53">'CON+ADD'!$H$72</definedName>
    <definedName name="ADD_MCR_54">'CON+ADD'!$H$73</definedName>
    <definedName name="ADD_MCR_56">'CON+ADD'!$H$100</definedName>
    <definedName name="ADD_MCR_57">'CON+ADD'!$H$102</definedName>
    <definedName name="ADD_MCR_58">'CON+ADD'!$H$103</definedName>
    <definedName name="ADD_MCR_59">'CON+ADD'!$H$104</definedName>
    <definedName name="ADD_MCR_6">'CON+ADD'!$H$12</definedName>
    <definedName name="ADD_MCR_60">'CON+ADD'!$H$105</definedName>
    <definedName name="ADD_MCR_61">'CON+ADD'!$H$106</definedName>
    <definedName name="ADD_MCR_62">'CON+ADD'!$H$107</definedName>
    <definedName name="ADD_MCR_63">'CON+ADD'!$H$108</definedName>
    <definedName name="ADD_MCR_64">'CON+ADD'!$H$109</definedName>
    <definedName name="ADD_MCR_65">'CON+ADD'!$H$110</definedName>
    <definedName name="ADD_MCR_66">'CON+ADD'!$H$111</definedName>
    <definedName name="ADD_MCR_67">'CON+ADD'!$H$112</definedName>
    <definedName name="ADD_MCR_68">'CON+ADD'!$H$113</definedName>
    <definedName name="ADD_MCR_69">'CON+ADD'!$H$116</definedName>
    <definedName name="ADD_MCR_7">'CON+ADD'!$H$13</definedName>
    <definedName name="ADD_MCR_70">'CON+ADD'!$H$118</definedName>
    <definedName name="ADD_MCR_71">'CON+ADD'!$H$119</definedName>
    <definedName name="ADD_MCR_72">'CON+ADD'!$H$120</definedName>
    <definedName name="ADD_MCR_73">'CON+ADD'!$H$121</definedName>
    <definedName name="ADD_MCR_74">'CON+ADD'!$H$122</definedName>
    <definedName name="ADD_MCR_75">'CON+ADD'!$H$123</definedName>
    <definedName name="ADD_MCR_76">'CON+ADD'!$H$124</definedName>
    <definedName name="ADD_MCR_77">'CON+ADD'!$H$125</definedName>
    <definedName name="ADD_MCR_78">'CON+ADD'!$H$126</definedName>
    <definedName name="ADD_MCR_79">'CON+ADD'!$H$127</definedName>
    <definedName name="ADD_MCR_8">'CON+ADD'!$H$14</definedName>
    <definedName name="ADD_MCR_80">'CON+ADD'!$H$128</definedName>
    <definedName name="ADD_MCR_81">'CON+ADD'!$H$129</definedName>
    <definedName name="ADD_MCR_82">'CON+ADD'!$H$132</definedName>
    <definedName name="ADD_MCR_83">'CON+ADD'!$H$134</definedName>
    <definedName name="ADD_MCR_84">'CON+ADD'!$H$135</definedName>
    <definedName name="ADD_MCR_85">'CON+ADD'!$H$136</definedName>
    <definedName name="ADD_MCR_86">'CON+ADD'!$H$137</definedName>
    <definedName name="ADD_MCR_87">'CON+ADD'!$H$138</definedName>
    <definedName name="ADD_MCR_88">'CON+ADD'!$H$139</definedName>
    <definedName name="ADD_MCR_89">'CON+ADD'!$H$140</definedName>
    <definedName name="ADD_MCR_9">'CON+ADD'!$H$15</definedName>
    <definedName name="ADD_MCR_90">'CON+ADD'!$H$141</definedName>
    <definedName name="ADD_MCR_91">'CON+ADD'!$H$142</definedName>
    <definedName name="ADD_MCR_92">'CON+ADD'!$H$143</definedName>
    <definedName name="ADD_MCR_93">'CON+ADD'!$H$144</definedName>
    <definedName name="ADD_MCR_94">'CON+ADD'!$H$145</definedName>
    <definedName name="ADD_MCR_95">'CON+ADD'!$H$148</definedName>
    <definedName name="ADD_MCR_96">'CON+ADD'!$H$150</definedName>
    <definedName name="ADD_MCR_97">'CON+ADD'!$H$151</definedName>
    <definedName name="ADD_MCR_98">'CON+ADD'!$H$152</definedName>
    <definedName name="ADD_MCR_99">'CON+ADD'!$H$153</definedName>
    <definedName name="ADD_MX_1">'CON+ADD'!$I$7</definedName>
    <definedName name="ADD_MX_10">'CON+ADD'!$I$16</definedName>
    <definedName name="ADD_MX_100">'CON+ADD'!$I$154</definedName>
    <definedName name="ADD_MX_101">'CON+ADD'!$I$155</definedName>
    <definedName name="ADD_MX_102">'CON+ADD'!$I$156</definedName>
    <definedName name="ADD_MX_103">'CON+ADD'!$I$157</definedName>
    <definedName name="ADD_MX_104">'CON+ADD'!$I$158</definedName>
    <definedName name="ADD_MX_105">'CON+ADD'!$I$159</definedName>
    <definedName name="ADD_MX_106">'CON+ADD'!$I$160</definedName>
    <definedName name="ADD_MX_107">'CON+ADD'!$I$161</definedName>
    <definedName name="ADD_MX_108">'CON+ADD'!$I$164</definedName>
    <definedName name="ADD_MX_109">'CON+ADD'!$I$171</definedName>
    <definedName name="ADD_MX_11">'CON+ADD'!$I$17</definedName>
    <definedName name="ADD_MX_110">'CON+ADD'!$I$167</definedName>
    <definedName name="ADD_MX_111">'CON+ADD'!$I$169</definedName>
    <definedName name="ADD_MX_112">'CON+ADD'!$I$186</definedName>
    <definedName name="ADD_MX_113">'CON+ADD'!$I$188</definedName>
    <definedName name="ADD_MX_114">'CON+ADD'!$I$189</definedName>
    <definedName name="ADD_MX_115">'CON+ADD'!$I$190</definedName>
    <definedName name="ADD_MX_116">'CON+ADD'!$I$191</definedName>
    <definedName name="ADD_MX_117">'CON+ADD'!$I$192</definedName>
    <definedName name="ADD_MX_118">'CON+ADD'!$I$193</definedName>
    <definedName name="ADD_MX_119">'CON+ADD'!$I$194</definedName>
    <definedName name="ADD_MX_12">'CON+ADD'!$I$19</definedName>
    <definedName name="ADD_MX_120">'CON+ADD'!$I$195</definedName>
    <definedName name="ADD_MX_121">'CON+ADD'!$I$196</definedName>
    <definedName name="ADD_MX_122">'CON+ADD'!$I$197</definedName>
    <definedName name="ADD_MX_123">'CON+ADD'!$I$198</definedName>
    <definedName name="ADD_MX_124">'CON+ADD'!$I$199</definedName>
    <definedName name="ADD_MX_125">'CON+ADD'!$I$201</definedName>
    <definedName name="ADD_MX_126">'CON+ADD'!$I$203</definedName>
    <definedName name="ADD_MX_127">'CON+ADD'!$I$204</definedName>
    <definedName name="ADD_MX_128">'CON+ADD'!$I$205</definedName>
    <definedName name="ADD_MX_129">'CON+ADD'!$I$206</definedName>
    <definedName name="ADD_MX_13">'CON+ADD'!$I$20</definedName>
    <definedName name="ADD_MX_130">'CON+ADD'!$I$207</definedName>
    <definedName name="ADD_MX_131">'CON+ADD'!$I$208</definedName>
    <definedName name="ADD_MX_132">'CON+ADD'!$I$209</definedName>
    <definedName name="ADD_MX_133">'CON+ADD'!$I$210</definedName>
    <definedName name="ADD_MX_134">'CON+ADD'!$I$211</definedName>
    <definedName name="ADD_MX_135">'CON+ADD'!$I$212</definedName>
    <definedName name="ADD_MX_136">'CON+ADD'!$I$213</definedName>
    <definedName name="ADD_MX_137">'CON+ADD'!$I$214</definedName>
    <definedName name="ADD_MX_138">'CON+ADD'!$I$218</definedName>
    <definedName name="ADD_MX_139">'CON+ADD'!$I$219</definedName>
    <definedName name="ADD_MX_14">'CON+ADD'!$I$21</definedName>
    <definedName name="ADD_MX_140">'CON+ADD'!$I$220</definedName>
    <definedName name="ADD_MX_141">'CON+ADD'!$I$221</definedName>
    <definedName name="ADD_MX_142">'CON+ADD'!$I$222</definedName>
    <definedName name="ADD_MX_143">'CON+ADD'!$I$223</definedName>
    <definedName name="ADD_MX_144">'CON+ADD'!$I$224</definedName>
    <definedName name="ADD_MX_145">'CON+ADD'!$I$228</definedName>
    <definedName name="ADD_MX_146">'CON+ADD'!$I$229</definedName>
    <definedName name="ADD_MX_147">'CON+ADD'!$I$230</definedName>
    <definedName name="ADD_MX_148">'CON+ADD'!$I$231</definedName>
    <definedName name="ADD_MX_149">'CON+ADD'!$I$232</definedName>
    <definedName name="ADD_MX_15">'CON+ADD'!$I$22</definedName>
    <definedName name="ADD_MX_150">'CON+ADD'!$I$233</definedName>
    <definedName name="ADD_MX_151">'CON+ADD'!$I$234</definedName>
    <definedName name="ADD_MX_152">'CON+ADD'!$I$238</definedName>
    <definedName name="ADD_MX_153">'CON+ADD'!$I$239</definedName>
    <definedName name="ADD_MX_154">'CON+ADD'!$I$240</definedName>
    <definedName name="ADD_MX_155">'CON+ADD'!$I$241</definedName>
    <definedName name="ADD_MX_156">'CON+ADD'!$I$242</definedName>
    <definedName name="ADD_MX_157">'CON+ADD'!$I$243</definedName>
    <definedName name="ADD_MX_158">'CON+ADD'!$I$245</definedName>
    <definedName name="ADD_MX_159">'CON+ADD'!$I$246</definedName>
    <definedName name="ADD_MX_16">'CON+ADD'!$I$24</definedName>
    <definedName name="ADD_MX_160">'CON+ADD'!$I$247</definedName>
    <definedName name="ADD_MX_161">'CON+ADD'!$I$248</definedName>
    <definedName name="ADD_MX_162">'CON+ADD'!$I$251</definedName>
    <definedName name="ADD_MX_163">'CON+ADD'!$I$252</definedName>
    <definedName name="ADD_MX_164">'CON+ADD'!$I$253</definedName>
    <definedName name="ADD_MX_165">'CON+ADD'!$I$254</definedName>
    <definedName name="ADD_MX_166">'CON+ADD'!$I$255</definedName>
    <definedName name="ADD_MX_167">'CON+ADD'!$I$257</definedName>
    <definedName name="ADD_MX_168">'CON+ADD'!$I$258</definedName>
    <definedName name="ADD_MX_169">'CON+ADD'!$I$259</definedName>
    <definedName name="ADD_MX_17">'CON+ADD'!$I$25</definedName>
    <definedName name="ADD_MX_170">'CON+ADD'!$I$260</definedName>
    <definedName name="ADD_MX_171">'CON+ADD'!$I$261</definedName>
    <definedName name="ADD_MX_172">'CON+ADD'!$I$263</definedName>
    <definedName name="ADD_MX_173">'CON+ADD'!$I$265</definedName>
    <definedName name="ADD_MX_174">'CON+ADD'!$I$266</definedName>
    <definedName name="ADD_MX_175">'CON+ADD'!$I$267</definedName>
    <definedName name="ADD_MX_176">'CON+ADD'!$I$268</definedName>
    <definedName name="ADD_MX_177">'CON+ADD'!$I$269</definedName>
    <definedName name="ADD_MX_178">'CON+ADD'!$I$270</definedName>
    <definedName name="ADD_MX_179">'CON+ADD'!$I$271</definedName>
    <definedName name="ADD_MX_18">'CON+ADD'!$I$26</definedName>
    <definedName name="ADD_MX_180">'CON+ADD'!$I$272</definedName>
    <definedName name="ADD_MX_181">'CON+ADD'!$I$273</definedName>
    <definedName name="ADD_MX_182">'CON+ADD'!$I$274</definedName>
    <definedName name="ADD_MX_183">'CON+ADD'!$I$85</definedName>
    <definedName name="ADD_MX_184">'CON+ADD'!$I$86</definedName>
    <definedName name="ADD_MX_185">'CON+ADD'!$I$87</definedName>
    <definedName name="ADD_MX_186">'CON+ADD'!$I$88</definedName>
    <definedName name="ADD_MX_187">'CON+ADD'!$I$89</definedName>
    <definedName name="ADD_MX_188">'CON+ADD'!$I$90</definedName>
    <definedName name="ADD_MX_189">'CON+ADD'!$I$91</definedName>
    <definedName name="ADD_MX_19">'CON+ADD'!$I$27</definedName>
    <definedName name="ADD_MX_190">'CON+ADD'!$I$92</definedName>
    <definedName name="ADD_MX_191">'CON+ADD'!$I$93</definedName>
    <definedName name="ADD_MX_192">'CON+ADD'!$I$94</definedName>
    <definedName name="ADD_MX_193">'CON+ADD'!$I$95</definedName>
    <definedName name="ADD_MX_194">'CON+ADD'!$I$96</definedName>
    <definedName name="ADD_MX_195">'CON+ADD'!$I$173</definedName>
    <definedName name="ADD_MX_196">'CON+ADD'!$I$174</definedName>
    <definedName name="ADD_MX_197">'CON+ADD'!$I$175</definedName>
    <definedName name="ADD_MX_198">'CON+ADD'!$I$176</definedName>
    <definedName name="ADD_MX_199">'CON+ADD'!$I$177</definedName>
    <definedName name="ADD_MX_2">'CON+ADD'!$I$8</definedName>
    <definedName name="ADD_MX_20">'CON+ADD'!$I$29</definedName>
    <definedName name="ADD_MX_200">'CON+ADD'!$I$178</definedName>
    <definedName name="ADD_MX_201">'CON+ADD'!$I$179</definedName>
    <definedName name="ADD_MX_202">'CON+ADD'!$I$180</definedName>
    <definedName name="ADD_MX_203">'CON+ADD'!$I$181</definedName>
    <definedName name="ADD_MX_204">'CON+ADD'!$I$182</definedName>
    <definedName name="ADD_MX_205">'CON+ADD'!$I$183</definedName>
    <definedName name="ADD_MX_206">'CON+ADD'!$I$184</definedName>
    <definedName name="ADD_MX_21">'CON+ADD'!$I$32</definedName>
    <definedName name="ADD_MX_22">'CON+ADD'!$I$33</definedName>
    <definedName name="ADD_MX_23">'CON+ADD'!$I$34</definedName>
    <definedName name="ADD_MX_24">'CON+ADD'!$I$35</definedName>
    <definedName name="ADD_MX_25">'CON+ADD'!$I$36</definedName>
    <definedName name="ADD_MX_26">'CON+ADD'!$I$39</definedName>
    <definedName name="ADD_MX_27">'CON+ADD'!$I$40</definedName>
    <definedName name="ADD_MX_28">'CON+ADD'!$I$41</definedName>
    <definedName name="ADD_MX_29">'CON+ADD'!$I$42</definedName>
    <definedName name="ADD_MX_3">'CON+ADD'!$I$9</definedName>
    <definedName name="ADD_MX_30">'CON+ADD'!$I$43</definedName>
    <definedName name="ADD_MX_32">'CON+ADD'!$I$47</definedName>
    <definedName name="ADD_MX_33">'CON+ADD'!$I$48</definedName>
    <definedName name="ADD_MX_34">'CON+ADD'!$I$49</definedName>
    <definedName name="ADD_MX_35">'CON+ADD'!$I$50</definedName>
    <definedName name="ADD_MX_36">'CON+ADD'!$I$51</definedName>
    <definedName name="ADD_MX_37">'CON+ADD'!$I$52</definedName>
    <definedName name="ADD_MX_38">'CON+ADD'!$I$53</definedName>
    <definedName name="ADD_MX_39">'CON+ADD'!$I$54</definedName>
    <definedName name="ADD_MX_4">'CON+ADD'!$I$10</definedName>
    <definedName name="ADD_MX_41">'CON+ADD'!$I$56</definedName>
    <definedName name="ADD_MX_42">'CON+ADD'!$I$57</definedName>
    <definedName name="ADD_MX_43">'CON+ADD'!$I$61</definedName>
    <definedName name="ADD_MX_44">'CON+ADD'!$I$62</definedName>
    <definedName name="ADD_MX_45">'CON+ADD'!$I$63</definedName>
    <definedName name="ADD_MX_46">'CON+ADD'!$I$64</definedName>
    <definedName name="ADD_MX_47">'CON+ADD'!$I$66</definedName>
    <definedName name="ADD_MX_48">'CON+ADD'!$I$67</definedName>
    <definedName name="ADD_MX_49">'CON+ADD'!$I$68</definedName>
    <definedName name="ADD_MX_5">'CON+ADD'!$I$11</definedName>
    <definedName name="ADD_MX_50">'CON+ADD'!$I$69</definedName>
    <definedName name="ADD_MX_51">'CON+ADD'!$I$70</definedName>
    <definedName name="ADD_MX_52">'CON+ADD'!$I$71</definedName>
    <definedName name="ADD_MX_53">'CON+ADD'!$I$72</definedName>
    <definedName name="ADD_MX_54">'CON+ADD'!$I$73</definedName>
    <definedName name="ADD_MX_56">'CON+ADD'!$I$100</definedName>
    <definedName name="ADD_MX_57">'CON+ADD'!$I$102</definedName>
    <definedName name="ADD_MX_58">'CON+ADD'!$I$103</definedName>
    <definedName name="ADD_MX_59">'CON+ADD'!$I$104</definedName>
    <definedName name="ADD_MX_6">'CON+ADD'!$I$12</definedName>
    <definedName name="ADD_MX_60">'CON+ADD'!$I$105</definedName>
    <definedName name="ADD_MX_61">'CON+ADD'!$I$106</definedName>
    <definedName name="ADD_MX_62">'CON+ADD'!$I$107</definedName>
    <definedName name="ADD_MX_63">'CON+ADD'!$I$108</definedName>
    <definedName name="ADD_MX_64">'CON+ADD'!$I$109</definedName>
    <definedName name="ADD_MX_65">'CON+ADD'!$I$110</definedName>
    <definedName name="ADD_MX_66">'CON+ADD'!$I$111</definedName>
    <definedName name="ADD_MX_67">'CON+ADD'!$I$112</definedName>
    <definedName name="ADD_MX_68">'CON+ADD'!$I$113</definedName>
    <definedName name="ADD_MX_69">'CON+ADD'!$I$116</definedName>
    <definedName name="ADD_MX_7">'CON+ADD'!$I$13</definedName>
    <definedName name="ADD_MX_70">'CON+ADD'!$I$118</definedName>
    <definedName name="ADD_MX_71">'CON+ADD'!$I$119</definedName>
    <definedName name="ADD_MX_72">'CON+ADD'!$I$120</definedName>
    <definedName name="ADD_MX_73">'CON+ADD'!$I$121</definedName>
    <definedName name="ADD_MX_74">'CON+ADD'!$I$122</definedName>
    <definedName name="ADD_MX_75">'CON+ADD'!$I$123</definedName>
    <definedName name="ADD_MX_76">'CON+ADD'!$I$124</definedName>
    <definedName name="ADD_MX_77">'CON+ADD'!$I$125</definedName>
    <definedName name="ADD_MX_78">'CON+ADD'!$I$126</definedName>
    <definedName name="ADD_MX_79">'CON+ADD'!$I$127</definedName>
    <definedName name="ADD_MX_8">'CON+ADD'!$I$14</definedName>
    <definedName name="ADD_MX_80">'CON+ADD'!$I$128</definedName>
    <definedName name="ADD_MX_81">'CON+ADD'!$I$129</definedName>
    <definedName name="ADD_MX_82">'CON+ADD'!$I$132</definedName>
    <definedName name="ADD_MX_83">'CON+ADD'!$I$134</definedName>
    <definedName name="ADD_MX_84">'CON+ADD'!$I$135</definedName>
    <definedName name="ADD_MX_85">'CON+ADD'!$I$136</definedName>
    <definedName name="ADD_MX_86">'CON+ADD'!$I$137</definedName>
    <definedName name="ADD_MX_87">'CON+ADD'!$I$138</definedName>
    <definedName name="ADD_MX_88">'CON+ADD'!$I$139</definedName>
    <definedName name="ADD_MX_89">'CON+ADD'!$I$140</definedName>
    <definedName name="ADD_MX_9">'CON+ADD'!$I$15</definedName>
    <definedName name="ADD_MX_90">'CON+ADD'!$I$141</definedName>
    <definedName name="ADD_MX_91">'CON+ADD'!$I$142</definedName>
    <definedName name="ADD_MX_92">'CON+ADD'!$I$143</definedName>
    <definedName name="ADD_MX_93">'CON+ADD'!$I$144</definedName>
    <definedName name="ADD_MX_94">'CON+ADD'!$I$145</definedName>
    <definedName name="ADD_MX_95">'CON+ADD'!$I$148</definedName>
    <definedName name="ADD_MX_96">'CON+ADD'!$I$150</definedName>
    <definedName name="ADD_MX_97">'CON+ADD'!$I$151</definedName>
    <definedName name="ADD_MX_98">'CON+ADD'!$I$152</definedName>
    <definedName name="ADD_MX_99">'CON+ADD'!$I$153</definedName>
    <definedName name="ADD_ST_ACOP" localSheetId="9">LOG_ST!$J$2</definedName>
    <definedName name="ADD_ST_BOF" localSheetId="9">LOG_ST!$P$2</definedName>
    <definedName name="ADD_ST_BON" localSheetId="9">LOG_ST!$O$2</definedName>
    <definedName name="ADD_ST_CIE" localSheetId="9">LOG_ST!$K$2</definedName>
    <definedName name="ADD_ST_COP" localSheetId="9">LOG_ST!$I$2</definedName>
    <definedName name="ADD_ST_DAT" localSheetId="9">LOG_ST!$H$2</definedName>
    <definedName name="ADD_ST_HDGM">LOG_ST!$G$2</definedName>
    <definedName name="ADD_ST_MOISM">LOG_ST!$F$2</definedName>
    <definedName name="ADD_ST_P11" localSheetId="9">LOG_ST!$Q$2</definedName>
    <definedName name="ADD_ST_P12" localSheetId="9">LOG_ST!$R$2</definedName>
    <definedName name="ADD_ST_P13" localSheetId="9">LOG_ST!$S$2</definedName>
    <definedName name="ADD_ST_P14" localSheetId="9">LOG_ST!$T$2</definedName>
    <definedName name="ADD_ST_P15" localSheetId="9">LOG_ST!$U$2</definedName>
    <definedName name="ADD_ST_P16" localSheetId="9">LOG_ST!$V$2</definedName>
    <definedName name="ADD_ST_P17" localSheetId="9">LOG_ST!$W$2</definedName>
    <definedName name="ADD_ST_P18" localSheetId="9">LOG_ST!$X$2</definedName>
    <definedName name="ADD_ST_P19" localSheetId="9">LOG_ST!$Y$2</definedName>
    <definedName name="ADD_ST_P20" localSheetId="9">LOG_ST!$Z$2</definedName>
    <definedName name="ADD_ST_P21" localSheetId="9">LOG_ST!$AA$2</definedName>
    <definedName name="ADD_ST_P22" localSheetId="9">LOG_ST!$AB$2</definedName>
    <definedName name="ADD_ST_P23" localSheetId="9">LOG_ST!$AC$2</definedName>
    <definedName name="ADD_ST_P24" localSheetId="9">LOG_ST!$AD$2</definedName>
    <definedName name="ADD_ST_P25" localSheetId="9">LOG_ST!$AE$2</definedName>
    <definedName name="ADD_ST_P26" localSheetId="9">LOG_ST!$AF$2</definedName>
    <definedName name="ADD_ST_P27" localSheetId="9">LOG_ST!$AG$2</definedName>
    <definedName name="ADD_ST_P28" localSheetId="9">LOG_ST!$AH$2</definedName>
    <definedName name="ADD_ST_P29" localSheetId="9">LOG_ST!$AI$2</definedName>
    <definedName name="ADD_ST_P30" localSheetId="9">LOG_ST!$AJ$2</definedName>
    <definedName name="ADD_ST_P31" localSheetId="9">LOG_ST!$AK$2</definedName>
    <definedName name="ADD_ST_P32" localSheetId="9">LOG_ST!$AL$2</definedName>
    <definedName name="ADD_ST_P33" localSheetId="9">LOG_ST!$AM$2</definedName>
    <definedName name="ADD_ST_P34" localSheetId="9">LOG_ST!$AN$2</definedName>
    <definedName name="ADD_ST_P35" localSheetId="9">LOG_ST!$AO$2</definedName>
    <definedName name="ADD_ST_P36" localSheetId="9">LOG_ST!$AP$2</definedName>
    <definedName name="ADD_ST_P37" localSheetId="9">LOG_ST!$AQ$2</definedName>
    <definedName name="ADD_ST_PKG" localSheetId="9">LOG_ST!$N$2</definedName>
    <definedName name="ADD_ST_REG" localSheetId="9">LOG_ST!$M$2</definedName>
    <definedName name="ADD_ST_TYP" localSheetId="9">LOG_ST!$L$2</definedName>
    <definedName name="ADD_TRA_MAIN">'CON+ADD'!$C$277</definedName>
    <definedName name="ADD_TRAF_HDG">'CON+ADD'!$C$279</definedName>
    <definedName name="ANN_BISEX">DATA_BASE!$D$34</definedName>
    <definedName name="ANN_DATA">DATA_BASE!$D$35</definedName>
    <definedName name="ANNEE_A">DATA_MAIN!$V$8</definedName>
    <definedName name="ANNEE_AM1">DATA_MAIN!$U$15</definedName>
    <definedName name="ANNEE_XX">DATA_MAIN!$U$14</definedName>
    <definedName name="BISEX">DATA_MAIN!$V$22</definedName>
    <definedName name="C_AAC">DATA_MAIN!$D$59</definedName>
    <definedName name="C_AACF">DATA_MAIN!$D$40</definedName>
    <definedName name="C_AACF2">DATA_MAIN!$D$62</definedName>
    <definedName name="C_AAFR">DATA_MAIN!$D$31</definedName>
    <definedName name="C_AAG">DATA_MAIN!$D$58</definedName>
    <definedName name="C_AAPR">DATA_MAIN!$D$35</definedName>
    <definedName name="C_AAVP">DATA_MAIN!$D$32</definedName>
    <definedName name="C_AC">DATA_MAIN!$C$59</definedName>
    <definedName name="C_ACF">DATA_MAIN!$C$40</definedName>
    <definedName name="C_ACF2">DATA_MAIN!$C$62</definedName>
    <definedName name="C_ADCT">DATA_MAIN!$D$42</definedName>
    <definedName name="C_ADCT2">DATA_MAIN!$D$64</definedName>
    <definedName name="C_ADK23">DATA_MAIN!$D$41</definedName>
    <definedName name="C_ADK232">DATA_MAIN!$D$63</definedName>
    <definedName name="C_AFR">DATA_MAIN!$C$31</definedName>
    <definedName name="C_AG">DATA_MAIN!$C$58</definedName>
    <definedName name="C_AGEH">DATA_MAIN!$D$33</definedName>
    <definedName name="C_AMDE">DATA_MAIN!$D$47</definedName>
    <definedName name="C_AMDE2">DATA_MAIN!$D$69</definedName>
    <definedName name="C_AMZS">DATA_MAIN!$D$34</definedName>
    <definedName name="C_APAN">DATA_MAIN!$D$43</definedName>
    <definedName name="C_APAN2">DATA_MAIN!$D$65</definedName>
    <definedName name="C_APR">DATA_MAIN!$C$35</definedName>
    <definedName name="C_AREP">DATA_MAIN!$D$44</definedName>
    <definedName name="C_AREP2">DATA_MAIN!$D$66</definedName>
    <definedName name="C_ASEA">DATA_MAIN!$D$36</definedName>
    <definedName name="C_ASFS">DATA_MAIN!$D$37</definedName>
    <definedName name="C_ASKU">DATA_MAIN!$D$45</definedName>
    <definedName name="C_ASKU2">DATA_MAIN!$D$67</definedName>
    <definedName name="C_ATVX">DATA_MAIN!$D$46</definedName>
    <definedName name="C_ATVX2">DATA_MAIN!$D$68</definedName>
    <definedName name="C_AVP">DATA_MAIN!$C$32</definedName>
    <definedName name="C_CNT1">DATA_MAIN!$E$61</definedName>
    <definedName name="C_CNT2">DATA_MAIN!$E$71</definedName>
    <definedName name="C_DCT">DATA_MAIN!$C$42</definedName>
    <definedName name="C_DCT2">DATA_MAIN!$C$64</definedName>
    <definedName name="C_DK23">DATA_MAIN!$C$41</definedName>
    <definedName name="C_DK232">DATA_MAIN!$C$63</definedName>
    <definedName name="C_GEH">DATA_MAIN!$C$33</definedName>
    <definedName name="C_MAC">DATA_MAIN!$E$59</definedName>
    <definedName name="C_MACF">DATA_MAIN!$E$40</definedName>
    <definedName name="C_MACF2">DATA_MAIN!$E$62</definedName>
    <definedName name="C_MAFR">DATA_MAIN!$E$31</definedName>
    <definedName name="C_MAG">DATA_MAIN!$E$58</definedName>
    <definedName name="C_MAPR">DATA_MAIN!$E$35</definedName>
    <definedName name="C_MAVP">DATA_MAIN!$E$32</definedName>
    <definedName name="C_MDCT">DATA_MAIN!$E$42</definedName>
    <definedName name="C_MDCT2">DATA_MAIN!$E$64</definedName>
    <definedName name="C_MDE">DATA_MAIN!$C$47</definedName>
    <definedName name="C_MDE2">DATA_MAIN!$C$69</definedName>
    <definedName name="C_MDK23">DATA_MAIN!$E$41</definedName>
    <definedName name="C_MDK232">DATA_MAIN!$E$63</definedName>
    <definedName name="C_MGEH">DATA_MAIN!$E$33</definedName>
    <definedName name="C_MMDE">DATA_MAIN!$E$47</definedName>
    <definedName name="C_MMDE2">DATA_MAIN!$E$69</definedName>
    <definedName name="C_MMZS">DATA_MAIN!$E$34</definedName>
    <definedName name="C_MPAN">DATA_MAIN!$E$43</definedName>
    <definedName name="C_MPAN2">DATA_MAIN!$E$65</definedName>
    <definedName name="C_MREP">DATA_MAIN!$E$44</definedName>
    <definedName name="C_MREP2">DATA_MAIN!$E$66</definedName>
    <definedName name="C_MSEA">DATA_MAIN!$E$36</definedName>
    <definedName name="C_MSFS">DATA_MAIN!$E$37</definedName>
    <definedName name="C_MSKU">DATA_MAIN!$E$45</definedName>
    <definedName name="C_MSKU2">DATA_MAIN!$E$67</definedName>
    <definedName name="C_MTVX">DATA_MAIN!$E$46</definedName>
    <definedName name="C_MTVX2">DATA_MAIN!$E$68</definedName>
    <definedName name="C_MZS">DATA_MAIN!$C$34</definedName>
    <definedName name="C_PACF">DATA_MAIN!$G$40</definedName>
    <definedName name="C_PACF2">DATA_MAIN!$G$62</definedName>
    <definedName name="C_PAN">DATA_MAIN!$C$43</definedName>
    <definedName name="C_PAN2">DATA_MAIN!$C$65</definedName>
    <definedName name="C_PCOM">DATA_MAIN!$G$31</definedName>
    <definedName name="C_PCOM2">DATA_MAIN!$G$59</definedName>
    <definedName name="C_PDCT">DATA_MAIN!$G$42</definedName>
    <definedName name="C_PDCT2">DATA_MAIN!$G$64</definedName>
    <definedName name="C_PDK23">DATA_MAIN!$G$41</definedName>
    <definedName name="C_PDK232">DATA_MAIN!$G$63</definedName>
    <definedName name="C_PGEN">DATA_MAIN!$G$35</definedName>
    <definedName name="C_PGEN2">DATA_MAIN!$G$58</definedName>
    <definedName name="C_PMDE">DATA_MAIN!$G$47</definedName>
    <definedName name="C_PMDE2">DATA_MAIN!$G$69</definedName>
    <definedName name="C_PPAN">DATA_MAIN!$G$43</definedName>
    <definedName name="C_PPAN2">DATA_MAIN!$G$65</definedName>
    <definedName name="C_PREP">DATA_MAIN!$G$44</definedName>
    <definedName name="C_PREP2">DATA_MAIN!$G$66</definedName>
    <definedName name="C_PSKU">DATA_MAIN!$G$45</definedName>
    <definedName name="C_PSKU2">DATA_MAIN!$G$67</definedName>
    <definedName name="C_PTOT">DATA_MAIN!$G$60</definedName>
    <definedName name="C_PTVX">DATA_MAIN!$G$46</definedName>
    <definedName name="C_PTVX2">DATA_MAIN!$G$68</definedName>
    <definedName name="C_REP">DATA_MAIN!$C$44</definedName>
    <definedName name="C_REP2">DATA_MAIN!$C$66</definedName>
    <definedName name="C_SEA">DATA_MAIN!$C$36</definedName>
    <definedName name="C_SFS">DATA_MAIN!$C$37</definedName>
    <definedName name="C_SKU">DATA_MAIN!$C$45</definedName>
    <definedName name="C_SKU2">DATA_MAIN!$C$67</definedName>
    <definedName name="C_TVX">DATA_MAIN!$C$46</definedName>
    <definedName name="C_TVX2">DATA_MAIN!$C$68</definedName>
    <definedName name="CHAMPS_LIB">CR!$C$14</definedName>
    <definedName name="CK_1">'CON+ADD'!$K$7</definedName>
    <definedName name="CK_10">'CON+ADD'!$K$16</definedName>
    <definedName name="CK_100">'CON+ADD'!$K$154</definedName>
    <definedName name="CK_101">'CON+ADD'!$K$155</definedName>
    <definedName name="CK_102">'CON+ADD'!$K$156</definedName>
    <definedName name="CK_103">'CON+ADD'!$K$157</definedName>
    <definedName name="CK_104">'CON+ADD'!$K$158</definedName>
    <definedName name="CK_105">'CON+ADD'!$K$159</definedName>
    <definedName name="CK_106">'CON+ADD'!$K$160</definedName>
    <definedName name="CK_107">'CON+ADD'!$K$161</definedName>
    <definedName name="CK_108">'CON+ADD'!$K$164</definedName>
    <definedName name="CK_109">'CON+ADD'!$K$171</definedName>
    <definedName name="CK_11">'CON+ADD'!$K$17</definedName>
    <definedName name="CK_110">'CON+ADD'!$K$167</definedName>
    <definedName name="CK_111">'CON+ADD'!$K$169</definedName>
    <definedName name="CK_112">'CON+ADD'!$K$186</definedName>
    <definedName name="CK_113">'CON+ADD'!$K$188</definedName>
    <definedName name="CK_114">'CON+ADD'!$K$189</definedName>
    <definedName name="CK_115">'CON+ADD'!$K$190</definedName>
    <definedName name="CK_116">'CON+ADD'!$K$191</definedName>
    <definedName name="CK_117">'CON+ADD'!$K$192</definedName>
    <definedName name="CK_118">'CON+ADD'!$K$193</definedName>
    <definedName name="CK_119">'CON+ADD'!$K$194</definedName>
    <definedName name="CK_12">'CON+ADD'!$K$19</definedName>
    <definedName name="CK_120">'CON+ADD'!$K$195</definedName>
    <definedName name="CK_121">'CON+ADD'!$K$196</definedName>
    <definedName name="CK_122">'CON+ADD'!$K$197</definedName>
    <definedName name="CK_123">'CON+ADD'!$K$198</definedName>
    <definedName name="CK_124">'CON+ADD'!$K$199</definedName>
    <definedName name="CK_125">'CON+ADD'!$K$201</definedName>
    <definedName name="CK_126">'CON+ADD'!$K$203</definedName>
    <definedName name="CK_127">'CON+ADD'!$K$204</definedName>
    <definedName name="CK_128">'CON+ADD'!$K$205</definedName>
    <definedName name="CK_129">'CON+ADD'!$K$206</definedName>
    <definedName name="CK_13">'CON+ADD'!$K$20</definedName>
    <definedName name="CK_130">'CON+ADD'!$K$207</definedName>
    <definedName name="CK_131">'CON+ADD'!$K$208</definedName>
    <definedName name="CK_132">'CON+ADD'!$K$209</definedName>
    <definedName name="CK_133">'CON+ADD'!$K$210</definedName>
    <definedName name="CK_134">'CON+ADD'!$K$211</definedName>
    <definedName name="CK_135">'CON+ADD'!$K$212</definedName>
    <definedName name="CK_136">'CON+ADD'!$K$213</definedName>
    <definedName name="CK_137">'CON+ADD'!$K$214</definedName>
    <definedName name="CK_138">'CON+ADD'!$K$218</definedName>
    <definedName name="CK_139">'CON+ADD'!$K$219</definedName>
    <definedName name="CK_14">'CON+ADD'!$K$21</definedName>
    <definedName name="CK_140">'CON+ADD'!$K$220</definedName>
    <definedName name="CK_141">'CON+ADD'!$K$221</definedName>
    <definedName name="CK_142">'CON+ADD'!$K$222</definedName>
    <definedName name="CK_143">'CON+ADD'!$K$223</definedName>
    <definedName name="CK_144">'CON+ADD'!$K$224</definedName>
    <definedName name="CK_145">'CON+ADD'!$K$228</definedName>
    <definedName name="CK_146">'CON+ADD'!$K$229</definedName>
    <definedName name="CK_147">'CON+ADD'!$K$230</definedName>
    <definedName name="CK_148">'CON+ADD'!$K$231</definedName>
    <definedName name="CK_149">'CON+ADD'!$K$232</definedName>
    <definedName name="CK_15">'CON+ADD'!$K$22</definedName>
    <definedName name="CK_150">'CON+ADD'!$K$233</definedName>
    <definedName name="CK_151">'CON+ADD'!$K$234</definedName>
    <definedName name="CK_152">'CON+ADD'!$K$238</definedName>
    <definedName name="CK_153">'CON+ADD'!$K$239</definedName>
    <definedName name="CK_154">'CON+ADD'!$K$240</definedName>
    <definedName name="CK_155">'CON+ADD'!$K$241</definedName>
    <definedName name="CK_156">'CON+ADD'!$K$242</definedName>
    <definedName name="CK_157">'CON+ADD'!$K$243</definedName>
    <definedName name="CK_158">'CON+ADD'!$K$245</definedName>
    <definedName name="CK_159">'CON+ADD'!$K$246</definedName>
    <definedName name="CK_16">'CON+ADD'!$K$24</definedName>
    <definedName name="CK_160">'CON+ADD'!$K$247</definedName>
    <definedName name="CK_161">'CON+ADD'!$K$248</definedName>
    <definedName name="CK_162">'CON+ADD'!$K$251</definedName>
    <definedName name="CK_163">'CON+ADD'!$K$252</definedName>
    <definedName name="CK_164">'CON+ADD'!$K$253</definedName>
    <definedName name="CK_165">'CON+ADD'!$K$254</definedName>
    <definedName name="CK_166">'CON+ADD'!$K$255</definedName>
    <definedName name="CK_167">'CON+ADD'!$K$257</definedName>
    <definedName name="CK_168">'CON+ADD'!$K$258</definedName>
    <definedName name="CK_169">'CON+ADD'!$K$259</definedName>
    <definedName name="CK_17">'CON+ADD'!$K$25</definedName>
    <definedName name="CK_170">'CON+ADD'!$K$260</definedName>
    <definedName name="CK_171">'CON+ADD'!$K$261</definedName>
    <definedName name="CK_172">'CON+ADD'!$K$263</definedName>
    <definedName name="CK_173">'CON+ADD'!$K$265</definedName>
    <definedName name="CK_174">'CON+ADD'!$K$266</definedName>
    <definedName name="CK_175">'CON+ADD'!$K$267</definedName>
    <definedName name="CK_176">'CON+ADD'!$K$268</definedName>
    <definedName name="CK_177">'CON+ADD'!$K$269</definedName>
    <definedName name="CK_178">'CON+ADD'!$K$270</definedName>
    <definedName name="CK_179">'CON+ADD'!$K$271</definedName>
    <definedName name="CK_18">'CON+ADD'!$K$26</definedName>
    <definedName name="CK_180">'CON+ADD'!$K$272</definedName>
    <definedName name="CK_181">'CON+ADD'!$K$273</definedName>
    <definedName name="CK_182">'CON+ADD'!$K$274</definedName>
    <definedName name="CK_183">'CON+ADD'!$K$85</definedName>
    <definedName name="CK_184">'CON+ADD'!$K$86</definedName>
    <definedName name="CK_185">'CON+ADD'!$K$87</definedName>
    <definedName name="CK_186">'CON+ADD'!$K$88</definedName>
    <definedName name="CK_187">'CON+ADD'!$K$89</definedName>
    <definedName name="CK_188">'CON+ADD'!$K$90</definedName>
    <definedName name="CK_189">'CON+ADD'!$K$91</definedName>
    <definedName name="CK_19">'CON+ADD'!$K$27</definedName>
    <definedName name="CK_190">'CON+ADD'!$K$92</definedName>
    <definedName name="CK_191">'CON+ADD'!$K$93</definedName>
    <definedName name="CK_192">'CON+ADD'!$K$94</definedName>
    <definedName name="CK_193">'CON+ADD'!$K$95</definedName>
    <definedName name="CK_194">'CON+ADD'!$K$96</definedName>
    <definedName name="CK_195">'CON+ADD'!$K$173</definedName>
    <definedName name="CK_196">'CON+ADD'!$K$174</definedName>
    <definedName name="CK_197">'CON+ADD'!$K$175</definedName>
    <definedName name="CK_198">'CON+ADD'!$K$176</definedName>
    <definedName name="CK_199">'CON+ADD'!$K$177</definedName>
    <definedName name="CK_2">'CON+ADD'!$K$8</definedName>
    <definedName name="CK_20">'CON+ADD'!$K$29</definedName>
    <definedName name="CK_200">'CON+ADD'!$K$178</definedName>
    <definedName name="CK_201">'CON+ADD'!$K$179</definedName>
    <definedName name="CK_202">'CON+ADD'!$K$180</definedName>
    <definedName name="CK_203">'CON+ADD'!$K$181</definedName>
    <definedName name="CK_204">'CON+ADD'!$K$182</definedName>
    <definedName name="CK_205">'CON+ADD'!$K$183</definedName>
    <definedName name="CK_206">'CON+ADD'!$K$184</definedName>
    <definedName name="CK_21">'CON+ADD'!$K$32</definedName>
    <definedName name="CK_22">'CON+ADD'!$K$33</definedName>
    <definedName name="CK_23">'CON+ADD'!$K$34</definedName>
    <definedName name="CK_24">'CON+ADD'!$K$35</definedName>
    <definedName name="CK_25">'CON+ADD'!$K$36</definedName>
    <definedName name="CK_26">'CON+ADD'!$K$39</definedName>
    <definedName name="CK_27">'CON+ADD'!$K$40</definedName>
    <definedName name="CK_28">'CON+ADD'!$K$41</definedName>
    <definedName name="CK_29">'CON+ADD'!$K$42</definedName>
    <definedName name="CK_3">'CON+ADD'!$K$9</definedName>
    <definedName name="CK_30">'CON+ADD'!$K$43</definedName>
    <definedName name="CK_31">'CON+ADD'!$K$44</definedName>
    <definedName name="CK_32">'CON+ADD'!$K$47</definedName>
    <definedName name="CK_33">'CON+ADD'!$K$48</definedName>
    <definedName name="CK_34">'CON+ADD'!$K$49</definedName>
    <definedName name="CK_35">'CON+ADD'!$K$50</definedName>
    <definedName name="CK_36">'CON+ADD'!$K$51</definedName>
    <definedName name="CK_37">'CON+ADD'!$K$52</definedName>
    <definedName name="CK_38">'CON+ADD'!$K$53</definedName>
    <definedName name="CK_39">'CON+ADD'!$K$54</definedName>
    <definedName name="CK_4">'CON+ADD'!$K$10</definedName>
    <definedName name="CK_41">'CON+ADD'!$K$56</definedName>
    <definedName name="CK_42">'CON+ADD'!$K$57</definedName>
    <definedName name="CK_43">'CON+ADD'!$K$61</definedName>
    <definedName name="CK_44">'CON+ADD'!$K$62</definedName>
    <definedName name="CK_45">'CON+ADD'!$K$63</definedName>
    <definedName name="CK_46">'CON+ADD'!$K$64</definedName>
    <definedName name="CK_47">'CON+ADD'!$K$66</definedName>
    <definedName name="CK_48">'CON+ADD'!$K$67</definedName>
    <definedName name="CK_49">'CON+ADD'!$K$68</definedName>
    <definedName name="CK_5">'CON+ADD'!$K$11</definedName>
    <definedName name="CK_50">'CON+ADD'!$K$69</definedName>
    <definedName name="CK_51">'CON+ADD'!$K$70</definedName>
    <definedName name="CK_52">'CON+ADD'!$K$71</definedName>
    <definedName name="CK_53">'CON+ADD'!$K$72</definedName>
    <definedName name="CK_54">'CON+ADD'!$K$73</definedName>
    <definedName name="CK_55">'CON+ADD'!$K$75</definedName>
    <definedName name="CK_56">'CON+ADD'!$K$100</definedName>
    <definedName name="CK_57">'CON+ADD'!$K$102</definedName>
    <definedName name="CK_58">'CON+ADD'!$K$103</definedName>
    <definedName name="CK_59">'CON+ADD'!$K$104</definedName>
    <definedName name="CK_6">'CON+ADD'!$K$12</definedName>
    <definedName name="CK_60">'CON+ADD'!$K$105</definedName>
    <definedName name="CK_61">'CON+ADD'!$K$106</definedName>
    <definedName name="CK_62">'CON+ADD'!$K$107</definedName>
    <definedName name="CK_63">'CON+ADD'!$K$108</definedName>
    <definedName name="CK_64">'CON+ADD'!$K$109</definedName>
    <definedName name="CK_65">'CON+ADD'!$K$110</definedName>
    <definedName name="CK_66">'CON+ADD'!$K$111</definedName>
    <definedName name="CK_67">'CON+ADD'!$K$112</definedName>
    <definedName name="CK_68">'CON+ADD'!$K$113</definedName>
    <definedName name="CK_69">'CON+ADD'!$K$116</definedName>
    <definedName name="CK_7">'CON+ADD'!$K$13</definedName>
    <definedName name="CK_70">'CON+ADD'!$K$118</definedName>
    <definedName name="CK_71">'CON+ADD'!$K$119</definedName>
    <definedName name="CK_72">'CON+ADD'!$K$120</definedName>
    <definedName name="CK_73">'CON+ADD'!$K$121</definedName>
    <definedName name="CK_74">'CON+ADD'!$K$122</definedName>
    <definedName name="CK_75">'CON+ADD'!$K$123</definedName>
    <definedName name="CK_76">'CON+ADD'!$K$124</definedName>
    <definedName name="CK_77">'CON+ADD'!$K$125</definedName>
    <definedName name="CK_78">'CON+ADD'!$K$126</definedName>
    <definedName name="CK_79">'CON+ADD'!$K$127</definedName>
    <definedName name="CK_8">'CON+ADD'!$K$14</definedName>
    <definedName name="CK_80">'CON+ADD'!$K$128</definedName>
    <definedName name="CK_81">'CON+ADD'!$K$129</definedName>
    <definedName name="CK_82">'CON+ADD'!$K$132</definedName>
    <definedName name="CK_83">'CON+ADD'!$K$134</definedName>
    <definedName name="CK_84">'CON+ADD'!$K$135</definedName>
    <definedName name="CK_85">'CON+ADD'!$K$136</definedName>
    <definedName name="CK_86">'CON+ADD'!$K$137</definedName>
    <definedName name="CK_87">'CON+ADD'!$K$138</definedName>
    <definedName name="CK_88">'CON+ADD'!$K$139</definedName>
    <definedName name="CK_89">'CON+ADD'!$K$140</definedName>
    <definedName name="CK_9">'CON+ADD'!$K$15</definedName>
    <definedName name="CK_90">'CON+ADD'!$K$141</definedName>
    <definedName name="CK_91">'CON+ADD'!$K$142</definedName>
    <definedName name="CK_92">'CON+ADD'!$K$143</definedName>
    <definedName name="CK_93">'CON+ADD'!$K$144</definedName>
    <definedName name="CK_94">'CON+ADD'!$K$145</definedName>
    <definedName name="CK_95">'CON+ADD'!$K$148</definedName>
    <definedName name="CK_96">'CON+ADD'!$K$150</definedName>
    <definedName name="CK_97">'CON+ADD'!$K$151</definedName>
    <definedName name="CK_98">'CON+ADD'!$K$152</definedName>
    <definedName name="CK_99">'CON+ADD'!$K$153</definedName>
    <definedName name="CK_CHECK">DATA_MAIN!$AA$38</definedName>
    <definedName name="CK_CHECK_OP">DATA_MAIN!$AA$41</definedName>
    <definedName name="CK_CHECK2">DATA_MAIN!$AA$40</definedName>
    <definedName name="CK_DT1">'CON+ADD'!$K$65</definedName>
    <definedName name="CK_DT2">'CON+ADD'!$K$74</definedName>
    <definedName name="CK_FAITM">CR!$B$15</definedName>
    <definedName name="CK_JOUR">DATA_MAIN!$AA$39</definedName>
    <definedName name="CK_LAST">DATA_MAIN!$V$26</definedName>
    <definedName name="COP_1">DATA_BASE!$H$3</definedName>
    <definedName name="COP_10">DATA_BASE!$H$12</definedName>
    <definedName name="COP_11">DATA_BASE!$H$13</definedName>
    <definedName name="COP_12">DATA_BASE!$H$14</definedName>
    <definedName name="COP_13">DATA_BASE!$H$15</definedName>
    <definedName name="COP_14">DATA_BASE!$H$16</definedName>
    <definedName name="COP_15">DATA_BASE!$H$17</definedName>
    <definedName name="COP_2">DATA_BASE!$H$4</definedName>
    <definedName name="COP_3">DATA_BASE!$H$5</definedName>
    <definedName name="COP_4">DATA_BASE!$H$6</definedName>
    <definedName name="COP_5">DATA_BASE!$H$7</definedName>
    <definedName name="COP_6">DATA_BASE!$H$8</definedName>
    <definedName name="COP_7">DATA_BASE!$H$9</definedName>
    <definedName name="COP_8">DATA_BASE!$H$10</definedName>
    <definedName name="COP_9">DATA_BASE!$H$11</definedName>
    <definedName name="CR_AOG">CR!$M$44</definedName>
    <definedName name="CR_BAL">CR!$C$28</definedName>
    <definedName name="CR_BS">CR!$N$8</definedName>
    <definedName name="CR_CDF">CR!$M$39</definedName>
    <definedName name="CR_CDM">CR!$M$96</definedName>
    <definedName name="CR_DATE">CR!$J$3</definedName>
    <definedName name="CR_DCT">CR!$M$40</definedName>
    <definedName name="CR_DEVP">CR!$M$59</definedName>
    <definedName name="CR_DEVS">CR!$M$58</definedName>
    <definedName name="CR_DK">CR!$M$41</definedName>
    <definedName name="CR_EMT">CR!$M$55</definedName>
    <definedName name="CR_ETA">CR!$C$20</definedName>
    <definedName name="CR_ETC">CR!$C$21</definedName>
    <definedName name="CR_ETV">CR!$C$19</definedName>
    <definedName name="CR_FATA">CR!$M$69</definedName>
    <definedName name="CR_FATT">CR!$M$70</definedName>
    <definedName name="CR_FNA">CR!$C$24</definedName>
    <definedName name="CR_FOA">CR!$C$25</definedName>
    <definedName name="CR_FPA">CR!$C$26</definedName>
    <definedName name="CR_FRET">CR!$M$56</definedName>
    <definedName name="CR_GRUA">CR!$M$75</definedName>
    <definedName name="CR_GRUT">CR!$M$76</definedName>
    <definedName name="CR_INFRA">CR!$C$27</definedName>
    <definedName name="CR_INP">CR!$N$6</definedName>
    <definedName name="CR_INPM">CR!$L$5</definedName>
    <definedName name="CR_INPM1">CR!$M$5</definedName>
    <definedName name="CR_INPO">CR!$S$11</definedName>
    <definedName name="CR_INPOT">CR!$S$12</definedName>
    <definedName name="CR_KMS">CR!$S$14</definedName>
    <definedName name="CR_MDE">CR!$M$42</definedName>
    <definedName name="CR_MRRA">CR!$M$73</definedName>
    <definedName name="CR_MRRT">CR!$M$74</definedName>
    <definedName name="CR_NEI">CR!$M$93</definedName>
    <definedName name="CR_NOTA">CR!$M$71</definedName>
    <definedName name="CR_NOTT">CR!$M$72</definedName>
    <definedName name="CR_NUM">CR!$J$4</definedName>
    <definedName name="CR_PERC">CR!$P$73</definedName>
    <definedName name="CR_PERCT">CR!$P$74</definedName>
    <definedName name="CR_PERH">CR!$P$77</definedName>
    <definedName name="CR_PERM">CR!$P$71</definedName>
    <definedName name="CR_PERMT">CR!$P$72</definedName>
    <definedName name="CR_PERP">CR!$P$75</definedName>
    <definedName name="CR_PERPT">CR!$P$76</definedName>
    <definedName name="CR_PERT">CR!$P$69</definedName>
    <definedName name="CR_PERTT">CR!$P$70</definedName>
    <definedName name="CR_PLUIE">CR!$M$94</definedName>
    <definedName name="CR_POURINP">CR!$S$15</definedName>
    <definedName name="CR_REP">CR!$M$43</definedName>
    <definedName name="CR_SAT">CR!$M$45</definedName>
    <definedName name="CR_SGS">CR!$C$23</definedName>
    <definedName name="CR_STNC">CR!$M$64</definedName>
    <definedName name="CR_TIN">CR!$S$13</definedName>
    <definedName name="CR_TOTR">CR!$M$38</definedName>
    <definedName name="CR_TOTST">CR!$M$63</definedName>
    <definedName name="CR_TVX">CR!$M$46</definedName>
    <definedName name="CR_VF">CR!$M$95</definedName>
    <definedName name="CTL_DMA1">DATA_MAIN!$V$33</definedName>
    <definedName name="CTL_DMA10">DATA_MAIN!$V$42</definedName>
    <definedName name="CTL_DMA11">DATA_MAIN!$V$43</definedName>
    <definedName name="CTL_DMA12">DATA_MAIN!$V$44</definedName>
    <definedName name="CTL_DMA2">DATA_MAIN!$V$34</definedName>
    <definedName name="CTL_DMA3">DATA_MAIN!$V$35</definedName>
    <definedName name="CTL_DMA4">DATA_MAIN!$V$36</definedName>
    <definedName name="CTL_DMA5">DATA_MAIN!$V$37</definedName>
    <definedName name="CTL_DMA6">DATA_MAIN!$V$38</definedName>
    <definedName name="CTL_DMA7">DATA_MAIN!$V$39</definedName>
    <definedName name="CTL_DMA8">DATA_MAIN!$V$40</definedName>
    <definedName name="CTL_DMA9">DATA_MAIN!$V$41</definedName>
    <definedName name="CTL_J28">DATA_BASE!$E$33</definedName>
    <definedName name="CTL_J29">DATA_BASE!$D$33</definedName>
    <definedName name="CTL_J30">DATA_BASE!$C$35</definedName>
    <definedName name="CTL_J31">DATA_BASE!$B$35</definedName>
    <definedName name="DATA_A_CARB">LOG_ANNUEL!$B$244:$R$254</definedName>
    <definedName name="DATA_A_FAC">LOG_ANNUEL!$B$165:$R$222</definedName>
    <definedName name="DATA_A_MAA">LOG_ANNUEL!$B$234:$R$240</definedName>
    <definedName name="DATA_A_MAIN">LOG_ANNUEL!$B$8:$R$76</definedName>
    <definedName name="DATA_A_PERMIS">LOG_ANNUEL!$B$257:$R$280</definedName>
    <definedName name="DATA_A_REV">LOG_ANNUEL!$B$283:$R$283</definedName>
    <definedName name="DATA_A_TRA">LOG_ANNUEL!$B$86:$R$162</definedName>
    <definedName name="DATA_A_TVX">LOG_ANNUEL!$B$225:$R$231</definedName>
    <definedName name="DATA_A1_MAIN">'LOG_ANNUEL_A-1'!$B$8:$R$77</definedName>
    <definedName name="DATA_A1_REV">'LOG_ANNUEL_A-1'!$B$283:$R$283</definedName>
    <definedName name="DATA_AN_CARB">'LOG_ANNUEL_A-1'!$B$244:$R$254</definedName>
    <definedName name="DATA_AN_FAC">'LOG_ANNUEL_A-1'!$B$165:$R$222</definedName>
    <definedName name="DATA_AN_MAA">'LOG_ANNUEL_A-1'!$B$234:$R$240</definedName>
    <definedName name="DATA_AN_MAIN">'LOG_ANNUEL_A-1'!$B$8:$R$76</definedName>
    <definedName name="DATA_AN_PER">'LOG_ANNUEL_A-1'!$B$257:$R$280</definedName>
    <definedName name="DATA_AN_TRA">'LOG_ANNUEL_A-1'!$B$81:$R$162</definedName>
    <definedName name="DATA_AN_TVX">'LOG_ANNUEL_A-1'!$B$225:$R$231</definedName>
    <definedName name="DATA_ANN">DATA_ST!$AJ$4</definedName>
    <definedName name="DATA_ANNN">DATA_BASE!$E$3</definedName>
    <definedName name="DATA_APP">DATA_ST!$P$7:$S$64</definedName>
    <definedName name="DATA_APP2">DATA_ST!$V$7:$X$64</definedName>
    <definedName name="DATA_COP">DATA_BASE!$G$3:$H$17</definedName>
    <definedName name="DATA_HDG">DATA_BASE!$U$11:$V$14</definedName>
    <definedName name="DATA_HDG2">DATA_BASE!$U$23:$V$26</definedName>
    <definedName name="DATA_HEURE">DATA_BASE!$B$41</definedName>
    <definedName name="DATA_M_FACT">LOG_M!$B$164:$AJ$214</definedName>
    <definedName name="DATA_M_MAA">LOG_M!$B$228:$AJ$234</definedName>
    <definedName name="DATA_M_MAIN">LOG_M!$B$7:$AJ$75</definedName>
    <definedName name="DATA_M_TRA">LOG_M!$B$85:$AI$161</definedName>
    <definedName name="DATA_M_TVX">LOG_M!$B$218:$AJ$224</definedName>
    <definedName name="DATA_MOIS">DATA_ST!$AI$4</definedName>
    <definedName name="DATA_MOISN">DATA_BASE!$C$3</definedName>
    <definedName name="DATA_MOISNT">DATA_BASE!$C$2</definedName>
    <definedName name="DATA_MOISNT2">DATA_BASE!$E$2</definedName>
    <definedName name="DATA_MTRILI">DATA_ST!$AA$7:$AB$64</definedName>
    <definedName name="DATA_OCC_INP">DATA_BASE!$L$3:$P$11</definedName>
    <definedName name="DATA_PKG">DATA_ST!$L$7:$N$76</definedName>
    <definedName name="DATA_SCIES">DATA_ST!$B$7:$E$75</definedName>
    <definedName name="DATA_SCIES2">DATA_ST!$H$7:$J$75</definedName>
    <definedName name="DATA_ST_LI">DATA_ST!$Z$7:$AB$70</definedName>
    <definedName name="DATA_TRANS">DATA_BASE!$E$43</definedName>
    <definedName name="DATA_VAL_MAIN">DATA_MAIN!$D$5</definedName>
    <definedName name="DATE_G">SAISIE!$C$29</definedName>
    <definedName name="DATE_MAIN">DATA_BASE!$B$40</definedName>
    <definedName name="DEST_BUG">DATA_MAIN!$J$60</definedName>
    <definedName name="DISP_CR">SAISIE!$R$4</definedName>
    <definedName name="DJX_1">'CON+ADD'!$G$7</definedName>
    <definedName name="DJX_10">'CON+ADD'!$G$16</definedName>
    <definedName name="DJX_100">'CON+ADD'!$G$154</definedName>
    <definedName name="DJX_101">'CON+ADD'!$G$155</definedName>
    <definedName name="DJX_102">'CON+ADD'!$G$156</definedName>
    <definedName name="DJX_103">'CON+ADD'!$G$157</definedName>
    <definedName name="DJX_104">'CON+ADD'!$G$158</definedName>
    <definedName name="DJX_105">'CON+ADD'!$G$159</definedName>
    <definedName name="DJX_106">'CON+ADD'!$G$160</definedName>
    <definedName name="DJX_107">'CON+ADD'!$G$161</definedName>
    <definedName name="DJX_108">'CON+ADD'!$G$164</definedName>
    <definedName name="DJX_109">'CON+ADD'!$G$171</definedName>
    <definedName name="DJX_11">'CON+ADD'!$G$17</definedName>
    <definedName name="DJX_110">'CON+ADD'!$G$167</definedName>
    <definedName name="DJX_111">'CON+ADD'!$G$169</definedName>
    <definedName name="DJX_112">'CON+ADD'!$G$186</definedName>
    <definedName name="DJX_113">'CON+ADD'!$G$188</definedName>
    <definedName name="DJX_114">'CON+ADD'!$G$189</definedName>
    <definedName name="DJX_115">'CON+ADD'!$G$190</definedName>
    <definedName name="DJX_116">'CON+ADD'!$G$191</definedName>
    <definedName name="DJX_117">'CON+ADD'!$G$192</definedName>
    <definedName name="DJX_118">'CON+ADD'!$G$193</definedName>
    <definedName name="DJX_119">'CON+ADD'!$G$194</definedName>
    <definedName name="DJX_12">'CON+ADD'!$G$19</definedName>
    <definedName name="DJX_120">'CON+ADD'!$G$195</definedName>
    <definedName name="DJX_121">'CON+ADD'!$G$196</definedName>
    <definedName name="DJX_122">'CON+ADD'!$G$197</definedName>
    <definedName name="DJX_123">'CON+ADD'!$G$198</definedName>
    <definedName name="DJX_124">'CON+ADD'!$G$199</definedName>
    <definedName name="DJX_125">'CON+ADD'!$G$201</definedName>
    <definedName name="DJX_126">'CON+ADD'!$G$203</definedName>
    <definedName name="DJX_127">'CON+ADD'!$G$204</definedName>
    <definedName name="DJX_128">'CON+ADD'!$G$205</definedName>
    <definedName name="DJX_129">'CON+ADD'!$G$206</definedName>
    <definedName name="DJX_13">'CON+ADD'!$G$20</definedName>
    <definedName name="DJX_130">'CON+ADD'!$G$207</definedName>
    <definedName name="DJX_131">'CON+ADD'!$G$208</definedName>
    <definedName name="DJX_132">'CON+ADD'!$G$209</definedName>
    <definedName name="DJX_133">'CON+ADD'!$G$210</definedName>
    <definedName name="DJX_134">'CON+ADD'!$G$211</definedName>
    <definedName name="DJX_135">'CON+ADD'!$G$212</definedName>
    <definedName name="DJX_136">'CON+ADD'!$G$213</definedName>
    <definedName name="DJX_137">'CON+ADD'!$G$214</definedName>
    <definedName name="DJX_14">'CON+ADD'!$G$21</definedName>
    <definedName name="DJX_144">'CON+ADD'!$G$224</definedName>
    <definedName name="DJX_145">'CON+ADD'!$G$228</definedName>
    <definedName name="DJX_146">'CON+ADD'!$G$229</definedName>
    <definedName name="DJX_147">'CON+ADD'!$G$230</definedName>
    <definedName name="DJX_148">'CON+ADD'!$G$231</definedName>
    <definedName name="DJX_149">'CON+ADD'!$G$232</definedName>
    <definedName name="DJX_15">'CON+ADD'!$G$22</definedName>
    <definedName name="DJX_150">'CON+ADD'!$G$233</definedName>
    <definedName name="DJX_151">'CON+ADD'!$G$234</definedName>
    <definedName name="DJX_16">'CON+ADD'!$G$24</definedName>
    <definedName name="DJX_17">'CON+ADD'!$G$25</definedName>
    <definedName name="DJX_18">'CON+ADD'!$G$26</definedName>
    <definedName name="DJX_183">'CON+ADD'!$G$85</definedName>
    <definedName name="DJX_184">'CON+ADD'!$G$86</definedName>
    <definedName name="DJX_185">'CON+ADD'!$G$87</definedName>
    <definedName name="DJX_186">'CON+ADD'!$G$88</definedName>
    <definedName name="DJX_187">'CON+ADD'!$G$89</definedName>
    <definedName name="DJX_188">'CON+ADD'!$G$90</definedName>
    <definedName name="DJX_189">'CON+ADD'!$G$91</definedName>
    <definedName name="DJX_19">'CON+ADD'!$G$27</definedName>
    <definedName name="DJX_190">'CON+ADD'!$G$92</definedName>
    <definedName name="DJX_191">'CON+ADD'!$G$93</definedName>
    <definedName name="DJX_192">'CON+ADD'!$G$94</definedName>
    <definedName name="DJX_193">'CON+ADD'!$G$95</definedName>
    <definedName name="DJX_194">'CON+ADD'!$G$96</definedName>
    <definedName name="DJX_195">'CON+ADD'!$G$173</definedName>
    <definedName name="DJX_196">'CON+ADD'!$G$174</definedName>
    <definedName name="DJX_197">'CON+ADD'!$G$175</definedName>
    <definedName name="DJX_198">'CON+ADD'!$G$176</definedName>
    <definedName name="DJX_199">'CON+ADD'!$G$177</definedName>
    <definedName name="DJX_2">'CON+ADD'!$G$8</definedName>
    <definedName name="DJX_20">'CON+ADD'!$G$29</definedName>
    <definedName name="DJX_200">'CON+ADD'!$G$178</definedName>
    <definedName name="DJX_201">'CON+ADD'!$G$179</definedName>
    <definedName name="DJX_202">'CON+ADD'!$G$180</definedName>
    <definedName name="DJX_203">'CON+ADD'!$G$181</definedName>
    <definedName name="DJX_204">'CON+ADD'!$G$182</definedName>
    <definedName name="DJX_205">'CON+ADD'!$G$183</definedName>
    <definedName name="DJX_206">'CON+ADD'!$G$184</definedName>
    <definedName name="DJX_21">'CON+ADD'!$G$32</definedName>
    <definedName name="DJX_22">'CON+ADD'!$G$33</definedName>
    <definedName name="DJX_23">'CON+ADD'!$G$34</definedName>
    <definedName name="DJX_24">'CON+ADD'!$G$35</definedName>
    <definedName name="DJX_25">'CON+ADD'!$G$36</definedName>
    <definedName name="DJX_26">'CON+ADD'!$G$39</definedName>
    <definedName name="DJX_27">'CON+ADD'!$G$40</definedName>
    <definedName name="DJX_28">'CON+ADD'!$G$41</definedName>
    <definedName name="DJX_29">'CON+ADD'!$G$42</definedName>
    <definedName name="DJX_3">'CON+ADD'!$G$9</definedName>
    <definedName name="DJX_30">'CON+ADD'!$G$43</definedName>
    <definedName name="DJX_31">'CON+ADD'!$G$44</definedName>
    <definedName name="DJX_32">'CON+ADD'!$G$47</definedName>
    <definedName name="DJX_33">'CON+ADD'!$G$48</definedName>
    <definedName name="DJX_34">'CON+ADD'!$G$49</definedName>
    <definedName name="DJX_35">'CON+ADD'!$G$50</definedName>
    <definedName name="DJX_36">'CON+ADD'!$G$51</definedName>
    <definedName name="DJX_37">'CON+ADD'!$G$52</definedName>
    <definedName name="DJX_38">'CON+ADD'!$G$53</definedName>
    <definedName name="DJX_39">'CON+ADD'!$G$54</definedName>
    <definedName name="DJX_4">'CON+ADD'!$G$10</definedName>
    <definedName name="DJX_41">'CON+ADD'!$G$56</definedName>
    <definedName name="DJX_42">'CON+ADD'!$G$57</definedName>
    <definedName name="DJX_43">'CON+ADD'!$G$61</definedName>
    <definedName name="DJX_44">'CON+ADD'!$G$62</definedName>
    <definedName name="DJX_45">'CON+ADD'!$G$63</definedName>
    <definedName name="DJX_46">'CON+ADD'!$G$64</definedName>
    <definedName name="DJX_47">'CON+ADD'!$G$66</definedName>
    <definedName name="DJX_48">'CON+ADD'!$G$67</definedName>
    <definedName name="DJX_49">'CON+ADD'!$G$68</definedName>
    <definedName name="DJX_5">'CON+ADD'!$G$11</definedName>
    <definedName name="DJX_50">'CON+ADD'!$G$69</definedName>
    <definedName name="DJX_51">'CON+ADD'!$G$70</definedName>
    <definedName name="DJX_52">'CON+ADD'!$G$71</definedName>
    <definedName name="DJX_53">'CON+ADD'!$G$72</definedName>
    <definedName name="DJX_54">'CON+ADD'!$G$73</definedName>
    <definedName name="DJX_55">'CON+ADD'!$G$75</definedName>
    <definedName name="DJX_56">'CON+ADD'!$G$100</definedName>
    <definedName name="DJX_57">'CON+ADD'!$G$102</definedName>
    <definedName name="DJX_58">'CON+ADD'!$G$103</definedName>
    <definedName name="DJX_59">'CON+ADD'!$G$104</definedName>
    <definedName name="DJX_6">'CON+ADD'!$G$12</definedName>
    <definedName name="DJX_60">'CON+ADD'!$G$105</definedName>
    <definedName name="DJX_61">'CON+ADD'!$G$106</definedName>
    <definedName name="DJX_62">'CON+ADD'!$G$107</definedName>
    <definedName name="DJX_63">'CON+ADD'!$G$108</definedName>
    <definedName name="DJX_64">'CON+ADD'!$G$109</definedName>
    <definedName name="DJX_65">'CON+ADD'!$G$110</definedName>
    <definedName name="DJX_66">'CON+ADD'!$G$111</definedName>
    <definedName name="DJX_67">'CON+ADD'!$G$112</definedName>
    <definedName name="DJX_68">'CON+ADD'!$G$113</definedName>
    <definedName name="DJX_69">'CON+ADD'!$G$116</definedName>
    <definedName name="DJX_7">'CON+ADD'!$G$13</definedName>
    <definedName name="DJX_70">'CON+ADD'!$G$118</definedName>
    <definedName name="DJX_71">'CON+ADD'!$G$119</definedName>
    <definedName name="DJX_72">'CON+ADD'!$G$120</definedName>
    <definedName name="DJX_73">'CON+ADD'!$G$121</definedName>
    <definedName name="DJX_74">'CON+ADD'!$G$122</definedName>
    <definedName name="DJX_75">'CON+ADD'!$G$123</definedName>
    <definedName name="DJX_76">'CON+ADD'!$G$124</definedName>
    <definedName name="DJX_77">'CON+ADD'!$G$125</definedName>
    <definedName name="DJX_78">'CON+ADD'!$G$126</definedName>
    <definedName name="DJX_79">'CON+ADD'!$G$127</definedName>
    <definedName name="DJX_8">'CON+ADD'!$G$14</definedName>
    <definedName name="DJX_80">'CON+ADD'!$G$128</definedName>
    <definedName name="DJX_81">'CON+ADD'!$G$129</definedName>
    <definedName name="DJX_82">'CON+ADD'!$G$132</definedName>
    <definedName name="DJX_83">'CON+ADD'!$G$134</definedName>
    <definedName name="DJX_84">'CON+ADD'!$G$135</definedName>
    <definedName name="DJX_85">'CON+ADD'!$G$136</definedName>
    <definedName name="DJX_86">'CON+ADD'!$G$137</definedName>
    <definedName name="DJX_87">'CON+ADD'!$G$138</definedName>
    <definedName name="DJX_88">'CON+ADD'!$G$139</definedName>
    <definedName name="DJX_89">'CON+ADD'!$G$140</definedName>
    <definedName name="DJX_9">'CON+ADD'!$G$15</definedName>
    <definedName name="DJX_90">'CON+ADD'!$G$141</definedName>
    <definedName name="DJX_91">'CON+ADD'!$G$142</definedName>
    <definedName name="DJX_92">'CON+ADD'!$G$143</definedName>
    <definedName name="DJX_93">'CON+ADD'!$G$144</definedName>
    <definedName name="DJX_94">'CON+ADD'!$G$145</definedName>
    <definedName name="DJX_95">'CON+ADD'!$G$148</definedName>
    <definedName name="DJX_96">'CON+ADD'!$G$150</definedName>
    <definedName name="DJX_97">'CON+ADD'!$G$151</definedName>
    <definedName name="DJX_98">'CON+ADD'!$G$152</definedName>
    <definedName name="DJX_99">'CON+ADD'!$G$153</definedName>
    <definedName name="DJX_DT1">'CON+ADD'!$G$65</definedName>
    <definedName name="DJX_DT2">'CON+ADD'!$G$74</definedName>
    <definedName name="DMX_1">'CON+ADD'!$J$7</definedName>
    <definedName name="DMX_10">'CON+ADD'!$J$16</definedName>
    <definedName name="DMX_108">'CON+ADD'!$J$164</definedName>
    <definedName name="DMX_109">'CON+ADD'!$J$171</definedName>
    <definedName name="DMX_11">'CON+ADD'!$J$17</definedName>
    <definedName name="DMX_110">'CON+ADD'!$J$167</definedName>
    <definedName name="DMX_111">'CON+ADD'!$J$169</definedName>
    <definedName name="DMX_112">'CON+ADD'!$J$186</definedName>
    <definedName name="DMX_113">'CON+ADD'!$J$188</definedName>
    <definedName name="DMX_114">'CON+ADD'!$J$189</definedName>
    <definedName name="DMX_115">'CON+ADD'!$J$190</definedName>
    <definedName name="DMX_116">'CON+ADD'!$J$191</definedName>
    <definedName name="DMX_117">'CON+ADD'!$J$192</definedName>
    <definedName name="DMX_118">'CON+ADD'!$J$193</definedName>
    <definedName name="DMX_119">'CON+ADD'!$J$194</definedName>
    <definedName name="DMX_12">'CON+ADD'!$J$19</definedName>
    <definedName name="DMX_120">'CON+ADD'!$J$195</definedName>
    <definedName name="DMX_121">'CON+ADD'!$J$196</definedName>
    <definedName name="DMX_122">'CON+ADD'!$J$197</definedName>
    <definedName name="DMX_123">'CON+ADD'!$J$198</definedName>
    <definedName name="DMX_124">'CON+ADD'!$J$199</definedName>
    <definedName name="DMX_125">'CON+ADD'!$J$201</definedName>
    <definedName name="DMX_126">'CON+ADD'!$J$203</definedName>
    <definedName name="DMX_127">'CON+ADD'!$J$204</definedName>
    <definedName name="DMX_128">'CON+ADD'!$J$205</definedName>
    <definedName name="DMX_129">'CON+ADD'!$J$206</definedName>
    <definedName name="DMX_13">'CON+ADD'!$J$20</definedName>
    <definedName name="DMX_130">'CON+ADD'!$J$207</definedName>
    <definedName name="DMX_131">'CON+ADD'!$J$208</definedName>
    <definedName name="DMX_132">'CON+ADD'!$J$209</definedName>
    <definedName name="DMX_133">'CON+ADD'!$J$210</definedName>
    <definedName name="DMX_134">'CON+ADD'!$J$211</definedName>
    <definedName name="DMX_135">'CON+ADD'!$J$212</definedName>
    <definedName name="DMX_136">'CON+ADD'!$J$213</definedName>
    <definedName name="DMX_137">'CON+ADD'!$J$214</definedName>
    <definedName name="DMX_138">'CON+ADD'!$J$218</definedName>
    <definedName name="DMX_139">'CON+ADD'!$J$219</definedName>
    <definedName name="DMX_14">'CON+ADD'!$J$21</definedName>
    <definedName name="DMX_140">'CON+ADD'!$J$220</definedName>
    <definedName name="DMX_141">'CON+ADD'!$J$221</definedName>
    <definedName name="DMX_142">'CON+ADD'!$J$222</definedName>
    <definedName name="DMX_143">'CON+ADD'!$J$223</definedName>
    <definedName name="DMX_144">'CON+ADD'!$J$224</definedName>
    <definedName name="DMX_145">'CON+ADD'!$J$228</definedName>
    <definedName name="DMX_146">'CON+ADD'!$J$229</definedName>
    <definedName name="DMX_147">'CON+ADD'!$J$230</definedName>
    <definedName name="DMX_148">'CON+ADD'!$J$231</definedName>
    <definedName name="DMX_149">'CON+ADD'!$J$232</definedName>
    <definedName name="DMX_15">'CON+ADD'!$J$22</definedName>
    <definedName name="DMX_150">'CON+ADD'!$J$233</definedName>
    <definedName name="DMX_151">'CON+ADD'!$J$234</definedName>
    <definedName name="DMX_152">'CON+ADD'!$J$238</definedName>
    <definedName name="DMX_153">'CON+ADD'!$J$239</definedName>
    <definedName name="DMX_154">'CON+ADD'!$J$240</definedName>
    <definedName name="DMX_155">'CON+ADD'!$J$241</definedName>
    <definedName name="DMX_156">'CON+ADD'!$J$242</definedName>
    <definedName name="DMX_157">'CON+ADD'!$J$243</definedName>
    <definedName name="DMX_158">'CON+ADD'!$J$245</definedName>
    <definedName name="DMX_159">'CON+ADD'!$J$246</definedName>
    <definedName name="DMX_16">'CON+ADD'!$J$24</definedName>
    <definedName name="DMX_160">'CON+ADD'!$J$247</definedName>
    <definedName name="DMX_161">'CON+ADD'!$J$248</definedName>
    <definedName name="DMX_162">'CON+ADD'!$J$251</definedName>
    <definedName name="DMX_163">'CON+ADD'!$J$252</definedName>
    <definedName name="DMX_164">'CON+ADD'!$J$253</definedName>
    <definedName name="DMX_165">'CON+ADD'!$J$254</definedName>
    <definedName name="DMX_166">'CON+ADD'!$J$255</definedName>
    <definedName name="DMX_167">'CON+ADD'!$J$257</definedName>
    <definedName name="DMX_168">'CON+ADD'!$J$258</definedName>
    <definedName name="DMX_169">'CON+ADD'!$J$259</definedName>
    <definedName name="DMX_17">'CON+ADD'!$J$25</definedName>
    <definedName name="DMX_170">'CON+ADD'!$J$260</definedName>
    <definedName name="DMX_171">'CON+ADD'!$J$261</definedName>
    <definedName name="DMX_172">'CON+ADD'!$J$263</definedName>
    <definedName name="DMX_173">'CON+ADD'!$J$265</definedName>
    <definedName name="DMX_174">'CON+ADD'!$J$266</definedName>
    <definedName name="DMX_175">'CON+ADD'!$J$267</definedName>
    <definedName name="DMX_176">'CON+ADD'!$J$268</definedName>
    <definedName name="DMX_177">'CON+ADD'!$J$269</definedName>
    <definedName name="DMX_178">'CON+ADD'!$J$270</definedName>
    <definedName name="DMX_179">'CON+ADD'!$J$271</definedName>
    <definedName name="DMX_18">'CON+ADD'!$J$26</definedName>
    <definedName name="DMX_180">'CON+ADD'!$J$272</definedName>
    <definedName name="DMX_181">'CON+ADD'!$J$273</definedName>
    <definedName name="DMX_182">'CON+ADD'!$J$274</definedName>
    <definedName name="DMX_183">'CON+ADD'!$J$85</definedName>
    <definedName name="DMX_184">'CON+ADD'!$J$86</definedName>
    <definedName name="DMX_185">'CON+ADD'!$J$87</definedName>
    <definedName name="DMX_186">'CON+ADD'!$J$88</definedName>
    <definedName name="DMX_187">'CON+ADD'!$J$89</definedName>
    <definedName name="DMX_188">'CON+ADD'!$J$90</definedName>
    <definedName name="DMX_189">'CON+ADD'!$J$91</definedName>
    <definedName name="DMX_19">'CON+ADD'!$J$27</definedName>
    <definedName name="DMX_190">'CON+ADD'!$J$92</definedName>
    <definedName name="DMX_191">'CON+ADD'!$J$93</definedName>
    <definedName name="DMX_192">'CON+ADD'!$J$94</definedName>
    <definedName name="DMX_193">'CON+ADD'!$J$95</definedName>
    <definedName name="DMX_194">'CON+ADD'!$J$96</definedName>
    <definedName name="DMX_195">'CON+ADD'!$J$173</definedName>
    <definedName name="DMX_196">'CON+ADD'!$J$174</definedName>
    <definedName name="DMX_197">'CON+ADD'!$J$175</definedName>
    <definedName name="DMX_198">'CON+ADD'!$J$176</definedName>
    <definedName name="DMX_199">'CON+ADD'!$J$177</definedName>
    <definedName name="DMX_2">'CON+ADD'!$J$8</definedName>
    <definedName name="DMX_20">'CON+ADD'!$J$29</definedName>
    <definedName name="DMX_200">'CON+ADD'!$J$178</definedName>
    <definedName name="DMX_201">'CON+ADD'!$J$179</definedName>
    <definedName name="DMX_202">'CON+ADD'!$J$180</definedName>
    <definedName name="DMX_203">'CON+ADD'!$J$181</definedName>
    <definedName name="DMX_204">'CON+ADD'!$J$182</definedName>
    <definedName name="DMX_205">'CON+ADD'!$J$183</definedName>
    <definedName name="DMX_206">'CON+ADD'!$J$184</definedName>
    <definedName name="DMX_21">'CON+ADD'!$J$32</definedName>
    <definedName name="DMX_22">'CON+ADD'!$J$33</definedName>
    <definedName name="DMX_23">'CON+ADD'!$J$34</definedName>
    <definedName name="DMX_24">'CON+ADD'!$J$35</definedName>
    <definedName name="DMX_25">'CON+ADD'!$J$36</definedName>
    <definedName name="DMX_26">'CON+ADD'!$J$39</definedName>
    <definedName name="DMX_27">'CON+ADD'!$J$40</definedName>
    <definedName name="DMX_28">'CON+ADD'!$J$41</definedName>
    <definedName name="DMX_29">'CON+ADD'!$J$42</definedName>
    <definedName name="DMX_3">'CON+ADD'!$J$9</definedName>
    <definedName name="DMX_30">'CON+ADD'!$J$43</definedName>
    <definedName name="DMX_32">'CON+ADD'!$J$47</definedName>
    <definedName name="DMX_33">'CON+ADD'!$J$48</definedName>
    <definedName name="DMX_34">'CON+ADD'!$J$49</definedName>
    <definedName name="DMX_35">'CON+ADD'!$J$50</definedName>
    <definedName name="DMX_36">'CON+ADD'!$J$51</definedName>
    <definedName name="DMX_37">'CON+ADD'!$J$52</definedName>
    <definedName name="DMX_38">'CON+ADD'!$J$53</definedName>
    <definedName name="DMX_39">'CON+ADD'!$J$54</definedName>
    <definedName name="DMX_4">'CON+ADD'!$J$10</definedName>
    <definedName name="DMX_41">'CON+ADD'!$J$56</definedName>
    <definedName name="DMX_42">'CON+ADD'!$J$57</definedName>
    <definedName name="DMX_43">'CON+ADD'!$J$61</definedName>
    <definedName name="DMX_44">'CON+ADD'!$J$62</definedName>
    <definedName name="DMX_45">'CON+ADD'!$J$63</definedName>
    <definedName name="DMX_46">'CON+ADD'!$J$64</definedName>
    <definedName name="DMX_47">'CON+ADD'!$J$66</definedName>
    <definedName name="DMX_48">'CON+ADD'!$J$67</definedName>
    <definedName name="DMX_49">'CON+ADD'!$J$68</definedName>
    <definedName name="DMX_5">'CON+ADD'!$J$11</definedName>
    <definedName name="DMX_50">'CON+ADD'!$J$69</definedName>
    <definedName name="DMX_51">'CON+ADD'!$J$70</definedName>
    <definedName name="DMX_52">'CON+ADD'!$J$71</definedName>
    <definedName name="DMX_53">'CON+ADD'!$J$72</definedName>
    <definedName name="DMX_54">'CON+ADD'!$J$73</definedName>
    <definedName name="DMX_56">'CON+ADD'!$J$100</definedName>
    <definedName name="DMX_6">'CON+ADD'!$J$12</definedName>
    <definedName name="DMX_69">'CON+ADD'!$J$116</definedName>
    <definedName name="DMX_7">'CON+ADD'!$J$13</definedName>
    <definedName name="DMX_8">'CON+ADD'!$J$14</definedName>
    <definedName name="DMX_82">'CON+ADD'!$J$132</definedName>
    <definedName name="DMX_9">'CON+ADD'!$J$15</definedName>
    <definedName name="DMX_95">'CON+ADD'!$J$148</definedName>
    <definedName name="DMX_DT1">'CON+ADD'!$J$65</definedName>
    <definedName name="DMX_DT2">'CON+ADD'!$J$74</definedName>
    <definedName name="DV_CS1">DATA_MAIN!$J$41</definedName>
    <definedName name="DV_CS10">DATA_MAIN!$J$51</definedName>
    <definedName name="DV_CS11">DATA_MAIN!$J$52</definedName>
    <definedName name="DV_CS12">DATA_MAIN!$J$53</definedName>
    <definedName name="DV_CS2">DATA_MAIN!$J$42</definedName>
    <definedName name="DV_CS3">DATA_MAIN!$J$43</definedName>
    <definedName name="DV_CS4">DATA_MAIN!$J$44</definedName>
    <definedName name="DV_CS5">DATA_MAIN!$J$46</definedName>
    <definedName name="DV_CS6">DATA_MAIN!$J$47</definedName>
    <definedName name="DV_CS7">DATA_MAIN!$J$48</definedName>
    <definedName name="DV_CS8">DATA_MAIN!$J$49</definedName>
    <definedName name="DV_CS9">DATA_MAIN!$J$50</definedName>
    <definedName name="DV_PC1">DATA_MAIN!$L$41</definedName>
    <definedName name="DV_PC10">DATA_MAIN!$L$51</definedName>
    <definedName name="DV_PC11">DATA_MAIN!$L$52</definedName>
    <definedName name="DV_PC12">DATA_MAIN!$L$53</definedName>
    <definedName name="DV_PC2">DATA_MAIN!$L$42</definedName>
    <definedName name="DV_PC3">DATA_MAIN!$L$43</definedName>
    <definedName name="DV_PC4">DATA_MAIN!$L$44</definedName>
    <definedName name="DV_PC5">DATA_MAIN!$L$46</definedName>
    <definedName name="DV_PC6">DATA_MAIN!$L$47</definedName>
    <definedName name="DV_PC7">DATA_MAIN!$L$48</definedName>
    <definedName name="DV_PC8">DATA_MAIN!$L$49</definedName>
    <definedName name="DV_PC9">DATA_MAIN!$L$50</definedName>
    <definedName name="DV_PDV">DATA_MAIN!$L$45</definedName>
    <definedName name="DV_PINF">DATA_MAIN!$L$55</definedName>
    <definedName name="DV_PPI">DATA_MAIN!$L$54</definedName>
    <definedName name="ESSAI_F244">LOG_ANNUEL!$F$244</definedName>
    <definedName name="ET_ARCH">DATA_MAIN!$V$63</definedName>
    <definedName name="ET_ARCH_ST">DATA_MAIN!$V$64</definedName>
    <definedName name="ET_ARCHANN">DATA_MAIN!$W$63</definedName>
    <definedName name="ET_ARSTANN">DATA_MAIN!$W$64</definedName>
    <definedName name="ET_CR">DATA_MAIN!$V$60</definedName>
    <definedName name="ET_LOG">DATA_MAIN!$V$62</definedName>
    <definedName name="ET_MLG">DATA_MAIN!$V$61</definedName>
    <definedName name="ETS_CAR">DATA_MAIN!$V$54</definedName>
    <definedName name="ETS_PER">DATA_MAIN!$V$56</definedName>
    <definedName name="ETS_TVX">DATA_MAIN!$V$55</definedName>
    <definedName name="FAITM_CV">CR!$C$15</definedName>
    <definedName name="FAITM1">CR!$C$6</definedName>
    <definedName name="FAITM2">CR!$C$7</definedName>
    <definedName name="FAITM3">CR!$C$8</definedName>
    <definedName name="FAITM4">CR!$C$9</definedName>
    <definedName name="FAITM5">CR!$C$10</definedName>
    <definedName name="FAITM6">CR!$C$11</definedName>
    <definedName name="FAITM7">CR!$C$12</definedName>
    <definedName name="FAITM8">CR!$C$13</definedName>
    <definedName name="FIN_MOIS">DATA_MAIN!$V$23</definedName>
    <definedName name="FRET_1H">DATA_MAIN!$C$54</definedName>
    <definedName name="FRET_A1H">DATA_MAIN!$D$54</definedName>
    <definedName name="FRET_AENT">DATA_MAIN!$D$50</definedName>
    <definedName name="FRET_AM30">DATA_MAIN!$D$52</definedName>
    <definedName name="FRET_AP30">DATA_MAIN!$D$53</definedName>
    <definedName name="FRET_ASOR">DATA_MAIN!$D$51</definedName>
    <definedName name="FRET_CNT">DATA_MAIN!$E$49</definedName>
    <definedName name="FRET_ENT">DATA_MAIN!$C$50</definedName>
    <definedName name="FRET_M1H">DATA_MAIN!$E$54</definedName>
    <definedName name="FRET_M30">DATA_MAIN!$C$52</definedName>
    <definedName name="FRET_MENT">DATA_MAIN!$E$50</definedName>
    <definedName name="FRET_MM30">DATA_MAIN!$E$52</definedName>
    <definedName name="FRET_MP30">DATA_MAIN!$E$53</definedName>
    <definedName name="FRET_MSOR">DATA_MAIN!$E$51</definedName>
    <definedName name="FRET_P1H">DATA_MAIN!$G$54</definedName>
    <definedName name="FRET_P30">DATA_MAIN!$C$53</definedName>
    <definedName name="FRET_PENT">DATA_MAIN!$G$50</definedName>
    <definedName name="FRET_PM30">DATA_MAIN!$G$52</definedName>
    <definedName name="FRET_PP30">DATA_MAIN!$G$53</definedName>
    <definedName name="FRET_PSOR">DATA_MAIN!$G$51</definedName>
    <definedName name="FRET_SOR">DATA_MAIN!$C$51</definedName>
    <definedName name="GECO_N">DATA_BASE!$C$36</definedName>
    <definedName name="HDG_1">DATA_BASE!$V$11</definedName>
    <definedName name="HDG_1_F">DATA_BASE!$V$35</definedName>
    <definedName name="HDG_10">DATA_BASE!$V$20</definedName>
    <definedName name="HDG_10_F">DATA_BASE!$V$44</definedName>
    <definedName name="HDG_11">DATA_BASE!$V$21</definedName>
    <definedName name="HDG_11_F">DATA_BASE!$V$45</definedName>
    <definedName name="HDG_2">DATA_BASE!$V$12</definedName>
    <definedName name="HDG_2_F">DATA_BASE!$V$36</definedName>
    <definedName name="HDG_3">DATA_BASE!$V$13</definedName>
    <definedName name="HDG_3_F">DATA_BASE!$V$37</definedName>
    <definedName name="HDG_4">DATA_BASE!$V$14</definedName>
    <definedName name="HDG_4_F">DATA_BASE!$V$38</definedName>
    <definedName name="HDG_5">DATA_BASE!$V$15</definedName>
    <definedName name="HDG_5_F">DATA_BASE!$V$39</definedName>
    <definedName name="HDG_6">DATA_BASE!$V$16</definedName>
    <definedName name="HDG_6_F">DATA_BASE!$V$40</definedName>
    <definedName name="HDG_7">DATA_BASE!$V$17</definedName>
    <definedName name="HDG_7_F">DATA_BASE!$V$41</definedName>
    <definedName name="HDG_8">DATA_BASE!$V$18</definedName>
    <definedName name="HDG_8_F">DATA_BASE!$V$42</definedName>
    <definedName name="HDG_9">DATA_BASE!$V$19</definedName>
    <definedName name="HDG_9_F">DATA_BASE!$V$43</definedName>
    <definedName name="HDG_LI1">DATA_BASE!$U$6</definedName>
    <definedName name="HDG_NAM">DATA_BASE!$V$7</definedName>
    <definedName name="HDG_R1">DATA_BASE!$U$8</definedName>
    <definedName name="HDG_R2">DATA_BASE!$U$9</definedName>
    <definedName name="HDG_TRI">DATA_BASE!$V$6</definedName>
    <definedName name="HDG1_MAX">DATA_ST!$AM$18</definedName>
    <definedName name="HDG1_MAX2">DATA_ST!$AM$19</definedName>
    <definedName name="HDG1_MIN">DATA_ST!$AM$17</definedName>
    <definedName name="HDG2_MAX">DATA_ST!$AO$18</definedName>
    <definedName name="HDG2_MAX2">DATA_ST!$AO$19</definedName>
    <definedName name="HDG2_MIN">DATA_ST!$AO$17</definedName>
    <definedName name="HDG3_MAX">DATA_ST!$AQ$18</definedName>
    <definedName name="HDG3_MAX2">DATA_ST!$AQ$19</definedName>
    <definedName name="HDG3_MIN">DATA_ST!$AQ$17</definedName>
    <definedName name="HDG4_MAX">DATA_ST!$AS$18</definedName>
    <definedName name="HDG4_MAX2">DATA_ST!$AS$19</definedName>
    <definedName name="HDG4_MIN">DATA_ST!$AS$17</definedName>
    <definedName name="HEURE_H">DATA_MAIN!$V$21</definedName>
    <definedName name="INP_AA">DATA_MAIN!$C$8</definedName>
    <definedName name="INP_AAA">DATA_MAIN!$D$8</definedName>
    <definedName name="INP_ABA">DATA_MAIN!$D$7</definedName>
    <definedName name="INP_ADI">DATA_MAIN!$D$14</definedName>
    <definedName name="INP_AEA">DATA_MAIN!$D$10</definedName>
    <definedName name="INP_AEC">DATA_MAIN!$D$11</definedName>
    <definedName name="INP_AEV">DATA_MAIN!$D$9</definedName>
    <definedName name="INP_AIN">DATA_MAIN!$D$12</definedName>
    <definedName name="INP_ASB">DATA_MAIN!$D$6</definedName>
    <definedName name="INP_ATV">DATA_MAIN!$D$13</definedName>
    <definedName name="INP_BA">DATA_MAIN!$C$7</definedName>
    <definedName name="INP_CNT">DATA_MAIN!$E$5</definedName>
    <definedName name="INP_DI">DATA_MAIN!$C$14</definedName>
    <definedName name="INP_EA">DATA_MAIN!$C$10</definedName>
    <definedName name="INP_EC">DATA_MAIN!$C$11</definedName>
    <definedName name="INP_EV">DATA_MAIN!$C$9</definedName>
    <definedName name="INP_IN">DATA_MAIN!$C$12</definedName>
    <definedName name="INP_MAA">DATA_MAIN!$E$8</definedName>
    <definedName name="INP_MBA">DATA_MAIN!$E$7</definedName>
    <definedName name="INP_MDI">DATA_MAIN!$E$14</definedName>
    <definedName name="INP_MEA">DATA_MAIN!$E$10</definedName>
    <definedName name="INP_MEC">DATA_MAIN!$E$11</definedName>
    <definedName name="INP_MEV">DATA_MAIN!$E$9</definedName>
    <definedName name="INP_MIN">DATA_MAIN!$E$12</definedName>
    <definedName name="INP_MSB">DATA_MAIN!$E$6</definedName>
    <definedName name="INP_MTV">DATA_MAIN!$E$13</definedName>
    <definedName name="INP_PAA">DATA_MAIN!$G$8</definedName>
    <definedName name="INP_PBA">DATA_MAIN!$G$7</definedName>
    <definedName name="INP_PDI">DATA_MAIN!$G$14</definedName>
    <definedName name="INP_PEA">DATA_MAIN!$G$10</definedName>
    <definedName name="INP_PEC">DATA_MAIN!$G$11</definedName>
    <definedName name="INP_PEV">DATA_MAIN!$G$9</definedName>
    <definedName name="INP_PIN">DATA_MAIN!$G$12</definedName>
    <definedName name="INP_PSB">DATA_MAIN!$G$6</definedName>
    <definedName name="INP_PTV">DATA_MAIN!$G$13</definedName>
    <definedName name="INP_SB">DATA_MAIN!$C$6</definedName>
    <definedName name="INP_TV">DATA_MAIN!$C$13</definedName>
    <definedName name="JOUR_DATA">DATA_BASE!$B$3</definedName>
    <definedName name="JOUR_J">DATA_MAIN!$V$6</definedName>
    <definedName name="JOUR_LAST">DATA_MAIN!$V$24</definedName>
    <definedName name="JOUR_LAST_M1">DATA_MAIN!$V$25</definedName>
    <definedName name="JOUR_X">'CON+ADD'!$F$6</definedName>
    <definedName name="LOG_NAME" localSheetId="3">LOG_ANNUEL!$C$2</definedName>
    <definedName name="LOG_NAME" localSheetId="5">'LOG_ANNUEL_A-1'!$C$2</definedName>
    <definedName name="LOG_NAME" localSheetId="4">LOG_M!$C$2</definedName>
    <definedName name="LOM_AC">LOG_M!$AJ$253</definedName>
    <definedName name="LOM_AM">LOG_M!$AJ$252</definedName>
    <definedName name="LOM_AP">LOG_M!$AJ$254</definedName>
    <definedName name="LOM_AS">LOG_M!$AJ$245</definedName>
    <definedName name="LOM_AT">LOG_M!$AJ$251</definedName>
    <definedName name="LOM_EXT">LOG_M!$AJ$265</definedName>
    <definedName name="LOM_FAT">LOG_M!$AJ$218</definedName>
    <definedName name="LOM_FC">LOG_M!$AJ$269</definedName>
    <definedName name="LOM_FF">LOG_M!$AJ$255</definedName>
    <definedName name="LOM_FIM">LOG_M!$AJ$267</definedName>
    <definedName name="LOM_FIT">LOG_M!$AJ$266</definedName>
    <definedName name="LOM_FRM">LOG_M!$AJ$268</definedName>
    <definedName name="LOM_GR">LOG_M!$AJ$223</definedName>
    <definedName name="LOM_LA">LOG_M!$AJ$247</definedName>
    <definedName name="LOM_LF">LOG_M!$AJ$238</definedName>
    <definedName name="LOM_LG">LOG_M!$AJ$240</definedName>
    <definedName name="LOM_LSP">LOG_M!$AJ$242</definedName>
    <definedName name="LOM_MAI">LOG_M!$AJ$220</definedName>
    <definedName name="LOM_MAS">LOG_M!$AJ$246</definedName>
    <definedName name="LOM_MF">LOG_M!$AJ$239</definedName>
    <definedName name="LOM_MG">LOG_M!$AJ$241</definedName>
    <definedName name="LOM_MLA">LOG_M!$AJ$248</definedName>
    <definedName name="LOM_MRR">LOG_M!$AJ$222</definedName>
    <definedName name="LOM_MSP">LOG_M!$AJ$243</definedName>
    <definedName name="LOM_NOT">LOG_M!$AJ$219</definedName>
    <definedName name="LOM_P">LOG_M!$AJ$273</definedName>
    <definedName name="LOM_PC">LOG_M!$AJ$272</definedName>
    <definedName name="LOM_PM">LOG_M!$AJ$270</definedName>
    <definedName name="LOM_PT">LOG_M!$AJ$271</definedName>
    <definedName name="LOM_RC">LOG_M!$AJ$259</definedName>
    <definedName name="LOM_RFF">LOG_M!$AJ$261</definedName>
    <definedName name="LOM_RM">LOG_M!$AJ$258</definedName>
    <definedName name="LOM_RP">LOG_M!$AJ$260</definedName>
    <definedName name="LOM_RT">LOG_M!$AJ$257</definedName>
    <definedName name="LOM_SAI">LOG_M!$AJ$221</definedName>
    <definedName name="LOM_TH">LOG_M!$AJ$263</definedName>
    <definedName name="LOM_TR">LOG_M!$AJ$274</definedName>
    <definedName name="MAIL_OPSN">DATA_MAIN!$J$68</definedName>
    <definedName name="MLG_AIP1">LOG_OPS!$E$90</definedName>
    <definedName name="MLG_AIP2">LOG_OPS!$F$90</definedName>
    <definedName name="MLG_FAT">LOG_OPS!$B$85</definedName>
    <definedName name="MLG_FATA">LOG_OPS!$B$86</definedName>
    <definedName name="MLG_GRU">LOG_OPS!$B$89</definedName>
    <definedName name="MLG_MRR">LOG_OPS!$B$87</definedName>
    <definedName name="MLG_NAME">LOG_OPS!$E$1</definedName>
    <definedName name="MLG_NOT">LOG_OPS!$B$88</definedName>
    <definedName name="MOIS_AN1">DATA_MAIN!$U$16</definedName>
    <definedName name="MOIS_ANNEE">DATA_MAIN!$U$17</definedName>
    <definedName name="MOIS_M">DATA_MAIN!$V$7</definedName>
    <definedName name="MOIS_M1">DATA_MAIN!$V$11</definedName>
    <definedName name="MOIS_N1">DATA_MAIN!$U$18</definedName>
    <definedName name="MOIS_TXT">DATA_MAIN!$V$10</definedName>
    <definedName name="MOIS_X">'CON+ADD'!$I$6</definedName>
    <definedName name="MOIS_XX">DATA_MAIN!$V$9</definedName>
    <definedName name="NAME_CK_1">DATA_MAIN!$Z$7</definedName>
    <definedName name="NAME_CK_10">DATA_MAIN!$Z$16</definedName>
    <definedName name="NAME_CK_11">DATA_MAIN!$Z$17</definedName>
    <definedName name="NAME_CK_12">DATA_MAIN!$Z$18</definedName>
    <definedName name="NAME_CK_13">DATA_MAIN!$Z$19</definedName>
    <definedName name="NAME_CK_14">DATA_MAIN!$Z$20</definedName>
    <definedName name="NAME_CK_15">DATA_MAIN!$Z$21</definedName>
    <definedName name="NAME_CK_16">DATA_MAIN!$Z$22</definedName>
    <definedName name="NAME_CK_17">DATA_MAIN!$Z$23</definedName>
    <definedName name="NAME_CK_18">DATA_MAIN!$Z$24</definedName>
    <definedName name="NAME_CK_19">DATA_MAIN!$Z$25</definedName>
    <definedName name="NAME_CK_2">DATA_MAIN!$Z$8</definedName>
    <definedName name="NAME_CK_20">DATA_MAIN!$Z$26</definedName>
    <definedName name="NAME_CK_21">DATA_MAIN!$Z$27</definedName>
    <definedName name="NAME_CK_22">DATA_MAIN!$Z$28</definedName>
    <definedName name="NAME_CK_23">DATA_MAIN!$Z$29</definedName>
    <definedName name="NAME_CK_24">DATA_MAIN!$Z$30</definedName>
    <definedName name="NAME_CK_25">DATA_MAIN!$Z$31</definedName>
    <definedName name="NAME_CK_26">DATA_MAIN!$Z$32</definedName>
    <definedName name="NAME_CK_27">DATA_MAIN!$Z$33</definedName>
    <definedName name="NAME_CK_28">DATA_MAIN!$Z$34</definedName>
    <definedName name="NAME_CK_29">DATA_MAIN!$Z$35</definedName>
    <definedName name="NAME_CK_3">DATA_MAIN!$Z$9</definedName>
    <definedName name="NAME_CK_30">DATA_MAIN!$Z$36</definedName>
    <definedName name="NAME_CK_31">DATA_MAIN!$Z$37</definedName>
    <definedName name="NAME_CK_4">DATA_MAIN!$Z$10</definedName>
    <definedName name="NAME_CK_5">DATA_MAIN!$Z$11</definedName>
    <definedName name="NAME_CK_6">DATA_MAIN!$Z$12</definedName>
    <definedName name="NAME_CK_7">DATA_MAIN!$Z$13</definedName>
    <definedName name="NAME_CK_8">DATA_MAIN!$Z$14</definedName>
    <definedName name="NAME_CK_9">DATA_MAIN!$Z$15</definedName>
    <definedName name="OCC_INP">CR!$P$6</definedName>
    <definedName name="PRIX_CGP">DATA_BASE!$J$21</definedName>
    <definedName name="PRIX_EMT">DATA_BASE!$J$26</definedName>
    <definedName name="PRIX_EXAMT">DATA_BASE!$J$30</definedName>
    <definedName name="PRIX_FOM">DATA_BASE!$J$34</definedName>
    <definedName name="PRIX_FOT">DATA_BASE!$J$33</definedName>
    <definedName name="PRIX_JET">DATA_BASE!$J$25</definedName>
    <definedName name="PRIX_MSH">DATA_BASE!$J$23</definedName>
    <definedName name="PRIX_PBS">DATA_BASE!$J$22</definedName>
    <definedName name="PRIX_PERC">DATA_BASE!$J$31</definedName>
    <definedName name="PRIX_PERMI">DATA_BASE!$J$28</definedName>
    <definedName name="PRIX_PERMR">DATA_BASE!$J$29</definedName>
    <definedName name="PRIX_PNA">DATA_BASE!$J$32</definedName>
    <definedName name="PRIX_SAT">DATA_BASE!$J$24</definedName>
    <definedName name="PRIX_TRACT">DATA_BASE!$J$27</definedName>
    <definedName name="PST_ANN">DATA_ST!$AO$6</definedName>
    <definedName name="PST_D1HDG1">DATA_ST!$AE$8</definedName>
    <definedName name="PST_D1HDG2">DATA_ST!$AE$12</definedName>
    <definedName name="PST_D1HDG3">DATA_ST!$AE$20</definedName>
    <definedName name="PST_D1HDG4">DATA_ST!$AE$16</definedName>
    <definedName name="PST_D2HDG1">DATA_ST!$AE$9</definedName>
    <definedName name="PST_D2HDG2">DATA_ST!$AE$13</definedName>
    <definedName name="PST_D2HDG3">DATA_ST!$AE$21</definedName>
    <definedName name="PST_D2HDG4">DATA_ST!$AE$17</definedName>
    <definedName name="PST_MOIS">DATA_ST!$AM$6</definedName>
    <definedName name="ST_4001">DATA_MAIN!$K$12</definedName>
    <definedName name="ST_4002">DATA_MAIN!$K$33</definedName>
    <definedName name="ST_ACO">DATA_MAIN!$K$13</definedName>
    <definedName name="ST_AKH">DATA_MAIN!$K$26</definedName>
    <definedName name="ST_ALT_DATE">DATA_MAIN!$Q$53</definedName>
    <definedName name="ST_ASS_CR">DATA_MAIN!$O$32</definedName>
    <definedName name="ST_CAT">DATA_MAIN!$K$24</definedName>
    <definedName name="ST_CBV">DATA_MAIN!$K$22</definedName>
    <definedName name="ST_CC">DATA_MAIN!$K$30</definedName>
    <definedName name="ST_CMP">DATA_MAIN!$K$14</definedName>
    <definedName name="ST_COP">DATA_MAIN!$O$39</definedName>
    <definedName name="ST_COP_CT">DATA_MAIN!$O$40</definedName>
    <definedName name="ST_CPM">DATA_MAIN!$K$25</definedName>
    <definedName name="ST_CTL">DATA_MAIN!$K$29</definedName>
    <definedName name="ST_DAO">DATA_MAIN!$K$19</definedName>
    <definedName name="ST_DATE_ALT">DATA_MAIN!$Q$52</definedName>
    <definedName name="ST_DATE_CTL">DATA_MAIN!$Q$49</definedName>
    <definedName name="ST_DT">DATA_MAIN!$K$17</definedName>
    <definedName name="ST_ECD">DATA_MAIN!$K$16</definedName>
    <definedName name="ST_ENT_DATE">DATA_MAIN!$Q$54</definedName>
    <definedName name="ST_EY_APP_CT">DATA_MAIN!$Q$23</definedName>
    <definedName name="ST_EY_CIE_CT">DATA_MAIN!$O$23</definedName>
    <definedName name="ST_EY_IMM">DATA_MAIN!$P$14</definedName>
    <definedName name="ST_EY_MC_APP">DATA_MAIN!$Q$22</definedName>
    <definedName name="ST_EY_MC_CIE">DATA_MAIN!$O$22</definedName>
    <definedName name="ST_EY_TAPP">DATA_MAIN!$Q$11</definedName>
    <definedName name="ST_EY_TCIE">DATA_MAIN!$Q$8</definedName>
    <definedName name="ST_GC">DATA_MAIN!$K$18</definedName>
    <definedName name="ST_HDG_1">DATA_MAIN!$O$29</definedName>
    <definedName name="ST_HDG_2">DATA_MAIN!$P$29</definedName>
    <definedName name="ST_HDG_3">DATA_MAIN!$P$32</definedName>
    <definedName name="ST_HDG_4">DATA_MAIN!$O$30</definedName>
    <definedName name="ST_HDG_M">DATA_MAIN!$P$30</definedName>
    <definedName name="ST_IPA1">DATA_MAIN!$K$6</definedName>
    <definedName name="ST_IPA2">DATA_MAIN!$K$37</definedName>
    <definedName name="ST_LI_APP">DATA_MAIN!$O$11</definedName>
    <definedName name="ST_LI_CIE">DATA_MAIN!$O$8</definedName>
    <definedName name="ST_LI_CIE3">DATA_ST!$E$4</definedName>
    <definedName name="ST_LOD">DATA_MAIN!$K$23</definedName>
    <definedName name="ST_MC_IMM">DATA_MAIN!$O$26</definedName>
    <definedName name="ST_MC_TAPP">DATA_MAIN!$Q$19</definedName>
    <definedName name="ST_MC_TCIE">DATA_MAIN!$O$19</definedName>
    <definedName name="ST_MIR">DATA_MAIN!$K$10</definedName>
    <definedName name="ST_MOY">LOG_ST!$D$140</definedName>
    <definedName name="ST_PARR">DATA_MAIN!$K$9</definedName>
    <definedName name="ST_PKG">DATA_MAIN!$Q$39</definedName>
    <definedName name="ST_PKG_CT">DATA_MAIN!$Q$40</definedName>
    <definedName name="ST_PKG_LG">DATA_MAIN!$Q$35</definedName>
    <definedName name="ST_PKG_WW">DATA_MAIN!$O$35</definedName>
    <definedName name="ST_PPP1">DATA_MAIN!$K$7</definedName>
    <definedName name="ST_PPP2">DATA_MAIN!$K$34</definedName>
    <definedName name="ST_PSI">DATA_MAIN!$K$20</definedName>
    <definedName name="ST_REPO">DATA_MAIN!$K$36</definedName>
    <definedName name="ST_RLI_APP">DATA_MAIN!$Q$20</definedName>
    <definedName name="ST_RLI_CIE">DATA_MAIN!$O$20</definedName>
    <definedName name="ST_VDP">DATA_MAIN!$K$31</definedName>
    <definedName name="ST_WW">DATA_MAIN!$K$28</definedName>
    <definedName name="ST_ZD1">DATA_MAIN!$K$8</definedName>
    <definedName name="ST_ZD2">DATA_MAIN!$K$35</definedName>
    <definedName name="STAN_NAME">LOG_ST!$AV$3</definedName>
    <definedName name="STP_1">DATA_ST!$Z$7</definedName>
    <definedName name="STP_2">DATA_ST!$Z$8</definedName>
    <definedName name="STP_3">DATA_ST!$Z$9</definedName>
    <definedName name="STP_4">DATA_ST!$Z$10</definedName>
    <definedName name="STP_5">DATA_ST!$Z$11</definedName>
    <definedName name="STP_6">DATA_ST!$Z$12</definedName>
    <definedName name="STP_7">DATA_ST!$Z$13</definedName>
    <definedName name="STP_8">DATA_ST!$Z$14</definedName>
    <definedName name="T_BAL">'TDB STATS'!$G$17</definedName>
    <definedName name="T_BS">'TDB STATS'!$G$7</definedName>
    <definedName name="T_ET">'TDB STATS'!$G$22:$G$24</definedName>
    <definedName name="T_FNA">'TDB STATS'!$G$30</definedName>
    <definedName name="T_FOA">'TDB STATS'!$G$31</definedName>
    <definedName name="T_FPA">'TDB STATS'!$G$32</definedName>
    <definedName name="T_INFRA">'TDB STATS'!$G$18</definedName>
    <definedName name="T_SGS">'TDB STATS'!$G$27</definedName>
    <definedName name="TODO_1">DATA_MAIN!$AA$7</definedName>
    <definedName name="TODO_10">DATA_MAIN!$AA$16</definedName>
    <definedName name="TODO_11">DATA_MAIN!$AA$17</definedName>
    <definedName name="TODO_12">DATA_MAIN!$AA$18</definedName>
    <definedName name="TODO_13">DATA_MAIN!$AA$19</definedName>
    <definedName name="TODO_14">DATA_MAIN!$AA$20</definedName>
    <definedName name="TODO_15">DATA_MAIN!$AA$21</definedName>
    <definedName name="TODO_16">DATA_MAIN!$AA$22</definedName>
    <definedName name="TODO_17">DATA_MAIN!$AA$23</definedName>
    <definedName name="TODO_18">DATA_MAIN!$AA$24</definedName>
    <definedName name="TODO_19">DATA_MAIN!$AA$25</definedName>
    <definedName name="TODO_2">DATA_MAIN!$AA$8</definedName>
    <definedName name="TODO_20">DATA_MAIN!$AA$26</definedName>
    <definedName name="TODO_21">DATA_MAIN!$AA$27</definedName>
    <definedName name="TODO_22">DATA_MAIN!$AA$28</definedName>
    <definedName name="TODO_23">DATA_MAIN!$AA$29</definedName>
    <definedName name="TODO_24">DATA_MAIN!$AA$30</definedName>
    <definedName name="TODO_25">DATA_MAIN!$AA$31</definedName>
    <definedName name="TODO_26">DATA_MAIN!$AA$32</definedName>
    <definedName name="TODO_27">DATA_MAIN!$AA$33</definedName>
    <definedName name="TODO_28">DATA_MAIN!$AA$34</definedName>
    <definedName name="TODO_29">DATA_MAIN!$AA$35</definedName>
    <definedName name="TODO_3">DATA_MAIN!$AA$9</definedName>
    <definedName name="TODO_30">DATA_MAIN!$AA$36</definedName>
    <definedName name="TODO_31">DATA_MAIN!$AA$37</definedName>
    <definedName name="TODO_4">DATA_MAIN!$AA$10</definedName>
    <definedName name="TODO_5">DATA_MAIN!$AA$11</definedName>
    <definedName name="TODO_6">DATA_MAIN!$AA$12</definedName>
    <definedName name="TODO_7">DATA_MAIN!$AA$13</definedName>
    <definedName name="TODO_8">DATA_MAIN!$AA$14</definedName>
    <definedName name="TODO_9">DATA_MAIN!$AA$15</definedName>
    <definedName name="TOT_">LOG_M!$AJ$165</definedName>
    <definedName name="TOT_1">LOG_M!$AJ$7</definedName>
    <definedName name="TOT_10">LOG_M!$AJ$16</definedName>
    <definedName name="TOT_100">LOG_M!$AJ$154</definedName>
    <definedName name="TOT_101">LOG_M!$AJ$155</definedName>
    <definedName name="TOT_102">LOG_M!$AJ$156</definedName>
    <definedName name="TOT_103">LOG_M!$AJ$157</definedName>
    <definedName name="TOT_104">LOG_M!$AJ$158</definedName>
    <definedName name="TOT_105">LOG_M!$AJ$159</definedName>
    <definedName name="TOT_106">LOG_M!$AJ$160</definedName>
    <definedName name="TOT_107">LOG_M!$AJ$161</definedName>
    <definedName name="TOT_108">LOG_M!$AJ$164</definedName>
    <definedName name="TOT_109">LOG_M!$AJ$171</definedName>
    <definedName name="TOT_11">LOG_M!$AJ$17</definedName>
    <definedName name="TOT_110">LOG_M!$AJ$167</definedName>
    <definedName name="TOT_111">LOG_M!$AJ$169</definedName>
    <definedName name="TOT_112">LOG_M!$AJ$186</definedName>
    <definedName name="TOT_113">LOG_M!$AJ$188</definedName>
    <definedName name="TOT_114">LOG_M!$AJ$189</definedName>
    <definedName name="TOT_115">LOG_M!$AJ$190</definedName>
    <definedName name="TOT_116">LOG_M!$AJ$191</definedName>
    <definedName name="TOT_117">LOG_M!$AJ$192</definedName>
    <definedName name="TOT_118">LOG_M!$AJ$193</definedName>
    <definedName name="TOT_119">LOG_M!$AJ$194</definedName>
    <definedName name="TOT_12">LOG_M!$AJ$19</definedName>
    <definedName name="TOT_120">LOG_M!$AJ$195</definedName>
    <definedName name="TOT_121">LOG_M!$AJ$196</definedName>
    <definedName name="TOT_122">LOG_M!$AJ$197</definedName>
    <definedName name="TOT_123">LOG_M!$AJ$198</definedName>
    <definedName name="TOT_124">LOG_M!$AJ$199</definedName>
    <definedName name="TOT_125">LOG_M!$AJ$201</definedName>
    <definedName name="TOT_126">LOG_M!$AJ$203</definedName>
    <definedName name="TOT_127">LOG_M!$AJ$204</definedName>
    <definedName name="TOT_128">LOG_M!$AJ$205</definedName>
    <definedName name="TOT_129">LOG_M!$AJ$206</definedName>
    <definedName name="TOT_13">LOG_M!$AJ$20</definedName>
    <definedName name="TOT_130">LOG_M!$AJ$207</definedName>
    <definedName name="TOT_131">LOG_M!$AJ$208</definedName>
    <definedName name="TOT_132">LOG_M!$AJ$209</definedName>
    <definedName name="TOT_133">LOG_M!$AJ$210</definedName>
    <definedName name="TOT_134">LOG_M!$AJ$211</definedName>
    <definedName name="TOT_135">LOG_M!$AJ$212</definedName>
    <definedName name="TOT_136">LOG_M!$AJ$213</definedName>
    <definedName name="TOT_137">LOG_M!$AJ$214</definedName>
    <definedName name="TOT_138">LOG_M!$AJ$218</definedName>
    <definedName name="TOT_139">LOG_M!$AJ$219</definedName>
    <definedName name="TOT_14">LOG_M!$AJ$21</definedName>
    <definedName name="TOT_140">LOG_M!$AJ$220</definedName>
    <definedName name="TOT_141">LOG_M!$AJ$221</definedName>
    <definedName name="TOT_142">LOG_M!$AJ$222</definedName>
    <definedName name="TOT_143">LOG_M!$AJ$223</definedName>
    <definedName name="TOT_144">LOG_M!$AJ$224</definedName>
    <definedName name="TOT_145">LOG_M!$AJ$228</definedName>
    <definedName name="TOT_146">LOG_M!$AJ$229</definedName>
    <definedName name="TOT_147">LOG_M!$AJ$230</definedName>
    <definedName name="TOT_148">LOG_M!$AJ$231</definedName>
    <definedName name="TOT_149">LOG_M!$AJ$232</definedName>
    <definedName name="TOT_150">LOG_M!$AJ$233</definedName>
    <definedName name="TOT_151">LOG_M!$AJ$234</definedName>
    <definedName name="TOT_16">LOG_M!$AJ$24</definedName>
    <definedName name="TOT_17">LOG_M!$AJ$25</definedName>
    <definedName name="TOT_18">LOG_M!$AJ$26</definedName>
    <definedName name="TOT_183">LOG_M!$AJ$85</definedName>
    <definedName name="TOT_184">LOG_M!$AJ$86</definedName>
    <definedName name="TOT_185">LOG_M!$AJ$87</definedName>
    <definedName name="TOT_186">LOG_M!$AJ$88</definedName>
    <definedName name="TOT_187">LOG_M!$AJ$89</definedName>
    <definedName name="TOT_188">LOG_M!$AJ$90</definedName>
    <definedName name="TOT_189">LOG_M!$AJ$91</definedName>
    <definedName name="TOT_19">LOG_M!$AJ$27</definedName>
    <definedName name="TOT_190">LOG_M!$AJ$92</definedName>
    <definedName name="TOT_191">LOG_M!$AJ$93</definedName>
    <definedName name="TOT_192">LOG_M!$AJ$94</definedName>
    <definedName name="TOT_193">LOG_M!$AJ$95</definedName>
    <definedName name="TOT_194">LOG_M!$AJ$96</definedName>
    <definedName name="TOT_195">LOG_M!$AJ$173</definedName>
    <definedName name="TOT_196">LOG_M!$AJ$174</definedName>
    <definedName name="TOT_197">LOG_M!$AJ$175</definedName>
    <definedName name="TOT_198">LOG_M!$AJ$176</definedName>
    <definedName name="TOT_199">LOG_M!$AJ$177</definedName>
    <definedName name="TOT_2">LOG_M!$AJ$8</definedName>
    <definedName name="TOT_20">LOG_M!$AJ$29</definedName>
    <definedName name="TOT_200">LOG_M!$AJ$178</definedName>
    <definedName name="TOT_201">LOG_M!$AJ$179</definedName>
    <definedName name="TOT_202">LOG_M!$AJ$180</definedName>
    <definedName name="TOT_203">LOG_M!$AJ$181</definedName>
    <definedName name="TOT_204">LOG_M!$AJ$182</definedName>
    <definedName name="TOT_205">LOG_M!$AJ$183</definedName>
    <definedName name="TOT_206">LOG_M!$AJ$184</definedName>
    <definedName name="TOT_21">LOG_M!$AJ$32</definedName>
    <definedName name="TOT_22">LOG_M!$AJ$33</definedName>
    <definedName name="TOT_23">LOG_M!$AJ$34</definedName>
    <definedName name="TOT_24">LOG_M!$AJ$35</definedName>
    <definedName name="TOT_25">LOG_M!$AJ$36</definedName>
    <definedName name="TOT_26">LOG_M!$AJ$39</definedName>
    <definedName name="TOT_27">LOG_M!$AJ$40</definedName>
    <definedName name="TOT_28">LOG_M!$AJ$41</definedName>
    <definedName name="TOT_29">LOG_M!$AJ$42</definedName>
    <definedName name="TOT_3">LOG_M!$AJ$9</definedName>
    <definedName name="TOT_30">LOG_M!$AJ$43</definedName>
    <definedName name="TOT_32">LOG_M!$AJ$47</definedName>
    <definedName name="TOT_33">LOG_M!$AJ$48</definedName>
    <definedName name="TOT_34">LOG_M!$AJ$49</definedName>
    <definedName name="TOT_35">LOG_M!$AJ$50</definedName>
    <definedName name="TOT_36">LOG_M!$AJ$51</definedName>
    <definedName name="TOT_37">LOG_M!$AJ$52</definedName>
    <definedName name="TOT_38">LOG_M!$AJ$53</definedName>
    <definedName name="TOT_39">LOG_M!$AJ$54</definedName>
    <definedName name="TOT_4">LOG_M!$AJ$10</definedName>
    <definedName name="TOT_40">LOG_M!$AJ$55</definedName>
    <definedName name="TOT_41">LOG_M!$AJ$56</definedName>
    <definedName name="TOT_42">LOG_M!$AJ$57</definedName>
    <definedName name="TOT_43">LOG_M!$AJ$61</definedName>
    <definedName name="TOT_44">LOG_M!$AJ$62</definedName>
    <definedName name="TOT_45">LOG_M!$AJ$63</definedName>
    <definedName name="TOT_46">LOG_M!$AJ$64</definedName>
    <definedName name="TOT_47">LOG_M!$AJ$66</definedName>
    <definedName name="TOT_48">LOG_M!$AJ$67</definedName>
    <definedName name="TOT_49">LOG_M!$AJ$68</definedName>
    <definedName name="TOT_5">LOG_M!$AJ$11</definedName>
    <definedName name="TOT_50">LOG_M!$AJ$69</definedName>
    <definedName name="TOT_51">LOG_M!$AJ$70</definedName>
    <definedName name="TOT_52">LOG_M!$AJ$71</definedName>
    <definedName name="TOT_53">LOG_M!$AJ$72</definedName>
    <definedName name="TOT_54">LOG_M!$AJ$73</definedName>
    <definedName name="TOT_56">LOG_M!$AJ$100</definedName>
    <definedName name="TOT_57">LOG_M!$AJ$102</definedName>
    <definedName name="TOT_58">LOG_M!$AJ$103</definedName>
    <definedName name="TOT_59">LOG_M!$AJ$104</definedName>
    <definedName name="TOT_6">LOG_M!$AJ$12</definedName>
    <definedName name="TOT_60">LOG_M!$AJ$105</definedName>
    <definedName name="TOT_61">LOG_M!$AJ$106</definedName>
    <definedName name="TOT_62">LOG_M!$AJ$107</definedName>
    <definedName name="TOT_63">LOG_M!$AJ$108</definedName>
    <definedName name="TOT_64">LOG_M!$AJ$109</definedName>
    <definedName name="TOT_65">LOG_M!$AJ$110</definedName>
    <definedName name="TOT_66">LOG_M!$AJ$111</definedName>
    <definedName name="TOT_67">LOG_M!$AJ$112</definedName>
    <definedName name="TOT_68">LOG_M!$AJ$113</definedName>
    <definedName name="TOT_69">LOG_M!$AJ$116</definedName>
    <definedName name="TOT_7">LOG_M!$AJ$13</definedName>
    <definedName name="TOT_70">LOG_M!$AJ$118</definedName>
    <definedName name="TOT_71">LOG_M!$AJ$119</definedName>
    <definedName name="TOT_72">LOG_M!$AJ$120</definedName>
    <definedName name="TOT_73">LOG_M!$AJ$121</definedName>
    <definedName name="TOT_74">LOG_M!$AJ$122</definedName>
    <definedName name="TOT_75">LOG_M!$AJ$123</definedName>
    <definedName name="TOT_76">LOG_M!$AJ$124</definedName>
    <definedName name="TOT_77">LOG_M!$AJ$125</definedName>
    <definedName name="TOT_78">LOG_M!$AJ$126</definedName>
    <definedName name="TOT_79">LOG_M!$AJ$127</definedName>
    <definedName name="TOT_8">LOG_M!$AJ$14</definedName>
    <definedName name="TOT_80">LOG_M!$AJ$128</definedName>
    <definedName name="TOT_81">LOG_M!$AJ$129</definedName>
    <definedName name="TOT_82">LOG_M!$AJ$132</definedName>
    <definedName name="TOT_83">LOG_M!$AJ$134</definedName>
    <definedName name="TOT_84">LOG_M!$AJ$135</definedName>
    <definedName name="TOT_85">LOG_M!$AJ$136</definedName>
    <definedName name="TOT_86">LOG_M!$AJ$137</definedName>
    <definedName name="TOT_87">LOG_M!$AJ$138</definedName>
    <definedName name="TOT_88">LOG_M!$AJ$139</definedName>
    <definedName name="TOT_89">LOG_M!$AJ$140</definedName>
    <definedName name="TOT_9">LOG_M!$AJ$15</definedName>
    <definedName name="TOT_90">LOG_M!$AJ$141</definedName>
    <definedName name="TOT_91">LOG_M!$AJ$142</definedName>
    <definedName name="TOT_92">LOG_M!$AJ$143</definedName>
    <definedName name="TOT_93">LOG_M!$AJ$144</definedName>
    <definedName name="TOT_94">LOG_M!$AJ$145</definedName>
    <definedName name="TOT_95">LOG_M!$AJ$148</definedName>
    <definedName name="TOT_96">LOG_M!$AJ$150</definedName>
    <definedName name="TOT_97">LOG_M!$AJ$151</definedName>
    <definedName name="TOT_98">LOG_M!$AJ$152</definedName>
    <definedName name="TOT_99">LOG_M!$AJ$153</definedName>
    <definedName name="TOT_ASS">SAISIE!$J$27</definedName>
    <definedName name="TOT_DV_CV">DATA_MAIN!$J$45</definedName>
    <definedName name="TOT_DV_PI">DATA_MAIN!$J$54</definedName>
    <definedName name="TOTA_KMS2">SAISIE!$N$18</definedName>
    <definedName name="TOU_CT1">DATA_MAIN!$L$11</definedName>
    <definedName name="TOU_CT2">DATA_MAIN!$L$15</definedName>
    <definedName name="TOU_CT3">DATA_MAIN!$L$21</definedName>
    <definedName name="TOU_CT4">DATA_MAIN!$L$27</definedName>
    <definedName name="TOU_CT5">DATA_MAIN!$L$27</definedName>
    <definedName name="TOU_CT6">DATA_MAIN!$L$32</definedName>
    <definedName name="TOU_CT7">DATA_MAIN!$L$38</definedName>
    <definedName name="TOU_FUEL">DATA_MAIN!$L$19</definedName>
    <definedName name="TRA_AAFR">DATA_MAIN!$D$17</definedName>
    <definedName name="TRA_AAPR">DATA_MAIN!$D$21</definedName>
    <definedName name="TRA_AAVP">DATA_MAIN!$D$18</definedName>
    <definedName name="TRA_AAZH">DATA_MAIN!$D$24</definedName>
    <definedName name="TRA_AFR">DATA_MAIN!$C$17</definedName>
    <definedName name="TRA_AGEH">DATA_MAIN!$D$19</definedName>
    <definedName name="TRA_AHLI">DATA_MAIN!$D$25</definedName>
    <definedName name="TRA_AMCM">DATA_MAIN!$D$26</definedName>
    <definedName name="TRA_AMCR">DATA_MAIN!$D$27</definedName>
    <definedName name="TRA_AMZS">DATA_MAIN!$D$20</definedName>
    <definedName name="TRA_ANI">DATA_MAIN!$D$28</definedName>
    <definedName name="TRA_APR">DATA_MAIN!$C$21</definedName>
    <definedName name="TRA_ASEA">DATA_MAIN!$D$22</definedName>
    <definedName name="TRA_ASFS">DATA_MAIN!$D$23</definedName>
    <definedName name="TRA_AVP">DATA_MAIN!$C$18</definedName>
    <definedName name="TRA_AZH">DATA_MAIN!$C$24</definedName>
    <definedName name="TRA_CNT">DATA_MAIN!$E$16</definedName>
    <definedName name="TRA_GEH">DATA_MAIN!$C$19</definedName>
    <definedName name="TRA_HLI">DATA_MAIN!$C$25</definedName>
    <definedName name="TRA_MAFR">DATA_MAIN!$E$17</definedName>
    <definedName name="TRA_MAPR">DATA_MAIN!$E$21</definedName>
    <definedName name="TRA_MAVP">DATA_MAIN!$E$18</definedName>
    <definedName name="TRA_MAZH">DATA_MAIN!$E$24</definedName>
    <definedName name="TRA_MCM">DATA_MAIN!$C$26</definedName>
    <definedName name="TRA_MCR">DATA_MAIN!$C$27</definedName>
    <definedName name="TRA_MGEH">DATA_MAIN!$E$19</definedName>
    <definedName name="TRA_MHLI">DATA_MAIN!$E$25</definedName>
    <definedName name="TRA_MMCM">DATA_MAIN!$E$26</definedName>
    <definedName name="TRA_MMCR">DATA_MAIN!$E$27</definedName>
    <definedName name="TRA_MMZS">DATA_MAIN!$E$20</definedName>
    <definedName name="TRA_MNI">DATA_MAIN!$E$28</definedName>
    <definedName name="TRA_MSEA">DATA_MAIN!$E$22</definedName>
    <definedName name="TRA_MSFS">DATA_MAIN!$E$23</definedName>
    <definedName name="TRA_MZS">DATA_MAIN!$C$20</definedName>
    <definedName name="TRA_NI">DATA_MAIN!$C$28</definedName>
    <definedName name="TRA_PAFR">DATA_MAIN!$G$17</definedName>
    <definedName name="TRA_PAPR">DATA_MAIN!$G$21</definedName>
    <definedName name="TRA_PAVP">DATA_MAIN!$G$18</definedName>
    <definedName name="TRA_PAZH">DATA_MAIN!$G$24</definedName>
    <definedName name="TRA_PGEH">DATA_MAIN!$G$19</definedName>
    <definedName name="TRA_PHLI">DATA_MAIN!$G$25</definedName>
    <definedName name="TRA_PMCM">DATA_MAIN!$G$26</definedName>
    <definedName name="TRA_PMCR">DATA_MAIN!$G$27</definedName>
    <definedName name="TRA_PMZS">DATA_MAIN!$G$20</definedName>
    <definedName name="TRA_PNI">DATA_MAIN!$G$28</definedName>
    <definedName name="TRA_PSEA">DATA_MAIN!$G$22</definedName>
    <definedName name="TRA_PSFS">DATA_MAIN!$G$23</definedName>
    <definedName name="TRA_SEA">DATA_MAIN!$C$22</definedName>
    <definedName name="TRA_SFS">DATA_MAIN!$C$23</definedName>
    <definedName name="VCR">SAISIE!$S$5</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6" l="1"/>
  <c r="AB6" i="24" l="1"/>
  <c r="D221" i="66"/>
  <c r="D220" i="66"/>
  <c r="D219" i="66"/>
  <c r="D218" i="66"/>
  <c r="D217" i="66"/>
  <c r="D216" i="66"/>
  <c r="D215" i="66"/>
  <c r="D214" i="66"/>
  <c r="D213" i="66"/>
  <c r="D212" i="66"/>
  <c r="D211" i="66"/>
  <c r="D206" i="66"/>
  <c r="D205" i="66"/>
  <c r="D204" i="66"/>
  <c r="D203" i="66"/>
  <c r="D202" i="66"/>
  <c r="D201" i="66"/>
  <c r="D200" i="66"/>
  <c r="D199" i="66"/>
  <c r="D198" i="66"/>
  <c r="D197" i="66"/>
  <c r="D196" i="66"/>
  <c r="D191" i="66"/>
  <c r="D190" i="66"/>
  <c r="D189" i="66"/>
  <c r="D188" i="66"/>
  <c r="D187" i="66"/>
  <c r="D186" i="66"/>
  <c r="D185" i="66"/>
  <c r="D184" i="66"/>
  <c r="D183" i="66"/>
  <c r="D182" i="66"/>
  <c r="D181" i="66"/>
  <c r="D161" i="66"/>
  <c r="D160" i="66"/>
  <c r="D159" i="66"/>
  <c r="D158" i="66"/>
  <c r="D157" i="66"/>
  <c r="D156" i="66"/>
  <c r="D155" i="66"/>
  <c r="D154" i="66"/>
  <c r="D153" i="66"/>
  <c r="D152" i="66"/>
  <c r="D151" i="66"/>
  <c r="D145" i="66"/>
  <c r="D144" i="66"/>
  <c r="D143" i="66"/>
  <c r="D142" i="66"/>
  <c r="D141" i="66"/>
  <c r="D140" i="66"/>
  <c r="D139" i="66"/>
  <c r="D138" i="66"/>
  <c r="D137" i="66"/>
  <c r="D136" i="66"/>
  <c r="D135" i="66"/>
  <c r="D129" i="66"/>
  <c r="D128" i="66"/>
  <c r="D127" i="66"/>
  <c r="D126" i="66"/>
  <c r="D125" i="66"/>
  <c r="D124" i="66"/>
  <c r="D123" i="66"/>
  <c r="D122" i="66"/>
  <c r="D121" i="66"/>
  <c r="D120" i="66"/>
  <c r="D119" i="66"/>
  <c r="D113" i="66"/>
  <c r="D112" i="66"/>
  <c r="D111" i="66"/>
  <c r="D110" i="66"/>
  <c r="D109" i="66"/>
  <c r="D108" i="66"/>
  <c r="D107" i="66"/>
  <c r="D106" i="66"/>
  <c r="D105" i="66"/>
  <c r="D104" i="66"/>
  <c r="D103" i="66"/>
  <c r="D96" i="66"/>
  <c r="D95" i="66"/>
  <c r="D94" i="66"/>
  <c r="D93" i="66"/>
  <c r="D92" i="66"/>
  <c r="D91" i="66"/>
  <c r="D90" i="66"/>
  <c r="D89" i="66"/>
  <c r="D88" i="66"/>
  <c r="D87" i="66"/>
  <c r="D86" i="66"/>
  <c r="V7" i="24" l="1"/>
  <c r="O7" i="72" l="1"/>
  <c r="D21" i="72"/>
  <c r="D20" i="72"/>
  <c r="D19" i="72"/>
  <c r="B90" i="49"/>
  <c r="F74" i="65"/>
  <c r="G74" i="65"/>
  <c r="H74" i="65"/>
  <c r="I74" i="65"/>
  <c r="J74" i="65"/>
  <c r="K74" i="65"/>
  <c r="L74" i="65"/>
  <c r="M74" i="65"/>
  <c r="N74" i="65"/>
  <c r="O74" i="65"/>
  <c r="P74" i="65"/>
  <c r="Q74" i="65"/>
  <c r="R74" i="65"/>
  <c r="S74" i="65"/>
  <c r="T74" i="65"/>
  <c r="U74" i="65"/>
  <c r="V74" i="65"/>
  <c r="W74" i="65"/>
  <c r="X74" i="65"/>
  <c r="Y74" i="65"/>
  <c r="Z74" i="65"/>
  <c r="AA74" i="65"/>
  <c r="AB74" i="65"/>
  <c r="AC74" i="65"/>
  <c r="AD74" i="65"/>
  <c r="AE74" i="65"/>
  <c r="AF74" i="65"/>
  <c r="AG74" i="65"/>
  <c r="AH74" i="65"/>
  <c r="AI74" i="65"/>
  <c r="E74" i="65"/>
  <c r="F65" i="65"/>
  <c r="G65" i="65"/>
  <c r="H65" i="65"/>
  <c r="I65" i="65"/>
  <c r="J65" i="65"/>
  <c r="K65" i="65"/>
  <c r="L65" i="65"/>
  <c r="M65" i="65"/>
  <c r="N65" i="65"/>
  <c r="O65" i="65"/>
  <c r="P65" i="65"/>
  <c r="Q65" i="65"/>
  <c r="R65" i="65"/>
  <c r="S65" i="65"/>
  <c r="T65" i="65"/>
  <c r="U65" i="65"/>
  <c r="V65" i="65"/>
  <c r="W65" i="65"/>
  <c r="X65" i="65"/>
  <c r="Y65" i="65"/>
  <c r="Z65" i="65"/>
  <c r="AA65" i="65"/>
  <c r="AB65" i="65"/>
  <c r="AC65" i="65"/>
  <c r="AD65" i="65"/>
  <c r="AE65" i="65"/>
  <c r="AF65" i="65"/>
  <c r="AG65" i="65"/>
  <c r="AH65" i="65"/>
  <c r="AI65" i="65"/>
  <c r="E65" i="65"/>
  <c r="F38" i="65"/>
  <c r="G38" i="65"/>
  <c r="H38" i="65"/>
  <c r="I38" i="65"/>
  <c r="J38" i="65"/>
  <c r="K38" i="65"/>
  <c r="L38" i="65"/>
  <c r="M38" i="65"/>
  <c r="N38" i="65"/>
  <c r="O38" i="65"/>
  <c r="P38" i="65"/>
  <c r="Q38" i="65"/>
  <c r="R38" i="65"/>
  <c r="S38" i="65"/>
  <c r="T38" i="65"/>
  <c r="U38" i="65"/>
  <c r="V38" i="65"/>
  <c r="W38" i="65"/>
  <c r="X38" i="65"/>
  <c r="Y38" i="65"/>
  <c r="Z38" i="65"/>
  <c r="AA38" i="65"/>
  <c r="AB38" i="65"/>
  <c r="AC38" i="65"/>
  <c r="AD38" i="65"/>
  <c r="AE38" i="65"/>
  <c r="AF38" i="65"/>
  <c r="AG38" i="65"/>
  <c r="AH38" i="65"/>
  <c r="AI38" i="65"/>
  <c r="E38" i="65"/>
  <c r="F8" i="65"/>
  <c r="G8" i="65"/>
  <c r="H8" i="65"/>
  <c r="I8" i="65"/>
  <c r="J8" i="65"/>
  <c r="K8" i="65"/>
  <c r="L8" i="65"/>
  <c r="M8" i="65"/>
  <c r="N8" i="65"/>
  <c r="O8" i="65"/>
  <c r="P8" i="65"/>
  <c r="Q8" i="65"/>
  <c r="R8" i="65"/>
  <c r="S8" i="65"/>
  <c r="T8" i="65"/>
  <c r="U8" i="65"/>
  <c r="V8" i="65"/>
  <c r="W8" i="65"/>
  <c r="X8" i="65"/>
  <c r="Y8" i="65"/>
  <c r="Z8" i="65"/>
  <c r="AA8" i="65"/>
  <c r="AB8" i="65"/>
  <c r="AC8" i="65"/>
  <c r="AD8" i="65"/>
  <c r="AE8" i="65"/>
  <c r="AF8" i="65"/>
  <c r="AG8" i="65"/>
  <c r="AH8" i="65"/>
  <c r="AI8" i="65"/>
  <c r="E8" i="65"/>
  <c r="H266" i="69"/>
  <c r="H267" i="69"/>
  <c r="H268" i="69"/>
  <c r="H269" i="69"/>
  <c r="H270" i="69"/>
  <c r="H271" i="69"/>
  <c r="H272" i="69"/>
  <c r="H273" i="69"/>
  <c r="H274" i="69"/>
  <c r="H265" i="69"/>
  <c r="H263" i="69"/>
  <c r="H258" i="69"/>
  <c r="H259" i="69"/>
  <c r="H260" i="69"/>
  <c r="H261" i="69"/>
  <c r="H257" i="69"/>
  <c r="H252" i="69"/>
  <c r="H253" i="69"/>
  <c r="H254" i="69"/>
  <c r="H255" i="69"/>
  <c r="H251" i="69"/>
  <c r="H246" i="69"/>
  <c r="H247" i="69"/>
  <c r="H248" i="69"/>
  <c r="H245" i="69"/>
  <c r="H239" i="69"/>
  <c r="H240" i="69"/>
  <c r="H241" i="69"/>
  <c r="H242" i="69"/>
  <c r="H243" i="69"/>
  <c r="H238" i="69"/>
  <c r="H219" i="69"/>
  <c r="H220" i="69"/>
  <c r="H221" i="69"/>
  <c r="H222" i="69"/>
  <c r="H223" i="69"/>
  <c r="H218" i="69"/>
  <c r="Q52" i="24"/>
  <c r="F20" i="72" l="1"/>
  <c r="AJ256" i="65"/>
  <c r="AJ262" i="65"/>
  <c r="C8" i="73" l="1"/>
  <c r="D8" i="73"/>
  <c r="E8" i="73"/>
  <c r="F8" i="73"/>
  <c r="I8" i="73"/>
  <c r="J8" i="73"/>
  <c r="K8" i="73"/>
  <c r="L8" i="73"/>
  <c r="C9" i="73"/>
  <c r="D9" i="73"/>
  <c r="E9" i="73"/>
  <c r="F9" i="73"/>
  <c r="G9" i="73"/>
  <c r="I9" i="73"/>
  <c r="J9" i="73"/>
  <c r="K9" i="73"/>
  <c r="L9" i="73"/>
  <c r="C10" i="73"/>
  <c r="D10" i="73"/>
  <c r="E10" i="73"/>
  <c r="F10" i="73"/>
  <c r="G10" i="73"/>
  <c r="I10" i="73"/>
  <c r="J10" i="73"/>
  <c r="K10" i="73"/>
  <c r="L10" i="73"/>
  <c r="C11" i="73"/>
  <c r="D11" i="73"/>
  <c r="E11" i="73"/>
  <c r="F11" i="73"/>
  <c r="G11" i="73"/>
  <c r="I11" i="73"/>
  <c r="J11" i="73"/>
  <c r="K11" i="73"/>
  <c r="L11" i="73"/>
  <c r="C12" i="73"/>
  <c r="D12" i="73"/>
  <c r="E12" i="73"/>
  <c r="F12" i="73"/>
  <c r="G12" i="73"/>
  <c r="I12" i="73"/>
  <c r="J12" i="73"/>
  <c r="K12" i="73"/>
  <c r="L12" i="73"/>
  <c r="C13" i="73"/>
  <c r="D13" i="73"/>
  <c r="E13" i="73"/>
  <c r="F13" i="73"/>
  <c r="G13" i="73"/>
  <c r="I13" i="73"/>
  <c r="J13" i="73"/>
  <c r="K13" i="73"/>
  <c r="L13" i="73"/>
  <c r="C14" i="73"/>
  <c r="D14" i="73"/>
  <c r="E14" i="73"/>
  <c r="F14" i="73"/>
  <c r="G14" i="73"/>
  <c r="I14" i="73"/>
  <c r="J14" i="73"/>
  <c r="K14" i="73"/>
  <c r="L14" i="73"/>
  <c r="C15" i="73"/>
  <c r="D15" i="73"/>
  <c r="E15" i="73"/>
  <c r="F15" i="73"/>
  <c r="I15" i="73"/>
  <c r="J15" i="73"/>
  <c r="K15" i="73"/>
  <c r="L15" i="73"/>
  <c r="C16" i="73"/>
  <c r="D16" i="73"/>
  <c r="E16" i="73"/>
  <c r="F16" i="73"/>
  <c r="I16" i="73"/>
  <c r="J16" i="73"/>
  <c r="K16" i="73"/>
  <c r="L16" i="73"/>
  <c r="C17" i="73"/>
  <c r="D17" i="73"/>
  <c r="E17" i="73"/>
  <c r="F17" i="73"/>
  <c r="G17" i="73"/>
  <c r="I17" i="73"/>
  <c r="J17" i="73"/>
  <c r="K17" i="73"/>
  <c r="L17" i="73"/>
  <c r="C18" i="73"/>
  <c r="D18" i="73"/>
  <c r="E18" i="73"/>
  <c r="F18" i="73"/>
  <c r="G18" i="73"/>
  <c r="I18" i="73"/>
  <c r="J18" i="73"/>
  <c r="K18" i="73"/>
  <c r="L18" i="73"/>
  <c r="C19" i="73"/>
  <c r="D19" i="73"/>
  <c r="E19" i="73"/>
  <c r="F19" i="73"/>
  <c r="G19" i="73"/>
  <c r="H19" i="73"/>
  <c r="I19" i="73"/>
  <c r="J19" i="73"/>
  <c r="K19" i="73"/>
  <c r="L19" i="73"/>
  <c r="C20" i="73"/>
  <c r="D20" i="73"/>
  <c r="E20" i="73"/>
  <c r="F20" i="73"/>
  <c r="G20" i="73"/>
  <c r="H20" i="73"/>
  <c r="I20" i="73"/>
  <c r="J20" i="73"/>
  <c r="K20" i="73"/>
  <c r="L20" i="73"/>
  <c r="C21" i="73"/>
  <c r="D21" i="73"/>
  <c r="E21" i="73"/>
  <c r="F21" i="73"/>
  <c r="G21" i="73"/>
  <c r="H21" i="73"/>
  <c r="I21" i="73"/>
  <c r="J21" i="73"/>
  <c r="K21" i="73"/>
  <c r="L21" i="73"/>
  <c r="C22" i="73"/>
  <c r="D22" i="73"/>
  <c r="E22" i="73"/>
  <c r="F22" i="73"/>
  <c r="G22" i="73"/>
  <c r="H22" i="73"/>
  <c r="I22" i="73"/>
  <c r="J22" i="73"/>
  <c r="K22" i="73"/>
  <c r="L22" i="73"/>
  <c r="C23" i="73"/>
  <c r="D23" i="73"/>
  <c r="E23" i="73"/>
  <c r="F23" i="73"/>
  <c r="G23" i="73"/>
  <c r="H23" i="73"/>
  <c r="I23" i="73"/>
  <c r="J23" i="73"/>
  <c r="K23" i="73"/>
  <c r="L23" i="73"/>
  <c r="C24" i="73"/>
  <c r="D24" i="73"/>
  <c r="E24" i="73"/>
  <c r="F24" i="73"/>
  <c r="G24" i="73"/>
  <c r="H24" i="73"/>
  <c r="I24" i="73"/>
  <c r="J24" i="73"/>
  <c r="K24" i="73"/>
  <c r="L24" i="73"/>
  <c r="C25" i="73"/>
  <c r="D25" i="73"/>
  <c r="E25" i="73"/>
  <c r="F25" i="73"/>
  <c r="G25" i="73"/>
  <c r="H25" i="73"/>
  <c r="I25" i="73"/>
  <c r="J25" i="73"/>
  <c r="K25" i="73"/>
  <c r="L25" i="73"/>
  <c r="C26" i="73"/>
  <c r="D26" i="73"/>
  <c r="E26" i="73"/>
  <c r="F26" i="73"/>
  <c r="G26" i="73"/>
  <c r="H26" i="73"/>
  <c r="I26" i="73"/>
  <c r="J26" i="73"/>
  <c r="K26" i="73"/>
  <c r="L26" i="73"/>
  <c r="C27" i="73"/>
  <c r="D27" i="73"/>
  <c r="E27" i="73"/>
  <c r="F27" i="73"/>
  <c r="G27" i="73"/>
  <c r="H27" i="73"/>
  <c r="I27" i="73"/>
  <c r="J27" i="73"/>
  <c r="K27" i="73"/>
  <c r="L27" i="73"/>
  <c r="C28" i="73"/>
  <c r="D28" i="73"/>
  <c r="E28" i="73"/>
  <c r="F28" i="73"/>
  <c r="G28" i="73"/>
  <c r="H28" i="73"/>
  <c r="I28" i="73"/>
  <c r="J28" i="73"/>
  <c r="K28" i="73"/>
  <c r="L28" i="73"/>
  <c r="C29" i="73"/>
  <c r="D29" i="73"/>
  <c r="E29" i="73"/>
  <c r="F29" i="73"/>
  <c r="G29" i="73"/>
  <c r="H29" i="73"/>
  <c r="I29" i="73"/>
  <c r="J29" i="73"/>
  <c r="K29" i="73"/>
  <c r="L29" i="73"/>
  <c r="C30" i="73"/>
  <c r="D30" i="73"/>
  <c r="E30" i="73"/>
  <c r="F30" i="73"/>
  <c r="G30" i="73"/>
  <c r="H30" i="73"/>
  <c r="I30" i="73"/>
  <c r="J30" i="73"/>
  <c r="K30" i="73"/>
  <c r="L30" i="73"/>
  <c r="C31" i="73"/>
  <c r="D31" i="73"/>
  <c r="E31" i="73"/>
  <c r="F31" i="73"/>
  <c r="G31" i="73"/>
  <c r="H31" i="73"/>
  <c r="I31" i="73"/>
  <c r="J31" i="73"/>
  <c r="K31" i="73"/>
  <c r="L31" i="73"/>
  <c r="C32" i="73"/>
  <c r="D32" i="73"/>
  <c r="E32" i="73"/>
  <c r="F32" i="73"/>
  <c r="G32" i="73"/>
  <c r="H32" i="73"/>
  <c r="I32" i="73"/>
  <c r="J32" i="73"/>
  <c r="K32" i="73"/>
  <c r="L32" i="73"/>
  <c r="C33" i="73"/>
  <c r="D33" i="73"/>
  <c r="E33" i="73"/>
  <c r="F33" i="73"/>
  <c r="G33" i="73"/>
  <c r="H33" i="73"/>
  <c r="I33" i="73"/>
  <c r="J33" i="73"/>
  <c r="K33" i="73"/>
  <c r="L33" i="73"/>
  <c r="C34" i="73"/>
  <c r="D34" i="73"/>
  <c r="E34" i="73"/>
  <c r="F34" i="73"/>
  <c r="G34" i="73"/>
  <c r="H34" i="73"/>
  <c r="I34" i="73"/>
  <c r="J34" i="73"/>
  <c r="K34" i="73"/>
  <c r="L34" i="73"/>
  <c r="C35" i="73"/>
  <c r="D35" i="73"/>
  <c r="E35" i="73"/>
  <c r="F35" i="73"/>
  <c r="G35" i="73"/>
  <c r="H35" i="73"/>
  <c r="I35" i="73"/>
  <c r="J35" i="73"/>
  <c r="K35" i="73"/>
  <c r="L35" i="73"/>
  <c r="C36" i="73"/>
  <c r="D36" i="73"/>
  <c r="E36" i="73"/>
  <c r="F36" i="73"/>
  <c r="G36" i="73"/>
  <c r="H36" i="73"/>
  <c r="I36" i="73"/>
  <c r="J36" i="73"/>
  <c r="K36" i="73"/>
  <c r="L36" i="73"/>
  <c r="C37" i="73"/>
  <c r="D37" i="73"/>
  <c r="E37" i="73"/>
  <c r="F37" i="73"/>
  <c r="G37" i="73"/>
  <c r="H37" i="73"/>
  <c r="I37" i="73"/>
  <c r="J37" i="73"/>
  <c r="K37" i="73"/>
  <c r="L37" i="73"/>
  <c r="C38" i="73"/>
  <c r="D38" i="73"/>
  <c r="E38" i="73"/>
  <c r="F38" i="73"/>
  <c r="G38" i="73"/>
  <c r="H38" i="73"/>
  <c r="I38" i="73"/>
  <c r="J38" i="73"/>
  <c r="K38" i="73"/>
  <c r="L38" i="73"/>
  <c r="C39" i="73"/>
  <c r="D39" i="73"/>
  <c r="E39" i="73"/>
  <c r="F39" i="73"/>
  <c r="G39" i="73"/>
  <c r="H39" i="73"/>
  <c r="I39" i="73"/>
  <c r="J39" i="73"/>
  <c r="K39" i="73"/>
  <c r="L39" i="73"/>
  <c r="C40" i="73"/>
  <c r="D40" i="73"/>
  <c r="E40" i="73"/>
  <c r="F40" i="73"/>
  <c r="G40" i="73"/>
  <c r="H40" i="73"/>
  <c r="I40" i="73"/>
  <c r="J40" i="73"/>
  <c r="K40" i="73"/>
  <c r="L40" i="73"/>
  <c r="C41" i="73"/>
  <c r="D41" i="73"/>
  <c r="E41" i="73"/>
  <c r="F41" i="73"/>
  <c r="G41" i="73"/>
  <c r="H41" i="73"/>
  <c r="I41" i="73"/>
  <c r="J41" i="73"/>
  <c r="K41" i="73"/>
  <c r="L41" i="73"/>
  <c r="C42" i="73"/>
  <c r="D42" i="73"/>
  <c r="E42" i="73"/>
  <c r="F42" i="73"/>
  <c r="G42" i="73"/>
  <c r="H42" i="73"/>
  <c r="I42" i="73"/>
  <c r="J42" i="73"/>
  <c r="K42" i="73"/>
  <c r="L42" i="73"/>
  <c r="C43" i="73"/>
  <c r="D43" i="73"/>
  <c r="E43" i="73"/>
  <c r="F43" i="73"/>
  <c r="G43" i="73"/>
  <c r="H43" i="73"/>
  <c r="I43" i="73"/>
  <c r="J43" i="73"/>
  <c r="K43" i="73"/>
  <c r="L43" i="73"/>
  <c r="C44" i="73"/>
  <c r="D44" i="73"/>
  <c r="E44" i="73"/>
  <c r="F44" i="73"/>
  <c r="G44" i="73"/>
  <c r="H44" i="73"/>
  <c r="I44" i="73"/>
  <c r="J44" i="73"/>
  <c r="K44" i="73"/>
  <c r="L44" i="73"/>
  <c r="C45" i="73"/>
  <c r="D45" i="73"/>
  <c r="E45" i="73"/>
  <c r="F45" i="73"/>
  <c r="G45" i="73"/>
  <c r="H45" i="73"/>
  <c r="I45" i="73"/>
  <c r="J45" i="73"/>
  <c r="K45" i="73"/>
  <c r="L45" i="73"/>
  <c r="C46" i="73"/>
  <c r="D46" i="73"/>
  <c r="E46" i="73"/>
  <c r="F46" i="73"/>
  <c r="G46" i="73"/>
  <c r="H46" i="73"/>
  <c r="I46" i="73"/>
  <c r="J46" i="73"/>
  <c r="K46" i="73"/>
  <c r="L46" i="73"/>
  <c r="C47" i="73"/>
  <c r="D47" i="73"/>
  <c r="E47" i="73"/>
  <c r="F47" i="73"/>
  <c r="G47" i="73"/>
  <c r="H47" i="73"/>
  <c r="I47" i="73"/>
  <c r="J47" i="73"/>
  <c r="K47" i="73"/>
  <c r="L47" i="73"/>
  <c r="C48" i="73"/>
  <c r="D48" i="73"/>
  <c r="E48" i="73"/>
  <c r="F48" i="73"/>
  <c r="G48" i="73"/>
  <c r="H48" i="73"/>
  <c r="I48" i="73"/>
  <c r="J48" i="73"/>
  <c r="K48" i="73"/>
  <c r="L48" i="73"/>
  <c r="C49" i="73"/>
  <c r="D49" i="73"/>
  <c r="E49" i="73"/>
  <c r="F49" i="73"/>
  <c r="G49" i="73"/>
  <c r="H49" i="73"/>
  <c r="I49" i="73"/>
  <c r="J49" i="73"/>
  <c r="K49" i="73"/>
  <c r="L49" i="73"/>
  <c r="C50" i="73"/>
  <c r="D50" i="73"/>
  <c r="E50" i="73"/>
  <c r="F50" i="73"/>
  <c r="G50" i="73"/>
  <c r="H50" i="73"/>
  <c r="I50" i="73"/>
  <c r="J50" i="73"/>
  <c r="K50" i="73"/>
  <c r="L50" i="73"/>
  <c r="C51" i="73"/>
  <c r="D51" i="73"/>
  <c r="E51" i="73"/>
  <c r="F51" i="73"/>
  <c r="G51" i="73"/>
  <c r="H51" i="73"/>
  <c r="I51" i="73"/>
  <c r="J51" i="73"/>
  <c r="K51" i="73"/>
  <c r="L51" i="73"/>
  <c r="C52" i="73"/>
  <c r="D52" i="73"/>
  <c r="E52" i="73"/>
  <c r="F52" i="73"/>
  <c r="G52" i="73"/>
  <c r="H52" i="73"/>
  <c r="I52" i="73"/>
  <c r="J52" i="73"/>
  <c r="K52" i="73"/>
  <c r="L52" i="73"/>
  <c r="C53" i="73"/>
  <c r="D53" i="73"/>
  <c r="E53" i="73"/>
  <c r="F53" i="73"/>
  <c r="G53" i="73"/>
  <c r="H53" i="73"/>
  <c r="I53" i="73"/>
  <c r="J53" i="73"/>
  <c r="K53" i="73"/>
  <c r="L53" i="73"/>
  <c r="C54" i="73"/>
  <c r="D54" i="73"/>
  <c r="E54" i="73"/>
  <c r="F54" i="73"/>
  <c r="G54" i="73"/>
  <c r="H54" i="73"/>
  <c r="I54" i="73"/>
  <c r="J54" i="73"/>
  <c r="K54" i="73"/>
  <c r="L54" i="73"/>
  <c r="C55" i="73"/>
  <c r="D55" i="73"/>
  <c r="E55" i="73"/>
  <c r="F55" i="73"/>
  <c r="G55" i="73"/>
  <c r="H55" i="73"/>
  <c r="I55" i="73"/>
  <c r="J55" i="73"/>
  <c r="K55" i="73"/>
  <c r="L55" i="73"/>
  <c r="C56" i="73"/>
  <c r="D56" i="73"/>
  <c r="E56" i="73"/>
  <c r="F56" i="73"/>
  <c r="G56" i="73"/>
  <c r="H56" i="73"/>
  <c r="I56" i="73"/>
  <c r="J56" i="73"/>
  <c r="K56" i="73"/>
  <c r="L56" i="73"/>
  <c r="C57" i="73"/>
  <c r="D57" i="73"/>
  <c r="E57" i="73"/>
  <c r="F57" i="73"/>
  <c r="G57" i="73"/>
  <c r="H57" i="73"/>
  <c r="I57" i="73"/>
  <c r="J57" i="73"/>
  <c r="K57" i="73"/>
  <c r="L57" i="73"/>
  <c r="C58" i="73"/>
  <c r="D58" i="73"/>
  <c r="E58" i="73"/>
  <c r="F58" i="73"/>
  <c r="G58" i="73"/>
  <c r="H58" i="73"/>
  <c r="I58" i="73"/>
  <c r="J58" i="73"/>
  <c r="K58" i="73"/>
  <c r="L58" i="73"/>
  <c r="C59" i="73"/>
  <c r="D59" i="73"/>
  <c r="E59" i="73"/>
  <c r="F59" i="73"/>
  <c r="G59" i="73"/>
  <c r="H59" i="73"/>
  <c r="I59" i="73"/>
  <c r="J59" i="73"/>
  <c r="K59" i="73"/>
  <c r="L59" i="73"/>
  <c r="C60" i="73"/>
  <c r="D60" i="73"/>
  <c r="E60" i="73"/>
  <c r="F60" i="73"/>
  <c r="G60" i="73"/>
  <c r="H60" i="73"/>
  <c r="I60" i="73"/>
  <c r="J60" i="73"/>
  <c r="K60" i="73"/>
  <c r="L60" i="73"/>
  <c r="C61" i="73"/>
  <c r="D61" i="73"/>
  <c r="E61" i="73"/>
  <c r="F61" i="73"/>
  <c r="G61" i="73"/>
  <c r="H61" i="73"/>
  <c r="I61" i="73"/>
  <c r="J61" i="73"/>
  <c r="K61" i="73"/>
  <c r="L61" i="73"/>
  <c r="C62" i="73"/>
  <c r="D62" i="73"/>
  <c r="E62" i="73"/>
  <c r="F62" i="73"/>
  <c r="G62" i="73"/>
  <c r="H62" i="73"/>
  <c r="I62" i="73"/>
  <c r="J62" i="73"/>
  <c r="K62" i="73"/>
  <c r="L62" i="73"/>
  <c r="C63" i="73"/>
  <c r="D63" i="73"/>
  <c r="E63" i="73"/>
  <c r="F63" i="73"/>
  <c r="G63" i="73"/>
  <c r="H63" i="73"/>
  <c r="I63" i="73"/>
  <c r="J63" i="73"/>
  <c r="K63" i="73"/>
  <c r="L63" i="73"/>
  <c r="C64" i="73"/>
  <c r="D64" i="73"/>
  <c r="E64" i="73"/>
  <c r="F64" i="73"/>
  <c r="G64" i="73"/>
  <c r="H64" i="73"/>
  <c r="I64" i="73"/>
  <c r="J64" i="73"/>
  <c r="K64" i="73"/>
  <c r="L64" i="73"/>
  <c r="C65" i="73"/>
  <c r="D65" i="73"/>
  <c r="E65" i="73"/>
  <c r="F65" i="73"/>
  <c r="G65" i="73"/>
  <c r="H65" i="73"/>
  <c r="I65" i="73"/>
  <c r="J65" i="73"/>
  <c r="K65" i="73"/>
  <c r="L65" i="73"/>
  <c r="C66" i="73"/>
  <c r="D66" i="73"/>
  <c r="E66" i="73"/>
  <c r="F66" i="73"/>
  <c r="G66" i="73"/>
  <c r="H66" i="73"/>
  <c r="I66" i="73"/>
  <c r="J66" i="73"/>
  <c r="K66" i="73"/>
  <c r="L66" i="73"/>
  <c r="C67" i="73"/>
  <c r="D67" i="73"/>
  <c r="E67" i="73"/>
  <c r="F67" i="73"/>
  <c r="G67" i="73"/>
  <c r="H67" i="73"/>
  <c r="I67" i="73"/>
  <c r="J67" i="73"/>
  <c r="K67" i="73"/>
  <c r="L67" i="73"/>
  <c r="C68" i="73"/>
  <c r="D68" i="73"/>
  <c r="E68" i="73"/>
  <c r="F68" i="73"/>
  <c r="G68" i="73"/>
  <c r="H68" i="73"/>
  <c r="I68" i="73"/>
  <c r="J68" i="73"/>
  <c r="K68" i="73"/>
  <c r="L68" i="73"/>
  <c r="C69" i="73"/>
  <c r="D69" i="73"/>
  <c r="E69" i="73"/>
  <c r="F69" i="73"/>
  <c r="G69" i="73"/>
  <c r="H69" i="73"/>
  <c r="I69" i="73"/>
  <c r="J69" i="73"/>
  <c r="K69" i="73"/>
  <c r="L69" i="73"/>
  <c r="C70" i="73"/>
  <c r="D70" i="73"/>
  <c r="E70" i="73"/>
  <c r="F70" i="73"/>
  <c r="G70" i="73"/>
  <c r="H70" i="73"/>
  <c r="I70" i="73"/>
  <c r="J70" i="73"/>
  <c r="K70" i="73"/>
  <c r="L70" i="73"/>
  <c r="C71" i="73"/>
  <c r="D71" i="73"/>
  <c r="E71" i="73"/>
  <c r="F71" i="73"/>
  <c r="G71" i="73"/>
  <c r="H71" i="73"/>
  <c r="I71" i="73"/>
  <c r="J71" i="73"/>
  <c r="K71" i="73"/>
  <c r="L71" i="73"/>
  <c r="C72" i="73"/>
  <c r="D72" i="73"/>
  <c r="E72" i="73"/>
  <c r="F72" i="73"/>
  <c r="G72" i="73"/>
  <c r="H72" i="73"/>
  <c r="I72" i="73"/>
  <c r="J72" i="73"/>
  <c r="K72" i="73"/>
  <c r="L72" i="73"/>
  <c r="C73" i="73"/>
  <c r="D73" i="73"/>
  <c r="E73" i="73"/>
  <c r="F73" i="73"/>
  <c r="G73" i="73"/>
  <c r="H73" i="73"/>
  <c r="I73" i="73"/>
  <c r="J73" i="73"/>
  <c r="K73" i="73"/>
  <c r="L73" i="73"/>
  <c r="C74" i="73"/>
  <c r="D74" i="73"/>
  <c r="E74" i="73"/>
  <c r="F74" i="73"/>
  <c r="G74" i="73"/>
  <c r="H74" i="73"/>
  <c r="I74" i="73"/>
  <c r="J74" i="73"/>
  <c r="K74" i="73"/>
  <c r="L74" i="73"/>
  <c r="C75" i="73"/>
  <c r="D75" i="73"/>
  <c r="E75" i="73"/>
  <c r="F75" i="73"/>
  <c r="G75" i="73"/>
  <c r="H75" i="73"/>
  <c r="I75" i="73"/>
  <c r="J75" i="73"/>
  <c r="K75" i="73"/>
  <c r="L75" i="73"/>
  <c r="C76" i="73"/>
  <c r="D76" i="73"/>
  <c r="E76" i="73"/>
  <c r="F76" i="73"/>
  <c r="G76" i="73"/>
  <c r="H76" i="73"/>
  <c r="I76" i="73"/>
  <c r="J76" i="73"/>
  <c r="K76" i="73"/>
  <c r="L76" i="73"/>
  <c r="C77" i="73"/>
  <c r="D77" i="73"/>
  <c r="E77" i="73"/>
  <c r="F77" i="73"/>
  <c r="G77" i="73"/>
  <c r="H77" i="73"/>
  <c r="I77" i="73"/>
  <c r="J77" i="73"/>
  <c r="K77" i="73"/>
  <c r="L77" i="73"/>
  <c r="C78" i="73"/>
  <c r="D78" i="73"/>
  <c r="E78" i="73"/>
  <c r="F78" i="73"/>
  <c r="G78" i="73"/>
  <c r="H78" i="73"/>
  <c r="I78" i="73"/>
  <c r="J78" i="73"/>
  <c r="K78" i="73"/>
  <c r="L78" i="73"/>
  <c r="C79" i="73"/>
  <c r="D79" i="73"/>
  <c r="E79" i="73"/>
  <c r="F79" i="73"/>
  <c r="G79" i="73"/>
  <c r="H79" i="73"/>
  <c r="I79" i="73"/>
  <c r="J79" i="73"/>
  <c r="K79" i="73"/>
  <c r="L79" i="73"/>
  <c r="C80" i="73"/>
  <c r="D80" i="73"/>
  <c r="E80" i="73"/>
  <c r="F80" i="73"/>
  <c r="G80" i="73"/>
  <c r="H80" i="73"/>
  <c r="I80" i="73"/>
  <c r="J80" i="73"/>
  <c r="K80" i="73"/>
  <c r="L80" i="73"/>
  <c r="C81" i="73"/>
  <c r="D81" i="73"/>
  <c r="E81" i="73"/>
  <c r="F81" i="73"/>
  <c r="G81" i="73"/>
  <c r="H81" i="73"/>
  <c r="I81" i="73"/>
  <c r="J81" i="73"/>
  <c r="K81" i="73"/>
  <c r="L81" i="73"/>
  <c r="C82" i="73"/>
  <c r="D82" i="73"/>
  <c r="E82" i="73"/>
  <c r="F82" i="73"/>
  <c r="G82" i="73"/>
  <c r="H82" i="73"/>
  <c r="I82" i="73"/>
  <c r="J82" i="73"/>
  <c r="K82" i="73"/>
  <c r="L82" i="73"/>
  <c r="C83" i="73"/>
  <c r="D83" i="73"/>
  <c r="E83" i="73"/>
  <c r="F83" i="73"/>
  <c r="G83" i="73"/>
  <c r="H83" i="73"/>
  <c r="I83" i="73"/>
  <c r="J83" i="73"/>
  <c r="K83" i="73"/>
  <c r="L83" i="73"/>
  <c r="C84" i="73"/>
  <c r="D84" i="73"/>
  <c r="E84" i="73"/>
  <c r="F84" i="73"/>
  <c r="G84" i="73"/>
  <c r="H84" i="73"/>
  <c r="I84" i="73"/>
  <c r="J84" i="73"/>
  <c r="K84" i="73"/>
  <c r="L84" i="73"/>
  <c r="C85" i="73"/>
  <c r="D85" i="73"/>
  <c r="E85" i="73"/>
  <c r="F85" i="73"/>
  <c r="G85" i="73"/>
  <c r="H85" i="73"/>
  <c r="I85" i="73"/>
  <c r="J85" i="73"/>
  <c r="K85" i="73"/>
  <c r="L85" i="73"/>
  <c r="C86" i="73"/>
  <c r="D86" i="73"/>
  <c r="E86" i="73"/>
  <c r="F86" i="73"/>
  <c r="G86" i="73"/>
  <c r="H86" i="73"/>
  <c r="I86" i="73"/>
  <c r="J86" i="73"/>
  <c r="K86" i="73"/>
  <c r="L86" i="73"/>
  <c r="C87" i="73"/>
  <c r="D87" i="73"/>
  <c r="E87" i="73"/>
  <c r="F87" i="73"/>
  <c r="G87" i="73"/>
  <c r="H87" i="73"/>
  <c r="I87" i="73"/>
  <c r="J87" i="73"/>
  <c r="K87" i="73"/>
  <c r="L87" i="73"/>
  <c r="C88" i="73"/>
  <c r="D88" i="73"/>
  <c r="E88" i="73"/>
  <c r="F88" i="73"/>
  <c r="G88" i="73"/>
  <c r="H88" i="73"/>
  <c r="I88" i="73"/>
  <c r="J88" i="73"/>
  <c r="K88" i="73"/>
  <c r="L88" i="73"/>
  <c r="C89" i="73"/>
  <c r="D89" i="73"/>
  <c r="E89" i="73"/>
  <c r="F89" i="73"/>
  <c r="G89" i="73"/>
  <c r="H89" i="73"/>
  <c r="I89" i="73"/>
  <c r="J89" i="73"/>
  <c r="K89" i="73"/>
  <c r="L89" i="73"/>
  <c r="C90" i="73"/>
  <c r="D90" i="73"/>
  <c r="E90" i="73"/>
  <c r="F90" i="73"/>
  <c r="G90" i="73"/>
  <c r="H90" i="73"/>
  <c r="I90" i="73"/>
  <c r="J90" i="73"/>
  <c r="K90" i="73"/>
  <c r="L90" i="73"/>
  <c r="C91" i="73"/>
  <c r="D91" i="73"/>
  <c r="E91" i="73"/>
  <c r="F91" i="73"/>
  <c r="G91" i="73"/>
  <c r="H91" i="73"/>
  <c r="I91" i="73"/>
  <c r="J91" i="73"/>
  <c r="K91" i="73"/>
  <c r="L91" i="73"/>
  <c r="C92" i="73"/>
  <c r="D92" i="73"/>
  <c r="E92" i="73"/>
  <c r="F92" i="73"/>
  <c r="G92" i="73"/>
  <c r="H92" i="73"/>
  <c r="I92" i="73"/>
  <c r="J92" i="73"/>
  <c r="K92" i="73"/>
  <c r="L92" i="73"/>
  <c r="C93" i="73"/>
  <c r="D93" i="73"/>
  <c r="E93" i="73"/>
  <c r="F93" i="73"/>
  <c r="G93" i="73"/>
  <c r="H93" i="73"/>
  <c r="I93" i="73"/>
  <c r="J93" i="73"/>
  <c r="K93" i="73"/>
  <c r="L93" i="73"/>
  <c r="C94" i="73"/>
  <c r="D94" i="73"/>
  <c r="E94" i="73"/>
  <c r="F94" i="73"/>
  <c r="G94" i="73"/>
  <c r="H94" i="73"/>
  <c r="I94" i="73"/>
  <c r="J94" i="73"/>
  <c r="K94" i="73"/>
  <c r="L94" i="73"/>
  <c r="C95" i="73"/>
  <c r="D95" i="73"/>
  <c r="E95" i="73"/>
  <c r="F95" i="73"/>
  <c r="G95" i="73"/>
  <c r="H95" i="73"/>
  <c r="I95" i="73"/>
  <c r="J95" i="73"/>
  <c r="K95" i="73"/>
  <c r="L95" i="73"/>
  <c r="C96" i="73"/>
  <c r="D96" i="73"/>
  <c r="E96" i="73"/>
  <c r="F96" i="73"/>
  <c r="G96" i="73"/>
  <c r="H96" i="73"/>
  <c r="I96" i="73"/>
  <c r="J96" i="73"/>
  <c r="K96" i="73"/>
  <c r="L96" i="73"/>
  <c r="C97" i="73"/>
  <c r="D97" i="73"/>
  <c r="E97" i="73"/>
  <c r="F97" i="73"/>
  <c r="G97" i="73"/>
  <c r="H97" i="73"/>
  <c r="I97" i="73"/>
  <c r="J97" i="73"/>
  <c r="K97" i="73"/>
  <c r="L97" i="73"/>
  <c r="C98" i="73"/>
  <c r="D98" i="73"/>
  <c r="E98" i="73"/>
  <c r="F98" i="73"/>
  <c r="G98" i="73"/>
  <c r="H98" i="73"/>
  <c r="I98" i="73"/>
  <c r="J98" i="73"/>
  <c r="K98" i="73"/>
  <c r="L98" i="73"/>
  <c r="C99" i="73"/>
  <c r="D99" i="73"/>
  <c r="E99" i="73"/>
  <c r="F99" i="73"/>
  <c r="G99" i="73"/>
  <c r="H99" i="73"/>
  <c r="I99" i="73"/>
  <c r="J99" i="73"/>
  <c r="K99" i="73"/>
  <c r="L99" i="73"/>
  <c r="C100" i="73"/>
  <c r="D100" i="73"/>
  <c r="E100" i="73"/>
  <c r="F100" i="73"/>
  <c r="G100" i="73"/>
  <c r="H100" i="73"/>
  <c r="I100" i="73"/>
  <c r="J100" i="73"/>
  <c r="K100" i="73"/>
  <c r="L100" i="73"/>
  <c r="C101" i="73"/>
  <c r="D101" i="73"/>
  <c r="E101" i="73"/>
  <c r="F101" i="73"/>
  <c r="G101" i="73"/>
  <c r="H101" i="73"/>
  <c r="I101" i="73"/>
  <c r="J101" i="73"/>
  <c r="K101" i="73"/>
  <c r="L101" i="73"/>
  <c r="C102" i="73"/>
  <c r="D102" i="73"/>
  <c r="E102" i="73"/>
  <c r="F102" i="73"/>
  <c r="G102" i="73"/>
  <c r="H102" i="73"/>
  <c r="I102" i="73"/>
  <c r="J102" i="73"/>
  <c r="K102" i="73"/>
  <c r="L102" i="73"/>
  <c r="C103" i="73"/>
  <c r="D103" i="73"/>
  <c r="E103" i="73"/>
  <c r="F103" i="73"/>
  <c r="G103" i="73"/>
  <c r="H103" i="73"/>
  <c r="I103" i="73"/>
  <c r="J103" i="73"/>
  <c r="K103" i="73"/>
  <c r="L103" i="73"/>
  <c r="C104" i="73"/>
  <c r="D104" i="73"/>
  <c r="E104" i="73"/>
  <c r="F104" i="73"/>
  <c r="G104" i="73"/>
  <c r="H104" i="73"/>
  <c r="I104" i="73"/>
  <c r="J104" i="73"/>
  <c r="K104" i="73"/>
  <c r="L104" i="73"/>
  <c r="C105" i="73"/>
  <c r="D105" i="73"/>
  <c r="E105" i="73"/>
  <c r="F105" i="73"/>
  <c r="G105" i="73"/>
  <c r="H105" i="73"/>
  <c r="I105" i="73"/>
  <c r="J105" i="73"/>
  <c r="K105" i="73"/>
  <c r="L105" i="73"/>
  <c r="C106" i="73"/>
  <c r="D106" i="73"/>
  <c r="E106" i="73"/>
  <c r="F106" i="73"/>
  <c r="G106" i="73"/>
  <c r="H106" i="73"/>
  <c r="I106" i="73"/>
  <c r="J106" i="73"/>
  <c r="K106" i="73"/>
  <c r="L106" i="73"/>
  <c r="C107" i="73"/>
  <c r="D107" i="73"/>
  <c r="E107" i="73"/>
  <c r="F107" i="73"/>
  <c r="G107" i="73"/>
  <c r="H107" i="73"/>
  <c r="I107" i="73"/>
  <c r="J107" i="73"/>
  <c r="K107" i="73"/>
  <c r="L107" i="73"/>
  <c r="C108" i="73"/>
  <c r="D108" i="73"/>
  <c r="E108" i="73"/>
  <c r="F108" i="73"/>
  <c r="G108" i="73"/>
  <c r="H108" i="73"/>
  <c r="I108" i="73"/>
  <c r="J108" i="73"/>
  <c r="K108" i="73"/>
  <c r="L108" i="73"/>
  <c r="C109" i="73"/>
  <c r="D109" i="73"/>
  <c r="E109" i="73"/>
  <c r="F109" i="73"/>
  <c r="G109" i="73"/>
  <c r="H109" i="73"/>
  <c r="I109" i="73"/>
  <c r="J109" i="73"/>
  <c r="K109" i="73"/>
  <c r="L109" i="73"/>
  <c r="C110" i="73"/>
  <c r="D110" i="73"/>
  <c r="E110" i="73"/>
  <c r="F110" i="73"/>
  <c r="G110" i="73"/>
  <c r="H110" i="73"/>
  <c r="I110" i="73"/>
  <c r="J110" i="73"/>
  <c r="K110" i="73"/>
  <c r="L110" i="73"/>
  <c r="C111" i="73"/>
  <c r="D111" i="73"/>
  <c r="E111" i="73"/>
  <c r="F111" i="73"/>
  <c r="G111" i="73"/>
  <c r="H111" i="73"/>
  <c r="I111" i="73"/>
  <c r="J111" i="73"/>
  <c r="K111" i="73"/>
  <c r="L111" i="73"/>
  <c r="C112" i="73"/>
  <c r="D112" i="73"/>
  <c r="E112" i="73"/>
  <c r="F112" i="73"/>
  <c r="G112" i="73"/>
  <c r="H112" i="73"/>
  <c r="I112" i="73"/>
  <c r="J112" i="73"/>
  <c r="K112" i="73"/>
  <c r="L112" i="73"/>
  <c r="C113" i="73"/>
  <c r="D113" i="73"/>
  <c r="E113" i="73"/>
  <c r="F113" i="73"/>
  <c r="G113" i="73"/>
  <c r="H113" i="73"/>
  <c r="I113" i="73"/>
  <c r="J113" i="73"/>
  <c r="K113" i="73"/>
  <c r="L113" i="73"/>
  <c r="C114" i="73"/>
  <c r="D114" i="73"/>
  <c r="E114" i="73"/>
  <c r="F114" i="73"/>
  <c r="G114" i="73"/>
  <c r="H114" i="73"/>
  <c r="I114" i="73"/>
  <c r="J114" i="73"/>
  <c r="K114" i="73"/>
  <c r="L114" i="73"/>
  <c r="C115" i="73"/>
  <c r="D115" i="73"/>
  <c r="E115" i="73"/>
  <c r="F115" i="73"/>
  <c r="G115" i="73"/>
  <c r="H115" i="73"/>
  <c r="I115" i="73"/>
  <c r="J115" i="73"/>
  <c r="K115" i="73"/>
  <c r="L115" i="73"/>
  <c r="C116" i="73"/>
  <c r="D116" i="73"/>
  <c r="E116" i="73"/>
  <c r="F116" i="73"/>
  <c r="G116" i="73"/>
  <c r="H116" i="73"/>
  <c r="I116" i="73"/>
  <c r="J116" i="73"/>
  <c r="K116" i="73"/>
  <c r="L116" i="73"/>
  <c r="C117" i="73"/>
  <c r="D117" i="73"/>
  <c r="E117" i="73"/>
  <c r="F117" i="73"/>
  <c r="G117" i="73"/>
  <c r="H117" i="73"/>
  <c r="I117" i="73"/>
  <c r="J117" i="73"/>
  <c r="K117" i="73"/>
  <c r="L117" i="73"/>
  <c r="C118" i="73"/>
  <c r="D118" i="73"/>
  <c r="E118" i="73"/>
  <c r="F118" i="73"/>
  <c r="G118" i="73"/>
  <c r="H118" i="73"/>
  <c r="I118" i="73"/>
  <c r="J118" i="73"/>
  <c r="K118" i="73"/>
  <c r="L118" i="73"/>
  <c r="C119" i="73"/>
  <c r="D119" i="73"/>
  <c r="E119" i="73"/>
  <c r="F119" i="73"/>
  <c r="G119" i="73"/>
  <c r="H119" i="73"/>
  <c r="I119" i="73"/>
  <c r="J119" i="73"/>
  <c r="K119" i="73"/>
  <c r="L119" i="73"/>
  <c r="C120" i="73"/>
  <c r="D120" i="73"/>
  <c r="E120" i="73"/>
  <c r="F120" i="73"/>
  <c r="G120" i="73"/>
  <c r="H120" i="73"/>
  <c r="I120" i="73"/>
  <c r="J120" i="73"/>
  <c r="K120" i="73"/>
  <c r="L120" i="73"/>
  <c r="C121" i="73"/>
  <c r="D121" i="73"/>
  <c r="E121" i="73"/>
  <c r="F121" i="73"/>
  <c r="G121" i="73"/>
  <c r="H121" i="73"/>
  <c r="I121" i="73"/>
  <c r="J121" i="73"/>
  <c r="K121" i="73"/>
  <c r="L121" i="73"/>
  <c r="C122" i="73"/>
  <c r="D122" i="73"/>
  <c r="E122" i="73"/>
  <c r="F122" i="73"/>
  <c r="G122" i="73"/>
  <c r="H122" i="73"/>
  <c r="I122" i="73"/>
  <c r="J122" i="73"/>
  <c r="K122" i="73"/>
  <c r="L122" i="73"/>
  <c r="C123" i="73"/>
  <c r="D123" i="73"/>
  <c r="E123" i="73"/>
  <c r="F123" i="73"/>
  <c r="G123" i="73"/>
  <c r="H123" i="73"/>
  <c r="I123" i="73"/>
  <c r="J123" i="73"/>
  <c r="K123" i="73"/>
  <c r="L123" i="73"/>
  <c r="C124" i="73"/>
  <c r="D124" i="73"/>
  <c r="E124" i="73"/>
  <c r="F124" i="73"/>
  <c r="G124" i="73"/>
  <c r="H124" i="73"/>
  <c r="I124" i="73"/>
  <c r="J124" i="73"/>
  <c r="K124" i="73"/>
  <c r="L124" i="73"/>
  <c r="C125" i="73"/>
  <c r="D125" i="73"/>
  <c r="E125" i="73"/>
  <c r="F125" i="73"/>
  <c r="G125" i="73"/>
  <c r="H125" i="73"/>
  <c r="I125" i="73"/>
  <c r="J125" i="73"/>
  <c r="K125" i="73"/>
  <c r="L125" i="73"/>
  <c r="C126" i="73"/>
  <c r="D126" i="73"/>
  <c r="E126" i="73"/>
  <c r="F126" i="73"/>
  <c r="G126" i="73"/>
  <c r="H126" i="73"/>
  <c r="I126" i="73"/>
  <c r="J126" i="73"/>
  <c r="K126" i="73"/>
  <c r="L126" i="73"/>
  <c r="C127" i="73"/>
  <c r="D127" i="73"/>
  <c r="E127" i="73"/>
  <c r="F127" i="73"/>
  <c r="G127" i="73"/>
  <c r="H127" i="73"/>
  <c r="I127" i="73"/>
  <c r="J127" i="73"/>
  <c r="K127" i="73"/>
  <c r="L127" i="73"/>
  <c r="C128" i="73"/>
  <c r="D128" i="73"/>
  <c r="E128" i="73"/>
  <c r="F128" i="73"/>
  <c r="G128" i="73"/>
  <c r="H128" i="73"/>
  <c r="I128" i="73"/>
  <c r="J128" i="73"/>
  <c r="K128" i="73"/>
  <c r="L128" i="73"/>
  <c r="C129" i="73"/>
  <c r="D129" i="73"/>
  <c r="E129" i="73"/>
  <c r="F129" i="73"/>
  <c r="G129" i="73"/>
  <c r="H129" i="73"/>
  <c r="I129" i="73"/>
  <c r="J129" i="73"/>
  <c r="K129" i="73"/>
  <c r="L129" i="73"/>
  <c r="C130" i="73"/>
  <c r="D130" i="73"/>
  <c r="E130" i="73"/>
  <c r="F130" i="73"/>
  <c r="G130" i="73"/>
  <c r="H130" i="73"/>
  <c r="I130" i="73"/>
  <c r="J130" i="73"/>
  <c r="K130" i="73"/>
  <c r="L130" i="73"/>
  <c r="C131" i="73"/>
  <c r="D131" i="73"/>
  <c r="E131" i="73"/>
  <c r="F131" i="73"/>
  <c r="G131" i="73"/>
  <c r="H131" i="73"/>
  <c r="I131" i="73"/>
  <c r="J131" i="73"/>
  <c r="K131" i="73"/>
  <c r="L131" i="73"/>
  <c r="C132" i="73"/>
  <c r="D132" i="73"/>
  <c r="E132" i="73"/>
  <c r="F132" i="73"/>
  <c r="G132" i="73"/>
  <c r="H132" i="73"/>
  <c r="I132" i="73"/>
  <c r="J132" i="73"/>
  <c r="K132" i="73"/>
  <c r="L132" i="73"/>
  <c r="C133" i="73"/>
  <c r="D133" i="73"/>
  <c r="E133" i="73"/>
  <c r="F133" i="73"/>
  <c r="G133" i="73"/>
  <c r="H133" i="73"/>
  <c r="I133" i="73"/>
  <c r="J133" i="73"/>
  <c r="K133" i="73"/>
  <c r="L133" i="73"/>
  <c r="C134" i="73"/>
  <c r="D134" i="73"/>
  <c r="E134" i="73"/>
  <c r="F134" i="73"/>
  <c r="G134" i="73"/>
  <c r="H134" i="73"/>
  <c r="I134" i="73"/>
  <c r="J134" i="73"/>
  <c r="K134" i="73"/>
  <c r="L134" i="73"/>
  <c r="C135" i="73"/>
  <c r="D135" i="73"/>
  <c r="E135" i="73"/>
  <c r="F135" i="73"/>
  <c r="G135" i="73"/>
  <c r="H135" i="73"/>
  <c r="I135" i="73"/>
  <c r="J135" i="73"/>
  <c r="K135" i="73"/>
  <c r="L135" i="73"/>
  <c r="C136" i="73"/>
  <c r="D136" i="73"/>
  <c r="E136" i="73"/>
  <c r="F136" i="73"/>
  <c r="G136" i="73"/>
  <c r="H136" i="73"/>
  <c r="I136" i="73"/>
  <c r="J136" i="73"/>
  <c r="K136" i="73"/>
  <c r="L136" i="73"/>
  <c r="C137" i="73"/>
  <c r="D137" i="73"/>
  <c r="E137" i="73"/>
  <c r="F137" i="73"/>
  <c r="G137" i="73"/>
  <c r="H137" i="73"/>
  <c r="I137" i="73"/>
  <c r="J137" i="73"/>
  <c r="K137" i="73"/>
  <c r="L137" i="73"/>
  <c r="C138" i="73"/>
  <c r="D138" i="73"/>
  <c r="E138" i="73"/>
  <c r="F138" i="73"/>
  <c r="G138" i="73"/>
  <c r="H138" i="73"/>
  <c r="I138" i="73"/>
  <c r="J138" i="73"/>
  <c r="K138" i="73"/>
  <c r="L138" i="73"/>
  <c r="C139" i="73"/>
  <c r="D139" i="73"/>
  <c r="E139" i="73"/>
  <c r="F139" i="73"/>
  <c r="G139" i="73"/>
  <c r="H139" i="73"/>
  <c r="I139" i="73"/>
  <c r="J139" i="73"/>
  <c r="K139" i="73"/>
  <c r="L139" i="73"/>
  <c r="C140" i="73"/>
  <c r="D140" i="73"/>
  <c r="E140" i="73"/>
  <c r="F140" i="73"/>
  <c r="G140" i="73"/>
  <c r="H140" i="73"/>
  <c r="I140" i="73"/>
  <c r="J140" i="73"/>
  <c r="K140" i="73"/>
  <c r="L140" i="73"/>
  <c r="C141" i="73"/>
  <c r="D141" i="73"/>
  <c r="E141" i="73"/>
  <c r="F141" i="73"/>
  <c r="G141" i="73"/>
  <c r="H141" i="73"/>
  <c r="I141" i="73"/>
  <c r="J141" i="73"/>
  <c r="K141" i="73"/>
  <c r="L141" i="73"/>
  <c r="C142" i="73"/>
  <c r="D142" i="73"/>
  <c r="E142" i="73"/>
  <c r="F142" i="73"/>
  <c r="G142" i="73"/>
  <c r="H142" i="73"/>
  <c r="I142" i="73"/>
  <c r="J142" i="73"/>
  <c r="K142" i="73"/>
  <c r="L142" i="73"/>
  <c r="C143" i="73"/>
  <c r="D143" i="73"/>
  <c r="E143" i="73"/>
  <c r="F143" i="73"/>
  <c r="G143" i="73"/>
  <c r="H143" i="73"/>
  <c r="I143" i="73"/>
  <c r="J143" i="73"/>
  <c r="K143" i="73"/>
  <c r="L143" i="73"/>
  <c r="C144" i="73"/>
  <c r="D144" i="73"/>
  <c r="E144" i="73"/>
  <c r="F144" i="73"/>
  <c r="G144" i="73"/>
  <c r="H144" i="73"/>
  <c r="I144" i="73"/>
  <c r="J144" i="73"/>
  <c r="K144" i="73"/>
  <c r="L144" i="73"/>
  <c r="C145" i="73"/>
  <c r="D145" i="73"/>
  <c r="E145" i="73"/>
  <c r="F145" i="73"/>
  <c r="G145" i="73"/>
  <c r="H145" i="73"/>
  <c r="I145" i="73"/>
  <c r="J145" i="73"/>
  <c r="K145" i="73"/>
  <c r="L145" i="73"/>
  <c r="C146" i="73"/>
  <c r="D146" i="73"/>
  <c r="E146" i="73"/>
  <c r="F146" i="73"/>
  <c r="G146" i="73"/>
  <c r="H146" i="73"/>
  <c r="I146" i="73"/>
  <c r="J146" i="73"/>
  <c r="K146" i="73"/>
  <c r="L146" i="73"/>
  <c r="C147" i="73"/>
  <c r="D147" i="73"/>
  <c r="E147" i="73"/>
  <c r="F147" i="73"/>
  <c r="G147" i="73"/>
  <c r="H147" i="73"/>
  <c r="I147" i="73"/>
  <c r="J147" i="73"/>
  <c r="K147" i="73"/>
  <c r="L147" i="73"/>
  <c r="C148" i="73"/>
  <c r="D148" i="73"/>
  <c r="E148" i="73"/>
  <c r="F148" i="73"/>
  <c r="G148" i="73"/>
  <c r="H148" i="73"/>
  <c r="I148" i="73"/>
  <c r="J148" i="73"/>
  <c r="K148" i="73"/>
  <c r="L148" i="73"/>
  <c r="C149" i="73"/>
  <c r="D149" i="73"/>
  <c r="E149" i="73"/>
  <c r="F149" i="73"/>
  <c r="G149" i="73"/>
  <c r="H149" i="73"/>
  <c r="I149" i="73"/>
  <c r="J149" i="73"/>
  <c r="K149" i="73"/>
  <c r="L149" i="73"/>
  <c r="C150" i="73"/>
  <c r="D150" i="73"/>
  <c r="E150" i="73"/>
  <c r="F150" i="73"/>
  <c r="G150" i="73"/>
  <c r="H150" i="73"/>
  <c r="I150" i="73"/>
  <c r="J150" i="73"/>
  <c r="K150" i="73"/>
  <c r="L150" i="73"/>
  <c r="C151" i="73"/>
  <c r="D151" i="73"/>
  <c r="E151" i="73"/>
  <c r="F151" i="73"/>
  <c r="G151" i="73"/>
  <c r="H151" i="73"/>
  <c r="I151" i="73"/>
  <c r="J151" i="73"/>
  <c r="K151" i="73"/>
  <c r="L151" i="73"/>
  <c r="C152" i="73"/>
  <c r="D152" i="73"/>
  <c r="E152" i="73"/>
  <c r="F152" i="73"/>
  <c r="G152" i="73"/>
  <c r="H152" i="73"/>
  <c r="I152" i="73"/>
  <c r="J152" i="73"/>
  <c r="K152" i="73"/>
  <c r="L152" i="73"/>
  <c r="C153" i="73"/>
  <c r="D153" i="73"/>
  <c r="E153" i="73"/>
  <c r="F153" i="73"/>
  <c r="G153" i="73"/>
  <c r="H153" i="73"/>
  <c r="I153" i="73"/>
  <c r="J153" i="73"/>
  <c r="K153" i="73"/>
  <c r="L153" i="73"/>
  <c r="C154" i="73"/>
  <c r="D154" i="73"/>
  <c r="E154" i="73"/>
  <c r="F154" i="73"/>
  <c r="G154" i="73"/>
  <c r="H154" i="73"/>
  <c r="I154" i="73"/>
  <c r="J154" i="73"/>
  <c r="K154" i="73"/>
  <c r="L154" i="73"/>
  <c r="C155" i="73"/>
  <c r="D155" i="73"/>
  <c r="E155" i="73"/>
  <c r="F155" i="73"/>
  <c r="G155" i="73"/>
  <c r="H155" i="73"/>
  <c r="I155" i="73"/>
  <c r="J155" i="73"/>
  <c r="K155" i="73"/>
  <c r="L155" i="73"/>
  <c r="C156" i="73"/>
  <c r="D156" i="73"/>
  <c r="E156" i="73"/>
  <c r="F156" i="73"/>
  <c r="G156" i="73"/>
  <c r="H156" i="73"/>
  <c r="I156" i="73"/>
  <c r="J156" i="73"/>
  <c r="K156" i="73"/>
  <c r="L156" i="73"/>
  <c r="C157" i="73"/>
  <c r="D157" i="73"/>
  <c r="E157" i="73"/>
  <c r="F157" i="73"/>
  <c r="G157" i="73"/>
  <c r="H157" i="73"/>
  <c r="I157" i="73"/>
  <c r="J157" i="73"/>
  <c r="K157" i="73"/>
  <c r="L157" i="73"/>
  <c r="C158" i="73"/>
  <c r="D158" i="73"/>
  <c r="E158" i="73"/>
  <c r="F158" i="73"/>
  <c r="G158" i="73"/>
  <c r="H158" i="73"/>
  <c r="I158" i="73"/>
  <c r="J158" i="73"/>
  <c r="K158" i="73"/>
  <c r="L158" i="73"/>
  <c r="C159" i="73"/>
  <c r="D159" i="73"/>
  <c r="E159" i="73"/>
  <c r="F159" i="73"/>
  <c r="G159" i="73"/>
  <c r="H159" i="73"/>
  <c r="I159" i="73"/>
  <c r="J159" i="73"/>
  <c r="K159" i="73"/>
  <c r="L159" i="73"/>
  <c r="D160" i="73"/>
  <c r="E160" i="73"/>
  <c r="F160" i="73"/>
  <c r="G160" i="73"/>
  <c r="H160" i="73"/>
  <c r="I160" i="73"/>
  <c r="J160" i="73"/>
  <c r="K160" i="73"/>
  <c r="L160" i="73"/>
  <c r="C161" i="73"/>
  <c r="D161" i="73"/>
  <c r="E161" i="73"/>
  <c r="F161" i="73"/>
  <c r="G161" i="73"/>
  <c r="H161" i="73"/>
  <c r="I161" i="73"/>
  <c r="J161" i="73"/>
  <c r="K161" i="73"/>
  <c r="L161" i="73"/>
  <c r="C162" i="73"/>
  <c r="D162" i="73"/>
  <c r="E162" i="73"/>
  <c r="F162" i="73"/>
  <c r="G162" i="73"/>
  <c r="H162" i="73"/>
  <c r="I162" i="73"/>
  <c r="J162" i="73"/>
  <c r="K162" i="73"/>
  <c r="L162" i="73"/>
  <c r="L7" i="73"/>
  <c r="K7" i="73"/>
  <c r="J7" i="73"/>
  <c r="I7" i="73"/>
  <c r="F7" i="73"/>
  <c r="E7" i="73"/>
  <c r="D7" i="73"/>
  <c r="C7" i="73"/>
  <c r="C15" i="32"/>
  <c r="G16" i="73" s="1"/>
  <c r="F14" i="63"/>
  <c r="B15" i="73" s="1"/>
  <c r="F15" i="63"/>
  <c r="B16" i="73" s="1"/>
  <c r="F16" i="63"/>
  <c r="B17" i="73" s="1"/>
  <c r="F17" i="63"/>
  <c r="B18" i="73" s="1"/>
  <c r="F18" i="63"/>
  <c r="B19" i="73" s="1"/>
  <c r="F19" i="63"/>
  <c r="B20" i="73" s="1"/>
  <c r="F20" i="63"/>
  <c r="B21" i="73" s="1"/>
  <c r="F21" i="63"/>
  <c r="B22" i="73" s="1"/>
  <c r="F22" i="63"/>
  <c r="B23" i="73" s="1"/>
  <c r="F23" i="63"/>
  <c r="B24" i="73" s="1"/>
  <c r="F24" i="63"/>
  <c r="B25" i="73" s="1"/>
  <c r="F25" i="63"/>
  <c r="B26" i="73" s="1"/>
  <c r="F26" i="63"/>
  <c r="B27" i="73" s="1"/>
  <c r="F27" i="63"/>
  <c r="B28" i="73" s="1"/>
  <c r="F28" i="63"/>
  <c r="B29" i="73" s="1"/>
  <c r="F29" i="63"/>
  <c r="B30" i="73" s="1"/>
  <c r="F30" i="63"/>
  <c r="B31" i="73" s="1"/>
  <c r="F31" i="63"/>
  <c r="B32" i="73" s="1"/>
  <c r="F32" i="63"/>
  <c r="B33" i="73" s="1"/>
  <c r="F33" i="63"/>
  <c r="B34" i="73" s="1"/>
  <c r="F34" i="63"/>
  <c r="B35" i="73" s="1"/>
  <c r="F35" i="63"/>
  <c r="B36" i="73" s="1"/>
  <c r="F36" i="63"/>
  <c r="B37" i="73" s="1"/>
  <c r="F37" i="63"/>
  <c r="B38" i="73" s="1"/>
  <c r="F38" i="63"/>
  <c r="B39" i="73" s="1"/>
  <c r="F39" i="63"/>
  <c r="B40" i="73" s="1"/>
  <c r="F40" i="63"/>
  <c r="B41" i="73" s="1"/>
  <c r="F41" i="63"/>
  <c r="B42" i="73" s="1"/>
  <c r="F42" i="63"/>
  <c r="B43" i="73" s="1"/>
  <c r="F43" i="63"/>
  <c r="B44" i="73" s="1"/>
  <c r="F44" i="63"/>
  <c r="B45" i="73" s="1"/>
  <c r="F45" i="63"/>
  <c r="B46" i="73" s="1"/>
  <c r="F46" i="63"/>
  <c r="B47" i="73" s="1"/>
  <c r="F47" i="63"/>
  <c r="B48" i="73" s="1"/>
  <c r="F48" i="63"/>
  <c r="B49" i="73" s="1"/>
  <c r="F49" i="63"/>
  <c r="B50" i="73" s="1"/>
  <c r="F50" i="63"/>
  <c r="B51" i="73" s="1"/>
  <c r="F51" i="63"/>
  <c r="B52" i="73" s="1"/>
  <c r="F52" i="63"/>
  <c r="B53" i="73" s="1"/>
  <c r="F53" i="63"/>
  <c r="B54" i="73" s="1"/>
  <c r="F54" i="63"/>
  <c r="B55" i="73" s="1"/>
  <c r="F55" i="63"/>
  <c r="B56" i="73" s="1"/>
  <c r="F56" i="63"/>
  <c r="B57" i="73" s="1"/>
  <c r="F57" i="63"/>
  <c r="B58" i="73" s="1"/>
  <c r="F58" i="63"/>
  <c r="B59" i="73" s="1"/>
  <c r="F59" i="63"/>
  <c r="B60" i="73" s="1"/>
  <c r="F60" i="63"/>
  <c r="B61" i="73" s="1"/>
  <c r="F61" i="63"/>
  <c r="B62" i="73" s="1"/>
  <c r="F62" i="63"/>
  <c r="B63" i="73" s="1"/>
  <c r="F63" i="63"/>
  <c r="B64" i="73" s="1"/>
  <c r="F64" i="63"/>
  <c r="B65" i="73" s="1"/>
  <c r="F65" i="63"/>
  <c r="B66" i="73" s="1"/>
  <c r="F66" i="63"/>
  <c r="B67" i="73" s="1"/>
  <c r="F67" i="63"/>
  <c r="B68" i="73" s="1"/>
  <c r="F68" i="63"/>
  <c r="B69" i="73" s="1"/>
  <c r="F69" i="63"/>
  <c r="B70" i="73" s="1"/>
  <c r="F70" i="63"/>
  <c r="B71" i="73" s="1"/>
  <c r="F71" i="63"/>
  <c r="B72" i="73" s="1"/>
  <c r="F72" i="63"/>
  <c r="B73" i="73" s="1"/>
  <c r="F73" i="63"/>
  <c r="B74" i="73" s="1"/>
  <c r="F74" i="63"/>
  <c r="B75" i="73" s="1"/>
  <c r="F75" i="63"/>
  <c r="B76" i="73" s="1"/>
  <c r="F76" i="63"/>
  <c r="B77" i="73" s="1"/>
  <c r="F77" i="63"/>
  <c r="B78" i="73" s="1"/>
  <c r="F78" i="63"/>
  <c r="B79" i="73" s="1"/>
  <c r="F79" i="63"/>
  <c r="B80" i="73" s="1"/>
  <c r="F80" i="63"/>
  <c r="B81" i="73" s="1"/>
  <c r="F81" i="63"/>
  <c r="B82" i="73" s="1"/>
  <c r="F82" i="63"/>
  <c r="B83" i="73" s="1"/>
  <c r="F83" i="63"/>
  <c r="B84" i="73" s="1"/>
  <c r="F84" i="63"/>
  <c r="B85" i="73" s="1"/>
  <c r="F85" i="63"/>
  <c r="B86" i="73" s="1"/>
  <c r="F86" i="63"/>
  <c r="B87" i="73" s="1"/>
  <c r="F87" i="63"/>
  <c r="B88" i="73" s="1"/>
  <c r="F88" i="63"/>
  <c r="B89" i="73" s="1"/>
  <c r="F89" i="63"/>
  <c r="B90" i="73" s="1"/>
  <c r="F90" i="63"/>
  <c r="B91" i="73" s="1"/>
  <c r="F91" i="63"/>
  <c r="B92" i="73" s="1"/>
  <c r="F92" i="63"/>
  <c r="B93" i="73" s="1"/>
  <c r="F93" i="63"/>
  <c r="B94" i="73" s="1"/>
  <c r="F94" i="63"/>
  <c r="B95" i="73" s="1"/>
  <c r="F95" i="63"/>
  <c r="B96" i="73" s="1"/>
  <c r="F96" i="63"/>
  <c r="B97" i="73" s="1"/>
  <c r="F97" i="63"/>
  <c r="B98" i="73" s="1"/>
  <c r="F98" i="63"/>
  <c r="B99" i="73" s="1"/>
  <c r="F99" i="63"/>
  <c r="B100" i="73" s="1"/>
  <c r="F100" i="63"/>
  <c r="B101" i="73" s="1"/>
  <c r="F101" i="63"/>
  <c r="B102" i="73" s="1"/>
  <c r="F102" i="63"/>
  <c r="B103" i="73" s="1"/>
  <c r="F103" i="63"/>
  <c r="B104" i="73" s="1"/>
  <c r="F104" i="63"/>
  <c r="B105" i="73" s="1"/>
  <c r="F105" i="63"/>
  <c r="B106" i="73" s="1"/>
  <c r="F106" i="63"/>
  <c r="B107" i="73" s="1"/>
  <c r="F107" i="63"/>
  <c r="B108" i="73" s="1"/>
  <c r="F108" i="63"/>
  <c r="B109" i="73" s="1"/>
  <c r="F109" i="63"/>
  <c r="B110" i="73" s="1"/>
  <c r="F110" i="63"/>
  <c r="B111" i="73" s="1"/>
  <c r="F111" i="63"/>
  <c r="B112" i="73" s="1"/>
  <c r="F112" i="63"/>
  <c r="B113" i="73" s="1"/>
  <c r="F113" i="63"/>
  <c r="B114" i="73" s="1"/>
  <c r="F114" i="63"/>
  <c r="B115" i="73" s="1"/>
  <c r="F115" i="63"/>
  <c r="B116" i="73" s="1"/>
  <c r="F116" i="63"/>
  <c r="B117" i="73" s="1"/>
  <c r="F117" i="63"/>
  <c r="B118" i="73" s="1"/>
  <c r="F118" i="63"/>
  <c r="B119" i="73" s="1"/>
  <c r="F119" i="63"/>
  <c r="B120" i="73" s="1"/>
  <c r="F120" i="63"/>
  <c r="B121" i="73" s="1"/>
  <c r="F121" i="63"/>
  <c r="B122" i="73" s="1"/>
  <c r="F122" i="63"/>
  <c r="B123" i="73" s="1"/>
  <c r="F123" i="63"/>
  <c r="B124" i="73" s="1"/>
  <c r="F124" i="63"/>
  <c r="B125" i="73" s="1"/>
  <c r="F125" i="63"/>
  <c r="B126" i="73" s="1"/>
  <c r="F126" i="63"/>
  <c r="B127" i="73" s="1"/>
  <c r="F127" i="63"/>
  <c r="B128" i="73" s="1"/>
  <c r="F128" i="63"/>
  <c r="B129" i="73" s="1"/>
  <c r="F129" i="63"/>
  <c r="B130" i="73" s="1"/>
  <c r="F130" i="63"/>
  <c r="B131" i="73" s="1"/>
  <c r="F131" i="63"/>
  <c r="B132" i="73" s="1"/>
  <c r="F132" i="63"/>
  <c r="B133" i="73" s="1"/>
  <c r="F133" i="63"/>
  <c r="B134" i="73" s="1"/>
  <c r="F134" i="63"/>
  <c r="B135" i="73" s="1"/>
  <c r="F135" i="63"/>
  <c r="B136" i="73" s="1"/>
  <c r="F136" i="63"/>
  <c r="B137" i="73" s="1"/>
  <c r="F137" i="63"/>
  <c r="B138" i="73" s="1"/>
  <c r="F138" i="63"/>
  <c r="B139" i="73" s="1"/>
  <c r="F139" i="63"/>
  <c r="B140" i="73" s="1"/>
  <c r="F140" i="63"/>
  <c r="B141" i="73" s="1"/>
  <c r="F141" i="63"/>
  <c r="B142" i="73" s="1"/>
  <c r="F142" i="63"/>
  <c r="B143" i="73" s="1"/>
  <c r="F143" i="63"/>
  <c r="B144" i="73" s="1"/>
  <c r="F144" i="63"/>
  <c r="B145" i="73" s="1"/>
  <c r="F145" i="63"/>
  <c r="B146" i="73" s="1"/>
  <c r="F146" i="63"/>
  <c r="B147" i="73" s="1"/>
  <c r="F147" i="63"/>
  <c r="B148" i="73" s="1"/>
  <c r="F148" i="63"/>
  <c r="B149" i="73" s="1"/>
  <c r="F149" i="63"/>
  <c r="B150" i="73" s="1"/>
  <c r="F150" i="63"/>
  <c r="B151" i="73" s="1"/>
  <c r="F151" i="63"/>
  <c r="B152" i="73" s="1"/>
  <c r="F152" i="63"/>
  <c r="B153" i="73" s="1"/>
  <c r="F153" i="63"/>
  <c r="B154" i="73" s="1"/>
  <c r="F154" i="63"/>
  <c r="B155" i="73" s="1"/>
  <c r="F155" i="63"/>
  <c r="B156" i="73" s="1"/>
  <c r="F156" i="63"/>
  <c r="B157" i="73" s="1"/>
  <c r="F157" i="63"/>
  <c r="B158" i="73" s="1"/>
  <c r="F158" i="63"/>
  <c r="B159" i="73" s="1"/>
  <c r="F159" i="63"/>
  <c r="B160" i="73" s="1"/>
  <c r="F160" i="63"/>
  <c r="B161" i="73" s="1"/>
  <c r="F161" i="63"/>
  <c r="B162" i="73" s="1"/>
  <c r="Z88" i="73" l="1"/>
  <c r="AH88" i="73"/>
  <c r="AI88" i="73"/>
  <c r="AJ88" i="73"/>
  <c r="AM88" i="73"/>
  <c r="AN88" i="73"/>
  <c r="AA88" i="73"/>
  <c r="AB88" i="73"/>
  <c r="AC88" i="73"/>
  <c r="AD88" i="73"/>
  <c r="AE88" i="73"/>
  <c r="AF88" i="73"/>
  <c r="AG88" i="73"/>
  <c r="AK88" i="73"/>
  <c r="AL88" i="73"/>
  <c r="P88" i="73"/>
  <c r="Q88" i="73"/>
  <c r="T88" i="73"/>
  <c r="S88" i="73"/>
  <c r="U88" i="73"/>
  <c r="V88" i="73"/>
  <c r="W88" i="73"/>
  <c r="X88" i="73"/>
  <c r="Y88" i="73"/>
  <c r="O88" i="73"/>
  <c r="R88" i="73"/>
  <c r="M88" i="73"/>
  <c r="N88" i="73"/>
  <c r="AH48" i="73"/>
  <c r="AN48" i="73"/>
  <c r="Z48" i="73"/>
  <c r="AA48" i="73"/>
  <c r="AB48" i="73"/>
  <c r="AC48" i="73"/>
  <c r="AD48" i="73"/>
  <c r="AF48" i="73"/>
  <c r="AE48" i="73"/>
  <c r="AI48" i="73"/>
  <c r="AK48" i="73"/>
  <c r="AG48" i="73"/>
  <c r="AJ48" i="73"/>
  <c r="AL48" i="73"/>
  <c r="W48" i="73"/>
  <c r="U48" i="73"/>
  <c r="V48" i="73"/>
  <c r="X48" i="73"/>
  <c r="Y48" i="73"/>
  <c r="P48" i="73"/>
  <c r="Q48" i="73"/>
  <c r="R48" i="73"/>
  <c r="AM48" i="73"/>
  <c r="S48" i="73"/>
  <c r="T48" i="73"/>
  <c r="O48" i="73"/>
  <c r="M48" i="73"/>
  <c r="N48" i="73"/>
  <c r="AN160" i="73"/>
  <c r="AL160" i="73"/>
  <c r="AJ160" i="73"/>
  <c r="AK160" i="73"/>
  <c r="Z160" i="73"/>
  <c r="AA160" i="73"/>
  <c r="AB160" i="73"/>
  <c r="Y160" i="73"/>
  <c r="AC160" i="73"/>
  <c r="AM160" i="73"/>
  <c r="X160" i="73"/>
  <c r="M160" i="73"/>
  <c r="W160" i="73"/>
  <c r="Q160" i="73"/>
  <c r="T160" i="73"/>
  <c r="U160" i="73"/>
  <c r="R160" i="73"/>
  <c r="AD160" i="73"/>
  <c r="S160" i="73"/>
  <c r="V160" i="73"/>
  <c r="N160" i="73"/>
  <c r="AF160" i="73"/>
  <c r="AG160" i="73"/>
  <c r="AH160" i="73"/>
  <c r="P160" i="73"/>
  <c r="AI160" i="73"/>
  <c r="AE160" i="73"/>
  <c r="O160" i="73"/>
  <c r="AN147" i="73"/>
  <c r="Z147" i="73"/>
  <c r="AB147" i="73"/>
  <c r="AL147" i="73"/>
  <c r="AM147" i="73"/>
  <c r="AA147" i="73"/>
  <c r="AC147" i="73"/>
  <c r="AD147" i="73"/>
  <c r="AE147" i="73"/>
  <c r="AJ147" i="73"/>
  <c r="Q147" i="73"/>
  <c r="AK147" i="73"/>
  <c r="R147" i="73"/>
  <c r="U147" i="73"/>
  <c r="AG147" i="73"/>
  <c r="T147" i="73"/>
  <c r="AH147" i="73"/>
  <c r="V147" i="73"/>
  <c r="AI147" i="73"/>
  <c r="W147" i="73"/>
  <c r="X147" i="73"/>
  <c r="Y147" i="73"/>
  <c r="AF147" i="73"/>
  <c r="N147" i="73"/>
  <c r="M147" i="73"/>
  <c r="O147" i="73"/>
  <c r="P147" i="73"/>
  <c r="S147" i="73"/>
  <c r="AL115" i="73"/>
  <c r="AE115" i="73"/>
  <c r="AM115" i="73"/>
  <c r="Z115" i="73"/>
  <c r="AA115" i="73"/>
  <c r="AB115" i="73"/>
  <c r="AC115" i="73"/>
  <c r="AD115" i="73"/>
  <c r="AF115" i="73"/>
  <c r="AG115" i="73"/>
  <c r="AH115" i="73"/>
  <c r="AI115" i="73"/>
  <c r="AJ115" i="73"/>
  <c r="Q115" i="73"/>
  <c r="AN115" i="73"/>
  <c r="R115" i="73"/>
  <c r="AK115" i="73"/>
  <c r="U115" i="73"/>
  <c r="W115" i="73"/>
  <c r="X115" i="73"/>
  <c r="Y115" i="73"/>
  <c r="T115" i="73"/>
  <c r="V115" i="73"/>
  <c r="M115" i="73"/>
  <c r="S115" i="73"/>
  <c r="N115" i="73"/>
  <c r="O115" i="73"/>
  <c r="P115" i="73"/>
  <c r="AE91" i="73"/>
  <c r="AF91" i="73"/>
  <c r="AB91" i="73"/>
  <c r="AC91" i="73"/>
  <c r="AD91" i="73"/>
  <c r="AI91" i="73"/>
  <c r="AG91" i="73"/>
  <c r="AH91" i="73"/>
  <c r="AN91" i="73"/>
  <c r="AK91" i="73"/>
  <c r="AL91" i="73"/>
  <c r="AM91" i="73"/>
  <c r="Y91" i="73"/>
  <c r="M91" i="73"/>
  <c r="S91" i="73"/>
  <c r="T91" i="73"/>
  <c r="U91" i="73"/>
  <c r="V91" i="73"/>
  <c r="W91" i="73"/>
  <c r="AA91" i="73"/>
  <c r="Z91" i="73"/>
  <c r="X91" i="73"/>
  <c r="Q91" i="73"/>
  <c r="R91" i="73"/>
  <c r="AJ91" i="73"/>
  <c r="O91" i="73"/>
  <c r="P91" i="73"/>
  <c r="N91" i="73"/>
  <c r="AE43" i="73"/>
  <c r="AF43" i="73"/>
  <c r="AG43" i="73"/>
  <c r="AD43" i="73"/>
  <c r="AH43" i="73"/>
  <c r="AI43" i="73"/>
  <c r="AJ43" i="73"/>
  <c r="AL43" i="73"/>
  <c r="AK43" i="73"/>
  <c r="AM43" i="73"/>
  <c r="AN43" i="73"/>
  <c r="AB43" i="73"/>
  <c r="AC43" i="73"/>
  <c r="Y43" i="73"/>
  <c r="T43" i="73"/>
  <c r="N43" i="73"/>
  <c r="O43" i="73"/>
  <c r="P43" i="73"/>
  <c r="Q43" i="73"/>
  <c r="R43" i="73"/>
  <c r="AA43" i="73"/>
  <c r="V43" i="73"/>
  <c r="M43" i="73"/>
  <c r="S43" i="73"/>
  <c r="W43" i="73"/>
  <c r="U43" i="73"/>
  <c r="X43" i="73"/>
  <c r="Z43" i="73"/>
  <c r="AJ12" i="73"/>
  <c r="O12" i="73"/>
  <c r="AK12" i="73"/>
  <c r="P12" i="73"/>
  <c r="S12" i="73"/>
  <c r="Z12" i="73"/>
  <c r="M12" i="73"/>
  <c r="AA12" i="73"/>
  <c r="N12" i="73"/>
  <c r="AD12" i="73"/>
  <c r="T12" i="73"/>
  <c r="V12" i="73"/>
  <c r="W12" i="73"/>
  <c r="AB12" i="73"/>
  <c r="X12" i="73"/>
  <c r="AC12" i="73"/>
  <c r="Y12" i="73"/>
  <c r="AE12" i="73"/>
  <c r="R12" i="73"/>
  <c r="AF12" i="73"/>
  <c r="Q12" i="73"/>
  <c r="AL12" i="73"/>
  <c r="AM12" i="73"/>
  <c r="U12" i="73"/>
  <c r="AG12" i="73"/>
  <c r="AH12" i="73"/>
  <c r="AI12" i="73"/>
  <c r="AH158" i="73"/>
  <c r="AD158" i="73"/>
  <c r="AE158" i="73"/>
  <c r="AI158" i="73"/>
  <c r="AB158" i="73"/>
  <c r="AC158" i="73"/>
  <c r="AF158" i="73"/>
  <c r="AG158" i="73"/>
  <c r="AJ158" i="73"/>
  <c r="S158" i="73"/>
  <c r="V158" i="73"/>
  <c r="N158" i="73"/>
  <c r="O158" i="73"/>
  <c r="P158" i="73"/>
  <c r="Z158" i="73"/>
  <c r="AN158" i="73"/>
  <c r="AA158" i="73"/>
  <c r="AK158" i="73"/>
  <c r="Q158" i="73"/>
  <c r="AL158" i="73"/>
  <c r="R158" i="73"/>
  <c r="AM158" i="73"/>
  <c r="T158" i="73"/>
  <c r="U158" i="73"/>
  <c r="Y158" i="73"/>
  <c r="M158" i="73"/>
  <c r="W158" i="73"/>
  <c r="X158" i="73"/>
  <c r="AF150" i="73"/>
  <c r="AN150" i="73"/>
  <c r="AH150" i="73"/>
  <c r="AG150" i="73"/>
  <c r="AI150" i="73"/>
  <c r="AL150" i="73"/>
  <c r="AB150" i="73"/>
  <c r="AC150" i="73"/>
  <c r="AD150" i="73"/>
  <c r="AE150" i="73"/>
  <c r="AJ150" i="73"/>
  <c r="Z150" i="73"/>
  <c r="AA150" i="73"/>
  <c r="AK150" i="73"/>
  <c r="AM150" i="73"/>
  <c r="N150" i="73"/>
  <c r="T150" i="73"/>
  <c r="U150" i="73"/>
  <c r="V150" i="73"/>
  <c r="W150" i="73"/>
  <c r="X150" i="73"/>
  <c r="Y150" i="73"/>
  <c r="S150" i="73"/>
  <c r="P150" i="73"/>
  <c r="Q150" i="73"/>
  <c r="M150" i="73"/>
  <c r="O150" i="73"/>
  <c r="R150" i="73"/>
  <c r="AN142" i="73"/>
  <c r="AB142" i="73"/>
  <c r="AC142" i="73"/>
  <c r="AE142" i="73"/>
  <c r="AG142" i="73"/>
  <c r="AH142" i="73"/>
  <c r="AJ142" i="73"/>
  <c r="AK142" i="73"/>
  <c r="AF142" i="73"/>
  <c r="R142" i="73"/>
  <c r="AI142" i="73"/>
  <c r="S142" i="73"/>
  <c r="AL142" i="73"/>
  <c r="AM142" i="73"/>
  <c r="V142" i="73"/>
  <c r="M142" i="73"/>
  <c r="U142" i="73"/>
  <c r="W142" i="73"/>
  <c r="X142" i="73"/>
  <c r="Y142" i="73"/>
  <c r="Q142" i="73"/>
  <c r="T142" i="73"/>
  <c r="N142" i="73"/>
  <c r="O142" i="73"/>
  <c r="Z142" i="73"/>
  <c r="AD142" i="73"/>
  <c r="AA142" i="73"/>
  <c r="P142" i="73"/>
  <c r="AN118" i="73"/>
  <c r="AB118" i="73"/>
  <c r="AG118" i="73"/>
  <c r="AJ118" i="73"/>
  <c r="AK118" i="73"/>
  <c r="AL118" i="73"/>
  <c r="AD118" i="73"/>
  <c r="AE118" i="73"/>
  <c r="AF118" i="73"/>
  <c r="AH118" i="73"/>
  <c r="AI118" i="73"/>
  <c r="Z118" i="73"/>
  <c r="AA118" i="73"/>
  <c r="N118" i="73"/>
  <c r="V118" i="73"/>
  <c r="W118" i="73"/>
  <c r="X118" i="73"/>
  <c r="Y118" i="73"/>
  <c r="R118" i="73"/>
  <c r="U118" i="73"/>
  <c r="S118" i="73"/>
  <c r="T118" i="73"/>
  <c r="AC118" i="73"/>
  <c r="AM118" i="73"/>
  <c r="O118" i="73"/>
  <c r="P118" i="73"/>
  <c r="M118" i="73"/>
  <c r="Q118" i="73"/>
  <c r="AK78" i="73"/>
  <c r="AL78" i="73"/>
  <c r="AB78" i="73"/>
  <c r="AC78" i="73"/>
  <c r="AD78" i="73"/>
  <c r="AN78" i="73"/>
  <c r="AG78" i="73"/>
  <c r="AI78" i="73"/>
  <c r="AE78" i="73"/>
  <c r="AF78" i="73"/>
  <c r="AJ78" i="73"/>
  <c r="AM78" i="73"/>
  <c r="R78" i="73"/>
  <c r="S78" i="73"/>
  <c r="Z78" i="73"/>
  <c r="AA78" i="73"/>
  <c r="U78" i="73"/>
  <c r="AH78" i="73"/>
  <c r="V78" i="73"/>
  <c r="W78" i="73"/>
  <c r="X78" i="73"/>
  <c r="Y78" i="73"/>
  <c r="O78" i="73"/>
  <c r="P78" i="73"/>
  <c r="Q78" i="73"/>
  <c r="T78" i="73"/>
  <c r="N78" i="73"/>
  <c r="M78" i="73"/>
  <c r="AD22" i="73"/>
  <c r="AG22" i="73"/>
  <c r="AK22" i="73"/>
  <c r="AL22" i="73"/>
  <c r="AM22" i="73"/>
  <c r="AE22" i="73"/>
  <c r="AF22" i="73"/>
  <c r="AH22" i="73"/>
  <c r="AI22" i="73"/>
  <c r="AC22" i="73"/>
  <c r="AJ22" i="73"/>
  <c r="Z22" i="73"/>
  <c r="AA22" i="73"/>
  <c r="AB22" i="73"/>
  <c r="N22" i="73"/>
  <c r="P22" i="73"/>
  <c r="Q22" i="73"/>
  <c r="T22" i="73"/>
  <c r="X22" i="73"/>
  <c r="Y22" i="73"/>
  <c r="S22" i="73"/>
  <c r="U22" i="73"/>
  <c r="W22" i="73"/>
  <c r="V22" i="73"/>
  <c r="AN22" i="73"/>
  <c r="M22" i="73"/>
  <c r="O22" i="73"/>
  <c r="R22" i="73"/>
  <c r="AN89" i="73"/>
  <c r="AA89" i="73"/>
  <c r="AB89" i="73"/>
  <c r="AL89" i="73"/>
  <c r="AM89" i="73"/>
  <c r="AC89" i="73"/>
  <c r="AG89" i="73"/>
  <c r="AH89" i="73"/>
  <c r="AJ89" i="73"/>
  <c r="AK89" i="73"/>
  <c r="AD89" i="73"/>
  <c r="S89" i="73"/>
  <c r="AE89" i="73"/>
  <c r="T89" i="73"/>
  <c r="AF89" i="73"/>
  <c r="AI89" i="73"/>
  <c r="W89" i="73"/>
  <c r="M89" i="73"/>
  <c r="Z89" i="73"/>
  <c r="N89" i="73"/>
  <c r="Q89" i="73"/>
  <c r="O89" i="73"/>
  <c r="P89" i="73"/>
  <c r="V89" i="73"/>
  <c r="X89" i="73"/>
  <c r="Y89" i="73"/>
  <c r="R89" i="73"/>
  <c r="U89" i="73"/>
  <c r="AA81" i="73"/>
  <c r="AN81" i="73"/>
  <c r="AB81" i="73"/>
  <c r="AC81" i="73"/>
  <c r="AM81" i="73"/>
  <c r="AL81" i="73"/>
  <c r="AK81" i="73"/>
  <c r="Z81" i="73"/>
  <c r="AD81" i="73"/>
  <c r="N81" i="73"/>
  <c r="O81" i="73"/>
  <c r="X81" i="73"/>
  <c r="AE81" i="73"/>
  <c r="Y81" i="73"/>
  <c r="AF81" i="73"/>
  <c r="AG81" i="73"/>
  <c r="AH81" i="73"/>
  <c r="AI81" i="73"/>
  <c r="AJ81" i="73"/>
  <c r="M81" i="73"/>
  <c r="R81" i="73"/>
  <c r="S81" i="73"/>
  <c r="V81" i="73"/>
  <c r="W81" i="73"/>
  <c r="T81" i="73"/>
  <c r="U81" i="73"/>
  <c r="Q81" i="73"/>
  <c r="P81" i="73"/>
  <c r="AN161" i="73"/>
  <c r="AM161" i="73"/>
  <c r="AA161" i="73"/>
  <c r="AD161" i="73"/>
  <c r="AE161" i="73"/>
  <c r="AG161" i="73"/>
  <c r="AH161" i="73"/>
  <c r="AI161" i="73"/>
  <c r="AJ161" i="73"/>
  <c r="AK161" i="73"/>
  <c r="AL161" i="73"/>
  <c r="O161" i="73"/>
  <c r="M161" i="73"/>
  <c r="N161" i="73"/>
  <c r="Z161" i="73"/>
  <c r="AB161" i="73"/>
  <c r="AC161" i="73"/>
  <c r="P161" i="73"/>
  <c r="AF161" i="73"/>
  <c r="Q161" i="73"/>
  <c r="R161" i="73"/>
  <c r="S161" i="73"/>
  <c r="T161" i="73"/>
  <c r="U161" i="73"/>
  <c r="V161" i="73"/>
  <c r="W161" i="73"/>
  <c r="X161" i="73"/>
  <c r="Y161" i="73"/>
  <c r="AN132" i="73"/>
  <c r="AC132" i="73"/>
  <c r="AF132" i="73"/>
  <c r="AG132" i="73"/>
  <c r="AH132" i="73"/>
  <c r="Z132" i="73"/>
  <c r="AD132" i="73"/>
  <c r="AE132" i="73"/>
  <c r="AI132" i="73"/>
  <c r="AJ132" i="73"/>
  <c r="AK132" i="73"/>
  <c r="AM132" i="73"/>
  <c r="T132" i="73"/>
  <c r="U132" i="73"/>
  <c r="X132" i="73"/>
  <c r="Q132" i="73"/>
  <c r="R132" i="73"/>
  <c r="S132" i="73"/>
  <c r="V132" i="73"/>
  <c r="W132" i="73"/>
  <c r="Y132" i="73"/>
  <c r="O132" i="73"/>
  <c r="M132" i="73"/>
  <c r="N132" i="73"/>
  <c r="P132" i="73"/>
  <c r="AA132" i="73"/>
  <c r="AB132" i="73"/>
  <c r="AL132" i="73"/>
  <c r="AN108" i="73"/>
  <c r="AA108" i="73"/>
  <c r="AB108" i="73"/>
  <c r="AE108" i="73"/>
  <c r="AF108" i="73"/>
  <c r="AG108" i="73"/>
  <c r="Z108" i="73"/>
  <c r="AC108" i="73"/>
  <c r="AD108" i="73"/>
  <c r="AH108" i="73"/>
  <c r="AI108" i="73"/>
  <c r="M108" i="73"/>
  <c r="AJ108" i="73"/>
  <c r="AK108" i="73"/>
  <c r="AL108" i="73"/>
  <c r="P108" i="73"/>
  <c r="O108" i="73"/>
  <c r="Q108" i="73"/>
  <c r="R108" i="73"/>
  <c r="S108" i="73"/>
  <c r="T108" i="73"/>
  <c r="U108" i="73"/>
  <c r="V108" i="73"/>
  <c r="W108" i="73"/>
  <c r="N108" i="73"/>
  <c r="X108" i="73"/>
  <c r="AM108" i="73"/>
  <c r="Y108" i="73"/>
  <c r="AG100" i="73"/>
  <c r="AH100" i="73"/>
  <c r="AF100" i="73"/>
  <c r="AN100" i="73"/>
  <c r="AK100" i="73"/>
  <c r="Z100" i="73"/>
  <c r="AA100" i="73"/>
  <c r="AB100" i="73"/>
  <c r="AC100" i="73"/>
  <c r="AD100" i="73"/>
  <c r="T100" i="73"/>
  <c r="U100" i="73"/>
  <c r="AE100" i="73"/>
  <c r="AI100" i="73"/>
  <c r="X100" i="73"/>
  <c r="S100" i="73"/>
  <c r="V100" i="73"/>
  <c r="W100" i="73"/>
  <c r="Y100" i="73"/>
  <c r="AL100" i="73"/>
  <c r="AM100" i="73"/>
  <c r="M100" i="73"/>
  <c r="N100" i="73"/>
  <c r="R100" i="73"/>
  <c r="Q100" i="73"/>
  <c r="O100" i="73"/>
  <c r="P100" i="73"/>
  <c r="AJ100" i="73"/>
  <c r="AN92" i="73"/>
  <c r="AG92" i="73"/>
  <c r="AH92" i="73"/>
  <c r="AJ92" i="73"/>
  <c r="AM92" i="73"/>
  <c r="AE92" i="73"/>
  <c r="AK92" i="73"/>
  <c r="AL92" i="73"/>
  <c r="Z92" i="73"/>
  <c r="AA92" i="73"/>
  <c r="AB92" i="73"/>
  <c r="AC92" i="73"/>
  <c r="AD92" i="73"/>
  <c r="M92" i="73"/>
  <c r="P92" i="73"/>
  <c r="Y92" i="73"/>
  <c r="N92" i="73"/>
  <c r="O92" i="73"/>
  <c r="Q92" i="73"/>
  <c r="T92" i="73"/>
  <c r="AF92" i="73"/>
  <c r="U92" i="73"/>
  <c r="X92" i="73"/>
  <c r="AI92" i="73"/>
  <c r="V92" i="73"/>
  <c r="W92" i="73"/>
  <c r="R92" i="73"/>
  <c r="S92" i="73"/>
  <c r="AH151" i="73"/>
  <c r="AN151" i="73"/>
  <c r="AJ151" i="73"/>
  <c r="AL151" i="73"/>
  <c r="AM151" i="73"/>
  <c r="AK151" i="73"/>
  <c r="M151" i="73"/>
  <c r="N151" i="73"/>
  <c r="Z151" i="73"/>
  <c r="Q151" i="73"/>
  <c r="AC151" i="73"/>
  <c r="AD151" i="73"/>
  <c r="AE151" i="73"/>
  <c r="AF151" i="73"/>
  <c r="AG151" i="73"/>
  <c r="O151" i="73"/>
  <c r="AI151" i="73"/>
  <c r="P151" i="73"/>
  <c r="R151" i="73"/>
  <c r="S151" i="73"/>
  <c r="T151" i="73"/>
  <c r="U151" i="73"/>
  <c r="V151" i="73"/>
  <c r="W151" i="73"/>
  <c r="X151" i="73"/>
  <c r="AA151" i="73"/>
  <c r="Y151" i="73"/>
  <c r="AB151" i="73"/>
  <c r="AN143" i="73"/>
  <c r="AD143" i="73"/>
  <c r="AF143" i="73"/>
  <c r="AH143" i="73"/>
  <c r="AL143" i="73"/>
  <c r="AM143" i="73"/>
  <c r="AB143" i="73"/>
  <c r="AC143" i="73"/>
  <c r="AE143" i="73"/>
  <c r="AG143" i="73"/>
  <c r="AI143" i="73"/>
  <c r="U143" i="73"/>
  <c r="V143" i="73"/>
  <c r="Z143" i="73"/>
  <c r="Y143" i="73"/>
  <c r="M143" i="73"/>
  <c r="N143" i="73"/>
  <c r="O143" i="73"/>
  <c r="P143" i="73"/>
  <c r="S143" i="73"/>
  <c r="Q143" i="73"/>
  <c r="R143" i="73"/>
  <c r="AK143" i="73"/>
  <c r="X143" i="73"/>
  <c r="T143" i="73"/>
  <c r="W143" i="73"/>
  <c r="AA143" i="73"/>
  <c r="AJ143" i="73"/>
  <c r="AD127" i="73"/>
  <c r="AE127" i="73"/>
  <c r="AH127" i="73"/>
  <c r="AI127" i="73"/>
  <c r="AJ127" i="73"/>
  <c r="AN127" i="73"/>
  <c r="Z127" i="73"/>
  <c r="AA127" i="73"/>
  <c r="AG127" i="73"/>
  <c r="AK127" i="73"/>
  <c r="AL127" i="73"/>
  <c r="AM127" i="73"/>
  <c r="U127" i="73"/>
  <c r="V127" i="73"/>
  <c r="Y127" i="73"/>
  <c r="X127" i="73"/>
  <c r="M127" i="73"/>
  <c r="N127" i="73"/>
  <c r="O127" i="73"/>
  <c r="AC127" i="73"/>
  <c r="AB127" i="73"/>
  <c r="AF127" i="73"/>
  <c r="P127" i="73"/>
  <c r="Q127" i="73"/>
  <c r="T127" i="73"/>
  <c r="W127" i="73"/>
  <c r="R127" i="73"/>
  <c r="S127" i="73"/>
  <c r="AN119" i="73"/>
  <c r="AD119" i="73"/>
  <c r="Z119" i="73"/>
  <c r="AK119" i="73"/>
  <c r="AM119" i="73"/>
  <c r="AL119" i="73"/>
  <c r="AB119" i="73"/>
  <c r="M119" i="73"/>
  <c r="AC119" i="73"/>
  <c r="N119" i="73"/>
  <c r="AE119" i="73"/>
  <c r="AF119" i="73"/>
  <c r="AG119" i="73"/>
  <c r="Q119" i="73"/>
  <c r="AH119" i="73"/>
  <c r="AI119" i="73"/>
  <c r="R119" i="73"/>
  <c r="AJ119" i="73"/>
  <c r="O119" i="73"/>
  <c r="P119" i="73"/>
  <c r="AA119" i="73"/>
  <c r="T119" i="73"/>
  <c r="S119" i="73"/>
  <c r="U119" i="73"/>
  <c r="V119" i="73"/>
  <c r="W119" i="73"/>
  <c r="Y119" i="73"/>
  <c r="X119" i="73"/>
  <c r="AA103" i="73"/>
  <c r="AD103" i="73"/>
  <c r="AN103" i="73"/>
  <c r="AM103" i="73"/>
  <c r="Z103" i="73"/>
  <c r="AB103" i="73"/>
  <c r="AI103" i="73"/>
  <c r="M103" i="73"/>
  <c r="AJ103" i="73"/>
  <c r="N103" i="73"/>
  <c r="AK103" i="73"/>
  <c r="AL103" i="73"/>
  <c r="Q103" i="73"/>
  <c r="AE103" i="73"/>
  <c r="U103" i="73"/>
  <c r="AF103" i="73"/>
  <c r="V103" i="73"/>
  <c r="AG103" i="73"/>
  <c r="W103" i="73"/>
  <c r="AH103" i="73"/>
  <c r="X103" i="73"/>
  <c r="Y103" i="73"/>
  <c r="P103" i="73"/>
  <c r="R103" i="73"/>
  <c r="T103" i="73"/>
  <c r="S103" i="73"/>
  <c r="AC103" i="73"/>
  <c r="O103" i="73"/>
  <c r="AM95" i="73"/>
  <c r="AN95" i="73"/>
  <c r="AD95" i="73"/>
  <c r="AG95" i="73"/>
  <c r="AF95" i="73"/>
  <c r="Z95" i="73"/>
  <c r="AA95" i="73"/>
  <c r="AC95" i="73"/>
  <c r="AE95" i="73"/>
  <c r="AH95" i="73"/>
  <c r="AI95" i="73"/>
  <c r="AJ95" i="73"/>
  <c r="AB95" i="73"/>
  <c r="AK95" i="73"/>
  <c r="AL95" i="73"/>
  <c r="U95" i="73"/>
  <c r="V95" i="73"/>
  <c r="Y95" i="73"/>
  <c r="M95" i="73"/>
  <c r="N95" i="73"/>
  <c r="W95" i="73"/>
  <c r="X95" i="73"/>
  <c r="R95" i="73"/>
  <c r="S95" i="73"/>
  <c r="T95" i="73"/>
  <c r="Q95" i="73"/>
  <c r="O95" i="73"/>
  <c r="P95" i="73"/>
  <c r="AM87" i="73"/>
  <c r="AD87" i="73"/>
  <c r="AE87" i="73"/>
  <c r="AF87" i="73"/>
  <c r="AI87" i="73"/>
  <c r="AC87" i="73"/>
  <c r="AN87" i="73"/>
  <c r="AJ87" i="73"/>
  <c r="AK87" i="73"/>
  <c r="AG87" i="73"/>
  <c r="AH87" i="73"/>
  <c r="AL87" i="73"/>
  <c r="AB87" i="73"/>
  <c r="M87" i="73"/>
  <c r="N87" i="73"/>
  <c r="P87" i="73"/>
  <c r="Q87" i="73"/>
  <c r="Z87" i="73"/>
  <c r="AA87" i="73"/>
  <c r="O87" i="73"/>
  <c r="R87" i="73"/>
  <c r="S87" i="73"/>
  <c r="T87" i="73"/>
  <c r="U87" i="73"/>
  <c r="V87" i="73"/>
  <c r="W87" i="73"/>
  <c r="X87" i="73"/>
  <c r="Y87" i="73"/>
  <c r="AM79" i="73"/>
  <c r="AF79" i="73"/>
  <c r="AG79" i="73"/>
  <c r="AH79" i="73"/>
  <c r="AK79" i="73"/>
  <c r="AN79" i="73"/>
  <c r="Z79" i="73"/>
  <c r="AE79" i="73"/>
  <c r="AI79" i="73"/>
  <c r="AJ79" i="73"/>
  <c r="AL79" i="73"/>
  <c r="U79" i="73"/>
  <c r="V79" i="73"/>
  <c r="X79" i="73"/>
  <c r="Y79" i="73"/>
  <c r="AD79" i="73"/>
  <c r="M79" i="73"/>
  <c r="N79" i="73"/>
  <c r="P79" i="73"/>
  <c r="O79" i="73"/>
  <c r="AA79" i="73"/>
  <c r="Q79" i="73"/>
  <c r="R79" i="73"/>
  <c r="AB79" i="73"/>
  <c r="W79" i="73"/>
  <c r="AC79" i="73"/>
  <c r="T79" i="73"/>
  <c r="S79" i="73"/>
  <c r="AM71" i="73"/>
  <c r="AN71" i="73"/>
  <c r="AH71" i="73"/>
  <c r="AI71" i="73"/>
  <c r="AJ71" i="73"/>
  <c r="AG71" i="73"/>
  <c r="Z71" i="73"/>
  <c r="AA71" i="73"/>
  <c r="AB71" i="73"/>
  <c r="AC71" i="73"/>
  <c r="AD71" i="73"/>
  <c r="AE71" i="73"/>
  <c r="AF71" i="73"/>
  <c r="AK71" i="73"/>
  <c r="M71" i="73"/>
  <c r="N71" i="73"/>
  <c r="AL71" i="73"/>
  <c r="O71" i="73"/>
  <c r="P71" i="73"/>
  <c r="Q71" i="73"/>
  <c r="W71" i="73"/>
  <c r="X71" i="73"/>
  <c r="Y71" i="73"/>
  <c r="R71" i="73"/>
  <c r="S71" i="73"/>
  <c r="T71" i="73"/>
  <c r="U71" i="73"/>
  <c r="V71" i="73"/>
  <c r="AM63" i="73"/>
  <c r="AJ63" i="73"/>
  <c r="AK63" i="73"/>
  <c r="AL63" i="73"/>
  <c r="Z63" i="73"/>
  <c r="AA63" i="73"/>
  <c r="AC63" i="73"/>
  <c r="AE63" i="73"/>
  <c r="AF63" i="73"/>
  <c r="AG63" i="73"/>
  <c r="AH63" i="73"/>
  <c r="AI63" i="73"/>
  <c r="AB63" i="73"/>
  <c r="AN63" i="73"/>
  <c r="AD63" i="73"/>
  <c r="U63" i="73"/>
  <c r="V63" i="73"/>
  <c r="W63" i="73"/>
  <c r="X63" i="73"/>
  <c r="Y63" i="73"/>
  <c r="M63" i="73"/>
  <c r="R63" i="73"/>
  <c r="N63" i="73"/>
  <c r="O63" i="73"/>
  <c r="P63" i="73"/>
  <c r="Q63" i="73"/>
  <c r="S63" i="73"/>
  <c r="T63" i="73"/>
  <c r="AF55" i="73"/>
  <c r="AM55" i="73"/>
  <c r="AH55" i="73"/>
  <c r="AI55" i="73"/>
  <c r="AJ55" i="73"/>
  <c r="AK55" i="73"/>
  <c r="AN55" i="73"/>
  <c r="Z55" i="73"/>
  <c r="AB55" i="73"/>
  <c r="AD55" i="73"/>
  <c r="AE55" i="73"/>
  <c r="AG55" i="73"/>
  <c r="AL55" i="73"/>
  <c r="AA55" i="73"/>
  <c r="AC55" i="73"/>
  <c r="M55" i="73"/>
  <c r="N55" i="73"/>
  <c r="O55" i="73"/>
  <c r="P55" i="73"/>
  <c r="Q55" i="73"/>
  <c r="V55" i="73"/>
  <c r="W55" i="73"/>
  <c r="X55" i="73"/>
  <c r="Y55" i="73"/>
  <c r="T55" i="73"/>
  <c r="R55" i="73"/>
  <c r="S55" i="73"/>
  <c r="U55" i="73"/>
  <c r="AF47" i="73"/>
  <c r="AM47" i="73"/>
  <c r="AN47" i="73"/>
  <c r="AL47" i="73"/>
  <c r="Z47" i="73"/>
  <c r="AK47" i="73"/>
  <c r="AA47" i="73"/>
  <c r="AB47" i="73"/>
  <c r="AC47" i="73"/>
  <c r="AD47" i="73"/>
  <c r="AE47" i="73"/>
  <c r="U47" i="73"/>
  <c r="AI47" i="73"/>
  <c r="AJ47" i="73"/>
  <c r="S47" i="73"/>
  <c r="P47" i="73"/>
  <c r="Q47" i="73"/>
  <c r="R47" i="73"/>
  <c r="T47" i="73"/>
  <c r="V47" i="73"/>
  <c r="AG47" i="73"/>
  <c r="AH47" i="73"/>
  <c r="M47" i="73"/>
  <c r="Y47" i="73"/>
  <c r="N47" i="73"/>
  <c r="W47" i="73"/>
  <c r="O47" i="73"/>
  <c r="X47" i="73"/>
  <c r="AF39" i="73"/>
  <c r="AM39" i="73"/>
  <c r="Z39" i="73"/>
  <c r="AA39" i="73"/>
  <c r="AB39" i="73"/>
  <c r="AD39" i="73"/>
  <c r="AE39" i="73"/>
  <c r="AG39" i="73"/>
  <c r="AN39" i="73"/>
  <c r="AI39" i="73"/>
  <c r="AK39" i="73"/>
  <c r="M39" i="73"/>
  <c r="AL39" i="73"/>
  <c r="U39" i="73"/>
  <c r="N39" i="73"/>
  <c r="O39" i="73"/>
  <c r="P39" i="73"/>
  <c r="AC39" i="73"/>
  <c r="AH39" i="73"/>
  <c r="AJ39" i="73"/>
  <c r="Q39" i="73"/>
  <c r="S39" i="73"/>
  <c r="R39" i="73"/>
  <c r="V39" i="73"/>
  <c r="W39" i="73"/>
  <c r="T39" i="73"/>
  <c r="X39" i="73"/>
  <c r="Y39" i="73"/>
  <c r="AF31" i="73"/>
  <c r="AI31" i="73"/>
  <c r="AM31" i="73"/>
  <c r="Z31" i="73"/>
  <c r="AA31" i="73"/>
  <c r="AN31" i="73"/>
  <c r="AC31" i="73"/>
  <c r="AE31" i="73"/>
  <c r="AG31" i="73"/>
  <c r="AH31" i="73"/>
  <c r="AJ31" i="73"/>
  <c r="AK31" i="73"/>
  <c r="AL31" i="73"/>
  <c r="U31" i="73"/>
  <c r="AB31" i="73"/>
  <c r="AD31" i="73"/>
  <c r="W31" i="73"/>
  <c r="Y31" i="73"/>
  <c r="X31" i="73"/>
  <c r="M31" i="73"/>
  <c r="N31" i="73"/>
  <c r="P31" i="73"/>
  <c r="Q31" i="73"/>
  <c r="O31" i="73"/>
  <c r="R31" i="73"/>
  <c r="S31" i="73"/>
  <c r="T31" i="73"/>
  <c r="V31" i="73"/>
  <c r="AF23" i="73"/>
  <c r="AI23" i="73"/>
  <c r="AM23" i="73"/>
  <c r="Z23" i="73"/>
  <c r="AB23" i="73"/>
  <c r="AD23" i="73"/>
  <c r="M23" i="73"/>
  <c r="T23" i="73"/>
  <c r="U23" i="73"/>
  <c r="X23" i="73"/>
  <c r="AG23" i="73"/>
  <c r="AH23" i="73"/>
  <c r="AJ23" i="73"/>
  <c r="N23" i="73"/>
  <c r="AK23" i="73"/>
  <c r="O23" i="73"/>
  <c r="AL23" i="73"/>
  <c r="P23" i="73"/>
  <c r="R23" i="73"/>
  <c r="S23" i="73"/>
  <c r="V23" i="73"/>
  <c r="W23" i="73"/>
  <c r="Y23" i="73"/>
  <c r="AC23" i="73"/>
  <c r="AE23" i="73"/>
  <c r="Q23" i="73"/>
  <c r="AN23" i="73"/>
  <c r="AA23" i="73"/>
  <c r="G8" i="73"/>
  <c r="AH11" i="73"/>
  <c r="AI11" i="73"/>
  <c r="M11" i="73"/>
  <c r="AL11" i="73"/>
  <c r="P11" i="73"/>
  <c r="AK11" i="73"/>
  <c r="AM11" i="73"/>
  <c r="N11" i="73"/>
  <c r="O11" i="73"/>
  <c r="Q11" i="73"/>
  <c r="AC11" i="73"/>
  <c r="U11" i="73"/>
  <c r="AD11" i="73"/>
  <c r="V11" i="73"/>
  <c r="AE11" i="73"/>
  <c r="W11" i="73"/>
  <c r="AF11" i="73"/>
  <c r="X11" i="73"/>
  <c r="AG11" i="73"/>
  <c r="Y11" i="73"/>
  <c r="AJ11" i="73"/>
  <c r="T11" i="73"/>
  <c r="R11" i="73"/>
  <c r="S11" i="73"/>
  <c r="Z11" i="73"/>
  <c r="AA11" i="73"/>
  <c r="AB11" i="73"/>
  <c r="AJ152" i="73"/>
  <c r="AL152" i="73"/>
  <c r="AN152" i="73"/>
  <c r="AB152" i="73"/>
  <c r="Z152" i="73"/>
  <c r="AA152" i="73"/>
  <c r="AC152" i="73"/>
  <c r="AD152" i="73"/>
  <c r="AH152" i="73"/>
  <c r="P152" i="73"/>
  <c r="AI152" i="73"/>
  <c r="Q152" i="73"/>
  <c r="AK152" i="73"/>
  <c r="AM152" i="73"/>
  <c r="T152" i="73"/>
  <c r="M152" i="73"/>
  <c r="N152" i="73"/>
  <c r="O152" i="73"/>
  <c r="V152" i="73"/>
  <c r="R152" i="73"/>
  <c r="S152" i="73"/>
  <c r="AE152" i="73"/>
  <c r="U152" i="73"/>
  <c r="AF152" i="73"/>
  <c r="AG152" i="73"/>
  <c r="X152" i="73"/>
  <c r="Y152" i="73"/>
  <c r="W152" i="73"/>
  <c r="AN144" i="73"/>
  <c r="AF144" i="73"/>
  <c r="AI144" i="73"/>
  <c r="AK144" i="73"/>
  <c r="AA144" i="73"/>
  <c r="AB144" i="73"/>
  <c r="AM144" i="73"/>
  <c r="X144" i="73"/>
  <c r="Y144" i="73"/>
  <c r="Z144" i="73"/>
  <c r="S144" i="73"/>
  <c r="AC144" i="73"/>
  <c r="T144" i="73"/>
  <c r="AD144" i="73"/>
  <c r="U144" i="73"/>
  <c r="AE144" i="73"/>
  <c r="V144" i="73"/>
  <c r="AG144" i="73"/>
  <c r="W144" i="73"/>
  <c r="AJ144" i="73"/>
  <c r="AH144" i="73"/>
  <c r="N144" i="73"/>
  <c r="P144" i="73"/>
  <c r="AL144" i="73"/>
  <c r="M144" i="73"/>
  <c r="O144" i="73"/>
  <c r="R144" i="73"/>
  <c r="Q144" i="73"/>
  <c r="AN112" i="73"/>
  <c r="AF112" i="73"/>
  <c r="AM112" i="73"/>
  <c r="Z112" i="73"/>
  <c r="AC112" i="73"/>
  <c r="AD112" i="73"/>
  <c r="AE112" i="73"/>
  <c r="AI112" i="73"/>
  <c r="AJ112" i="73"/>
  <c r="AK112" i="73"/>
  <c r="AL112" i="73"/>
  <c r="X112" i="73"/>
  <c r="Y112" i="73"/>
  <c r="AA112" i="73"/>
  <c r="AB112" i="73"/>
  <c r="U112" i="73"/>
  <c r="V112" i="73"/>
  <c r="W112" i="73"/>
  <c r="AH112" i="73"/>
  <c r="AG112" i="73"/>
  <c r="M112" i="73"/>
  <c r="O112" i="73"/>
  <c r="N112" i="73"/>
  <c r="P112" i="73"/>
  <c r="Q112" i="73"/>
  <c r="R112" i="73"/>
  <c r="S112" i="73"/>
  <c r="T112" i="73"/>
  <c r="AL139" i="73"/>
  <c r="AN139" i="73"/>
  <c r="AJ139" i="73"/>
  <c r="AM139" i="73"/>
  <c r="AH139" i="73"/>
  <c r="AI139" i="73"/>
  <c r="AK139" i="73"/>
  <c r="AC139" i="73"/>
  <c r="AD139" i="73"/>
  <c r="AE139" i="73"/>
  <c r="AF139" i="73"/>
  <c r="AG139" i="73"/>
  <c r="Y139" i="73"/>
  <c r="M139" i="73"/>
  <c r="AA139" i="73"/>
  <c r="X139" i="73"/>
  <c r="AB139" i="73"/>
  <c r="N139" i="73"/>
  <c r="V139" i="73"/>
  <c r="Z139" i="73"/>
  <c r="W139" i="73"/>
  <c r="P139" i="73"/>
  <c r="T139" i="73"/>
  <c r="Q139" i="73"/>
  <c r="S139" i="73"/>
  <c r="R139" i="73"/>
  <c r="U139" i="73"/>
  <c r="O139" i="73"/>
  <c r="AL123" i="73"/>
  <c r="AI123" i="73"/>
  <c r="AM123" i="73"/>
  <c r="AF123" i="73"/>
  <c r="AG123" i="73"/>
  <c r="AH123" i="73"/>
  <c r="AJ123" i="73"/>
  <c r="AK123" i="73"/>
  <c r="Z123" i="73"/>
  <c r="AA123" i="73"/>
  <c r="AB123" i="73"/>
  <c r="AC123" i="73"/>
  <c r="Y123" i="73"/>
  <c r="AD123" i="73"/>
  <c r="AN123" i="73"/>
  <c r="AE123" i="73"/>
  <c r="M123" i="73"/>
  <c r="Q123" i="73"/>
  <c r="R123" i="73"/>
  <c r="S123" i="73"/>
  <c r="T123" i="73"/>
  <c r="U123" i="73"/>
  <c r="V123" i="73"/>
  <c r="W123" i="73"/>
  <c r="X123" i="73"/>
  <c r="N123" i="73"/>
  <c r="O123" i="73"/>
  <c r="P123" i="73"/>
  <c r="AE83" i="73"/>
  <c r="AF83" i="73"/>
  <c r="AD83" i="73"/>
  <c r="AG83" i="73"/>
  <c r="AH83" i="73"/>
  <c r="AK83" i="73"/>
  <c r="AM83" i="73"/>
  <c r="AN83" i="73"/>
  <c r="AJ83" i="73"/>
  <c r="AL83" i="73"/>
  <c r="AA83" i="73"/>
  <c r="Q83" i="73"/>
  <c r="AB83" i="73"/>
  <c r="R83" i="73"/>
  <c r="AC83" i="73"/>
  <c r="AI83" i="73"/>
  <c r="T83" i="73"/>
  <c r="U83" i="73"/>
  <c r="V83" i="73"/>
  <c r="W83" i="73"/>
  <c r="X83" i="73"/>
  <c r="Y83" i="73"/>
  <c r="M83" i="73"/>
  <c r="N83" i="73"/>
  <c r="O83" i="73"/>
  <c r="P83" i="73"/>
  <c r="S83" i="73"/>
  <c r="Z83" i="73"/>
  <c r="AE75" i="73"/>
  <c r="AF75" i="73"/>
  <c r="AH75" i="73"/>
  <c r="AI75" i="73"/>
  <c r="AJ75" i="73"/>
  <c r="AN75" i="73"/>
  <c r="AM75" i="73"/>
  <c r="AA75" i="73"/>
  <c r="AK75" i="73"/>
  <c r="Z75" i="73"/>
  <c r="Y75" i="73"/>
  <c r="M75" i="73"/>
  <c r="R75" i="73"/>
  <c r="S75" i="73"/>
  <c r="T75" i="73"/>
  <c r="U75" i="73"/>
  <c r="V75" i="73"/>
  <c r="W75" i="73"/>
  <c r="AB75" i="73"/>
  <c r="X75" i="73"/>
  <c r="AG75" i="73"/>
  <c r="AD75" i="73"/>
  <c r="AC75" i="73"/>
  <c r="P75" i="73"/>
  <c r="O75" i="73"/>
  <c r="Q75" i="73"/>
  <c r="AL75" i="73"/>
  <c r="N75" i="73"/>
  <c r="AE67" i="73"/>
  <c r="AF67" i="73"/>
  <c r="AJ67" i="73"/>
  <c r="AK67" i="73"/>
  <c r="AL67" i="73"/>
  <c r="AN67" i="73"/>
  <c r="Z67" i="73"/>
  <c r="AC67" i="73"/>
  <c r="AD67" i="73"/>
  <c r="AG67" i="73"/>
  <c r="AH67" i="73"/>
  <c r="AI67" i="73"/>
  <c r="AA67" i="73"/>
  <c r="AB67" i="73"/>
  <c r="AM67" i="73"/>
  <c r="Q67" i="73"/>
  <c r="R67" i="73"/>
  <c r="S67" i="73"/>
  <c r="T67" i="73"/>
  <c r="U67" i="73"/>
  <c r="M67" i="73"/>
  <c r="X67" i="73"/>
  <c r="Y67" i="73"/>
  <c r="N67" i="73"/>
  <c r="V67" i="73"/>
  <c r="W67" i="73"/>
  <c r="O67" i="73"/>
  <c r="P67" i="73"/>
  <c r="AE51" i="73"/>
  <c r="AF51" i="73"/>
  <c r="AG51" i="73"/>
  <c r="Z51" i="73"/>
  <c r="AN51" i="73"/>
  <c r="AA51" i="73"/>
  <c r="AB51" i="73"/>
  <c r="AC51" i="73"/>
  <c r="AH51" i="73"/>
  <c r="AD51" i="73"/>
  <c r="AI51" i="73"/>
  <c r="P51" i="73"/>
  <c r="Q51" i="73"/>
  <c r="R51" i="73"/>
  <c r="S51" i="73"/>
  <c r="T51" i="73"/>
  <c r="U51" i="73"/>
  <c r="AJ51" i="73"/>
  <c r="AK51" i="73"/>
  <c r="X51" i="73"/>
  <c r="AL51" i="73"/>
  <c r="Y51" i="73"/>
  <c r="AM51" i="73"/>
  <c r="O51" i="73"/>
  <c r="V51" i="73"/>
  <c r="W51" i="73"/>
  <c r="N51" i="73"/>
  <c r="M51" i="73"/>
  <c r="AA27" i="73"/>
  <c r="AE27" i="73"/>
  <c r="AF27" i="73"/>
  <c r="AG27" i="73"/>
  <c r="AD27" i="73"/>
  <c r="AH27" i="73"/>
  <c r="AN27" i="73"/>
  <c r="AI27" i="73"/>
  <c r="AJ27" i="73"/>
  <c r="AL27" i="73"/>
  <c r="AB27" i="73"/>
  <c r="AC27" i="73"/>
  <c r="AM27" i="73"/>
  <c r="Y27" i="73"/>
  <c r="S27" i="73"/>
  <c r="Z27" i="73"/>
  <c r="AK27" i="73"/>
  <c r="W27" i="73"/>
  <c r="R27" i="73"/>
  <c r="T27" i="73"/>
  <c r="U27" i="73"/>
  <c r="V27" i="73"/>
  <c r="X27" i="73"/>
  <c r="O27" i="73"/>
  <c r="M27" i="73"/>
  <c r="N27" i="73"/>
  <c r="Q27" i="73"/>
  <c r="P27" i="73"/>
  <c r="AK102" i="73"/>
  <c r="AN102" i="73"/>
  <c r="AA102" i="73"/>
  <c r="AL102" i="73"/>
  <c r="AG102" i="73"/>
  <c r="AH102" i="73"/>
  <c r="AJ102" i="73"/>
  <c r="AM102" i="73"/>
  <c r="AB102" i="73"/>
  <c r="AC102" i="73"/>
  <c r="AD102" i="73"/>
  <c r="AE102" i="73"/>
  <c r="AF102" i="73"/>
  <c r="Z102" i="73"/>
  <c r="AI102" i="73"/>
  <c r="N102" i="73"/>
  <c r="O102" i="73"/>
  <c r="P102" i="73"/>
  <c r="U102" i="73"/>
  <c r="Q102" i="73"/>
  <c r="R102" i="73"/>
  <c r="S102" i="73"/>
  <c r="T102" i="73"/>
  <c r="M102" i="73"/>
  <c r="V102" i="73"/>
  <c r="W102" i="73"/>
  <c r="X102" i="73"/>
  <c r="Y102" i="73"/>
  <c r="AK70" i="73"/>
  <c r="AL70" i="73"/>
  <c r="AD70" i="73"/>
  <c r="AE70" i="73"/>
  <c r="AF70" i="73"/>
  <c r="AI70" i="73"/>
  <c r="Z70" i="73"/>
  <c r="AN70" i="73"/>
  <c r="AB70" i="73"/>
  <c r="AG70" i="73"/>
  <c r="AH70" i="73"/>
  <c r="AJ70" i="73"/>
  <c r="AM70" i="73"/>
  <c r="AA70" i="73"/>
  <c r="AC70" i="73"/>
  <c r="M70" i="73"/>
  <c r="N70" i="73"/>
  <c r="O70" i="73"/>
  <c r="P70" i="73"/>
  <c r="Q70" i="73"/>
  <c r="R70" i="73"/>
  <c r="S70" i="73"/>
  <c r="T70" i="73"/>
  <c r="U70" i="73"/>
  <c r="Y70" i="73"/>
  <c r="X70" i="73"/>
  <c r="V70" i="73"/>
  <c r="W70" i="73"/>
  <c r="AD54" i="73"/>
  <c r="AK54" i="73"/>
  <c r="AL54" i="73"/>
  <c r="AM54" i="73"/>
  <c r="AA54" i="73"/>
  <c r="AB54" i="73"/>
  <c r="AC54" i="73"/>
  <c r="AE54" i="73"/>
  <c r="AG54" i="73"/>
  <c r="AJ54" i="73"/>
  <c r="AN54" i="73"/>
  <c r="AH54" i="73"/>
  <c r="AI54" i="73"/>
  <c r="Z54" i="73"/>
  <c r="AF54" i="73"/>
  <c r="M54" i="73"/>
  <c r="N54" i="73"/>
  <c r="O54" i="73"/>
  <c r="P54" i="73"/>
  <c r="Q54" i="73"/>
  <c r="T54" i="73"/>
  <c r="R54" i="73"/>
  <c r="S54" i="73"/>
  <c r="Y54" i="73"/>
  <c r="U54" i="73"/>
  <c r="X54" i="73"/>
  <c r="V54" i="73"/>
  <c r="W54" i="73"/>
  <c r="AD46" i="73"/>
  <c r="AK46" i="73"/>
  <c r="AL46" i="73"/>
  <c r="AM46" i="73"/>
  <c r="AF46" i="73"/>
  <c r="AG46" i="73"/>
  <c r="AH46" i="73"/>
  <c r="AI46" i="73"/>
  <c r="Z46" i="73"/>
  <c r="AB46" i="73"/>
  <c r="AE46" i="73"/>
  <c r="AJ46" i="73"/>
  <c r="AN46" i="73"/>
  <c r="R46" i="73"/>
  <c r="AA46" i="73"/>
  <c r="O46" i="73"/>
  <c r="M46" i="73"/>
  <c r="N46" i="73"/>
  <c r="AC46" i="73"/>
  <c r="P46" i="73"/>
  <c r="S46" i="73"/>
  <c r="T46" i="73"/>
  <c r="U46" i="73"/>
  <c r="V46" i="73"/>
  <c r="Y46" i="73"/>
  <c r="W46" i="73"/>
  <c r="X46" i="73"/>
  <c r="Q46" i="73"/>
  <c r="AN153" i="73"/>
  <c r="AL153" i="73"/>
  <c r="AB153" i="73"/>
  <c r="AC153" i="73"/>
  <c r="AF153" i="73"/>
  <c r="AG153" i="73"/>
  <c r="AH153" i="73"/>
  <c r="AI153" i="73"/>
  <c r="AJ153" i="73"/>
  <c r="AK153" i="73"/>
  <c r="S153" i="73"/>
  <c r="T153" i="73"/>
  <c r="Z153" i="73"/>
  <c r="W153" i="73"/>
  <c r="U153" i="73"/>
  <c r="X153" i="73"/>
  <c r="V153" i="73"/>
  <c r="Y153" i="73"/>
  <c r="P153" i="73"/>
  <c r="AE153" i="73"/>
  <c r="Q153" i="73"/>
  <c r="R153" i="73"/>
  <c r="AD153" i="73"/>
  <c r="AA153" i="73"/>
  <c r="N153" i="73"/>
  <c r="O153" i="73"/>
  <c r="M153" i="73"/>
  <c r="AM153" i="73"/>
  <c r="AN128" i="73"/>
  <c r="AF128" i="73"/>
  <c r="AH128" i="73"/>
  <c r="AK128" i="73"/>
  <c r="AL128" i="73"/>
  <c r="AM128" i="73"/>
  <c r="AD128" i="73"/>
  <c r="AE128" i="73"/>
  <c r="AG128" i="73"/>
  <c r="AI128" i="73"/>
  <c r="AJ128" i="73"/>
  <c r="Z128" i="73"/>
  <c r="X128" i="73"/>
  <c r="Y128" i="73"/>
  <c r="M128" i="73"/>
  <c r="R128" i="73"/>
  <c r="N128" i="73"/>
  <c r="O128" i="73"/>
  <c r="P128" i="73"/>
  <c r="Q128" i="73"/>
  <c r="S128" i="73"/>
  <c r="T128" i="73"/>
  <c r="W128" i="73"/>
  <c r="U128" i="73"/>
  <c r="V128" i="73"/>
  <c r="AC128" i="73"/>
  <c r="AA128" i="73"/>
  <c r="AB128" i="73"/>
  <c r="AC104" i="73"/>
  <c r="AF104" i="73"/>
  <c r="AB104" i="73"/>
  <c r="AN104" i="73"/>
  <c r="Z104" i="73"/>
  <c r="AD104" i="73"/>
  <c r="AE104" i="73"/>
  <c r="AG104" i="73"/>
  <c r="AA104" i="73"/>
  <c r="AH104" i="73"/>
  <c r="AI104" i="73"/>
  <c r="AJ104" i="73"/>
  <c r="AK104" i="73"/>
  <c r="P104" i="73"/>
  <c r="Q104" i="73"/>
  <c r="AL104" i="73"/>
  <c r="T104" i="73"/>
  <c r="N104" i="73"/>
  <c r="AM104" i="73"/>
  <c r="M104" i="73"/>
  <c r="X104" i="73"/>
  <c r="Y104" i="73"/>
  <c r="R104" i="73"/>
  <c r="U104" i="73"/>
  <c r="W104" i="73"/>
  <c r="O104" i="73"/>
  <c r="S104" i="73"/>
  <c r="V104" i="73"/>
  <c r="AN96" i="73"/>
  <c r="Z96" i="73"/>
  <c r="AH96" i="73"/>
  <c r="AK96" i="73"/>
  <c r="AM96" i="73"/>
  <c r="AC96" i="73"/>
  <c r="AD96" i="73"/>
  <c r="AF96" i="73"/>
  <c r="AG96" i="73"/>
  <c r="AI96" i="73"/>
  <c r="AA96" i="73"/>
  <c r="X96" i="73"/>
  <c r="Y96" i="73"/>
  <c r="AJ96" i="73"/>
  <c r="N96" i="73"/>
  <c r="AL96" i="73"/>
  <c r="O96" i="73"/>
  <c r="P96" i="73"/>
  <c r="Q96" i="73"/>
  <c r="T96" i="73"/>
  <c r="R96" i="73"/>
  <c r="S96" i="73"/>
  <c r="U96" i="73"/>
  <c r="AB96" i="73"/>
  <c r="M96" i="73"/>
  <c r="V96" i="73"/>
  <c r="W96" i="73"/>
  <c r="AE96" i="73"/>
  <c r="AN80" i="73"/>
  <c r="Z80" i="73"/>
  <c r="AJ80" i="73"/>
  <c r="AK80" i="73"/>
  <c r="AL80" i="73"/>
  <c r="AE80" i="73"/>
  <c r="AC80" i="73"/>
  <c r="AD80" i="73"/>
  <c r="AG80" i="73"/>
  <c r="AH80" i="73"/>
  <c r="AI80" i="73"/>
  <c r="AA80" i="73"/>
  <c r="AB80" i="73"/>
  <c r="AF80" i="73"/>
  <c r="AM80" i="73"/>
  <c r="X80" i="73"/>
  <c r="Y80" i="73"/>
  <c r="Q80" i="73"/>
  <c r="R80" i="73"/>
  <c r="S80" i="73"/>
  <c r="T80" i="73"/>
  <c r="W80" i="73"/>
  <c r="U80" i="73"/>
  <c r="V80" i="73"/>
  <c r="N80" i="73"/>
  <c r="O80" i="73"/>
  <c r="P80" i="73"/>
  <c r="M80" i="73"/>
  <c r="AN64" i="73"/>
  <c r="Z64" i="73"/>
  <c r="AA64" i="73"/>
  <c r="AC64" i="73"/>
  <c r="AI64" i="73"/>
  <c r="AJ64" i="73"/>
  <c r="AL64" i="73"/>
  <c r="AB64" i="73"/>
  <c r="AD64" i="73"/>
  <c r="AE64" i="73"/>
  <c r="AF64" i="73"/>
  <c r="AG64" i="73"/>
  <c r="X64" i="73"/>
  <c r="AH64" i="73"/>
  <c r="Y64" i="73"/>
  <c r="AK64" i="73"/>
  <c r="AM64" i="73"/>
  <c r="T64" i="73"/>
  <c r="U64" i="73"/>
  <c r="V64" i="73"/>
  <c r="W64" i="73"/>
  <c r="R64" i="73"/>
  <c r="S64" i="73"/>
  <c r="P64" i="73"/>
  <c r="Q64" i="73"/>
  <c r="M64" i="73"/>
  <c r="N64" i="73"/>
  <c r="O64" i="73"/>
  <c r="AH24" i="73"/>
  <c r="AK24" i="73"/>
  <c r="Z24" i="73"/>
  <c r="AA24" i="73"/>
  <c r="AN24" i="73"/>
  <c r="AB24" i="73"/>
  <c r="AC24" i="73"/>
  <c r="AD24" i="73"/>
  <c r="AE24" i="73"/>
  <c r="AG24" i="73"/>
  <c r="AM24" i="73"/>
  <c r="AJ24" i="73"/>
  <c r="AL24" i="73"/>
  <c r="P24" i="73"/>
  <c r="AI24" i="73"/>
  <c r="X24" i="73"/>
  <c r="S24" i="73"/>
  <c r="T24" i="73"/>
  <c r="U24" i="73"/>
  <c r="V24" i="73"/>
  <c r="W24" i="73"/>
  <c r="M24" i="73"/>
  <c r="N24" i="73"/>
  <c r="AF24" i="73"/>
  <c r="R24" i="73"/>
  <c r="Y24" i="73"/>
  <c r="O24" i="73"/>
  <c r="Q24" i="73"/>
  <c r="Z155" i="73"/>
  <c r="AB155" i="73"/>
  <c r="AJ155" i="73"/>
  <c r="AK155" i="73"/>
  <c r="AN155" i="73"/>
  <c r="AA155" i="73"/>
  <c r="AC155" i="73"/>
  <c r="AD155" i="73"/>
  <c r="AE155" i="73"/>
  <c r="AF155" i="73"/>
  <c r="Y155" i="73"/>
  <c r="AG155" i="73"/>
  <c r="AH155" i="73"/>
  <c r="M155" i="73"/>
  <c r="O155" i="73"/>
  <c r="P155" i="73"/>
  <c r="Q155" i="73"/>
  <c r="R155" i="73"/>
  <c r="U155" i="73"/>
  <c r="AI155" i="73"/>
  <c r="S155" i="73"/>
  <c r="AL155" i="73"/>
  <c r="T155" i="73"/>
  <c r="AM155" i="73"/>
  <c r="V155" i="73"/>
  <c r="N155" i="73"/>
  <c r="X155" i="73"/>
  <c r="W155" i="73"/>
  <c r="AL107" i="73"/>
  <c r="AN107" i="73"/>
  <c r="AA107" i="73"/>
  <c r="AB107" i="73"/>
  <c r="AC107" i="73"/>
  <c r="AK107" i="73"/>
  <c r="AM107" i="73"/>
  <c r="AG107" i="73"/>
  <c r="AH107" i="73"/>
  <c r="AI107" i="73"/>
  <c r="AJ107" i="73"/>
  <c r="AF107" i="73"/>
  <c r="Y107" i="73"/>
  <c r="M107" i="73"/>
  <c r="N107" i="73"/>
  <c r="P107" i="73"/>
  <c r="O107" i="73"/>
  <c r="U107" i="73"/>
  <c r="V107" i="73"/>
  <c r="W107" i="73"/>
  <c r="X107" i="73"/>
  <c r="S107" i="73"/>
  <c r="Z107" i="73"/>
  <c r="Q107" i="73"/>
  <c r="AD107" i="73"/>
  <c r="R107" i="73"/>
  <c r="AE107" i="73"/>
  <c r="T107" i="73"/>
  <c r="AE99" i="73"/>
  <c r="AF99" i="73"/>
  <c r="AN99" i="73"/>
  <c r="AB99" i="73"/>
  <c r="AG99" i="73"/>
  <c r="AM99" i="73"/>
  <c r="AD99" i="73"/>
  <c r="AH99" i="73"/>
  <c r="AJ99" i="73"/>
  <c r="AK99" i="73"/>
  <c r="AL99" i="73"/>
  <c r="Z99" i="73"/>
  <c r="AA99" i="73"/>
  <c r="Q99" i="73"/>
  <c r="AC99" i="73"/>
  <c r="R99" i="73"/>
  <c r="AI99" i="73"/>
  <c r="U99" i="73"/>
  <c r="M99" i="73"/>
  <c r="V99" i="73"/>
  <c r="N99" i="73"/>
  <c r="O99" i="73"/>
  <c r="P99" i="73"/>
  <c r="S99" i="73"/>
  <c r="T99" i="73"/>
  <c r="X99" i="73"/>
  <c r="Y99" i="73"/>
  <c r="W99" i="73"/>
  <c r="AA35" i="73"/>
  <c r="AE35" i="73"/>
  <c r="AF35" i="73"/>
  <c r="AG35" i="73"/>
  <c r="AJ35" i="73"/>
  <c r="AK35" i="73"/>
  <c r="AL35" i="73"/>
  <c r="AM35" i="73"/>
  <c r="Z35" i="73"/>
  <c r="AC35" i="73"/>
  <c r="AB35" i="73"/>
  <c r="AD35" i="73"/>
  <c r="AH35" i="73"/>
  <c r="Q35" i="73"/>
  <c r="V35" i="73"/>
  <c r="AI35" i="73"/>
  <c r="M35" i="73"/>
  <c r="Y35" i="73"/>
  <c r="P35" i="73"/>
  <c r="N35" i="73"/>
  <c r="O35" i="73"/>
  <c r="W35" i="73"/>
  <c r="X35" i="73"/>
  <c r="AN35" i="73"/>
  <c r="R35" i="73"/>
  <c r="S35" i="73"/>
  <c r="T35" i="73"/>
  <c r="U35" i="73"/>
  <c r="AA19" i="73"/>
  <c r="AE19" i="73"/>
  <c r="AF19" i="73"/>
  <c r="AG19" i="73"/>
  <c r="Z19" i="73"/>
  <c r="AB19" i="73"/>
  <c r="AC19" i="73"/>
  <c r="AD19" i="73"/>
  <c r="AI19" i="73"/>
  <c r="AH19" i="73"/>
  <c r="Q19" i="73"/>
  <c r="R19" i="73"/>
  <c r="U19" i="73"/>
  <c r="N19" i="73"/>
  <c r="O19" i="73"/>
  <c r="AJ19" i="73"/>
  <c r="AK19" i="73"/>
  <c r="AL19" i="73"/>
  <c r="T19" i="73"/>
  <c r="M19" i="73"/>
  <c r="P19" i="73"/>
  <c r="S19" i="73"/>
  <c r="V19" i="73"/>
  <c r="W19" i="73"/>
  <c r="AN19" i="73"/>
  <c r="AM19" i="73"/>
  <c r="X19" i="73"/>
  <c r="Y19" i="73"/>
  <c r="AN134" i="73"/>
  <c r="AB134" i="73"/>
  <c r="AI134" i="73"/>
  <c r="AL134" i="73"/>
  <c r="AM134" i="73"/>
  <c r="AK134" i="73"/>
  <c r="AF134" i="73"/>
  <c r="AG134" i="73"/>
  <c r="AH134" i="73"/>
  <c r="AJ134" i="73"/>
  <c r="N134" i="73"/>
  <c r="AE134" i="73"/>
  <c r="M134" i="73"/>
  <c r="O134" i="73"/>
  <c r="P134" i="73"/>
  <c r="S134" i="73"/>
  <c r="Q134" i="73"/>
  <c r="R134" i="73"/>
  <c r="V134" i="73"/>
  <c r="W134" i="73"/>
  <c r="X134" i="73"/>
  <c r="Y134" i="73"/>
  <c r="Z134" i="73"/>
  <c r="AA134" i="73"/>
  <c r="AD134" i="73"/>
  <c r="AC134" i="73"/>
  <c r="U134" i="73"/>
  <c r="T134" i="73"/>
  <c r="AK94" i="73"/>
  <c r="AL94" i="73"/>
  <c r="AN94" i="73"/>
  <c r="Z94" i="73"/>
  <c r="AC94" i="73"/>
  <c r="AH94" i="73"/>
  <c r="AI94" i="73"/>
  <c r="AM94" i="73"/>
  <c r="AJ94" i="73"/>
  <c r="AB94" i="73"/>
  <c r="R94" i="73"/>
  <c r="AD94" i="73"/>
  <c r="S94" i="73"/>
  <c r="AE94" i="73"/>
  <c r="AF94" i="73"/>
  <c r="AG94" i="73"/>
  <c r="V94" i="73"/>
  <c r="T94" i="73"/>
  <c r="U94" i="73"/>
  <c r="W94" i="73"/>
  <c r="X94" i="73"/>
  <c r="Y94" i="73"/>
  <c r="N94" i="73"/>
  <c r="O94" i="73"/>
  <c r="P94" i="73"/>
  <c r="Q94" i="73"/>
  <c r="AA94" i="73"/>
  <c r="M94" i="73"/>
  <c r="AK62" i="73"/>
  <c r="AL62" i="73"/>
  <c r="AF62" i="73"/>
  <c r="AG62" i="73"/>
  <c r="AH62" i="73"/>
  <c r="AI62" i="73"/>
  <c r="AM62" i="73"/>
  <c r="AN62" i="73"/>
  <c r="Z62" i="73"/>
  <c r="AA62" i="73"/>
  <c r="AB62" i="73"/>
  <c r="AJ62" i="73"/>
  <c r="R62" i="73"/>
  <c r="S62" i="73"/>
  <c r="T62" i="73"/>
  <c r="U62" i="73"/>
  <c r="V62" i="73"/>
  <c r="Y62" i="73"/>
  <c r="AC62" i="73"/>
  <c r="AD62" i="73"/>
  <c r="AE62" i="73"/>
  <c r="M62" i="73"/>
  <c r="N62" i="73"/>
  <c r="O62" i="73"/>
  <c r="P62" i="73"/>
  <c r="Q62" i="73"/>
  <c r="W62" i="73"/>
  <c r="X62" i="73"/>
  <c r="AN121" i="73"/>
  <c r="AH121" i="73"/>
  <c r="AF121" i="73"/>
  <c r="AA121" i="73"/>
  <c r="AD121" i="73"/>
  <c r="AE121" i="73"/>
  <c r="AG121" i="73"/>
  <c r="AL121" i="73"/>
  <c r="AM121" i="73"/>
  <c r="S121" i="73"/>
  <c r="T121" i="73"/>
  <c r="W121" i="73"/>
  <c r="X121" i="73"/>
  <c r="Y121" i="73"/>
  <c r="Z121" i="73"/>
  <c r="AB121" i="73"/>
  <c r="AC121" i="73"/>
  <c r="O121" i="73"/>
  <c r="AI121" i="73"/>
  <c r="P121" i="73"/>
  <c r="Q121" i="73"/>
  <c r="AK121" i="73"/>
  <c r="AJ121" i="73"/>
  <c r="R121" i="73"/>
  <c r="M121" i="73"/>
  <c r="N121" i="73"/>
  <c r="U121" i="73"/>
  <c r="V121" i="73"/>
  <c r="AA65" i="73"/>
  <c r="AN65" i="73"/>
  <c r="AB65" i="73"/>
  <c r="Z65" i="73"/>
  <c r="AC65" i="73"/>
  <c r="AD65" i="73"/>
  <c r="AG65" i="73"/>
  <c r="AE65" i="73"/>
  <c r="AK65" i="73"/>
  <c r="AL65" i="73"/>
  <c r="AM65" i="73"/>
  <c r="M65" i="73"/>
  <c r="N65" i="73"/>
  <c r="AF65" i="73"/>
  <c r="O65" i="73"/>
  <c r="P65" i="73"/>
  <c r="Q65" i="73"/>
  <c r="R65" i="73"/>
  <c r="S65" i="73"/>
  <c r="T65" i="73"/>
  <c r="AI65" i="73"/>
  <c r="W65" i="73"/>
  <c r="Y65" i="73"/>
  <c r="AJ65" i="73"/>
  <c r="V65" i="73"/>
  <c r="U65" i="73"/>
  <c r="X65" i="73"/>
  <c r="AH65" i="73"/>
  <c r="AJ49" i="73"/>
  <c r="AA49" i="73"/>
  <c r="AN49" i="73"/>
  <c r="AB49" i="73"/>
  <c r="AC49" i="73"/>
  <c r="AG49" i="73"/>
  <c r="AH49" i="73"/>
  <c r="AI49" i="73"/>
  <c r="AK49" i="73"/>
  <c r="AM49" i="73"/>
  <c r="AE49" i="73"/>
  <c r="AF49" i="73"/>
  <c r="AL49" i="73"/>
  <c r="Y49" i="73"/>
  <c r="M49" i="73"/>
  <c r="Z49" i="73"/>
  <c r="O49" i="73"/>
  <c r="AD49" i="73"/>
  <c r="N49" i="73"/>
  <c r="P49" i="73"/>
  <c r="Q49" i="73"/>
  <c r="R49" i="73"/>
  <c r="S49" i="73"/>
  <c r="T49" i="73"/>
  <c r="U49" i="73"/>
  <c r="X49" i="73"/>
  <c r="V49" i="73"/>
  <c r="W49" i="73"/>
  <c r="AN41" i="73"/>
  <c r="AJ41" i="73"/>
  <c r="AA41" i="73"/>
  <c r="AB41" i="73"/>
  <c r="AC41" i="73"/>
  <c r="AL41" i="73"/>
  <c r="AM41" i="73"/>
  <c r="AF41" i="73"/>
  <c r="AG41" i="73"/>
  <c r="AI41" i="73"/>
  <c r="Z41" i="73"/>
  <c r="AD41" i="73"/>
  <c r="AE41" i="73"/>
  <c r="S41" i="73"/>
  <c r="AH41" i="73"/>
  <c r="AK41" i="73"/>
  <c r="V41" i="73"/>
  <c r="W41" i="73"/>
  <c r="X41" i="73"/>
  <c r="Y41" i="73"/>
  <c r="M41" i="73"/>
  <c r="Q41" i="73"/>
  <c r="R41" i="73"/>
  <c r="T41" i="73"/>
  <c r="U41" i="73"/>
  <c r="O41" i="73"/>
  <c r="P41" i="73"/>
  <c r="N41" i="73"/>
  <c r="AN156" i="73"/>
  <c r="AB156" i="73"/>
  <c r="AD156" i="73"/>
  <c r="Z156" i="73"/>
  <c r="AI156" i="73"/>
  <c r="AJ156" i="73"/>
  <c r="AK156" i="73"/>
  <c r="AL156" i="73"/>
  <c r="AM156" i="73"/>
  <c r="M156" i="73"/>
  <c r="P156" i="73"/>
  <c r="U156" i="73"/>
  <c r="V156" i="73"/>
  <c r="W156" i="73"/>
  <c r="X156" i="73"/>
  <c r="Y156" i="73"/>
  <c r="O156" i="73"/>
  <c r="Q156" i="73"/>
  <c r="R156" i="73"/>
  <c r="S156" i="73"/>
  <c r="AH156" i="73"/>
  <c r="AA156" i="73"/>
  <c r="AC156" i="73"/>
  <c r="AE156" i="73"/>
  <c r="AF156" i="73"/>
  <c r="AG156" i="73"/>
  <c r="N156" i="73"/>
  <c r="T156" i="73"/>
  <c r="AN124" i="73"/>
  <c r="AL124" i="73"/>
  <c r="Z124" i="73"/>
  <c r="AA124" i="73"/>
  <c r="AK124" i="73"/>
  <c r="AM124" i="73"/>
  <c r="M124" i="73"/>
  <c r="P124" i="73"/>
  <c r="AG124" i="73"/>
  <c r="W124" i="73"/>
  <c r="AH124" i="73"/>
  <c r="X124" i="73"/>
  <c r="AI124" i="73"/>
  <c r="Y124" i="73"/>
  <c r="AJ124" i="73"/>
  <c r="N124" i="73"/>
  <c r="R124" i="73"/>
  <c r="O124" i="73"/>
  <c r="Q124" i="73"/>
  <c r="U124" i="73"/>
  <c r="AD124" i="73"/>
  <c r="V124" i="73"/>
  <c r="AE124" i="73"/>
  <c r="AB124" i="73"/>
  <c r="AC124" i="73"/>
  <c r="AF124" i="73"/>
  <c r="S124" i="73"/>
  <c r="T124" i="73"/>
  <c r="AH116" i="73"/>
  <c r="AB116" i="73"/>
  <c r="AC116" i="73"/>
  <c r="AD116" i="73"/>
  <c r="AI116" i="73"/>
  <c r="AJ116" i="73"/>
  <c r="AK116" i="73"/>
  <c r="AL116" i="73"/>
  <c r="AM116" i="73"/>
  <c r="T116" i="73"/>
  <c r="U116" i="73"/>
  <c r="AN116" i="73"/>
  <c r="Z116" i="73"/>
  <c r="AA116" i="73"/>
  <c r="X116" i="73"/>
  <c r="AF116" i="73"/>
  <c r="M116" i="73"/>
  <c r="N116" i="73"/>
  <c r="AE116" i="73"/>
  <c r="O116" i="73"/>
  <c r="P116" i="73"/>
  <c r="Q116" i="73"/>
  <c r="R116" i="73"/>
  <c r="S116" i="73"/>
  <c r="V116" i="73"/>
  <c r="W116" i="73"/>
  <c r="Y116" i="73"/>
  <c r="AG116" i="73"/>
  <c r="AG84" i="73"/>
  <c r="AH84" i="73"/>
  <c r="AJ84" i="73"/>
  <c r="AK84" i="73"/>
  <c r="AL84" i="73"/>
  <c r="Z84" i="73"/>
  <c r="AA84" i="73"/>
  <c r="AC84" i="73"/>
  <c r="AD84" i="73"/>
  <c r="AE84" i="73"/>
  <c r="AN84" i="73"/>
  <c r="AB84" i="73"/>
  <c r="AF84" i="73"/>
  <c r="AI84" i="73"/>
  <c r="T84" i="73"/>
  <c r="U84" i="73"/>
  <c r="W84" i="73"/>
  <c r="AM84" i="73"/>
  <c r="X84" i="73"/>
  <c r="M84" i="73"/>
  <c r="O84" i="73"/>
  <c r="N84" i="73"/>
  <c r="Y84" i="73"/>
  <c r="V84" i="73"/>
  <c r="P84" i="73"/>
  <c r="Q84" i="73"/>
  <c r="R84" i="73"/>
  <c r="S84" i="73"/>
  <c r="AN76" i="73"/>
  <c r="AG76" i="73"/>
  <c r="AH76" i="73"/>
  <c r="AL76" i="73"/>
  <c r="AM76" i="73"/>
  <c r="AK76" i="73"/>
  <c r="AE76" i="73"/>
  <c r="AF76" i="73"/>
  <c r="AJ76" i="73"/>
  <c r="AI76" i="73"/>
  <c r="Z76" i="73"/>
  <c r="AA76" i="73"/>
  <c r="AB76" i="73"/>
  <c r="AC76" i="73"/>
  <c r="AD76" i="73"/>
  <c r="M76" i="73"/>
  <c r="O76" i="73"/>
  <c r="P76" i="73"/>
  <c r="Y76" i="73"/>
  <c r="X76" i="73"/>
  <c r="V76" i="73"/>
  <c r="W76" i="73"/>
  <c r="Q76" i="73"/>
  <c r="R76" i="73"/>
  <c r="T76" i="73"/>
  <c r="U76" i="73"/>
  <c r="N76" i="73"/>
  <c r="S76" i="73"/>
  <c r="Z52" i="73"/>
  <c r="AG52" i="73"/>
  <c r="AH52" i="73"/>
  <c r="AI52" i="73"/>
  <c r="AF52" i="73"/>
  <c r="AJ52" i="73"/>
  <c r="AN52" i="73"/>
  <c r="AK52" i="73"/>
  <c r="AL52" i="73"/>
  <c r="AD52" i="73"/>
  <c r="AE52" i="73"/>
  <c r="AB52" i="73"/>
  <c r="AC52" i="73"/>
  <c r="AM52" i="73"/>
  <c r="T52" i="73"/>
  <c r="U52" i="73"/>
  <c r="V52" i="73"/>
  <c r="W52" i="73"/>
  <c r="X52" i="73"/>
  <c r="N52" i="73"/>
  <c r="Y52" i="73"/>
  <c r="O52" i="73"/>
  <c r="P52" i="73"/>
  <c r="Q52" i="73"/>
  <c r="R52" i="73"/>
  <c r="S52" i="73"/>
  <c r="M52" i="73"/>
  <c r="AA52" i="73"/>
  <c r="Z28" i="73"/>
  <c r="AN28" i="73"/>
  <c r="AC28" i="73"/>
  <c r="AG28" i="73"/>
  <c r="AH28" i="73"/>
  <c r="AI28" i="73"/>
  <c r="AB28" i="73"/>
  <c r="AD28" i="73"/>
  <c r="AE28" i="73"/>
  <c r="AF28" i="73"/>
  <c r="AJ28" i="73"/>
  <c r="AK28" i="73"/>
  <c r="AL28" i="73"/>
  <c r="W28" i="73"/>
  <c r="Y28" i="73"/>
  <c r="M28" i="73"/>
  <c r="N28" i="73"/>
  <c r="O28" i="73"/>
  <c r="P28" i="73"/>
  <c r="S28" i="73"/>
  <c r="Q28" i="73"/>
  <c r="R28" i="73"/>
  <c r="AA28" i="73"/>
  <c r="AM28" i="73"/>
  <c r="U28" i="73"/>
  <c r="T28" i="73"/>
  <c r="X28" i="73"/>
  <c r="V28" i="73"/>
  <c r="Z20" i="73"/>
  <c r="AC20" i="73"/>
  <c r="AG20" i="73"/>
  <c r="AH20" i="73"/>
  <c r="AI20" i="73"/>
  <c r="AK20" i="73"/>
  <c r="AL20" i="73"/>
  <c r="AM20" i="73"/>
  <c r="AA20" i="73"/>
  <c r="AB20" i="73"/>
  <c r="AE20" i="73"/>
  <c r="AJ20" i="73"/>
  <c r="AD20" i="73"/>
  <c r="T20" i="73"/>
  <c r="AF20" i="73"/>
  <c r="U20" i="73"/>
  <c r="X20" i="73"/>
  <c r="V20" i="73"/>
  <c r="W20" i="73"/>
  <c r="R20" i="73"/>
  <c r="S20" i="73"/>
  <c r="Y20" i="73"/>
  <c r="AN20" i="73"/>
  <c r="O20" i="73"/>
  <c r="Q20" i="73"/>
  <c r="M20" i="73"/>
  <c r="N20" i="73"/>
  <c r="P20" i="73"/>
  <c r="Z15" i="73"/>
  <c r="X15" i="73"/>
  <c r="AA15" i="73"/>
  <c r="Y15" i="73"/>
  <c r="AD15" i="73"/>
  <c r="O15" i="73"/>
  <c r="P15" i="73"/>
  <c r="AB15" i="73"/>
  <c r="S15" i="73"/>
  <c r="AF15" i="73"/>
  <c r="AG15" i="73"/>
  <c r="AH15" i="73"/>
  <c r="AI15" i="73"/>
  <c r="AJ15" i="73"/>
  <c r="M15" i="73"/>
  <c r="N15" i="73"/>
  <c r="Q15" i="73"/>
  <c r="R15" i="73"/>
  <c r="AE15" i="73"/>
  <c r="AK15" i="73"/>
  <c r="AL15" i="73"/>
  <c r="AC15" i="73"/>
  <c r="AM15" i="73"/>
  <c r="W15" i="73"/>
  <c r="T15" i="73"/>
  <c r="U15" i="73"/>
  <c r="V15" i="73"/>
  <c r="AJ159" i="73"/>
  <c r="AG159" i="73"/>
  <c r="AH159" i="73"/>
  <c r="AL159" i="73"/>
  <c r="AK159" i="73"/>
  <c r="AM159" i="73"/>
  <c r="AD159" i="73"/>
  <c r="AE159" i="73"/>
  <c r="V159" i="73"/>
  <c r="AF159" i="73"/>
  <c r="AI159" i="73"/>
  <c r="Y159" i="73"/>
  <c r="S159" i="73"/>
  <c r="T159" i="73"/>
  <c r="U159" i="73"/>
  <c r="AN159" i="73"/>
  <c r="W159" i="73"/>
  <c r="Z159" i="73"/>
  <c r="X159" i="73"/>
  <c r="O159" i="73"/>
  <c r="M159" i="73"/>
  <c r="N159" i="73"/>
  <c r="AB159" i="73"/>
  <c r="AA159" i="73"/>
  <c r="AC159" i="73"/>
  <c r="P159" i="73"/>
  <c r="Q159" i="73"/>
  <c r="R159" i="73"/>
  <c r="AD111" i="73"/>
  <c r="AJ111" i="73"/>
  <c r="Z111" i="73"/>
  <c r="AA111" i="73"/>
  <c r="AF111" i="73"/>
  <c r="AG111" i="73"/>
  <c r="AH111" i="73"/>
  <c r="AI111" i="73"/>
  <c r="AK111" i="73"/>
  <c r="AN111" i="73"/>
  <c r="AE111" i="73"/>
  <c r="U111" i="73"/>
  <c r="AL111" i="73"/>
  <c r="V111" i="73"/>
  <c r="AM111" i="73"/>
  <c r="Y111" i="73"/>
  <c r="O111" i="73"/>
  <c r="P111" i="73"/>
  <c r="W111" i="73"/>
  <c r="Q111" i="73"/>
  <c r="R111" i="73"/>
  <c r="S111" i="73"/>
  <c r="T111" i="73"/>
  <c r="AB111" i="73"/>
  <c r="AC111" i="73"/>
  <c r="M111" i="73"/>
  <c r="N111" i="73"/>
  <c r="X111" i="73"/>
  <c r="AC7" i="73"/>
  <c r="AE7" i="73"/>
  <c r="AH7" i="73"/>
  <c r="AI7" i="73"/>
  <c r="AJ7" i="73"/>
  <c r="AM7" i="73"/>
  <c r="AD7" i="73"/>
  <c r="Z7" i="73"/>
  <c r="S7" i="73"/>
  <c r="AA7" i="73"/>
  <c r="AB7" i="73"/>
  <c r="AF7" i="73"/>
  <c r="V7" i="73"/>
  <c r="X7" i="73"/>
  <c r="Y7" i="73"/>
  <c r="M7" i="73"/>
  <c r="AK7" i="73"/>
  <c r="Q7" i="73"/>
  <c r="AL7" i="73"/>
  <c r="R7" i="73"/>
  <c r="T7" i="73"/>
  <c r="U7" i="73"/>
  <c r="O7" i="73"/>
  <c r="P7" i="73"/>
  <c r="AG7" i="73"/>
  <c r="W7" i="73"/>
  <c r="N7" i="73"/>
  <c r="AN146" i="73"/>
  <c r="Z146" i="73"/>
  <c r="AH146" i="73"/>
  <c r="AI146" i="73"/>
  <c r="AK146" i="73"/>
  <c r="AL146" i="73"/>
  <c r="AM146" i="73"/>
  <c r="N146" i="73"/>
  <c r="O146" i="73"/>
  <c r="AA146" i="73"/>
  <c r="R146" i="73"/>
  <c r="M146" i="73"/>
  <c r="U146" i="73"/>
  <c r="P146" i="73"/>
  <c r="Q146" i="73"/>
  <c r="S146" i="73"/>
  <c r="T146" i="73"/>
  <c r="AC146" i="73"/>
  <c r="AD146" i="73"/>
  <c r="AF146" i="73"/>
  <c r="AG146" i="73"/>
  <c r="AE146" i="73"/>
  <c r="V146" i="73"/>
  <c r="W146" i="73"/>
  <c r="Y146" i="73"/>
  <c r="AB146" i="73"/>
  <c r="X146" i="73"/>
  <c r="AJ146" i="73"/>
  <c r="AJ138" i="73"/>
  <c r="AN138" i="73"/>
  <c r="AD138" i="73"/>
  <c r="AG138" i="73"/>
  <c r="AH138" i="73"/>
  <c r="AI138" i="73"/>
  <c r="AA138" i="73"/>
  <c r="AB138" i="73"/>
  <c r="AC138" i="73"/>
  <c r="AE138" i="73"/>
  <c r="AF138" i="73"/>
  <c r="V138" i="73"/>
  <c r="W138" i="73"/>
  <c r="R138" i="73"/>
  <c r="S138" i="73"/>
  <c r="T138" i="73"/>
  <c r="U138" i="73"/>
  <c r="X138" i="73"/>
  <c r="Y138" i="73"/>
  <c r="Z138" i="73"/>
  <c r="AK138" i="73"/>
  <c r="AM138" i="73"/>
  <c r="AL138" i="73"/>
  <c r="O138" i="73"/>
  <c r="P138" i="73"/>
  <c r="N138" i="73"/>
  <c r="M138" i="73"/>
  <c r="Q138" i="73"/>
  <c r="AG106" i="73"/>
  <c r="AJ106" i="73"/>
  <c r="AL106" i="73"/>
  <c r="AK106" i="73"/>
  <c r="AB106" i="73"/>
  <c r="AC106" i="73"/>
  <c r="AD106" i="73"/>
  <c r="AE106" i="73"/>
  <c r="AF106" i="73"/>
  <c r="AN106" i="73"/>
  <c r="V106" i="73"/>
  <c r="W106" i="73"/>
  <c r="T106" i="73"/>
  <c r="U106" i="73"/>
  <c r="X106" i="73"/>
  <c r="Y106" i="73"/>
  <c r="AI106" i="73"/>
  <c r="R106" i="73"/>
  <c r="AM106" i="73"/>
  <c r="S106" i="73"/>
  <c r="M106" i="73"/>
  <c r="N106" i="73"/>
  <c r="O106" i="73"/>
  <c r="AA106" i="73"/>
  <c r="Z106" i="73"/>
  <c r="AH106" i="73"/>
  <c r="P106" i="73"/>
  <c r="Q106" i="73"/>
  <c r="AC98" i="73"/>
  <c r="AD98" i="73"/>
  <c r="AN98" i="73"/>
  <c r="AA98" i="73"/>
  <c r="AG98" i="73"/>
  <c r="Z98" i="73"/>
  <c r="AB98" i="73"/>
  <c r="AE98" i="73"/>
  <c r="AJ98" i="73"/>
  <c r="AK98" i="73"/>
  <c r="AL98" i="73"/>
  <c r="AM98" i="73"/>
  <c r="N98" i="73"/>
  <c r="O98" i="73"/>
  <c r="R98" i="73"/>
  <c r="M98" i="73"/>
  <c r="AF98" i="73"/>
  <c r="Y98" i="73"/>
  <c r="Q98" i="73"/>
  <c r="P98" i="73"/>
  <c r="AH98" i="73"/>
  <c r="S98" i="73"/>
  <c r="T98" i="73"/>
  <c r="V98" i="73"/>
  <c r="W98" i="73"/>
  <c r="U98" i="73"/>
  <c r="AI98" i="73"/>
  <c r="X98" i="73"/>
  <c r="AC90" i="73"/>
  <c r="AD90" i="73"/>
  <c r="Z90" i="73"/>
  <c r="AE90" i="73"/>
  <c r="AK90" i="73"/>
  <c r="AN90" i="73"/>
  <c r="AA90" i="73"/>
  <c r="AG90" i="73"/>
  <c r="AH90" i="73"/>
  <c r="AI90" i="73"/>
  <c r="AJ90" i="73"/>
  <c r="AL90" i="73"/>
  <c r="V90" i="73"/>
  <c r="W90" i="73"/>
  <c r="AB90" i="73"/>
  <c r="M90" i="73"/>
  <c r="S90" i="73"/>
  <c r="N90" i="73"/>
  <c r="O90" i="73"/>
  <c r="AF90" i="73"/>
  <c r="P90" i="73"/>
  <c r="AM90" i="73"/>
  <c r="Q90" i="73"/>
  <c r="R90" i="73"/>
  <c r="T90" i="73"/>
  <c r="U90" i="73"/>
  <c r="X90" i="73"/>
  <c r="Y90" i="73"/>
  <c r="AC82" i="73"/>
  <c r="AD82" i="73"/>
  <c r="AN82" i="73"/>
  <c r="Z82" i="73"/>
  <c r="AA82" i="73"/>
  <c r="AB82" i="73"/>
  <c r="AG82" i="73"/>
  <c r="AE82" i="73"/>
  <c r="AH82" i="73"/>
  <c r="AI82" i="73"/>
  <c r="AJ82" i="73"/>
  <c r="AF82" i="73"/>
  <c r="AK82" i="73"/>
  <c r="AL82" i="73"/>
  <c r="AM82" i="73"/>
  <c r="N82" i="73"/>
  <c r="O82" i="73"/>
  <c r="Q82" i="73"/>
  <c r="R82" i="73"/>
  <c r="M82" i="73"/>
  <c r="P82" i="73"/>
  <c r="S82" i="73"/>
  <c r="T82" i="73"/>
  <c r="U82" i="73"/>
  <c r="Y82" i="73"/>
  <c r="V82" i="73"/>
  <c r="W82" i="73"/>
  <c r="X82" i="73"/>
  <c r="AC66" i="73"/>
  <c r="AD66" i="73"/>
  <c r="AN66" i="73"/>
  <c r="AF66" i="73"/>
  <c r="AG66" i="73"/>
  <c r="AH66" i="73"/>
  <c r="AK66" i="73"/>
  <c r="AE66" i="73"/>
  <c r="AI66" i="73"/>
  <c r="AL66" i="73"/>
  <c r="Z66" i="73"/>
  <c r="AA66" i="73"/>
  <c r="AB66" i="73"/>
  <c r="AJ66" i="73"/>
  <c r="AM66" i="73"/>
  <c r="N66" i="73"/>
  <c r="O66" i="73"/>
  <c r="P66" i="73"/>
  <c r="Q66" i="73"/>
  <c r="R66" i="73"/>
  <c r="T66" i="73"/>
  <c r="U66" i="73"/>
  <c r="V66" i="73"/>
  <c r="W66" i="73"/>
  <c r="X66" i="73"/>
  <c r="Y66" i="73"/>
  <c r="M66" i="73"/>
  <c r="S66" i="73"/>
  <c r="AN162" i="73"/>
  <c r="Z162" i="73"/>
  <c r="AA162" i="73"/>
  <c r="AD162" i="73"/>
  <c r="AJ162" i="73"/>
  <c r="AK162" i="73"/>
  <c r="O162" i="73"/>
  <c r="AB162" i="73"/>
  <c r="R162" i="73"/>
  <c r="Q162" i="73"/>
  <c r="S162" i="73"/>
  <c r="T162" i="73"/>
  <c r="U162" i="73"/>
  <c r="V162" i="73"/>
  <c r="AE162" i="73"/>
  <c r="AC162" i="73"/>
  <c r="W162" i="73"/>
  <c r="AM162" i="73"/>
  <c r="AG162" i="73"/>
  <c r="AH162" i="73"/>
  <c r="AL162" i="73"/>
  <c r="AI162" i="73"/>
  <c r="N162" i="73"/>
  <c r="P162" i="73"/>
  <c r="Y162" i="73"/>
  <c r="X162" i="73"/>
  <c r="M162" i="73"/>
  <c r="AF162" i="73"/>
  <c r="AD9" i="73"/>
  <c r="V9" i="73"/>
  <c r="AE9" i="73"/>
  <c r="W9" i="73"/>
  <c r="AH9" i="73"/>
  <c r="AA9" i="73"/>
  <c r="N9" i="73"/>
  <c r="AB9" i="73"/>
  <c r="O9" i="73"/>
  <c r="AG9" i="73"/>
  <c r="R9" i="73"/>
  <c r="M9" i="73"/>
  <c r="P9" i="73"/>
  <c r="Q9" i="73"/>
  <c r="Z9" i="73"/>
  <c r="S9" i="73"/>
  <c r="AC9" i="73"/>
  <c r="T9" i="73"/>
  <c r="AF9" i="73"/>
  <c r="U9" i="73"/>
  <c r="Y9" i="73"/>
  <c r="AI9" i="73"/>
  <c r="X9" i="73"/>
  <c r="AJ9" i="73"/>
  <c r="AK9" i="73"/>
  <c r="AL9" i="73"/>
  <c r="AM9" i="73"/>
  <c r="AF136" i="73"/>
  <c r="AN136" i="73"/>
  <c r="AA136" i="73"/>
  <c r="AB136" i="73"/>
  <c r="AC136" i="73"/>
  <c r="AH136" i="73"/>
  <c r="AI136" i="73"/>
  <c r="AJ136" i="73"/>
  <c r="AK136" i="73"/>
  <c r="AL136" i="73"/>
  <c r="Z136" i="73"/>
  <c r="P136" i="73"/>
  <c r="AD136" i="73"/>
  <c r="Q136" i="73"/>
  <c r="AE136" i="73"/>
  <c r="AG136" i="73"/>
  <c r="AM136" i="73"/>
  <c r="T136" i="73"/>
  <c r="Y136" i="73"/>
  <c r="S136" i="73"/>
  <c r="M136" i="73"/>
  <c r="R136" i="73"/>
  <c r="N136" i="73"/>
  <c r="O136" i="73"/>
  <c r="U136" i="73"/>
  <c r="V136" i="73"/>
  <c r="W136" i="73"/>
  <c r="X136" i="73"/>
  <c r="AN120" i="73"/>
  <c r="AF120" i="73"/>
  <c r="AC120" i="73"/>
  <c r="Z120" i="73"/>
  <c r="AA120" i="73"/>
  <c r="AB120" i="73"/>
  <c r="AD120" i="73"/>
  <c r="AE120" i="73"/>
  <c r="AG120" i="73"/>
  <c r="AH120" i="73"/>
  <c r="AI120" i="73"/>
  <c r="AJ120" i="73"/>
  <c r="AK120" i="73"/>
  <c r="AL120" i="73"/>
  <c r="P120" i="73"/>
  <c r="Q120" i="73"/>
  <c r="T120" i="73"/>
  <c r="O120" i="73"/>
  <c r="R120" i="73"/>
  <c r="S120" i="73"/>
  <c r="AM120" i="73"/>
  <c r="U120" i="73"/>
  <c r="V120" i="73"/>
  <c r="X120" i="73"/>
  <c r="W120" i="73"/>
  <c r="M120" i="73"/>
  <c r="N120" i="73"/>
  <c r="Y120" i="73"/>
  <c r="Z72" i="73"/>
  <c r="AL72" i="73"/>
  <c r="AN72" i="73"/>
  <c r="AM72" i="73"/>
  <c r="AA72" i="73"/>
  <c r="AD72" i="73"/>
  <c r="AG72" i="73"/>
  <c r="AH72" i="73"/>
  <c r="AJ72" i="73"/>
  <c r="AK72" i="73"/>
  <c r="AB72" i="73"/>
  <c r="AC72" i="73"/>
  <c r="AE72" i="73"/>
  <c r="AF72" i="73"/>
  <c r="AI72" i="73"/>
  <c r="P72" i="73"/>
  <c r="Q72" i="73"/>
  <c r="R72" i="73"/>
  <c r="S72" i="73"/>
  <c r="T72" i="73"/>
  <c r="M72" i="73"/>
  <c r="N72" i="73"/>
  <c r="U72" i="73"/>
  <c r="O72" i="73"/>
  <c r="V72" i="73"/>
  <c r="X72" i="73"/>
  <c r="Y72" i="73"/>
  <c r="W72" i="73"/>
  <c r="AH56" i="73"/>
  <c r="Z56" i="73"/>
  <c r="AA56" i="73"/>
  <c r="AB56" i="73"/>
  <c r="AK56" i="73"/>
  <c r="AL56" i="73"/>
  <c r="AC56" i="73"/>
  <c r="AN56" i="73"/>
  <c r="AD56" i="73"/>
  <c r="AE56" i="73"/>
  <c r="AF56" i="73"/>
  <c r="AG56" i="73"/>
  <c r="AI56" i="73"/>
  <c r="P56" i="73"/>
  <c r="Q56" i="73"/>
  <c r="AJ56" i="73"/>
  <c r="R56" i="73"/>
  <c r="AM56" i="73"/>
  <c r="S56" i="73"/>
  <c r="T56" i="73"/>
  <c r="M56" i="73"/>
  <c r="O56" i="73"/>
  <c r="N56" i="73"/>
  <c r="V56" i="73"/>
  <c r="W56" i="73"/>
  <c r="Y56" i="73"/>
  <c r="X56" i="73"/>
  <c r="U56" i="73"/>
  <c r="AH40" i="73"/>
  <c r="Z40" i="73"/>
  <c r="AA40" i="73"/>
  <c r="AE40" i="73"/>
  <c r="AF40" i="73"/>
  <c r="AG40" i="73"/>
  <c r="AI40" i="73"/>
  <c r="AK40" i="73"/>
  <c r="AJ40" i="73"/>
  <c r="AL40" i="73"/>
  <c r="AM40" i="73"/>
  <c r="AC40" i="73"/>
  <c r="P40" i="73"/>
  <c r="AD40" i="73"/>
  <c r="AB40" i="73"/>
  <c r="Y40" i="73"/>
  <c r="Q40" i="73"/>
  <c r="R40" i="73"/>
  <c r="S40" i="73"/>
  <c r="T40" i="73"/>
  <c r="U40" i="73"/>
  <c r="M40" i="73"/>
  <c r="N40" i="73"/>
  <c r="O40" i="73"/>
  <c r="V40" i="73"/>
  <c r="W40" i="73"/>
  <c r="X40" i="73"/>
  <c r="AN40" i="73"/>
  <c r="AH32" i="73"/>
  <c r="AK32" i="73"/>
  <c r="AN32" i="73"/>
  <c r="Z32" i="73"/>
  <c r="AA32" i="73"/>
  <c r="AE32" i="73"/>
  <c r="AF32" i="73"/>
  <c r="AG32" i="73"/>
  <c r="AI32" i="73"/>
  <c r="AL32" i="73"/>
  <c r="AB32" i="73"/>
  <c r="AC32" i="73"/>
  <c r="AJ32" i="73"/>
  <c r="X32" i="73"/>
  <c r="AD32" i="73"/>
  <c r="M32" i="73"/>
  <c r="N32" i="73"/>
  <c r="O32" i="73"/>
  <c r="P32" i="73"/>
  <c r="Q32" i="73"/>
  <c r="R32" i="73"/>
  <c r="AM32" i="73"/>
  <c r="S32" i="73"/>
  <c r="V32" i="73"/>
  <c r="T32" i="73"/>
  <c r="U32" i="73"/>
  <c r="W32" i="73"/>
  <c r="Y32" i="73"/>
  <c r="AB16" i="73"/>
  <c r="AC16" i="73"/>
  <c r="AF16" i="73"/>
  <c r="O16" i="73"/>
  <c r="AA16" i="73"/>
  <c r="U16" i="73"/>
  <c r="AD16" i="73"/>
  <c r="V16" i="73"/>
  <c r="AH16" i="73"/>
  <c r="Y16" i="73"/>
  <c r="Q16" i="73"/>
  <c r="R16" i="73"/>
  <c r="S16" i="73"/>
  <c r="T16" i="73"/>
  <c r="W16" i="73"/>
  <c r="AE16" i="73"/>
  <c r="AG16" i="73"/>
  <c r="AI16" i="73"/>
  <c r="AJ16" i="73"/>
  <c r="AK16" i="73"/>
  <c r="AL16" i="73"/>
  <c r="AM16" i="73"/>
  <c r="P16" i="73"/>
  <c r="X16" i="73"/>
  <c r="Z16" i="73"/>
  <c r="M16" i="73"/>
  <c r="N16" i="73"/>
  <c r="U14" i="73"/>
  <c r="V14" i="73"/>
  <c r="AB14" i="73"/>
  <c r="Y14" i="73"/>
  <c r="AJ14" i="73"/>
  <c r="AK14" i="73"/>
  <c r="M14" i="73"/>
  <c r="R14" i="73"/>
  <c r="S14" i="73"/>
  <c r="T14" i="73"/>
  <c r="Z14" i="73"/>
  <c r="W14" i="73"/>
  <c r="AA14" i="73"/>
  <c r="X14" i="73"/>
  <c r="O14" i="73"/>
  <c r="AC14" i="73"/>
  <c r="P14" i="73"/>
  <c r="AD14" i="73"/>
  <c r="Q14" i="73"/>
  <c r="AE14" i="73"/>
  <c r="AH14" i="73"/>
  <c r="AF14" i="73"/>
  <c r="AG14" i="73"/>
  <c r="AI14" i="73"/>
  <c r="N14" i="73"/>
  <c r="AL14" i="73"/>
  <c r="AM14" i="73"/>
  <c r="AL131" i="73"/>
  <c r="Z131" i="73"/>
  <c r="AC131" i="73"/>
  <c r="AD131" i="73"/>
  <c r="AE131" i="73"/>
  <c r="AI131" i="73"/>
  <c r="AN131" i="73"/>
  <c r="AJ131" i="73"/>
  <c r="AK131" i="73"/>
  <c r="AM131" i="73"/>
  <c r="Q131" i="73"/>
  <c r="R131" i="73"/>
  <c r="U131" i="73"/>
  <c r="M131" i="73"/>
  <c r="N131" i="73"/>
  <c r="AF131" i="73"/>
  <c r="AA131" i="73"/>
  <c r="O131" i="73"/>
  <c r="AB131" i="73"/>
  <c r="P131" i="73"/>
  <c r="S131" i="73"/>
  <c r="Y131" i="73"/>
  <c r="AG131" i="73"/>
  <c r="AH131" i="73"/>
  <c r="W131" i="73"/>
  <c r="X131" i="73"/>
  <c r="T131" i="73"/>
  <c r="V131" i="73"/>
  <c r="AE59" i="73"/>
  <c r="AF59" i="73"/>
  <c r="AL59" i="73"/>
  <c r="AM59" i="73"/>
  <c r="AA59" i="73"/>
  <c r="AB59" i="73"/>
  <c r="AD59" i="73"/>
  <c r="AH59" i="73"/>
  <c r="Z59" i="73"/>
  <c r="AI59" i="73"/>
  <c r="AJ59" i="73"/>
  <c r="AK59" i="73"/>
  <c r="Y59" i="73"/>
  <c r="M59" i="73"/>
  <c r="AC59" i="73"/>
  <c r="Q59" i="73"/>
  <c r="AG59" i="73"/>
  <c r="R59" i="73"/>
  <c r="S59" i="73"/>
  <c r="T59" i="73"/>
  <c r="U59" i="73"/>
  <c r="V59" i="73"/>
  <c r="W59" i="73"/>
  <c r="AN59" i="73"/>
  <c r="X59" i="73"/>
  <c r="O59" i="73"/>
  <c r="P59" i="73"/>
  <c r="N59" i="73"/>
  <c r="AB126" i="73"/>
  <c r="AA126" i="73"/>
  <c r="AE126" i="73"/>
  <c r="AF126" i="73"/>
  <c r="AG126" i="73"/>
  <c r="AK126" i="73"/>
  <c r="AL126" i="73"/>
  <c r="AM126" i="73"/>
  <c r="Z126" i="73"/>
  <c r="R126" i="73"/>
  <c r="AC126" i="73"/>
  <c r="S126" i="73"/>
  <c r="AD126" i="73"/>
  <c r="AH126" i="73"/>
  <c r="AI126" i="73"/>
  <c r="V126" i="73"/>
  <c r="AN126" i="73"/>
  <c r="P126" i="73"/>
  <c r="Q126" i="73"/>
  <c r="T126" i="73"/>
  <c r="Y126" i="73"/>
  <c r="U126" i="73"/>
  <c r="W126" i="73"/>
  <c r="AJ126" i="73"/>
  <c r="X126" i="73"/>
  <c r="O126" i="73"/>
  <c r="N126" i="73"/>
  <c r="M126" i="73"/>
  <c r="AB110" i="73"/>
  <c r="AG110" i="73"/>
  <c r="AN110" i="73"/>
  <c r="AJ110" i="73"/>
  <c r="AM110" i="73"/>
  <c r="Z110" i="73"/>
  <c r="AA110" i="73"/>
  <c r="AD110" i="73"/>
  <c r="AE110" i="73"/>
  <c r="AF110" i="73"/>
  <c r="AH110" i="73"/>
  <c r="AI110" i="73"/>
  <c r="R110" i="73"/>
  <c r="S110" i="73"/>
  <c r="V110" i="73"/>
  <c r="O110" i="73"/>
  <c r="M110" i="73"/>
  <c r="AK110" i="73"/>
  <c r="AC110" i="73"/>
  <c r="N110" i="73"/>
  <c r="T110" i="73"/>
  <c r="U110" i="73"/>
  <c r="W110" i="73"/>
  <c r="X110" i="73"/>
  <c r="P110" i="73"/>
  <c r="AL110" i="73"/>
  <c r="Q110" i="73"/>
  <c r="Y110" i="73"/>
  <c r="AK86" i="73"/>
  <c r="AL86" i="73"/>
  <c r="Z86" i="73"/>
  <c r="AA86" i="73"/>
  <c r="AB86" i="73"/>
  <c r="AE86" i="73"/>
  <c r="AC86" i="73"/>
  <c r="AD86" i="73"/>
  <c r="AF86" i="73"/>
  <c r="AN86" i="73"/>
  <c r="M86" i="73"/>
  <c r="N86" i="73"/>
  <c r="W86" i="73"/>
  <c r="X86" i="73"/>
  <c r="Y86" i="73"/>
  <c r="AH86" i="73"/>
  <c r="P86" i="73"/>
  <c r="AI86" i="73"/>
  <c r="Q86" i="73"/>
  <c r="R86" i="73"/>
  <c r="AM86" i="73"/>
  <c r="AJ86" i="73"/>
  <c r="S86" i="73"/>
  <c r="AG86" i="73"/>
  <c r="U86" i="73"/>
  <c r="V86" i="73"/>
  <c r="O86" i="73"/>
  <c r="T86" i="73"/>
  <c r="AD38" i="73"/>
  <c r="AK38" i="73"/>
  <c r="AL38" i="73"/>
  <c r="AM38" i="73"/>
  <c r="AJ38" i="73"/>
  <c r="Z38" i="73"/>
  <c r="AA38" i="73"/>
  <c r="AB38" i="73"/>
  <c r="AC38" i="73"/>
  <c r="AE38" i="73"/>
  <c r="AF38" i="73"/>
  <c r="Q38" i="73"/>
  <c r="X38" i="73"/>
  <c r="Y38" i="73"/>
  <c r="O38" i="73"/>
  <c r="P38" i="73"/>
  <c r="R38" i="73"/>
  <c r="S38" i="73"/>
  <c r="V38" i="73"/>
  <c r="T38" i="73"/>
  <c r="U38" i="73"/>
  <c r="N38" i="73"/>
  <c r="M38" i="73"/>
  <c r="W38" i="73"/>
  <c r="AH38" i="73"/>
  <c r="AG38" i="73"/>
  <c r="AI38" i="73"/>
  <c r="AN38" i="73"/>
  <c r="AD30" i="73"/>
  <c r="AG30" i="73"/>
  <c r="AK30" i="73"/>
  <c r="AL30" i="73"/>
  <c r="AM30" i="73"/>
  <c r="AI30" i="73"/>
  <c r="AJ30" i="73"/>
  <c r="Z30" i="73"/>
  <c r="AB30" i="73"/>
  <c r="AE30" i="73"/>
  <c r="AF30" i="73"/>
  <c r="R30" i="73"/>
  <c r="AH30" i="73"/>
  <c r="N30" i="73"/>
  <c r="S30" i="73"/>
  <c r="T30" i="73"/>
  <c r="U30" i="73"/>
  <c r="V30" i="73"/>
  <c r="W30" i="73"/>
  <c r="X30" i="73"/>
  <c r="AA30" i="73"/>
  <c r="AC30" i="73"/>
  <c r="M30" i="73"/>
  <c r="O30" i="73"/>
  <c r="P30" i="73"/>
  <c r="Q30" i="73"/>
  <c r="Y30" i="73"/>
  <c r="AN30" i="73"/>
  <c r="AF10" i="73"/>
  <c r="Y10" i="73"/>
  <c r="AG10" i="73"/>
  <c r="AJ10" i="73"/>
  <c r="M10" i="73"/>
  <c r="AH10" i="73"/>
  <c r="T10" i="73"/>
  <c r="AI10" i="73"/>
  <c r="U10" i="73"/>
  <c r="AM10" i="73"/>
  <c r="X10" i="73"/>
  <c r="AA10" i="73"/>
  <c r="V10" i="73"/>
  <c r="AB10" i="73"/>
  <c r="W10" i="73"/>
  <c r="AC10" i="73"/>
  <c r="AD10" i="73"/>
  <c r="AE10" i="73"/>
  <c r="Q10" i="73"/>
  <c r="AL10" i="73"/>
  <c r="R10" i="73"/>
  <c r="Z10" i="73"/>
  <c r="AK10" i="73"/>
  <c r="S10" i="73"/>
  <c r="N10" i="73"/>
  <c r="O10" i="73"/>
  <c r="P10" i="73"/>
  <c r="AN145" i="73"/>
  <c r="AH145" i="73"/>
  <c r="AL145" i="73"/>
  <c r="AC145" i="73"/>
  <c r="AD145" i="73"/>
  <c r="AF145" i="73"/>
  <c r="AG145" i="73"/>
  <c r="Z145" i="73"/>
  <c r="AA145" i="73"/>
  <c r="AB145" i="73"/>
  <c r="AE145" i="73"/>
  <c r="AI145" i="73"/>
  <c r="AJ145" i="73"/>
  <c r="AK145" i="73"/>
  <c r="AM145" i="73"/>
  <c r="O145" i="73"/>
  <c r="Y145" i="73"/>
  <c r="N145" i="73"/>
  <c r="M145" i="73"/>
  <c r="S145" i="73"/>
  <c r="V145" i="73"/>
  <c r="T145" i="73"/>
  <c r="U145" i="73"/>
  <c r="R145" i="73"/>
  <c r="W145" i="73"/>
  <c r="P145" i="73"/>
  <c r="Q145" i="73"/>
  <c r="X145" i="73"/>
  <c r="AN137" i="73"/>
  <c r="AH137" i="73"/>
  <c r="AA137" i="73"/>
  <c r="AD137" i="73"/>
  <c r="AE137" i="73"/>
  <c r="AF137" i="73"/>
  <c r="Z137" i="73"/>
  <c r="AB137" i="73"/>
  <c r="AC137" i="73"/>
  <c r="AG137" i="73"/>
  <c r="AI137" i="73"/>
  <c r="S137" i="73"/>
  <c r="T137" i="73"/>
  <c r="W137" i="73"/>
  <c r="M137" i="73"/>
  <c r="N137" i="73"/>
  <c r="O137" i="73"/>
  <c r="P137" i="73"/>
  <c r="R137" i="73"/>
  <c r="Q137" i="73"/>
  <c r="U137" i="73"/>
  <c r="Y137" i="73"/>
  <c r="V137" i="73"/>
  <c r="X137" i="73"/>
  <c r="AJ137" i="73"/>
  <c r="AK137" i="73"/>
  <c r="AL137" i="73"/>
  <c r="AM137" i="73"/>
  <c r="AN129" i="73"/>
  <c r="AH129" i="73"/>
  <c r="AK129" i="73"/>
  <c r="AM129" i="73"/>
  <c r="AI129" i="73"/>
  <c r="AJ129" i="73"/>
  <c r="AL129" i="73"/>
  <c r="AD129" i="73"/>
  <c r="AE129" i="73"/>
  <c r="AF129" i="73"/>
  <c r="AG129" i="73"/>
  <c r="O129" i="73"/>
  <c r="AC129" i="73"/>
  <c r="R129" i="73"/>
  <c r="S129" i="73"/>
  <c r="T129" i="73"/>
  <c r="U129" i="73"/>
  <c r="V129" i="73"/>
  <c r="X129" i="73"/>
  <c r="W129" i="73"/>
  <c r="Z129" i="73"/>
  <c r="N129" i="73"/>
  <c r="AA129" i="73"/>
  <c r="P129" i="73"/>
  <c r="Q129" i="73"/>
  <c r="AB129" i="73"/>
  <c r="Y129" i="73"/>
  <c r="M129" i="73"/>
  <c r="AN113" i="73"/>
  <c r="AH113" i="73"/>
  <c r="AD113" i="73"/>
  <c r="AG113" i="73"/>
  <c r="AI113" i="73"/>
  <c r="AJ113" i="73"/>
  <c r="AA113" i="73"/>
  <c r="AB113" i="73"/>
  <c r="AC113" i="73"/>
  <c r="AE113" i="73"/>
  <c r="AF113" i="73"/>
  <c r="Z113" i="73"/>
  <c r="O113" i="73"/>
  <c r="M113" i="73"/>
  <c r="Q113" i="73"/>
  <c r="N113" i="73"/>
  <c r="P113" i="73"/>
  <c r="R113" i="73"/>
  <c r="U113" i="73"/>
  <c r="AK113" i="73"/>
  <c r="S113" i="73"/>
  <c r="T113" i="73"/>
  <c r="X113" i="73"/>
  <c r="Y113" i="73"/>
  <c r="AL113" i="73"/>
  <c r="AM113" i="73"/>
  <c r="W113" i="73"/>
  <c r="V113" i="73"/>
  <c r="AN105" i="73"/>
  <c r="AE105" i="73"/>
  <c r="AH105" i="73"/>
  <c r="AG105" i="73"/>
  <c r="AD105" i="73"/>
  <c r="AJ105" i="73"/>
  <c r="AK105" i="73"/>
  <c r="AL105" i="73"/>
  <c r="Z105" i="73"/>
  <c r="AA105" i="73"/>
  <c r="AB105" i="73"/>
  <c r="AC105" i="73"/>
  <c r="AF105" i="73"/>
  <c r="S105" i="73"/>
  <c r="T105" i="73"/>
  <c r="W105" i="73"/>
  <c r="N105" i="73"/>
  <c r="AM105" i="73"/>
  <c r="O105" i="73"/>
  <c r="P105" i="73"/>
  <c r="Q105" i="73"/>
  <c r="V105" i="73"/>
  <c r="R105" i="73"/>
  <c r="AI105" i="73"/>
  <c r="U105" i="73"/>
  <c r="X105" i="73"/>
  <c r="M105" i="73"/>
  <c r="Y105" i="73"/>
  <c r="AA97" i="73"/>
  <c r="AN97" i="73"/>
  <c r="AB97" i="73"/>
  <c r="AL97" i="73"/>
  <c r="AJ97" i="73"/>
  <c r="AK97" i="73"/>
  <c r="AF97" i="73"/>
  <c r="AG97" i="73"/>
  <c r="AH97" i="73"/>
  <c r="AI97" i="73"/>
  <c r="AM97" i="73"/>
  <c r="O97" i="73"/>
  <c r="T97" i="73"/>
  <c r="U97" i="73"/>
  <c r="Z97" i="73"/>
  <c r="V97" i="73"/>
  <c r="AC97" i="73"/>
  <c r="W97" i="73"/>
  <c r="AD97" i="73"/>
  <c r="X97" i="73"/>
  <c r="AE97" i="73"/>
  <c r="Y97" i="73"/>
  <c r="M97" i="73"/>
  <c r="Q97" i="73"/>
  <c r="N97" i="73"/>
  <c r="P97" i="73"/>
  <c r="R97" i="73"/>
  <c r="S97" i="73"/>
  <c r="AN73" i="73"/>
  <c r="AA73" i="73"/>
  <c r="AB73" i="73"/>
  <c r="Z73" i="73"/>
  <c r="AE73" i="73"/>
  <c r="AG73" i="73"/>
  <c r="AL73" i="73"/>
  <c r="AC73" i="73"/>
  <c r="AK73" i="73"/>
  <c r="AM73" i="73"/>
  <c r="S73" i="73"/>
  <c r="T73" i="73"/>
  <c r="U73" i="73"/>
  <c r="AD73" i="73"/>
  <c r="V73" i="73"/>
  <c r="AF73" i="73"/>
  <c r="W73" i="73"/>
  <c r="R73" i="73"/>
  <c r="X73" i="73"/>
  <c r="AH73" i="73"/>
  <c r="Y73" i="73"/>
  <c r="AI73" i="73"/>
  <c r="AJ73" i="73"/>
  <c r="M73" i="73"/>
  <c r="N73" i="73"/>
  <c r="O73" i="73"/>
  <c r="P73" i="73"/>
  <c r="Q73" i="73"/>
  <c r="AN57" i="73"/>
  <c r="AJ57" i="73"/>
  <c r="AA57" i="73"/>
  <c r="AB57" i="73"/>
  <c r="AC57" i="73"/>
  <c r="Z57" i="73"/>
  <c r="AD57" i="73"/>
  <c r="AE57" i="73"/>
  <c r="AF57" i="73"/>
  <c r="AH57" i="73"/>
  <c r="AG57" i="73"/>
  <c r="AK57" i="73"/>
  <c r="S57" i="73"/>
  <c r="T57" i="73"/>
  <c r="U57" i="73"/>
  <c r="V57" i="73"/>
  <c r="AI57" i="73"/>
  <c r="W57" i="73"/>
  <c r="Q57" i="73"/>
  <c r="R57" i="73"/>
  <c r="X57" i="73"/>
  <c r="Y57" i="73"/>
  <c r="M57" i="73"/>
  <c r="N57" i="73"/>
  <c r="O57" i="73"/>
  <c r="P57" i="73"/>
  <c r="AM57" i="73"/>
  <c r="AL57" i="73"/>
  <c r="AJ33" i="73"/>
  <c r="AM33" i="73"/>
  <c r="AA33" i="73"/>
  <c r="AN33" i="73"/>
  <c r="AB33" i="73"/>
  <c r="AC33" i="73"/>
  <c r="Z33" i="73"/>
  <c r="AG33" i="73"/>
  <c r="AH33" i="73"/>
  <c r="AI33" i="73"/>
  <c r="AK33" i="73"/>
  <c r="AL33" i="73"/>
  <c r="N33" i="73"/>
  <c r="AF33" i="73"/>
  <c r="Q33" i="73"/>
  <c r="R33" i="73"/>
  <c r="S33" i="73"/>
  <c r="T33" i="73"/>
  <c r="U33" i="73"/>
  <c r="AD33" i="73"/>
  <c r="AE33" i="73"/>
  <c r="X33" i="73"/>
  <c r="Y33" i="73"/>
  <c r="O33" i="73"/>
  <c r="P33" i="73"/>
  <c r="M33" i="73"/>
  <c r="V33" i="73"/>
  <c r="W33" i="73"/>
  <c r="AN25" i="73"/>
  <c r="AJ25" i="73"/>
  <c r="AM25" i="73"/>
  <c r="AA25" i="73"/>
  <c r="AB25" i="73"/>
  <c r="AC25" i="73"/>
  <c r="AI25" i="73"/>
  <c r="AK25" i="73"/>
  <c r="AL25" i="73"/>
  <c r="Z25" i="73"/>
  <c r="AE25" i="73"/>
  <c r="AG25" i="73"/>
  <c r="AD25" i="73"/>
  <c r="AF25" i="73"/>
  <c r="AH25" i="73"/>
  <c r="S25" i="73"/>
  <c r="O25" i="73"/>
  <c r="Y25" i="73"/>
  <c r="T25" i="73"/>
  <c r="U25" i="73"/>
  <c r="V25" i="73"/>
  <c r="W25" i="73"/>
  <c r="X25" i="73"/>
  <c r="N25" i="73"/>
  <c r="P25" i="73"/>
  <c r="R25" i="73"/>
  <c r="Q25" i="73"/>
  <c r="M25" i="73"/>
  <c r="AB8" i="73"/>
  <c r="S8" i="73"/>
  <c r="AC8" i="73"/>
  <c r="T8" i="73"/>
  <c r="AF8" i="73"/>
  <c r="W8" i="73"/>
  <c r="Z8" i="73"/>
  <c r="AG8" i="73"/>
  <c r="X8" i="73"/>
  <c r="AH8" i="73"/>
  <c r="Y8" i="73"/>
  <c r="AI8" i="73"/>
  <c r="AJ8" i="73"/>
  <c r="AK8" i="73"/>
  <c r="AL8" i="73"/>
  <c r="U8" i="73"/>
  <c r="AM8" i="73"/>
  <c r="V8" i="73"/>
  <c r="AA8" i="73"/>
  <c r="AD8" i="73"/>
  <c r="AE8" i="73"/>
  <c r="N8" i="73"/>
  <c r="M8" i="73"/>
  <c r="AN8" i="73" s="1"/>
  <c r="O8" i="73"/>
  <c r="P8" i="73"/>
  <c r="Q8" i="73"/>
  <c r="R8" i="73"/>
  <c r="AN148" i="73"/>
  <c r="AB148" i="73"/>
  <c r="AD148" i="73"/>
  <c r="AA148" i="73"/>
  <c r="AC148" i="73"/>
  <c r="AI148" i="73"/>
  <c r="AJ148" i="73"/>
  <c r="AK148" i="73"/>
  <c r="AL148" i="73"/>
  <c r="AM148" i="73"/>
  <c r="T148" i="73"/>
  <c r="U148" i="73"/>
  <c r="Z148" i="73"/>
  <c r="AE148" i="73"/>
  <c r="AF148" i="73"/>
  <c r="X148" i="73"/>
  <c r="AG148" i="73"/>
  <c r="AH148" i="73"/>
  <c r="M148" i="73"/>
  <c r="N148" i="73"/>
  <c r="P148" i="73"/>
  <c r="S148" i="73"/>
  <c r="Q148" i="73"/>
  <c r="R148" i="73"/>
  <c r="O148" i="73"/>
  <c r="V148" i="73"/>
  <c r="W148" i="73"/>
  <c r="Y148" i="73"/>
  <c r="AN140" i="73"/>
  <c r="AM140" i="73"/>
  <c r="Z140" i="73"/>
  <c r="AA140" i="73"/>
  <c r="AB140" i="73"/>
  <c r="AC140" i="73"/>
  <c r="M140" i="73"/>
  <c r="AD140" i="73"/>
  <c r="AE140" i="73"/>
  <c r="AF140" i="73"/>
  <c r="P140" i="73"/>
  <c r="T140" i="73"/>
  <c r="N140" i="73"/>
  <c r="AG140" i="73"/>
  <c r="O140" i="73"/>
  <c r="AH140" i="73"/>
  <c r="Q140" i="73"/>
  <c r="AI140" i="73"/>
  <c r="R140" i="73"/>
  <c r="AK140" i="73"/>
  <c r="AJ140" i="73"/>
  <c r="S140" i="73"/>
  <c r="V140" i="73"/>
  <c r="U140" i="73"/>
  <c r="X140" i="73"/>
  <c r="W140" i="73"/>
  <c r="Y140" i="73"/>
  <c r="AL140" i="73"/>
  <c r="AG68" i="73"/>
  <c r="AH68" i="73"/>
  <c r="AA68" i="73"/>
  <c r="AC68" i="73"/>
  <c r="AN68" i="73"/>
  <c r="AD68" i="73"/>
  <c r="AF68" i="73"/>
  <c r="AJ68" i="73"/>
  <c r="Z68" i="73"/>
  <c r="AB68" i="73"/>
  <c r="AE68" i="73"/>
  <c r="AI68" i="73"/>
  <c r="AK68" i="73"/>
  <c r="AL68" i="73"/>
  <c r="T68" i="73"/>
  <c r="U68" i="73"/>
  <c r="V68" i="73"/>
  <c r="W68" i="73"/>
  <c r="X68" i="73"/>
  <c r="O68" i="73"/>
  <c r="P68" i="73"/>
  <c r="Q68" i="73"/>
  <c r="R68" i="73"/>
  <c r="S68" i="73"/>
  <c r="Y68" i="73"/>
  <c r="N68" i="73"/>
  <c r="M68" i="73"/>
  <c r="AM68" i="73"/>
  <c r="AN60" i="73"/>
  <c r="AG60" i="73"/>
  <c r="AH60" i="73"/>
  <c r="Z60" i="73"/>
  <c r="AA60" i="73"/>
  <c r="AC60" i="73"/>
  <c r="AL60" i="73"/>
  <c r="AM60" i="73"/>
  <c r="AJ60" i="73"/>
  <c r="AK60" i="73"/>
  <c r="AB60" i="73"/>
  <c r="AD60" i="73"/>
  <c r="AI60" i="73"/>
  <c r="M60" i="73"/>
  <c r="N60" i="73"/>
  <c r="O60" i="73"/>
  <c r="P60" i="73"/>
  <c r="Y60" i="73"/>
  <c r="AE60" i="73"/>
  <c r="AF60" i="73"/>
  <c r="S60" i="73"/>
  <c r="X60" i="73"/>
  <c r="T60" i="73"/>
  <c r="U60" i="73"/>
  <c r="V60" i="73"/>
  <c r="W60" i="73"/>
  <c r="R60" i="73"/>
  <c r="Q60" i="73"/>
  <c r="Z44" i="73"/>
  <c r="AN44" i="73"/>
  <c r="AG44" i="73"/>
  <c r="AH44" i="73"/>
  <c r="AI44" i="73"/>
  <c r="AM44" i="73"/>
  <c r="AB44" i="73"/>
  <c r="AD44" i="73"/>
  <c r="AA44" i="73"/>
  <c r="AC44" i="73"/>
  <c r="AE44" i="73"/>
  <c r="AF44" i="73"/>
  <c r="X44" i="73"/>
  <c r="AJ44" i="73"/>
  <c r="S44" i="73"/>
  <c r="AK44" i="73"/>
  <c r="T44" i="73"/>
  <c r="AL44" i="73"/>
  <c r="U44" i="73"/>
  <c r="V44" i="73"/>
  <c r="W44" i="73"/>
  <c r="O44" i="73"/>
  <c r="P44" i="73"/>
  <c r="Q44" i="73"/>
  <c r="R44" i="73"/>
  <c r="Y44" i="73"/>
  <c r="M44" i="73"/>
  <c r="N44" i="73"/>
  <c r="Z36" i="73"/>
  <c r="AC36" i="73"/>
  <c r="AG36" i="73"/>
  <c r="AH36" i="73"/>
  <c r="AI36" i="73"/>
  <c r="AB36" i="73"/>
  <c r="AN36" i="73"/>
  <c r="AM36" i="73"/>
  <c r="AD36" i="73"/>
  <c r="T36" i="73"/>
  <c r="AE36" i="73"/>
  <c r="AF36" i="73"/>
  <c r="AJ36" i="73"/>
  <c r="AK36" i="73"/>
  <c r="N36" i="73"/>
  <c r="O36" i="73"/>
  <c r="AA36" i="73"/>
  <c r="P36" i="73"/>
  <c r="AL36" i="73"/>
  <c r="Q36" i="73"/>
  <c r="R36" i="73"/>
  <c r="M36" i="73"/>
  <c r="S36" i="73"/>
  <c r="U36" i="73"/>
  <c r="V36" i="73"/>
  <c r="W36" i="73"/>
  <c r="X36" i="73"/>
  <c r="Y36" i="73"/>
  <c r="AL13" i="73"/>
  <c r="R13" i="73"/>
  <c r="AM13" i="73"/>
  <c r="S13" i="73"/>
  <c r="Z13" i="73"/>
  <c r="V13" i="73"/>
  <c r="AE13" i="73"/>
  <c r="U13" i="73"/>
  <c r="AF13" i="73"/>
  <c r="W13" i="73"/>
  <c r="AI13" i="73"/>
  <c r="AH13" i="73"/>
  <c r="AJ13" i="73"/>
  <c r="AK13" i="73"/>
  <c r="M13" i="73"/>
  <c r="AG13" i="73"/>
  <c r="AC13" i="73"/>
  <c r="AB13" i="73"/>
  <c r="O13" i="73"/>
  <c r="P13" i="73"/>
  <c r="AA13" i="73"/>
  <c r="N13" i="73"/>
  <c r="T13" i="73"/>
  <c r="Y13" i="73"/>
  <c r="Q13" i="73"/>
  <c r="X13" i="73"/>
  <c r="AD13" i="73"/>
  <c r="AD135" i="73"/>
  <c r="AN135" i="73"/>
  <c r="AL135" i="73"/>
  <c r="Z135" i="73"/>
  <c r="AA135" i="73"/>
  <c r="AB135" i="73"/>
  <c r="AC135" i="73"/>
  <c r="AE135" i="73"/>
  <c r="AF135" i="73"/>
  <c r="M135" i="73"/>
  <c r="N135" i="73"/>
  <c r="Q135" i="73"/>
  <c r="S135" i="73"/>
  <c r="AG135" i="73"/>
  <c r="T135" i="73"/>
  <c r="Y135" i="73"/>
  <c r="AH135" i="73"/>
  <c r="U135" i="73"/>
  <c r="AI135" i="73"/>
  <c r="V135" i="73"/>
  <c r="AJ135" i="73"/>
  <c r="W135" i="73"/>
  <c r="AK135" i="73"/>
  <c r="X135" i="73"/>
  <c r="AM135" i="73"/>
  <c r="R135" i="73"/>
  <c r="O135" i="73"/>
  <c r="P135" i="73"/>
  <c r="Z154" i="73"/>
  <c r="AF154" i="73"/>
  <c r="AG154" i="73"/>
  <c r="AN154" i="73"/>
  <c r="AJ154" i="73"/>
  <c r="AK154" i="73"/>
  <c r="V154" i="73"/>
  <c r="AL154" i="73"/>
  <c r="W154" i="73"/>
  <c r="AM154" i="73"/>
  <c r="AD154" i="73"/>
  <c r="AE154" i="73"/>
  <c r="O154" i="73"/>
  <c r="AH154" i="73"/>
  <c r="AI154" i="73"/>
  <c r="M154" i="73"/>
  <c r="N154" i="73"/>
  <c r="P154" i="73"/>
  <c r="AB154" i="73"/>
  <c r="U154" i="73"/>
  <c r="X154" i="73"/>
  <c r="Y154" i="73"/>
  <c r="AC154" i="73"/>
  <c r="R154" i="73"/>
  <c r="T154" i="73"/>
  <c r="Q154" i="73"/>
  <c r="S154" i="73"/>
  <c r="AA154" i="73"/>
  <c r="AN130" i="73"/>
  <c r="AJ130" i="73"/>
  <c r="Z130" i="73"/>
  <c r="AA130" i="73"/>
  <c r="AB130" i="73"/>
  <c r="AC130" i="73"/>
  <c r="AD130" i="73"/>
  <c r="AE130" i="73"/>
  <c r="AF130" i="73"/>
  <c r="AG130" i="73"/>
  <c r="AH130" i="73"/>
  <c r="N130" i="73"/>
  <c r="O130" i="73"/>
  <c r="AI130" i="73"/>
  <c r="R130" i="73"/>
  <c r="X130" i="73"/>
  <c r="AK130" i="73"/>
  <c r="Y130" i="73"/>
  <c r="AL130" i="73"/>
  <c r="AM130" i="73"/>
  <c r="P130" i="73"/>
  <c r="M130" i="73"/>
  <c r="Q130" i="73"/>
  <c r="S130" i="73"/>
  <c r="V130" i="73"/>
  <c r="W130" i="73"/>
  <c r="U130" i="73"/>
  <c r="T130" i="73"/>
  <c r="AN122" i="73"/>
  <c r="AJ122" i="73"/>
  <c r="AI122" i="73"/>
  <c r="AE122" i="73"/>
  <c r="AH122" i="73"/>
  <c r="AK122" i="73"/>
  <c r="AL122" i="73"/>
  <c r="Z122" i="73"/>
  <c r="AA122" i="73"/>
  <c r="AB122" i="73"/>
  <c r="AM122" i="73"/>
  <c r="AD122" i="73"/>
  <c r="V122" i="73"/>
  <c r="AF122" i="73"/>
  <c r="W122" i="73"/>
  <c r="AG122" i="73"/>
  <c r="M122" i="73"/>
  <c r="N122" i="73"/>
  <c r="Q122" i="73"/>
  <c r="O122" i="73"/>
  <c r="P122" i="73"/>
  <c r="AC122" i="73"/>
  <c r="R122" i="73"/>
  <c r="T122" i="73"/>
  <c r="X122" i="73"/>
  <c r="S122" i="73"/>
  <c r="U122" i="73"/>
  <c r="Y122" i="73"/>
  <c r="AN114" i="73"/>
  <c r="AJ114" i="73"/>
  <c r="AB114" i="73"/>
  <c r="AH114" i="73"/>
  <c r="AL114" i="73"/>
  <c r="AM114" i="73"/>
  <c r="AK114" i="73"/>
  <c r="AG114" i="73"/>
  <c r="N114" i="73"/>
  <c r="AI114" i="73"/>
  <c r="O114" i="73"/>
  <c r="R114" i="73"/>
  <c r="AA114" i="73"/>
  <c r="P114" i="73"/>
  <c r="AC114" i="73"/>
  <c r="Q114" i="73"/>
  <c r="AD114" i="73"/>
  <c r="S114" i="73"/>
  <c r="AE114" i="73"/>
  <c r="T114" i="73"/>
  <c r="AF114" i="73"/>
  <c r="U114" i="73"/>
  <c r="W114" i="73"/>
  <c r="V114" i="73"/>
  <c r="Z114" i="73"/>
  <c r="M114" i="73"/>
  <c r="X114" i="73"/>
  <c r="Y114" i="73"/>
  <c r="AC74" i="73"/>
  <c r="AD74" i="73"/>
  <c r="AB74" i="73"/>
  <c r="AE74" i="73"/>
  <c r="AN74" i="73"/>
  <c r="AF74" i="73"/>
  <c r="AI74" i="73"/>
  <c r="AH74" i="73"/>
  <c r="AJ74" i="73"/>
  <c r="AL74" i="73"/>
  <c r="AM74" i="73"/>
  <c r="Z74" i="73"/>
  <c r="AA74" i="73"/>
  <c r="AG74" i="73"/>
  <c r="V74" i="73"/>
  <c r="W74" i="73"/>
  <c r="X74" i="73"/>
  <c r="Y74" i="73"/>
  <c r="M74" i="73"/>
  <c r="P74" i="73"/>
  <c r="N74" i="73"/>
  <c r="AK74" i="73"/>
  <c r="O74" i="73"/>
  <c r="R74" i="73"/>
  <c r="S74" i="73"/>
  <c r="T74" i="73"/>
  <c r="U74" i="73"/>
  <c r="Q74" i="73"/>
  <c r="AC58" i="73"/>
  <c r="AD58" i="73"/>
  <c r="AH58" i="73"/>
  <c r="AI58" i="73"/>
  <c r="AJ58" i="73"/>
  <c r="AK58" i="73"/>
  <c r="AM58" i="73"/>
  <c r="AB58" i="73"/>
  <c r="AE58" i="73"/>
  <c r="AF58" i="73"/>
  <c r="AG58" i="73"/>
  <c r="AL58" i="73"/>
  <c r="AN58" i="73"/>
  <c r="V58" i="73"/>
  <c r="W58" i="73"/>
  <c r="X58" i="73"/>
  <c r="Y58" i="73"/>
  <c r="O58" i="73"/>
  <c r="M58" i="73"/>
  <c r="N58" i="73"/>
  <c r="R58" i="73"/>
  <c r="S58" i="73"/>
  <c r="U58" i="73"/>
  <c r="T58" i="73"/>
  <c r="P58" i="73"/>
  <c r="Q58" i="73"/>
  <c r="Z58" i="73"/>
  <c r="AA58" i="73"/>
  <c r="AL50" i="73"/>
  <c r="AC50" i="73"/>
  <c r="AD50" i="73"/>
  <c r="AN50" i="73"/>
  <c r="AE50" i="73"/>
  <c r="AF50" i="73"/>
  <c r="AG50" i="73"/>
  <c r="AI50" i="73"/>
  <c r="AK50" i="73"/>
  <c r="Z50" i="73"/>
  <c r="AA50" i="73"/>
  <c r="AB50" i="73"/>
  <c r="AH50" i="73"/>
  <c r="AJ50" i="73"/>
  <c r="AM50" i="73"/>
  <c r="M50" i="73"/>
  <c r="N50" i="73"/>
  <c r="O50" i="73"/>
  <c r="P50" i="73"/>
  <c r="Q50" i="73"/>
  <c r="R50" i="73"/>
  <c r="S50" i="73"/>
  <c r="T50" i="73"/>
  <c r="U50" i="73"/>
  <c r="V50" i="73"/>
  <c r="W50" i="73"/>
  <c r="X50" i="73"/>
  <c r="Y50" i="73"/>
  <c r="AL42" i="73"/>
  <c r="AC42" i="73"/>
  <c r="AD42" i="73"/>
  <c r="AE42" i="73"/>
  <c r="Z42" i="73"/>
  <c r="AA42" i="73"/>
  <c r="AF42" i="73"/>
  <c r="AN42" i="73"/>
  <c r="AB42" i="73"/>
  <c r="V42" i="73"/>
  <c r="AG42" i="73"/>
  <c r="AH42" i="73"/>
  <c r="AI42" i="73"/>
  <c r="AJ42" i="73"/>
  <c r="P42" i="73"/>
  <c r="M42" i="73"/>
  <c r="Q42" i="73"/>
  <c r="R42" i="73"/>
  <c r="S42" i="73"/>
  <c r="T42" i="73"/>
  <c r="U42" i="73"/>
  <c r="W42" i="73"/>
  <c r="X42" i="73"/>
  <c r="N42" i="73"/>
  <c r="AM42" i="73"/>
  <c r="O42" i="73"/>
  <c r="Y42" i="73"/>
  <c r="AK42" i="73"/>
  <c r="AL34" i="73"/>
  <c r="AC34" i="73"/>
  <c r="AD34" i="73"/>
  <c r="AN34" i="73"/>
  <c r="AE34" i="73"/>
  <c r="Z34" i="73"/>
  <c r="AA34" i="73"/>
  <c r="AB34" i="73"/>
  <c r="AF34" i="73"/>
  <c r="AH34" i="73"/>
  <c r="AJ34" i="73"/>
  <c r="AK34" i="73"/>
  <c r="AG34" i="73"/>
  <c r="AI34" i="73"/>
  <c r="AM34" i="73"/>
  <c r="N34" i="73"/>
  <c r="R34" i="73"/>
  <c r="V34" i="73"/>
  <c r="W34" i="73"/>
  <c r="X34" i="73"/>
  <c r="Y34" i="73"/>
  <c r="M34" i="73"/>
  <c r="O34" i="73"/>
  <c r="P34" i="73"/>
  <c r="Q34" i="73"/>
  <c r="S34" i="73"/>
  <c r="U34" i="73"/>
  <c r="T34" i="73"/>
  <c r="AL26" i="73"/>
  <c r="AC26" i="73"/>
  <c r="AD26" i="73"/>
  <c r="AE26" i="73"/>
  <c r="AN26" i="73"/>
  <c r="Z26" i="73"/>
  <c r="AB26" i="73"/>
  <c r="AA26" i="73"/>
  <c r="AF26" i="73"/>
  <c r="V26" i="73"/>
  <c r="AG26" i="73"/>
  <c r="AH26" i="73"/>
  <c r="AI26" i="73"/>
  <c r="AJ26" i="73"/>
  <c r="O26" i="73"/>
  <c r="AK26" i="73"/>
  <c r="AM26" i="73"/>
  <c r="S26" i="73"/>
  <c r="M26" i="73"/>
  <c r="N26" i="73"/>
  <c r="P26" i="73"/>
  <c r="Q26" i="73"/>
  <c r="T26" i="73"/>
  <c r="R26" i="73"/>
  <c r="X26" i="73"/>
  <c r="Y26" i="73"/>
  <c r="W26" i="73"/>
  <c r="U26" i="73"/>
  <c r="AL18" i="73"/>
  <c r="AC18" i="73"/>
  <c r="AD18" i="73"/>
  <c r="AE18" i="73"/>
  <c r="Z18" i="73"/>
  <c r="AB18" i="73"/>
  <c r="AG18" i="73"/>
  <c r="AH18" i="73"/>
  <c r="AI18" i="73"/>
  <c r="AJ18" i="73"/>
  <c r="AK18" i="73"/>
  <c r="AM18" i="73"/>
  <c r="N18" i="73"/>
  <c r="O18" i="73"/>
  <c r="R18" i="73"/>
  <c r="AA18" i="73"/>
  <c r="AF18" i="73"/>
  <c r="P18" i="73"/>
  <c r="Q18" i="73"/>
  <c r="S18" i="73"/>
  <c r="T18" i="73"/>
  <c r="U18" i="73"/>
  <c r="W18" i="73"/>
  <c r="V18" i="73"/>
  <c r="Y18" i="73"/>
  <c r="X18" i="73"/>
  <c r="M18" i="73"/>
  <c r="AD157" i="73"/>
  <c r="AF157" i="73"/>
  <c r="Z157" i="73"/>
  <c r="AA157" i="73"/>
  <c r="AE157" i="73"/>
  <c r="AG157" i="73"/>
  <c r="O157" i="73"/>
  <c r="AH157" i="73"/>
  <c r="P157" i="73"/>
  <c r="AI157" i="73"/>
  <c r="AJ157" i="73"/>
  <c r="AK157" i="73"/>
  <c r="S157" i="73"/>
  <c r="AM157" i="73"/>
  <c r="AN157" i="73"/>
  <c r="N157" i="73"/>
  <c r="M157" i="73"/>
  <c r="AC157" i="73"/>
  <c r="AL157" i="73"/>
  <c r="R157" i="73"/>
  <c r="X157" i="73"/>
  <c r="T157" i="73"/>
  <c r="W157" i="73"/>
  <c r="U157" i="73"/>
  <c r="V157" i="73"/>
  <c r="Y157" i="73"/>
  <c r="AB157" i="73"/>
  <c r="Q157" i="73"/>
  <c r="AN149" i="73"/>
  <c r="AD149" i="73"/>
  <c r="AF149" i="73"/>
  <c r="AB149" i="73"/>
  <c r="AC149" i="73"/>
  <c r="AH149" i="73"/>
  <c r="W149" i="73"/>
  <c r="X149" i="73"/>
  <c r="N149" i="73"/>
  <c r="O149" i="73"/>
  <c r="P149" i="73"/>
  <c r="T149" i="73"/>
  <c r="Q149" i="73"/>
  <c r="R149" i="73"/>
  <c r="Z149" i="73"/>
  <c r="S149" i="73"/>
  <c r="AA149" i="73"/>
  <c r="Y149" i="73"/>
  <c r="AE149" i="73"/>
  <c r="AG149" i="73"/>
  <c r="AK149" i="73"/>
  <c r="AI149" i="73"/>
  <c r="AJ149" i="73"/>
  <c r="AM149" i="73"/>
  <c r="U149" i="73"/>
  <c r="V149" i="73"/>
  <c r="AL149" i="73"/>
  <c r="M149" i="73"/>
  <c r="AN141" i="73"/>
  <c r="Z141" i="73"/>
  <c r="AB141" i="73"/>
  <c r="AA141" i="73"/>
  <c r="AC141" i="73"/>
  <c r="AD141" i="73"/>
  <c r="AE141" i="73"/>
  <c r="AF141" i="73"/>
  <c r="AG141" i="73"/>
  <c r="AH141" i="73"/>
  <c r="AI141" i="73"/>
  <c r="AJ141" i="73"/>
  <c r="AK141" i="73"/>
  <c r="O141" i="73"/>
  <c r="P141" i="73"/>
  <c r="S141" i="73"/>
  <c r="T141" i="73"/>
  <c r="U141" i="73"/>
  <c r="V141" i="73"/>
  <c r="W141" i="73"/>
  <c r="X141" i="73"/>
  <c r="Y141" i="73"/>
  <c r="AL141" i="73"/>
  <c r="R141" i="73"/>
  <c r="AM141" i="73"/>
  <c r="M141" i="73"/>
  <c r="N141" i="73"/>
  <c r="Q141" i="73"/>
  <c r="Z133" i="73"/>
  <c r="AF133" i="73"/>
  <c r="AN133" i="73"/>
  <c r="AI133" i="73"/>
  <c r="AJ133" i="73"/>
  <c r="AK133" i="73"/>
  <c r="AC133" i="73"/>
  <c r="AD133" i="73"/>
  <c r="AE133" i="73"/>
  <c r="AG133" i="73"/>
  <c r="AH133" i="73"/>
  <c r="W133" i="73"/>
  <c r="AA133" i="73"/>
  <c r="X133" i="73"/>
  <c r="AB133" i="73"/>
  <c r="AL133" i="73"/>
  <c r="AM133" i="73"/>
  <c r="Y133" i="73"/>
  <c r="M133" i="73"/>
  <c r="Q133" i="73"/>
  <c r="S133" i="73"/>
  <c r="N133" i="73"/>
  <c r="P133" i="73"/>
  <c r="R133" i="73"/>
  <c r="O133" i="73"/>
  <c r="U133" i="73"/>
  <c r="V133" i="73"/>
  <c r="T133" i="73"/>
  <c r="AN125" i="73"/>
  <c r="Z125" i="73"/>
  <c r="AB125" i="73"/>
  <c r="AC125" i="73"/>
  <c r="AD125" i="73"/>
  <c r="AA125" i="73"/>
  <c r="AE125" i="73"/>
  <c r="AF125" i="73"/>
  <c r="AG125" i="73"/>
  <c r="AH125" i="73"/>
  <c r="AI125" i="73"/>
  <c r="AJ125" i="73"/>
  <c r="AK125" i="73"/>
  <c r="O125" i="73"/>
  <c r="P125" i="73"/>
  <c r="S125" i="73"/>
  <c r="R125" i="73"/>
  <c r="M125" i="73"/>
  <c r="AL125" i="73"/>
  <c r="N125" i="73"/>
  <c r="AM125" i="73"/>
  <c r="Q125" i="73"/>
  <c r="U125" i="73"/>
  <c r="W125" i="73"/>
  <c r="T125" i="73"/>
  <c r="V125" i="73"/>
  <c r="X125" i="73"/>
  <c r="Y125" i="73"/>
  <c r="Z117" i="73"/>
  <c r="AK117" i="73"/>
  <c r="AC117" i="73"/>
  <c r="AF117" i="73"/>
  <c r="AG117" i="73"/>
  <c r="AH117" i="73"/>
  <c r="AJ117" i="73"/>
  <c r="AL117" i="73"/>
  <c r="AM117" i="73"/>
  <c r="W117" i="73"/>
  <c r="X117" i="73"/>
  <c r="AN117" i="73"/>
  <c r="P117" i="73"/>
  <c r="V117" i="73"/>
  <c r="Q117" i="73"/>
  <c r="R117" i="73"/>
  <c r="S117" i="73"/>
  <c r="T117" i="73"/>
  <c r="U117" i="73"/>
  <c r="O117" i="73"/>
  <c r="Y117" i="73"/>
  <c r="AD117" i="73"/>
  <c r="N117" i="73"/>
  <c r="AE117" i="73"/>
  <c r="AA117" i="73"/>
  <c r="AB117" i="73"/>
  <c r="AI117" i="73"/>
  <c r="M117" i="73"/>
  <c r="Z109" i="73"/>
  <c r="AD109" i="73"/>
  <c r="AF109" i="73"/>
  <c r="AI109" i="73"/>
  <c r="AJ109" i="73"/>
  <c r="AK109" i="73"/>
  <c r="AH109" i="73"/>
  <c r="AL109" i="73"/>
  <c r="AM109" i="73"/>
  <c r="AN109" i="73"/>
  <c r="O109" i="73"/>
  <c r="P109" i="73"/>
  <c r="S109" i="73"/>
  <c r="AA109" i="73"/>
  <c r="V109" i="73"/>
  <c r="AB109" i="73"/>
  <c r="W109" i="73"/>
  <c r="AC109" i="73"/>
  <c r="X109" i="73"/>
  <c r="AE109" i="73"/>
  <c r="Y109" i="73"/>
  <c r="AG109" i="73"/>
  <c r="M109" i="73"/>
  <c r="R109" i="73"/>
  <c r="T109" i="73"/>
  <c r="N109" i="73"/>
  <c r="Q109" i="73"/>
  <c r="U109" i="73"/>
  <c r="AI101" i="73"/>
  <c r="AJ101" i="73"/>
  <c r="AL101" i="73"/>
  <c r="AE101" i="73"/>
  <c r="Z101" i="73"/>
  <c r="AA101" i="73"/>
  <c r="AC101" i="73"/>
  <c r="AD101" i="73"/>
  <c r="AN101" i="73"/>
  <c r="AF101" i="73"/>
  <c r="AK101" i="73"/>
  <c r="AM101" i="73"/>
  <c r="W101" i="73"/>
  <c r="X101" i="73"/>
  <c r="M101" i="73"/>
  <c r="N101" i="73"/>
  <c r="O101" i="73"/>
  <c r="AG101" i="73"/>
  <c r="AB101" i="73"/>
  <c r="AH101" i="73"/>
  <c r="P101" i="73"/>
  <c r="Q101" i="73"/>
  <c r="R101" i="73"/>
  <c r="S101" i="73"/>
  <c r="T101" i="73"/>
  <c r="U101" i="73"/>
  <c r="Y101" i="73"/>
  <c r="V101" i="73"/>
  <c r="AI93" i="73"/>
  <c r="AJ93" i="73"/>
  <c r="AM93" i="73"/>
  <c r="AA93" i="73"/>
  <c r="AB93" i="73"/>
  <c r="AD93" i="73"/>
  <c r="AN93" i="73"/>
  <c r="AE93" i="73"/>
  <c r="AF93" i="73"/>
  <c r="Z93" i="73"/>
  <c r="AC93" i="73"/>
  <c r="AG93" i="73"/>
  <c r="O93" i="73"/>
  <c r="P93" i="73"/>
  <c r="S93" i="73"/>
  <c r="M93" i="73"/>
  <c r="N93" i="73"/>
  <c r="Q93" i="73"/>
  <c r="U93" i="73"/>
  <c r="R93" i="73"/>
  <c r="T93" i="73"/>
  <c r="AL93" i="73"/>
  <c r="Y93" i="73"/>
  <c r="AH93" i="73"/>
  <c r="AK93" i="73"/>
  <c r="V93" i="73"/>
  <c r="X93" i="73"/>
  <c r="W93" i="73"/>
  <c r="AI85" i="73"/>
  <c r="AJ85" i="73"/>
  <c r="AA85" i="73"/>
  <c r="AG85" i="73"/>
  <c r="AK85" i="73"/>
  <c r="AL85" i="73"/>
  <c r="Z85" i="73"/>
  <c r="AB85" i="73"/>
  <c r="AC85" i="73"/>
  <c r="AD85" i="73"/>
  <c r="AE85" i="73"/>
  <c r="AN85" i="73"/>
  <c r="W85" i="73"/>
  <c r="X85" i="73"/>
  <c r="P85" i="73"/>
  <c r="Q85" i="73"/>
  <c r="R85" i="73"/>
  <c r="S85" i="73"/>
  <c r="V85" i="73"/>
  <c r="T85" i="73"/>
  <c r="U85" i="73"/>
  <c r="M85" i="73"/>
  <c r="O85" i="73"/>
  <c r="N85" i="73"/>
  <c r="Y85" i="73"/>
  <c r="AF85" i="73"/>
  <c r="AM85" i="73"/>
  <c r="AH85" i="73"/>
  <c r="AI77" i="73"/>
  <c r="AJ77" i="73"/>
  <c r="Z77" i="73"/>
  <c r="AC77" i="73"/>
  <c r="AA77" i="73"/>
  <c r="AB77" i="73"/>
  <c r="AD77" i="73"/>
  <c r="AE77" i="73"/>
  <c r="AN77" i="73"/>
  <c r="AF77" i="73"/>
  <c r="AG77" i="73"/>
  <c r="AL77" i="73"/>
  <c r="O77" i="73"/>
  <c r="AM77" i="73"/>
  <c r="P77" i="73"/>
  <c r="R77" i="73"/>
  <c r="S77" i="73"/>
  <c r="V77" i="73"/>
  <c r="M77" i="73"/>
  <c r="N77" i="73"/>
  <c r="Q77" i="73"/>
  <c r="T77" i="73"/>
  <c r="U77" i="73"/>
  <c r="Y77" i="73"/>
  <c r="W77" i="73"/>
  <c r="X77" i="73"/>
  <c r="AH77" i="73"/>
  <c r="AK77" i="73"/>
  <c r="AI69" i="73"/>
  <c r="AJ69" i="73"/>
  <c r="Z69" i="73"/>
  <c r="AA69" i="73"/>
  <c r="AB69" i="73"/>
  <c r="AE69" i="73"/>
  <c r="AM69" i="73"/>
  <c r="AN69" i="73"/>
  <c r="W69" i="73"/>
  <c r="X69" i="73"/>
  <c r="Y69" i="73"/>
  <c r="AK69" i="73"/>
  <c r="AL69" i="73"/>
  <c r="M69" i="73"/>
  <c r="AG69" i="73"/>
  <c r="AH69" i="73"/>
  <c r="P69" i="73"/>
  <c r="AD69" i="73"/>
  <c r="Q69" i="73"/>
  <c r="S69" i="73"/>
  <c r="T69" i="73"/>
  <c r="AF69" i="73"/>
  <c r="U69" i="73"/>
  <c r="V69" i="73"/>
  <c r="R69" i="73"/>
  <c r="AC69" i="73"/>
  <c r="O69" i="73"/>
  <c r="N69" i="73"/>
  <c r="AI61" i="73"/>
  <c r="AJ61" i="73"/>
  <c r="AB61" i="73"/>
  <c r="AC61" i="73"/>
  <c r="AD61" i="73"/>
  <c r="AE61" i="73"/>
  <c r="AG61" i="73"/>
  <c r="AA61" i="73"/>
  <c r="AH61" i="73"/>
  <c r="Z61" i="73"/>
  <c r="AF61" i="73"/>
  <c r="AK61" i="73"/>
  <c r="AL61" i="73"/>
  <c r="AM61" i="73"/>
  <c r="O61" i="73"/>
  <c r="P61" i="73"/>
  <c r="Q61" i="73"/>
  <c r="R61" i="73"/>
  <c r="S61" i="73"/>
  <c r="M61" i="73"/>
  <c r="N61" i="73"/>
  <c r="T61" i="73"/>
  <c r="U61" i="73"/>
  <c r="W61" i="73"/>
  <c r="V61" i="73"/>
  <c r="X61" i="73"/>
  <c r="Y61" i="73"/>
  <c r="AN61" i="73"/>
  <c r="AB53" i="73"/>
  <c r="AI53" i="73"/>
  <c r="AJ53" i="73"/>
  <c r="AK53" i="73"/>
  <c r="AN53" i="73"/>
  <c r="Z53" i="73"/>
  <c r="AA53" i="73"/>
  <c r="AD53" i="73"/>
  <c r="AC53" i="73"/>
  <c r="AE53" i="73"/>
  <c r="AF53" i="73"/>
  <c r="AM53" i="73"/>
  <c r="AH53" i="73"/>
  <c r="W53" i="73"/>
  <c r="AL53" i="73"/>
  <c r="X53" i="73"/>
  <c r="Y53" i="73"/>
  <c r="V53" i="73"/>
  <c r="N53" i="73"/>
  <c r="M53" i="73"/>
  <c r="AG53" i="73"/>
  <c r="P53" i="73"/>
  <c r="R53" i="73"/>
  <c r="S53" i="73"/>
  <c r="U53" i="73"/>
  <c r="O53" i="73"/>
  <c r="Q53" i="73"/>
  <c r="T53" i="73"/>
  <c r="AB45" i="73"/>
  <c r="AI45" i="73"/>
  <c r="AJ45" i="73"/>
  <c r="AK45" i="73"/>
  <c r="Z45" i="73"/>
  <c r="AA45" i="73"/>
  <c r="AC45" i="73"/>
  <c r="AE45" i="73"/>
  <c r="AM45" i="73"/>
  <c r="AN45" i="73"/>
  <c r="AF45" i="73"/>
  <c r="O45" i="73"/>
  <c r="AG45" i="73"/>
  <c r="AH45" i="73"/>
  <c r="AL45" i="73"/>
  <c r="X45" i="73"/>
  <c r="Y45" i="73"/>
  <c r="AD45" i="73"/>
  <c r="N45" i="73"/>
  <c r="M45" i="73"/>
  <c r="Q45" i="73"/>
  <c r="U45" i="73"/>
  <c r="R45" i="73"/>
  <c r="S45" i="73"/>
  <c r="T45" i="73"/>
  <c r="P45" i="73"/>
  <c r="W45" i="73"/>
  <c r="V45" i="73"/>
  <c r="AB37" i="73"/>
  <c r="AI37" i="73"/>
  <c r="AJ37" i="73"/>
  <c r="AK37" i="73"/>
  <c r="AD37" i="73"/>
  <c r="AE37" i="73"/>
  <c r="AF37" i="73"/>
  <c r="AG37" i="73"/>
  <c r="AL37" i="73"/>
  <c r="AN37" i="73"/>
  <c r="Z37" i="73"/>
  <c r="AC37" i="73"/>
  <c r="AM37" i="73"/>
  <c r="W37" i="73"/>
  <c r="M37" i="73"/>
  <c r="S37" i="73"/>
  <c r="T37" i="73"/>
  <c r="U37" i="73"/>
  <c r="V37" i="73"/>
  <c r="AA37" i="73"/>
  <c r="X37" i="73"/>
  <c r="AH37" i="73"/>
  <c r="R37" i="73"/>
  <c r="Y37" i="73"/>
  <c r="O37" i="73"/>
  <c r="Q37" i="73"/>
  <c r="N37" i="73"/>
  <c r="P37" i="73"/>
  <c r="AB29" i="73"/>
  <c r="AE29" i="73"/>
  <c r="AI29" i="73"/>
  <c r="AJ29" i="73"/>
  <c r="AK29" i="73"/>
  <c r="Z29" i="73"/>
  <c r="AA29" i="73"/>
  <c r="AC29" i="73"/>
  <c r="AN29" i="73"/>
  <c r="AD29" i="73"/>
  <c r="AG29" i="73"/>
  <c r="AM29" i="73"/>
  <c r="O29" i="73"/>
  <c r="N29" i="73"/>
  <c r="M29" i="73"/>
  <c r="P29" i="73"/>
  <c r="Q29" i="73"/>
  <c r="R29" i="73"/>
  <c r="AL29" i="73"/>
  <c r="X29" i="73"/>
  <c r="Y29" i="73"/>
  <c r="AF29" i="73"/>
  <c r="W29" i="73"/>
  <c r="AH29" i="73"/>
  <c r="S29" i="73"/>
  <c r="V29" i="73"/>
  <c r="T29" i="73"/>
  <c r="U29" i="73"/>
  <c r="AB21" i="73"/>
  <c r="AE21" i="73"/>
  <c r="AI21" i="73"/>
  <c r="AJ21" i="73"/>
  <c r="AK21" i="73"/>
  <c r="Z21" i="73"/>
  <c r="AC21" i="73"/>
  <c r="AH21" i="73"/>
  <c r="AL21" i="73"/>
  <c r="AM21" i="73"/>
  <c r="W21" i="73"/>
  <c r="X21" i="73"/>
  <c r="AA21" i="73"/>
  <c r="AD21" i="73"/>
  <c r="AF21" i="73"/>
  <c r="N21" i="73"/>
  <c r="O21" i="73"/>
  <c r="P21" i="73"/>
  <c r="Q21" i="73"/>
  <c r="R21" i="73"/>
  <c r="S21" i="73"/>
  <c r="M21" i="73"/>
  <c r="V21" i="73"/>
  <c r="T21" i="73"/>
  <c r="U21" i="73"/>
  <c r="Y21" i="73"/>
  <c r="AN21" i="73"/>
  <c r="AG21" i="73"/>
  <c r="AE17" i="73"/>
  <c r="AK17" i="73"/>
  <c r="O17" i="73"/>
  <c r="U17" i="73"/>
  <c r="AC17" i="73"/>
  <c r="Z17" i="73"/>
  <c r="AF17" i="73"/>
  <c r="AL17" i="73"/>
  <c r="P17" i="73"/>
  <c r="V17" i="73"/>
  <c r="M17" i="73"/>
  <c r="AA17" i="73"/>
  <c r="AG17" i="73"/>
  <c r="AM17" i="73"/>
  <c r="Q17" i="73"/>
  <c r="W17" i="73"/>
  <c r="Y17" i="73"/>
  <c r="AB17" i="73"/>
  <c r="AH17" i="73"/>
  <c r="R17" i="73"/>
  <c r="X17" i="73"/>
  <c r="AI17" i="73"/>
  <c r="AD17" i="73"/>
  <c r="AJ17" i="73"/>
  <c r="N17" i="73"/>
  <c r="T17" i="73"/>
  <c r="S17" i="73"/>
  <c r="G15" i="73"/>
  <c r="G7" i="73"/>
  <c r="V9" i="24"/>
  <c r="C29" i="1"/>
  <c r="AN9" i="73" l="1"/>
  <c r="AN7" i="73"/>
  <c r="AN16" i="73"/>
  <c r="AN10" i="73"/>
  <c r="AN17" i="73"/>
  <c r="AN14" i="73"/>
  <c r="AN11" i="73"/>
  <c r="AN13" i="73"/>
  <c r="AN15" i="73"/>
  <c r="AN12" i="73"/>
  <c r="AN18" i="73"/>
  <c r="B15" i="72"/>
  <c r="D213" i="69"/>
  <c r="D212" i="69"/>
  <c r="D211" i="69"/>
  <c r="D210" i="69"/>
  <c r="D209" i="69"/>
  <c r="D208" i="69"/>
  <c r="D207" i="69"/>
  <c r="D206" i="69"/>
  <c r="D205" i="69"/>
  <c r="D204" i="69"/>
  <c r="D203" i="69"/>
  <c r="D198" i="69"/>
  <c r="D197" i="69"/>
  <c r="D196" i="69"/>
  <c r="D195" i="69"/>
  <c r="D194" i="69"/>
  <c r="D193" i="69"/>
  <c r="D192" i="69"/>
  <c r="D191" i="69"/>
  <c r="D190" i="69"/>
  <c r="D189" i="69"/>
  <c r="D188" i="69"/>
  <c r="D183" i="69"/>
  <c r="D182" i="69"/>
  <c r="D181" i="69"/>
  <c r="D180" i="69"/>
  <c r="D179" i="69"/>
  <c r="D178" i="69"/>
  <c r="D177" i="69"/>
  <c r="D176" i="69"/>
  <c r="D175" i="69"/>
  <c r="D174" i="69"/>
  <c r="D173" i="69"/>
  <c r="D160" i="69"/>
  <c r="D159" i="69"/>
  <c r="D158" i="69"/>
  <c r="D157" i="69"/>
  <c r="D156" i="69"/>
  <c r="D155" i="69"/>
  <c r="D154" i="69"/>
  <c r="D153" i="69"/>
  <c r="D152" i="69"/>
  <c r="D151" i="69"/>
  <c r="D150" i="69"/>
  <c r="D144" i="69"/>
  <c r="D143" i="69"/>
  <c r="D142" i="69"/>
  <c r="D141" i="69"/>
  <c r="D140" i="69"/>
  <c r="D139" i="69"/>
  <c r="D138" i="69"/>
  <c r="D137" i="69"/>
  <c r="D136" i="69"/>
  <c r="D135" i="69"/>
  <c r="D134" i="69"/>
  <c r="D128" i="69"/>
  <c r="D127" i="69"/>
  <c r="D126" i="69"/>
  <c r="D125" i="69"/>
  <c r="D124" i="69"/>
  <c r="D123" i="69"/>
  <c r="D122" i="69"/>
  <c r="D121" i="69"/>
  <c r="D120" i="69"/>
  <c r="D119" i="69"/>
  <c r="D118" i="69"/>
  <c r="D112" i="69"/>
  <c r="D111" i="69"/>
  <c r="D110" i="69"/>
  <c r="D109" i="69"/>
  <c r="D108" i="69"/>
  <c r="D107" i="69"/>
  <c r="D106" i="69"/>
  <c r="D105" i="69"/>
  <c r="D104" i="69"/>
  <c r="D103" i="69"/>
  <c r="D102" i="69"/>
  <c r="D95" i="69"/>
  <c r="D94" i="69"/>
  <c r="D93" i="69"/>
  <c r="D92" i="69"/>
  <c r="D91" i="69"/>
  <c r="D90" i="69"/>
  <c r="D89" i="69"/>
  <c r="D88" i="69"/>
  <c r="D87" i="69"/>
  <c r="D86" i="69"/>
  <c r="D85" i="69"/>
  <c r="S5" i="1"/>
  <c r="N96" i="72" l="1"/>
  <c r="M95" i="72"/>
  <c r="M96" i="72"/>
  <c r="M93" i="72"/>
  <c r="M94" i="72"/>
  <c r="E43" i="72"/>
  <c r="E41" i="72"/>
  <c r="B41" i="72" s="1"/>
  <c r="E42" i="72"/>
  <c r="B42" i="72" s="1"/>
  <c r="E39" i="72"/>
  <c r="B39" i="72" s="1"/>
  <c r="E40" i="72"/>
  <c r="B40" i="72" s="1"/>
  <c r="E37" i="72"/>
  <c r="E38" i="72"/>
  <c r="B38" i="72" s="1"/>
  <c r="B16" i="72"/>
  <c r="C15" i="72" s="1"/>
  <c r="C27" i="72"/>
  <c r="C28" i="72"/>
  <c r="C26" i="72"/>
  <c r="C24" i="72"/>
  <c r="C25" i="72"/>
  <c r="C23" i="72"/>
  <c r="C20" i="72"/>
  <c r="C21" i="72"/>
  <c r="C19" i="72"/>
  <c r="M39" i="72"/>
  <c r="M43" i="72"/>
  <c r="M44" i="72"/>
  <c r="M46" i="72"/>
  <c r="M45" i="72"/>
  <c r="M40" i="72"/>
  <c r="M41" i="72"/>
  <c r="M42" i="72"/>
  <c r="M65" i="72"/>
  <c r="B83" i="52" s="1"/>
  <c r="B3" i="52"/>
  <c r="M59" i="72"/>
  <c r="M64" i="72"/>
  <c r="M58" i="72"/>
  <c r="M55" i="72"/>
  <c r="M56" i="72"/>
  <c r="S13" i="72"/>
  <c r="J238" i="69"/>
  <c r="K238" i="69" s="1"/>
  <c r="D277" i="69"/>
  <c r="D279" i="69" s="1"/>
  <c r="F279" i="69" s="1"/>
  <c r="D282" i="69"/>
  <c r="D284" i="69" s="1"/>
  <c r="F284" i="69" s="1"/>
  <c r="G224" i="69"/>
  <c r="A8" i="69"/>
  <c r="F8" i="69" s="1"/>
  <c r="A9" i="69"/>
  <c r="F9" i="69" s="1"/>
  <c r="A10" i="69"/>
  <c r="F10" i="69" s="1"/>
  <c r="A11" i="69"/>
  <c r="F11" i="69" s="1"/>
  <c r="A12" i="69"/>
  <c r="F12" i="69" s="1"/>
  <c r="A13" i="69"/>
  <c r="F13" i="69" s="1"/>
  <c r="A14" i="69"/>
  <c r="F14" i="69" s="1"/>
  <c r="A15" i="69"/>
  <c r="F15" i="69" s="1"/>
  <c r="A16" i="69"/>
  <c r="F16" i="69" s="1"/>
  <c r="A17" i="69"/>
  <c r="F17" i="69" s="1"/>
  <c r="A18" i="69"/>
  <c r="A19" i="69"/>
  <c r="F19" i="69" s="1"/>
  <c r="A20" i="69"/>
  <c r="F20" i="69" s="1"/>
  <c r="A21" i="69"/>
  <c r="F21" i="69" s="1"/>
  <c r="A22" i="69"/>
  <c r="F22" i="69" s="1"/>
  <c r="A23" i="69"/>
  <c r="A24" i="69"/>
  <c r="F24" i="69" s="1"/>
  <c r="A25" i="69"/>
  <c r="F25" i="69" s="1"/>
  <c r="A26" i="69"/>
  <c r="F26" i="69" s="1"/>
  <c r="A27" i="69"/>
  <c r="F27" i="69" s="1"/>
  <c r="A28" i="69"/>
  <c r="A29" i="69"/>
  <c r="F29" i="69" s="1"/>
  <c r="A30" i="69"/>
  <c r="A31" i="69"/>
  <c r="A32" i="69"/>
  <c r="F32" i="69" s="1"/>
  <c r="A33" i="69"/>
  <c r="F33" i="69" s="1"/>
  <c r="A34" i="69"/>
  <c r="F34" i="69" s="1"/>
  <c r="A35" i="69"/>
  <c r="F35" i="69" s="1"/>
  <c r="A36" i="69"/>
  <c r="F36" i="69" s="1"/>
  <c r="A37" i="69"/>
  <c r="A38" i="69"/>
  <c r="A39" i="69"/>
  <c r="F39" i="69" s="1"/>
  <c r="A40" i="69"/>
  <c r="F40" i="69" s="1"/>
  <c r="A41" i="69"/>
  <c r="F41" i="69" s="1"/>
  <c r="A42" i="69"/>
  <c r="F42" i="69" s="1"/>
  <c r="A43" i="69"/>
  <c r="F43" i="69" s="1"/>
  <c r="A44" i="69"/>
  <c r="F44" i="69" s="1"/>
  <c r="A45" i="69"/>
  <c r="A46" i="69"/>
  <c r="A47" i="69"/>
  <c r="F47" i="69" s="1"/>
  <c r="A48" i="69"/>
  <c r="F48" i="69" s="1"/>
  <c r="A49" i="69"/>
  <c r="F49" i="69" s="1"/>
  <c r="A50" i="69"/>
  <c r="F50" i="69" s="1"/>
  <c r="A51" i="69"/>
  <c r="F51" i="69" s="1"/>
  <c r="A52" i="69"/>
  <c r="F52" i="69" s="1"/>
  <c r="A53" i="69"/>
  <c r="F53" i="69" s="1"/>
  <c r="A54" i="69"/>
  <c r="F54" i="69" s="1"/>
  <c r="A55" i="69"/>
  <c r="A56" i="69"/>
  <c r="F56" i="69" s="1"/>
  <c r="A57" i="69"/>
  <c r="F57" i="69" s="1"/>
  <c r="A58" i="69"/>
  <c r="A59" i="69"/>
  <c r="A60" i="69"/>
  <c r="A61" i="69"/>
  <c r="F61" i="69" s="1"/>
  <c r="A62" i="69"/>
  <c r="F62" i="69" s="1"/>
  <c r="A63" i="69"/>
  <c r="F63" i="69" s="1"/>
  <c r="A64" i="69"/>
  <c r="F64" i="69" s="1"/>
  <c r="A65" i="69"/>
  <c r="A66" i="69"/>
  <c r="F66" i="69" s="1"/>
  <c r="A67" i="69"/>
  <c r="F67" i="69" s="1"/>
  <c r="A68" i="69"/>
  <c r="F68" i="69" s="1"/>
  <c r="A69" i="69"/>
  <c r="F69" i="69" s="1"/>
  <c r="A70" i="69"/>
  <c r="F70" i="69" s="1"/>
  <c r="A71" i="69"/>
  <c r="F71" i="69" s="1"/>
  <c r="A72" i="69"/>
  <c r="F72" i="69" s="1"/>
  <c r="A73" i="69"/>
  <c r="F73" i="69" s="1"/>
  <c r="A74" i="69"/>
  <c r="A75" i="69"/>
  <c r="F75" i="69" s="1"/>
  <c r="A76" i="69"/>
  <c r="A77" i="69"/>
  <c r="A78" i="69"/>
  <c r="A79" i="69"/>
  <c r="A80" i="69"/>
  <c r="A81" i="69"/>
  <c r="A82" i="69"/>
  <c r="A83" i="69"/>
  <c r="A84" i="69"/>
  <c r="A85" i="69"/>
  <c r="F85" i="69" s="1"/>
  <c r="A86" i="69"/>
  <c r="F86" i="69" s="1"/>
  <c r="A87" i="69"/>
  <c r="F87" i="69" s="1"/>
  <c r="A88" i="69"/>
  <c r="F88" i="69" s="1"/>
  <c r="A89" i="69"/>
  <c r="F89" i="69" s="1"/>
  <c r="A90" i="69"/>
  <c r="F90" i="69" s="1"/>
  <c r="A91" i="69"/>
  <c r="F91" i="69" s="1"/>
  <c r="A92" i="69"/>
  <c r="F92" i="69" s="1"/>
  <c r="A93" i="69"/>
  <c r="F93" i="69" s="1"/>
  <c r="A94" i="69"/>
  <c r="F94" i="69" s="1"/>
  <c r="A95" i="69"/>
  <c r="F95" i="69" s="1"/>
  <c r="A96" i="69"/>
  <c r="F96" i="69" s="1"/>
  <c r="A97" i="69"/>
  <c r="A98" i="69"/>
  <c r="A99" i="69"/>
  <c r="A100" i="69"/>
  <c r="F100" i="69" s="1"/>
  <c r="A101" i="69"/>
  <c r="A102" i="69"/>
  <c r="F102" i="69" s="1"/>
  <c r="A103" i="69"/>
  <c r="F103" i="69" s="1"/>
  <c r="A104" i="69"/>
  <c r="F104" i="69" s="1"/>
  <c r="A105" i="69"/>
  <c r="F105" i="69" s="1"/>
  <c r="A106" i="69"/>
  <c r="F106" i="69" s="1"/>
  <c r="A107" i="69"/>
  <c r="F107" i="69" s="1"/>
  <c r="A108" i="69"/>
  <c r="F108" i="69" s="1"/>
  <c r="A109" i="69"/>
  <c r="F109" i="69" s="1"/>
  <c r="A110" i="69"/>
  <c r="F110" i="69" s="1"/>
  <c r="A111" i="69"/>
  <c r="F111" i="69" s="1"/>
  <c r="A112" i="69"/>
  <c r="F112" i="69" s="1"/>
  <c r="A113" i="69"/>
  <c r="F113" i="69" s="1"/>
  <c r="A114" i="69"/>
  <c r="A115" i="69"/>
  <c r="A116" i="69"/>
  <c r="F116" i="69" s="1"/>
  <c r="A117" i="69"/>
  <c r="A118" i="69"/>
  <c r="F118" i="69" s="1"/>
  <c r="A119" i="69"/>
  <c r="F119" i="69" s="1"/>
  <c r="A120" i="69"/>
  <c r="F120" i="69" s="1"/>
  <c r="A121" i="69"/>
  <c r="F121" i="69" s="1"/>
  <c r="A122" i="69"/>
  <c r="F122" i="69" s="1"/>
  <c r="A123" i="69"/>
  <c r="F123" i="69" s="1"/>
  <c r="A124" i="69"/>
  <c r="F124" i="69" s="1"/>
  <c r="A125" i="69"/>
  <c r="F125" i="69" s="1"/>
  <c r="A126" i="69"/>
  <c r="F126" i="69" s="1"/>
  <c r="A127" i="69"/>
  <c r="F127" i="69" s="1"/>
  <c r="A128" i="69"/>
  <c r="F128" i="69" s="1"/>
  <c r="A129" i="69"/>
  <c r="F129" i="69" s="1"/>
  <c r="A130" i="69"/>
  <c r="A131" i="69"/>
  <c r="A132" i="69"/>
  <c r="F132" i="69" s="1"/>
  <c r="A133" i="69"/>
  <c r="A134" i="69"/>
  <c r="F134" i="69" s="1"/>
  <c r="A135" i="69"/>
  <c r="F135" i="69" s="1"/>
  <c r="A136" i="69"/>
  <c r="F136" i="69" s="1"/>
  <c r="A137" i="69"/>
  <c r="F137" i="69" s="1"/>
  <c r="A138" i="69"/>
  <c r="F138" i="69" s="1"/>
  <c r="A139" i="69"/>
  <c r="F139" i="69" s="1"/>
  <c r="A140" i="69"/>
  <c r="F140" i="69" s="1"/>
  <c r="A141" i="69"/>
  <c r="F141" i="69" s="1"/>
  <c r="A142" i="69"/>
  <c r="F142" i="69" s="1"/>
  <c r="A143" i="69"/>
  <c r="F143" i="69" s="1"/>
  <c r="A144" i="69"/>
  <c r="F144" i="69" s="1"/>
  <c r="A145" i="69"/>
  <c r="F145" i="69" s="1"/>
  <c r="A146" i="69"/>
  <c r="A147" i="69"/>
  <c r="A148" i="69"/>
  <c r="F148" i="69" s="1"/>
  <c r="A149" i="69"/>
  <c r="A150" i="69"/>
  <c r="F150" i="69" s="1"/>
  <c r="A151" i="69"/>
  <c r="F151" i="69" s="1"/>
  <c r="A152" i="69"/>
  <c r="F152" i="69" s="1"/>
  <c r="A153" i="69"/>
  <c r="F153" i="69" s="1"/>
  <c r="A154" i="69"/>
  <c r="F154" i="69" s="1"/>
  <c r="A155" i="69"/>
  <c r="F155" i="69" s="1"/>
  <c r="A156" i="69"/>
  <c r="F156" i="69" s="1"/>
  <c r="A157" i="69"/>
  <c r="F157" i="69" s="1"/>
  <c r="A158" i="69"/>
  <c r="F158" i="69" s="1"/>
  <c r="A159" i="69"/>
  <c r="F159" i="69" s="1"/>
  <c r="A160" i="69"/>
  <c r="F160" i="69" s="1"/>
  <c r="A161" i="69"/>
  <c r="F161" i="69" s="1"/>
  <c r="A162" i="69"/>
  <c r="A163" i="69"/>
  <c r="A164" i="69"/>
  <c r="F164" i="69" s="1"/>
  <c r="A165" i="69"/>
  <c r="A166" i="69"/>
  <c r="A167" i="69"/>
  <c r="F167" i="69" s="1"/>
  <c r="A168" i="69"/>
  <c r="A169" i="69"/>
  <c r="F169" i="69" s="1"/>
  <c r="A170" i="69"/>
  <c r="A171" i="69"/>
  <c r="F171" i="69" s="1"/>
  <c r="A172" i="69"/>
  <c r="A173" i="69"/>
  <c r="F173" i="69" s="1"/>
  <c r="A174" i="69"/>
  <c r="F174" i="69" s="1"/>
  <c r="A175" i="69"/>
  <c r="F175" i="69" s="1"/>
  <c r="A176" i="69"/>
  <c r="F176" i="69" s="1"/>
  <c r="A177" i="69"/>
  <c r="F177" i="69" s="1"/>
  <c r="A178" i="69"/>
  <c r="F178" i="69" s="1"/>
  <c r="A179" i="69"/>
  <c r="F179" i="69" s="1"/>
  <c r="A180" i="69"/>
  <c r="F180" i="69" s="1"/>
  <c r="A181" i="69"/>
  <c r="F181" i="69" s="1"/>
  <c r="A182" i="69"/>
  <c r="F182" i="69" s="1"/>
  <c r="A183" i="69"/>
  <c r="F183" i="69" s="1"/>
  <c r="A184" i="69"/>
  <c r="F184" i="69" s="1"/>
  <c r="A185" i="69"/>
  <c r="A186" i="69"/>
  <c r="F186" i="69" s="1"/>
  <c r="A187" i="69"/>
  <c r="A188" i="69"/>
  <c r="F188" i="69" s="1"/>
  <c r="A189" i="69"/>
  <c r="F189" i="69" s="1"/>
  <c r="A190" i="69"/>
  <c r="F190" i="69" s="1"/>
  <c r="A191" i="69"/>
  <c r="F191" i="69" s="1"/>
  <c r="A192" i="69"/>
  <c r="F192" i="69" s="1"/>
  <c r="A193" i="69"/>
  <c r="F193" i="69" s="1"/>
  <c r="A194" i="69"/>
  <c r="F194" i="69" s="1"/>
  <c r="A195" i="69"/>
  <c r="F195" i="69" s="1"/>
  <c r="A196" i="69"/>
  <c r="F196" i="69" s="1"/>
  <c r="A197" i="69"/>
  <c r="F197" i="69" s="1"/>
  <c r="A198" i="69"/>
  <c r="F198" i="69" s="1"/>
  <c r="A199" i="69"/>
  <c r="F199" i="69" s="1"/>
  <c r="A200" i="69"/>
  <c r="A201" i="69"/>
  <c r="F201" i="69" s="1"/>
  <c r="A202" i="69"/>
  <c r="A203" i="69"/>
  <c r="F203" i="69" s="1"/>
  <c r="A204" i="69"/>
  <c r="F204" i="69" s="1"/>
  <c r="A205" i="69"/>
  <c r="F205" i="69" s="1"/>
  <c r="A206" i="69"/>
  <c r="F206" i="69" s="1"/>
  <c r="A207" i="69"/>
  <c r="F207" i="69" s="1"/>
  <c r="A208" i="69"/>
  <c r="F208" i="69" s="1"/>
  <c r="A209" i="69"/>
  <c r="F209" i="69" s="1"/>
  <c r="A210" i="69"/>
  <c r="F210" i="69" s="1"/>
  <c r="A211" i="69"/>
  <c r="F211" i="69" s="1"/>
  <c r="A212" i="69"/>
  <c r="F212" i="69" s="1"/>
  <c r="A213" i="69"/>
  <c r="F213" i="69" s="1"/>
  <c r="A214" i="69"/>
  <c r="F214" i="69" s="1"/>
  <c r="A215" i="69"/>
  <c r="A216" i="69"/>
  <c r="A217" i="69"/>
  <c r="A218" i="69"/>
  <c r="A219" i="69"/>
  <c r="A220" i="69"/>
  <c r="A221" i="69"/>
  <c r="A222" i="69"/>
  <c r="A223" i="69"/>
  <c r="A224" i="69"/>
  <c r="F224" i="69" s="1"/>
  <c r="A225" i="69"/>
  <c r="A226" i="69"/>
  <c r="A227" i="69"/>
  <c r="A228" i="69"/>
  <c r="F228" i="69" s="1"/>
  <c r="A229" i="69"/>
  <c r="F229" i="69" s="1"/>
  <c r="A230" i="69"/>
  <c r="F230" i="69" s="1"/>
  <c r="A231" i="69"/>
  <c r="F231" i="69" s="1"/>
  <c r="A232" i="69"/>
  <c r="F232" i="69" s="1"/>
  <c r="A233" i="69"/>
  <c r="F233" i="69" s="1"/>
  <c r="A234" i="69"/>
  <c r="F234" i="69" s="1"/>
  <c r="A7" i="69"/>
  <c r="F7" i="69" s="1"/>
  <c r="G229" i="69"/>
  <c r="G230" i="69"/>
  <c r="G231" i="69"/>
  <c r="G232" i="69"/>
  <c r="G233" i="69"/>
  <c r="G234" i="69"/>
  <c r="G228" i="69"/>
  <c r="G171" i="69"/>
  <c r="G173" i="69"/>
  <c r="G174" i="69"/>
  <c r="G175" i="69"/>
  <c r="G176" i="69"/>
  <c r="G177" i="69"/>
  <c r="G178" i="69"/>
  <c r="G179" i="69"/>
  <c r="G180" i="69"/>
  <c r="G181" i="69"/>
  <c r="G182" i="69"/>
  <c r="G183" i="69"/>
  <c r="G184" i="69"/>
  <c r="G186" i="69"/>
  <c r="G188" i="69"/>
  <c r="G189" i="69"/>
  <c r="G190" i="69"/>
  <c r="G191" i="69"/>
  <c r="G192" i="69"/>
  <c r="G193" i="69"/>
  <c r="G194" i="69"/>
  <c r="G195" i="69"/>
  <c r="G196" i="69"/>
  <c r="G197" i="69"/>
  <c r="G198" i="69"/>
  <c r="G199" i="69"/>
  <c r="G201" i="69"/>
  <c r="G203" i="69"/>
  <c r="G204" i="69"/>
  <c r="G205" i="69"/>
  <c r="G206" i="69"/>
  <c r="G207" i="69"/>
  <c r="G208" i="69"/>
  <c r="G209" i="69"/>
  <c r="G210" i="69"/>
  <c r="G211" i="69"/>
  <c r="G212" i="69"/>
  <c r="G213" i="69"/>
  <c r="G214" i="69"/>
  <c r="G167" i="69"/>
  <c r="G169" i="69"/>
  <c r="G164" i="69"/>
  <c r="G102" i="69"/>
  <c r="K102" i="69" s="1"/>
  <c r="G103" i="69"/>
  <c r="K103" i="69" s="1"/>
  <c r="G104" i="69"/>
  <c r="K104" i="69" s="1"/>
  <c r="G105" i="69"/>
  <c r="K105" i="69" s="1"/>
  <c r="G106" i="69"/>
  <c r="K106" i="69" s="1"/>
  <c r="G107" i="69"/>
  <c r="K107" i="69" s="1"/>
  <c r="G108" i="69"/>
  <c r="K108" i="69" s="1"/>
  <c r="G109" i="69"/>
  <c r="K109" i="69" s="1"/>
  <c r="G110" i="69"/>
  <c r="K110" i="69" s="1"/>
  <c r="G111" i="69"/>
  <c r="K111" i="69" s="1"/>
  <c r="G112" i="69"/>
  <c r="K112" i="69" s="1"/>
  <c r="G113" i="69"/>
  <c r="K113" i="69" s="1"/>
  <c r="G116" i="69"/>
  <c r="G118" i="69"/>
  <c r="K118" i="69" s="1"/>
  <c r="G119" i="69"/>
  <c r="K119" i="69" s="1"/>
  <c r="G120" i="69"/>
  <c r="K120" i="69" s="1"/>
  <c r="G121" i="69"/>
  <c r="K121" i="69" s="1"/>
  <c r="G122" i="69"/>
  <c r="K122" i="69" s="1"/>
  <c r="G123" i="69"/>
  <c r="K123" i="69" s="1"/>
  <c r="G124" i="69"/>
  <c r="K124" i="69" s="1"/>
  <c r="G125" i="69"/>
  <c r="K125" i="69" s="1"/>
  <c r="G126" i="69"/>
  <c r="K126" i="69" s="1"/>
  <c r="G127" i="69"/>
  <c r="K127" i="69" s="1"/>
  <c r="G128" i="69"/>
  <c r="K128" i="69" s="1"/>
  <c r="G129" i="69"/>
  <c r="K129" i="69" s="1"/>
  <c r="G132" i="69"/>
  <c r="G134" i="69"/>
  <c r="K134" i="69" s="1"/>
  <c r="G135" i="69"/>
  <c r="K135" i="69" s="1"/>
  <c r="G136" i="69"/>
  <c r="K136" i="69" s="1"/>
  <c r="G137" i="69"/>
  <c r="K137" i="69" s="1"/>
  <c r="G138" i="69"/>
  <c r="K138" i="69" s="1"/>
  <c r="G139" i="69"/>
  <c r="K139" i="69" s="1"/>
  <c r="G140" i="69"/>
  <c r="K140" i="69" s="1"/>
  <c r="G141" i="69"/>
  <c r="K141" i="69" s="1"/>
  <c r="G142" i="69"/>
  <c r="K142" i="69" s="1"/>
  <c r="G143" i="69"/>
  <c r="K143" i="69" s="1"/>
  <c r="G144" i="69"/>
  <c r="K144" i="69" s="1"/>
  <c r="G145" i="69"/>
  <c r="K145" i="69" s="1"/>
  <c r="G148" i="69"/>
  <c r="G150" i="69"/>
  <c r="K150" i="69" s="1"/>
  <c r="G151" i="69"/>
  <c r="K151" i="69" s="1"/>
  <c r="G152" i="69"/>
  <c r="K152" i="69" s="1"/>
  <c r="G153" i="69"/>
  <c r="K153" i="69" s="1"/>
  <c r="G154" i="69"/>
  <c r="K154" i="69" s="1"/>
  <c r="G155" i="69"/>
  <c r="K155" i="69" s="1"/>
  <c r="G156" i="69"/>
  <c r="K156" i="69" s="1"/>
  <c r="G157" i="69"/>
  <c r="K157" i="69" s="1"/>
  <c r="G158" i="69"/>
  <c r="K158" i="69" s="1"/>
  <c r="G159" i="69"/>
  <c r="K159" i="69" s="1"/>
  <c r="G160" i="69"/>
  <c r="K160" i="69" s="1"/>
  <c r="G161" i="69"/>
  <c r="K161" i="69" s="1"/>
  <c r="G100" i="69"/>
  <c r="J252" i="69"/>
  <c r="K252" i="69" s="1"/>
  <c r="J253" i="69"/>
  <c r="K253" i="69" s="1"/>
  <c r="J254" i="69"/>
  <c r="K254" i="69" s="1"/>
  <c r="J255" i="69"/>
  <c r="K255" i="69" s="1"/>
  <c r="J257" i="69"/>
  <c r="K257" i="69" s="1"/>
  <c r="J258" i="69"/>
  <c r="K258" i="69" s="1"/>
  <c r="J259" i="69"/>
  <c r="K259" i="69" s="1"/>
  <c r="J260" i="69"/>
  <c r="K260" i="69" s="1"/>
  <c r="J261" i="69"/>
  <c r="K261" i="69" s="1"/>
  <c r="J263" i="69"/>
  <c r="K263" i="69" s="1"/>
  <c r="J265" i="69"/>
  <c r="K265" i="69" s="1"/>
  <c r="J266" i="69"/>
  <c r="K266" i="69" s="1"/>
  <c r="J267" i="69"/>
  <c r="K267" i="69" s="1"/>
  <c r="J268" i="69"/>
  <c r="K268" i="69" s="1"/>
  <c r="J269" i="69"/>
  <c r="K269" i="69" s="1"/>
  <c r="J270" i="69"/>
  <c r="K270" i="69" s="1"/>
  <c r="J271" i="69"/>
  <c r="K271" i="69" s="1"/>
  <c r="J272" i="69"/>
  <c r="K272" i="69" s="1"/>
  <c r="J273" i="69"/>
  <c r="K273" i="69" s="1"/>
  <c r="J274" i="69"/>
  <c r="K274" i="69" s="1"/>
  <c r="J251" i="69"/>
  <c r="K251" i="69" s="1"/>
  <c r="J239" i="69"/>
  <c r="K239" i="69" s="1"/>
  <c r="J240" i="69"/>
  <c r="K240" i="69" s="1"/>
  <c r="J241" i="69"/>
  <c r="K241" i="69" s="1"/>
  <c r="J242" i="69"/>
  <c r="K242" i="69" s="1"/>
  <c r="J243" i="69"/>
  <c r="K243" i="69" s="1"/>
  <c r="J245" i="69"/>
  <c r="K245" i="69" s="1"/>
  <c r="J246" i="69"/>
  <c r="K246" i="69" s="1"/>
  <c r="J247" i="69"/>
  <c r="K247" i="69" s="1"/>
  <c r="J248" i="69"/>
  <c r="K248" i="69" s="1"/>
  <c r="J229" i="69"/>
  <c r="J230" i="69"/>
  <c r="J231" i="69"/>
  <c r="J232" i="69"/>
  <c r="J233" i="69"/>
  <c r="J234" i="69"/>
  <c r="J228" i="69"/>
  <c r="J219" i="69"/>
  <c r="J220" i="69"/>
  <c r="K220" i="69" s="1"/>
  <c r="J221" i="69"/>
  <c r="K221" i="69" s="1"/>
  <c r="J222" i="69"/>
  <c r="K222" i="69" s="1"/>
  <c r="J223" i="69"/>
  <c r="K223" i="69" s="1"/>
  <c r="J224" i="69"/>
  <c r="J218" i="69"/>
  <c r="K218" i="69" s="1"/>
  <c r="J167" i="69"/>
  <c r="J169" i="69"/>
  <c r="J171" i="69"/>
  <c r="J173" i="69"/>
  <c r="J174" i="69"/>
  <c r="J175" i="69"/>
  <c r="J176" i="69"/>
  <c r="J177" i="69"/>
  <c r="J178" i="69"/>
  <c r="J179" i="69"/>
  <c r="J180" i="69"/>
  <c r="J181" i="69"/>
  <c r="J182" i="69"/>
  <c r="J183" i="69"/>
  <c r="J184" i="69"/>
  <c r="J186" i="69"/>
  <c r="J188" i="69"/>
  <c r="J189" i="69"/>
  <c r="J190" i="69"/>
  <c r="J191" i="69"/>
  <c r="J192" i="69"/>
  <c r="J193" i="69"/>
  <c r="J194" i="69"/>
  <c r="J195" i="69"/>
  <c r="J196" i="69"/>
  <c r="J197" i="69"/>
  <c r="J198" i="69"/>
  <c r="J199" i="69"/>
  <c r="J201" i="69"/>
  <c r="J203" i="69"/>
  <c r="J204" i="69"/>
  <c r="J205" i="69"/>
  <c r="J206" i="69"/>
  <c r="J207" i="69"/>
  <c r="J208" i="69"/>
  <c r="J209" i="69"/>
  <c r="J210" i="69"/>
  <c r="J211" i="69"/>
  <c r="J212" i="69"/>
  <c r="J213" i="69"/>
  <c r="J214" i="69"/>
  <c r="J164" i="69"/>
  <c r="J148" i="69"/>
  <c r="J132" i="69"/>
  <c r="J116" i="69"/>
  <c r="J100" i="69"/>
  <c r="J73" i="69"/>
  <c r="I266" i="69"/>
  <c r="I267" i="69"/>
  <c r="I268" i="69"/>
  <c r="I269" i="69"/>
  <c r="I270" i="69"/>
  <c r="I271" i="69"/>
  <c r="I272" i="69"/>
  <c r="I273" i="69"/>
  <c r="I274" i="69"/>
  <c r="I265" i="69"/>
  <c r="I263" i="69"/>
  <c r="I258" i="69"/>
  <c r="I259" i="69"/>
  <c r="I260" i="69"/>
  <c r="I261" i="69"/>
  <c r="I257" i="69"/>
  <c r="I252" i="69"/>
  <c r="I253" i="69"/>
  <c r="I254" i="69"/>
  <c r="I255" i="69"/>
  <c r="I251" i="69"/>
  <c r="I246" i="69"/>
  <c r="I247" i="69"/>
  <c r="I248" i="69"/>
  <c r="I245" i="69"/>
  <c r="I239" i="69"/>
  <c r="I240" i="69"/>
  <c r="I241" i="69"/>
  <c r="I242" i="69"/>
  <c r="I243" i="69"/>
  <c r="I238" i="69"/>
  <c r="I229" i="69"/>
  <c r="I230" i="69"/>
  <c r="I231" i="69"/>
  <c r="I232" i="69"/>
  <c r="I233" i="69"/>
  <c r="I234" i="69"/>
  <c r="I228" i="69"/>
  <c r="I219" i="69"/>
  <c r="I220" i="69"/>
  <c r="I221" i="69"/>
  <c r="I222" i="69"/>
  <c r="I223" i="69"/>
  <c r="I224" i="69"/>
  <c r="I218" i="69"/>
  <c r="J61" i="69"/>
  <c r="G19" i="69"/>
  <c r="G20" i="69"/>
  <c r="G21" i="69"/>
  <c r="G22" i="69"/>
  <c r="K22" i="69" s="1"/>
  <c r="G24" i="69"/>
  <c r="G25" i="69"/>
  <c r="G26" i="69"/>
  <c r="G27" i="69"/>
  <c r="G29" i="69"/>
  <c r="G32" i="69"/>
  <c r="G33" i="69"/>
  <c r="G34" i="69"/>
  <c r="G35" i="69"/>
  <c r="G36" i="69"/>
  <c r="G39" i="69"/>
  <c r="F50" i="24" s="1"/>
  <c r="G40" i="69"/>
  <c r="F51" i="24" s="1"/>
  <c r="G41" i="69"/>
  <c r="F52" i="24" s="1"/>
  <c r="G42" i="69"/>
  <c r="F53" i="24" s="1"/>
  <c r="G43" i="69"/>
  <c r="F54" i="24" s="1"/>
  <c r="G44" i="69"/>
  <c r="K44" i="69" s="1"/>
  <c r="G47" i="69"/>
  <c r="F69" i="24" s="1"/>
  <c r="G48" i="69"/>
  <c r="F62" i="24" s="1"/>
  <c r="G49" i="69"/>
  <c r="F64" i="24" s="1"/>
  <c r="G50" i="69"/>
  <c r="F63" i="24" s="1"/>
  <c r="G51" i="69"/>
  <c r="F68" i="24" s="1"/>
  <c r="G52" i="69"/>
  <c r="F67" i="24" s="1"/>
  <c r="G53" i="69"/>
  <c r="F65" i="24" s="1"/>
  <c r="G54" i="69"/>
  <c r="F66" i="24" s="1"/>
  <c r="G56" i="69"/>
  <c r="F58" i="24" s="1"/>
  <c r="G57" i="69"/>
  <c r="F59" i="24" s="1"/>
  <c r="G61" i="69"/>
  <c r="K41" i="24" s="1"/>
  <c r="G62" i="69"/>
  <c r="K42" i="24" s="1"/>
  <c r="G63" i="69"/>
  <c r="K43" i="24" s="1"/>
  <c r="G64" i="69"/>
  <c r="K44" i="24" s="1"/>
  <c r="G66" i="69"/>
  <c r="K46" i="24" s="1"/>
  <c r="G67" i="69"/>
  <c r="K47" i="24" s="1"/>
  <c r="G68" i="69"/>
  <c r="K48" i="24" s="1"/>
  <c r="G69" i="69"/>
  <c r="K49" i="24" s="1"/>
  <c r="G70" i="69"/>
  <c r="K50" i="24" s="1"/>
  <c r="G71" i="69"/>
  <c r="K51" i="24" s="1"/>
  <c r="G72" i="69"/>
  <c r="K52" i="24" s="1"/>
  <c r="G73" i="69"/>
  <c r="K53" i="24" s="1"/>
  <c r="J19" i="69"/>
  <c r="J20" i="69"/>
  <c r="J21" i="69"/>
  <c r="J24" i="69"/>
  <c r="J25" i="69"/>
  <c r="J26" i="69"/>
  <c r="J27" i="69"/>
  <c r="J29" i="69"/>
  <c r="J32" i="69"/>
  <c r="J33" i="69"/>
  <c r="J34" i="69"/>
  <c r="J35" i="69"/>
  <c r="J36" i="69"/>
  <c r="J39" i="69"/>
  <c r="J40" i="69"/>
  <c r="J41" i="69"/>
  <c r="J42" i="69"/>
  <c r="J43" i="69"/>
  <c r="J47" i="69"/>
  <c r="J48" i="69"/>
  <c r="J49" i="69"/>
  <c r="J50" i="69"/>
  <c r="J51" i="69"/>
  <c r="J52" i="69"/>
  <c r="J53" i="69"/>
  <c r="J54" i="69"/>
  <c r="J56" i="69"/>
  <c r="J57" i="69"/>
  <c r="J62" i="69"/>
  <c r="J63" i="69"/>
  <c r="J64" i="69"/>
  <c r="J66" i="69"/>
  <c r="J67" i="69"/>
  <c r="J68" i="69"/>
  <c r="J69" i="69"/>
  <c r="J70" i="69"/>
  <c r="J71" i="69"/>
  <c r="J72" i="69"/>
  <c r="I204" i="69"/>
  <c r="I205" i="69"/>
  <c r="I206" i="69"/>
  <c r="I207" i="69"/>
  <c r="I208" i="69"/>
  <c r="I209" i="69"/>
  <c r="I210" i="69"/>
  <c r="I211" i="69"/>
  <c r="I212" i="69"/>
  <c r="I213" i="69"/>
  <c r="I214" i="69"/>
  <c r="I203" i="69"/>
  <c r="I201" i="69"/>
  <c r="I189" i="69"/>
  <c r="I190" i="69"/>
  <c r="I191" i="69"/>
  <c r="I192" i="69"/>
  <c r="I193" i="69"/>
  <c r="I194" i="69"/>
  <c r="I195" i="69"/>
  <c r="I196" i="69"/>
  <c r="I197" i="69"/>
  <c r="I198" i="69"/>
  <c r="I199" i="69"/>
  <c r="I188" i="69"/>
  <c r="I186" i="69"/>
  <c r="I174" i="69"/>
  <c r="I175" i="69"/>
  <c r="I176" i="69"/>
  <c r="I177" i="69"/>
  <c r="I178" i="69"/>
  <c r="I179" i="69"/>
  <c r="I180" i="69"/>
  <c r="I181" i="69"/>
  <c r="I182" i="69"/>
  <c r="I183" i="69"/>
  <c r="I184" i="69"/>
  <c r="I173" i="69"/>
  <c r="I171" i="69"/>
  <c r="I169" i="69"/>
  <c r="I167" i="69"/>
  <c r="I164" i="69"/>
  <c r="I151" i="69"/>
  <c r="I152" i="69"/>
  <c r="I153" i="69"/>
  <c r="I154" i="69"/>
  <c r="I155" i="69"/>
  <c r="I156" i="69"/>
  <c r="I157" i="69"/>
  <c r="I158" i="69"/>
  <c r="I159" i="69"/>
  <c r="I160" i="69"/>
  <c r="I161" i="69"/>
  <c r="I150" i="69"/>
  <c r="I148" i="69"/>
  <c r="I135" i="69"/>
  <c r="I136" i="69"/>
  <c r="I137" i="69"/>
  <c r="I138" i="69"/>
  <c r="I139" i="69"/>
  <c r="I140" i="69"/>
  <c r="I141" i="69"/>
  <c r="I142" i="69"/>
  <c r="I143" i="69"/>
  <c r="I144" i="69"/>
  <c r="I145" i="69"/>
  <c r="I134" i="69"/>
  <c r="I132" i="69"/>
  <c r="I119" i="69"/>
  <c r="I120" i="69"/>
  <c r="I121" i="69"/>
  <c r="I122" i="69"/>
  <c r="I123" i="69"/>
  <c r="I124" i="69"/>
  <c r="I125" i="69"/>
  <c r="I126" i="69"/>
  <c r="I127" i="69"/>
  <c r="I128" i="69"/>
  <c r="I129" i="69"/>
  <c r="I118" i="69"/>
  <c r="I116" i="69"/>
  <c r="I103" i="69"/>
  <c r="I104" i="69"/>
  <c r="I105" i="69"/>
  <c r="I106" i="69"/>
  <c r="I107" i="69"/>
  <c r="I108" i="69"/>
  <c r="I109" i="69"/>
  <c r="I110" i="69"/>
  <c r="I111" i="69"/>
  <c r="I112" i="69"/>
  <c r="I113" i="69"/>
  <c r="I102" i="69"/>
  <c r="I100" i="69"/>
  <c r="I67" i="69"/>
  <c r="I68" i="69"/>
  <c r="I69" i="69"/>
  <c r="I70" i="69"/>
  <c r="I71" i="69"/>
  <c r="I72" i="69"/>
  <c r="I73" i="69"/>
  <c r="I66" i="69"/>
  <c r="I62" i="69"/>
  <c r="I63" i="69"/>
  <c r="I64" i="69"/>
  <c r="I61" i="69"/>
  <c r="I48" i="69"/>
  <c r="I49" i="69"/>
  <c r="I50" i="69"/>
  <c r="I51" i="69"/>
  <c r="I52" i="69"/>
  <c r="I53" i="69"/>
  <c r="I54" i="69"/>
  <c r="I56" i="69"/>
  <c r="I57" i="69"/>
  <c r="I47" i="69"/>
  <c r="I40" i="69"/>
  <c r="I41" i="69"/>
  <c r="I42" i="69"/>
  <c r="I43" i="69"/>
  <c r="I39" i="69"/>
  <c r="I33" i="69"/>
  <c r="I34" i="69"/>
  <c r="I35" i="69"/>
  <c r="I36" i="69"/>
  <c r="I32" i="69"/>
  <c r="I29" i="69"/>
  <c r="I25" i="69"/>
  <c r="I26" i="69"/>
  <c r="I27" i="69"/>
  <c r="I24" i="69"/>
  <c r="I20" i="69"/>
  <c r="I21" i="69"/>
  <c r="I19" i="69"/>
  <c r="I8" i="69"/>
  <c r="I9" i="69"/>
  <c r="I10" i="69"/>
  <c r="I11" i="69"/>
  <c r="I12" i="69"/>
  <c r="I13" i="69"/>
  <c r="I14" i="69"/>
  <c r="I15" i="69"/>
  <c r="I16" i="69"/>
  <c r="I17" i="69"/>
  <c r="I7" i="69"/>
  <c r="J8" i="69"/>
  <c r="J9" i="69"/>
  <c r="J10" i="69"/>
  <c r="J11" i="69"/>
  <c r="J12" i="69"/>
  <c r="J13" i="69"/>
  <c r="J14" i="69"/>
  <c r="J15" i="69"/>
  <c r="J16" i="69"/>
  <c r="J17" i="69"/>
  <c r="J7" i="69"/>
  <c r="G7" i="69"/>
  <c r="G8" i="69"/>
  <c r="G9" i="69"/>
  <c r="G10" i="69"/>
  <c r="F7" i="24" s="1"/>
  <c r="G11" i="69"/>
  <c r="G12" i="69"/>
  <c r="G13" i="69"/>
  <c r="G14" i="69"/>
  <c r="G15" i="69"/>
  <c r="F12" i="24" s="1"/>
  <c r="G16" i="69"/>
  <c r="G17" i="69"/>
  <c r="F39" i="66"/>
  <c r="G39" i="66"/>
  <c r="H39" i="66"/>
  <c r="I39" i="66"/>
  <c r="J39" i="66"/>
  <c r="K39" i="66"/>
  <c r="L39" i="66"/>
  <c r="M39" i="66"/>
  <c r="N39" i="66"/>
  <c r="O39" i="66"/>
  <c r="P39" i="66"/>
  <c r="E39" i="66"/>
  <c r="K164" i="69" l="1"/>
  <c r="E20" i="72"/>
  <c r="G22" i="68" s="1"/>
  <c r="F277" i="69"/>
  <c r="F10" i="24"/>
  <c r="F11" i="24"/>
  <c r="K177" i="69"/>
  <c r="K17" i="69"/>
  <c r="F14" i="24"/>
  <c r="K11" i="69"/>
  <c r="F8" i="24"/>
  <c r="K12" i="69"/>
  <c r="F9" i="24"/>
  <c r="K16" i="69"/>
  <c r="F13" i="24"/>
  <c r="K9" i="69"/>
  <c r="F6" i="24"/>
  <c r="K234" i="69"/>
  <c r="B37" i="72"/>
  <c r="O91" i="52"/>
  <c r="F282" i="69"/>
  <c r="K54" i="24"/>
  <c r="K45" i="24"/>
  <c r="M38" i="72"/>
  <c r="M49" i="72" s="1"/>
  <c r="K10" i="69"/>
  <c r="K15" i="69"/>
  <c r="K210" i="69"/>
  <c r="K14" i="69"/>
  <c r="K73" i="69"/>
  <c r="K13" i="69"/>
  <c r="L5" i="72"/>
  <c r="M5" i="72"/>
  <c r="O14" i="72"/>
  <c r="O11" i="72"/>
  <c r="N8" i="72"/>
  <c r="O15" i="72"/>
  <c r="O12" i="72"/>
  <c r="O9" i="72"/>
  <c r="N15" i="72"/>
  <c r="N12" i="72"/>
  <c r="N9" i="72"/>
  <c r="O13" i="72"/>
  <c r="O10" i="72"/>
  <c r="N13" i="72"/>
  <c r="N10" i="72"/>
  <c r="N7" i="72"/>
  <c r="O8" i="72"/>
  <c r="N14" i="72"/>
  <c r="N11" i="72"/>
  <c r="K224" i="69"/>
  <c r="K8" i="69"/>
  <c r="K219" i="69"/>
  <c r="K148" i="69"/>
  <c r="K214" i="69"/>
  <c r="K208" i="69"/>
  <c r="K201" i="69"/>
  <c r="K194" i="69"/>
  <c r="K188" i="69"/>
  <c r="K180" i="69"/>
  <c r="K174" i="69"/>
  <c r="K100" i="69"/>
  <c r="G65" i="69"/>
  <c r="K49" i="69"/>
  <c r="K213" i="69"/>
  <c r="K207" i="69"/>
  <c r="K186" i="69"/>
  <c r="K179" i="69"/>
  <c r="K173" i="69"/>
  <c r="K71" i="69"/>
  <c r="K64" i="69"/>
  <c r="K54" i="69"/>
  <c r="K48" i="69"/>
  <c r="K40" i="69"/>
  <c r="K32" i="69"/>
  <c r="K198" i="69"/>
  <c r="K183" i="69"/>
  <c r="K70" i="69"/>
  <c r="K67" i="69"/>
  <c r="K57" i="69"/>
  <c r="K50" i="69"/>
  <c r="K42" i="69"/>
  <c r="K34" i="69"/>
  <c r="K25" i="69"/>
  <c r="K176" i="69"/>
  <c r="K72" i="69"/>
  <c r="K66" i="69"/>
  <c r="K56" i="69"/>
  <c r="K41" i="69"/>
  <c r="K33" i="69"/>
  <c r="K68" i="69"/>
  <c r="K61" i="69"/>
  <c r="K51" i="69"/>
  <c r="K43" i="69"/>
  <c r="K35" i="69"/>
  <c r="K26" i="69"/>
  <c r="K19" i="69"/>
  <c r="K24" i="69"/>
  <c r="J65" i="69"/>
  <c r="K212" i="69"/>
  <c r="K206" i="69"/>
  <c r="K192" i="69"/>
  <c r="K171" i="69"/>
  <c r="K230" i="69"/>
  <c r="K169" i="69"/>
  <c r="K204" i="69"/>
  <c r="K196" i="69"/>
  <c r="K190" i="69"/>
  <c r="K182" i="69"/>
  <c r="K228" i="69"/>
  <c r="K229" i="69"/>
  <c r="K63" i="69"/>
  <c r="K53" i="69"/>
  <c r="K47" i="69"/>
  <c r="K39" i="69"/>
  <c r="K29" i="69"/>
  <c r="K21" i="69"/>
  <c r="K167" i="69"/>
  <c r="K209" i="69"/>
  <c r="K203" i="69"/>
  <c r="K195" i="69"/>
  <c r="K189" i="69"/>
  <c r="K181" i="69"/>
  <c r="K175" i="69"/>
  <c r="J74" i="69"/>
  <c r="K69" i="69"/>
  <c r="K62" i="69"/>
  <c r="K52" i="69"/>
  <c r="K36" i="69"/>
  <c r="K27" i="69"/>
  <c r="K20" i="69"/>
  <c r="G74" i="69"/>
  <c r="K132" i="69"/>
  <c r="K199" i="69"/>
  <c r="K193" i="69"/>
  <c r="K233" i="69"/>
  <c r="K116" i="69"/>
  <c r="K184" i="69"/>
  <c r="K178" i="69"/>
  <c r="K232" i="69"/>
  <c r="K211" i="69"/>
  <c r="K205" i="69"/>
  <c r="K197" i="69"/>
  <c r="K191" i="69"/>
  <c r="K231" i="69"/>
  <c r="K7" i="69"/>
  <c r="E6" i="69"/>
  <c r="AJ171" i="65"/>
  <c r="K65" i="69" l="1"/>
  <c r="M48" i="72"/>
  <c r="O6" i="72"/>
  <c r="N6" i="72"/>
  <c r="P15" i="72"/>
  <c r="P12" i="72"/>
  <c r="P13" i="72"/>
  <c r="P10" i="72"/>
  <c r="P7" i="72"/>
  <c r="P6" i="72" s="1"/>
  <c r="S11" i="72" s="1"/>
  <c r="P14" i="72"/>
  <c r="P11" i="72"/>
  <c r="P8" i="72"/>
  <c r="P9" i="72"/>
  <c r="E282" i="69"/>
  <c r="E284" i="69"/>
  <c r="E277" i="69"/>
  <c r="E279" i="69"/>
  <c r="K74" i="69"/>
  <c r="E7" i="69"/>
  <c r="E8" i="69"/>
  <c r="E11" i="69"/>
  <c r="E14" i="69"/>
  <c r="E17" i="69"/>
  <c r="E20" i="69"/>
  <c r="E26" i="69"/>
  <c r="E29" i="69"/>
  <c r="E32" i="69"/>
  <c r="E35" i="69"/>
  <c r="E41" i="69"/>
  <c r="E44" i="69"/>
  <c r="E47" i="69"/>
  <c r="E50" i="69"/>
  <c r="E53" i="69"/>
  <c r="E56" i="69"/>
  <c r="E62" i="69"/>
  <c r="E68" i="69"/>
  <c r="E71" i="69"/>
  <c r="E86" i="69"/>
  <c r="E89" i="69"/>
  <c r="E92" i="69"/>
  <c r="E95" i="69"/>
  <c r="E104" i="69"/>
  <c r="E107" i="69"/>
  <c r="E110" i="69"/>
  <c r="E113" i="69"/>
  <c r="E116" i="69"/>
  <c r="E119" i="69"/>
  <c r="E122" i="69"/>
  <c r="E125" i="69"/>
  <c r="E128" i="69"/>
  <c r="E134" i="69"/>
  <c r="E137" i="69"/>
  <c r="E140" i="69"/>
  <c r="E143" i="69"/>
  <c r="E152" i="69"/>
  <c r="E155" i="69"/>
  <c r="E158" i="69"/>
  <c r="E161" i="69"/>
  <c r="E164" i="69"/>
  <c r="E167" i="69"/>
  <c r="E173" i="69"/>
  <c r="E176" i="69"/>
  <c r="E179" i="69"/>
  <c r="E182" i="69"/>
  <c r="E188" i="69"/>
  <c r="E191" i="69"/>
  <c r="E194" i="69"/>
  <c r="E197" i="69"/>
  <c r="E203" i="69"/>
  <c r="E206" i="69"/>
  <c r="E209" i="69"/>
  <c r="E212" i="69"/>
  <c r="E224" i="69"/>
  <c r="E230" i="69"/>
  <c r="E233" i="69"/>
  <c r="E9" i="69"/>
  <c r="E12" i="69"/>
  <c r="E15" i="69"/>
  <c r="E21" i="69"/>
  <c r="E24" i="69"/>
  <c r="E27" i="69"/>
  <c r="E33" i="69"/>
  <c r="E36" i="69"/>
  <c r="E39" i="69"/>
  <c r="E42" i="69"/>
  <c r="E48" i="69"/>
  <c r="E51" i="69"/>
  <c r="E54" i="69"/>
  <c r="E57" i="69"/>
  <c r="E63" i="69"/>
  <c r="E66" i="69"/>
  <c r="E69" i="69"/>
  <c r="E72" i="69"/>
  <c r="E75" i="69"/>
  <c r="E87" i="69"/>
  <c r="E90" i="69"/>
  <c r="E93" i="69"/>
  <c r="E96" i="69"/>
  <c r="E102" i="69"/>
  <c r="E105" i="69"/>
  <c r="E108" i="69"/>
  <c r="E111" i="69"/>
  <c r="E120" i="69"/>
  <c r="E123" i="69"/>
  <c r="E126" i="69"/>
  <c r="E129" i="69"/>
  <c r="E132" i="69"/>
  <c r="E135" i="69"/>
  <c r="E138" i="69"/>
  <c r="E141" i="69"/>
  <c r="E144" i="69"/>
  <c r="E150" i="69"/>
  <c r="E153" i="69"/>
  <c r="E156" i="69"/>
  <c r="E159" i="69"/>
  <c r="E171" i="69"/>
  <c r="E174" i="69"/>
  <c r="E177" i="69"/>
  <c r="E180" i="69"/>
  <c r="E183" i="69"/>
  <c r="E186" i="69"/>
  <c r="E189" i="69"/>
  <c r="E192" i="69"/>
  <c r="E195" i="69"/>
  <c r="E198" i="69"/>
  <c r="E201" i="69"/>
  <c r="E204" i="69"/>
  <c r="E207" i="69"/>
  <c r="E210" i="69"/>
  <c r="E213" i="69"/>
  <c r="E228" i="69"/>
  <c r="E231" i="69"/>
  <c r="E234" i="69"/>
  <c r="E10" i="69"/>
  <c r="E13" i="69"/>
  <c r="E16" i="69"/>
  <c r="E19" i="69"/>
  <c r="E22" i="69"/>
  <c r="E25" i="69"/>
  <c r="E34" i="69"/>
  <c r="E40" i="69"/>
  <c r="E43" i="69"/>
  <c r="E49" i="69"/>
  <c r="E52" i="69"/>
  <c r="E61" i="69"/>
  <c r="E64" i="69"/>
  <c r="E67" i="69"/>
  <c r="E70" i="69"/>
  <c r="E73" i="69"/>
  <c r="E85" i="69"/>
  <c r="E88" i="69"/>
  <c r="E91" i="69"/>
  <c r="E94" i="69"/>
  <c r="E100" i="69"/>
  <c r="E103" i="69"/>
  <c r="E106" i="69"/>
  <c r="E109" i="69"/>
  <c r="E112" i="69"/>
  <c r="E118" i="69"/>
  <c r="E121" i="69"/>
  <c r="E124" i="69"/>
  <c r="E127" i="69"/>
  <c r="E136" i="69"/>
  <c r="E139" i="69"/>
  <c r="E142" i="69"/>
  <c r="E145" i="69"/>
  <c r="E148" i="69"/>
  <c r="E151" i="69"/>
  <c r="E154" i="69"/>
  <c r="E157" i="69"/>
  <c r="E160" i="69"/>
  <c r="E169" i="69"/>
  <c r="E175" i="69"/>
  <c r="E178" i="69"/>
  <c r="E181" i="69"/>
  <c r="E184" i="69"/>
  <c r="E190" i="69"/>
  <c r="E193" i="69"/>
  <c r="E196" i="69"/>
  <c r="E199" i="69"/>
  <c r="E205" i="69"/>
  <c r="E208" i="69"/>
  <c r="E211" i="69"/>
  <c r="E214" i="69"/>
  <c r="E229" i="69"/>
  <c r="E232" i="69"/>
  <c r="V23" i="66"/>
  <c r="V255" i="66"/>
  <c r="V256" i="66"/>
  <c r="U45" i="66"/>
  <c r="U255" i="66"/>
  <c r="U256" i="66"/>
  <c r="T193" i="66"/>
  <c r="T243" i="66"/>
  <c r="T255" i="66"/>
  <c r="T45" i="66"/>
  <c r="S15" i="72" l="1"/>
  <c r="S12" i="72"/>
  <c r="K99" i="68" l="1"/>
  <c r="K98" i="68"/>
  <c r="K97" i="68"/>
  <c r="K96" i="68"/>
  <c r="K95" i="68"/>
  <c r="K94" i="68"/>
  <c r="K93" i="68"/>
  <c r="K92" i="68"/>
  <c r="K91" i="68"/>
  <c r="K90" i="68"/>
  <c r="K89" i="68"/>
  <c r="F86" i="67"/>
  <c r="G86" i="67"/>
  <c r="H86" i="67"/>
  <c r="I86" i="67"/>
  <c r="J86" i="67"/>
  <c r="K86" i="67"/>
  <c r="L86" i="67"/>
  <c r="M86" i="67"/>
  <c r="N86" i="67"/>
  <c r="O86" i="67"/>
  <c r="P86" i="67"/>
  <c r="F87" i="67"/>
  <c r="G87" i="67"/>
  <c r="H87" i="67"/>
  <c r="I87" i="67"/>
  <c r="J87" i="67"/>
  <c r="K87" i="67"/>
  <c r="L87" i="67"/>
  <c r="M87" i="67"/>
  <c r="N87" i="67"/>
  <c r="O87" i="67"/>
  <c r="P87" i="67"/>
  <c r="F88" i="67"/>
  <c r="G88" i="67"/>
  <c r="H88" i="67"/>
  <c r="I88" i="67"/>
  <c r="J88" i="67"/>
  <c r="K88" i="67"/>
  <c r="L88" i="67"/>
  <c r="M88" i="67"/>
  <c r="N88" i="67"/>
  <c r="O88" i="67"/>
  <c r="P88" i="67"/>
  <c r="F89" i="67"/>
  <c r="G89" i="67"/>
  <c r="H89" i="67"/>
  <c r="I89" i="67"/>
  <c r="J89" i="67"/>
  <c r="K89" i="67"/>
  <c r="L89" i="67"/>
  <c r="M89" i="67"/>
  <c r="N89" i="67"/>
  <c r="O89" i="67"/>
  <c r="P89" i="67"/>
  <c r="F90" i="67"/>
  <c r="G90" i="67"/>
  <c r="H90" i="67"/>
  <c r="I90" i="67"/>
  <c r="J90" i="67"/>
  <c r="K90" i="67"/>
  <c r="L90" i="67"/>
  <c r="M90" i="67"/>
  <c r="N90" i="67"/>
  <c r="O90" i="67"/>
  <c r="P90" i="67"/>
  <c r="F91" i="67"/>
  <c r="G91" i="67"/>
  <c r="H91" i="67"/>
  <c r="I91" i="67"/>
  <c r="J91" i="67"/>
  <c r="K91" i="67"/>
  <c r="L91" i="67"/>
  <c r="M91" i="67"/>
  <c r="N91" i="67"/>
  <c r="O91" i="67"/>
  <c r="P91" i="67"/>
  <c r="F92" i="67"/>
  <c r="G92" i="67"/>
  <c r="H92" i="67"/>
  <c r="I92" i="67"/>
  <c r="J92" i="67"/>
  <c r="K92" i="67"/>
  <c r="L92" i="67"/>
  <c r="M92" i="67"/>
  <c r="N92" i="67"/>
  <c r="O92" i="67"/>
  <c r="P92" i="67"/>
  <c r="F93" i="67"/>
  <c r="G93" i="67"/>
  <c r="H93" i="67"/>
  <c r="I93" i="67"/>
  <c r="J93" i="67"/>
  <c r="K93" i="67"/>
  <c r="L93" i="67"/>
  <c r="M93" i="67"/>
  <c r="N93" i="67"/>
  <c r="O93" i="67"/>
  <c r="P93" i="67"/>
  <c r="F94" i="67"/>
  <c r="G94" i="67"/>
  <c r="H94" i="67"/>
  <c r="I94" i="67"/>
  <c r="J94" i="67"/>
  <c r="K94" i="67"/>
  <c r="L94" i="67"/>
  <c r="M94" i="67"/>
  <c r="N94" i="67"/>
  <c r="O94" i="67"/>
  <c r="P94" i="67"/>
  <c r="F95" i="67"/>
  <c r="G95" i="67"/>
  <c r="H95" i="67"/>
  <c r="I95" i="67"/>
  <c r="J95" i="67"/>
  <c r="K95" i="67"/>
  <c r="L95" i="67"/>
  <c r="M95" i="67"/>
  <c r="N95" i="67"/>
  <c r="O95" i="67"/>
  <c r="P95" i="67"/>
  <c r="F96" i="67"/>
  <c r="G96" i="67"/>
  <c r="H96" i="67"/>
  <c r="I96" i="67"/>
  <c r="J96" i="67"/>
  <c r="K96" i="67"/>
  <c r="L96" i="67"/>
  <c r="M96" i="67"/>
  <c r="N96" i="67"/>
  <c r="O96" i="67"/>
  <c r="P96" i="67"/>
  <c r="F97" i="67"/>
  <c r="G97" i="67"/>
  <c r="H97" i="67"/>
  <c r="I97" i="67"/>
  <c r="J97" i="67"/>
  <c r="K97" i="67"/>
  <c r="L97" i="67"/>
  <c r="M97" i="67"/>
  <c r="N97" i="67"/>
  <c r="O97" i="67"/>
  <c r="P97" i="67"/>
  <c r="E87" i="67"/>
  <c r="E88" i="67"/>
  <c r="E89" i="67"/>
  <c r="E90" i="67"/>
  <c r="E91" i="67"/>
  <c r="E92" i="67"/>
  <c r="E93" i="67"/>
  <c r="E94" i="67"/>
  <c r="E95" i="67"/>
  <c r="E96" i="67"/>
  <c r="E97" i="67"/>
  <c r="E86" i="67"/>
  <c r="F86" i="66"/>
  <c r="G86" i="66"/>
  <c r="H86" i="66"/>
  <c r="I86" i="66"/>
  <c r="J86" i="66"/>
  <c r="K86" i="66"/>
  <c r="L86" i="66"/>
  <c r="M86" i="66"/>
  <c r="N86" i="66"/>
  <c r="O86" i="66"/>
  <c r="P86" i="66"/>
  <c r="F87" i="66"/>
  <c r="G87" i="66"/>
  <c r="H87" i="66"/>
  <c r="I87" i="66"/>
  <c r="J87" i="66"/>
  <c r="K87" i="66"/>
  <c r="L87" i="66"/>
  <c r="M87" i="66"/>
  <c r="N87" i="66"/>
  <c r="O87" i="66"/>
  <c r="P87" i="66"/>
  <c r="F88" i="66"/>
  <c r="G88" i="66"/>
  <c r="H88" i="66"/>
  <c r="I88" i="66"/>
  <c r="J88" i="66"/>
  <c r="K88" i="66"/>
  <c r="L88" i="66"/>
  <c r="M88" i="66"/>
  <c r="N88" i="66"/>
  <c r="O88" i="66"/>
  <c r="P88" i="66"/>
  <c r="F89" i="66"/>
  <c r="G89" i="66"/>
  <c r="H89" i="66"/>
  <c r="I89" i="66"/>
  <c r="J89" i="66"/>
  <c r="K89" i="66"/>
  <c r="L89" i="66"/>
  <c r="M89" i="66"/>
  <c r="N89" i="66"/>
  <c r="O89" i="66"/>
  <c r="P89" i="66"/>
  <c r="F90" i="66"/>
  <c r="G90" i="66"/>
  <c r="H90" i="66"/>
  <c r="I90" i="66"/>
  <c r="J90" i="66"/>
  <c r="K90" i="66"/>
  <c r="L90" i="66"/>
  <c r="M90" i="66"/>
  <c r="N90" i="66"/>
  <c r="O90" i="66"/>
  <c r="P90" i="66"/>
  <c r="F91" i="66"/>
  <c r="G91" i="66"/>
  <c r="H91" i="66"/>
  <c r="I91" i="66"/>
  <c r="J91" i="66"/>
  <c r="K91" i="66"/>
  <c r="L91" i="66"/>
  <c r="M91" i="66"/>
  <c r="N91" i="66"/>
  <c r="O91" i="66"/>
  <c r="P91" i="66"/>
  <c r="F92" i="66"/>
  <c r="G92" i="66"/>
  <c r="H92" i="66"/>
  <c r="I92" i="66"/>
  <c r="J92" i="66"/>
  <c r="K92" i="66"/>
  <c r="L92" i="66"/>
  <c r="M92" i="66"/>
  <c r="N92" i="66"/>
  <c r="O92" i="66"/>
  <c r="P92" i="66"/>
  <c r="F93" i="66"/>
  <c r="G93" i="66"/>
  <c r="H93" i="66"/>
  <c r="I93" i="66"/>
  <c r="J93" i="66"/>
  <c r="K93" i="66"/>
  <c r="L93" i="66"/>
  <c r="M93" i="66"/>
  <c r="N93" i="66"/>
  <c r="O93" i="66"/>
  <c r="P93" i="66"/>
  <c r="F94" i="66"/>
  <c r="G94" i="66"/>
  <c r="H94" i="66"/>
  <c r="I94" i="66"/>
  <c r="J94" i="66"/>
  <c r="K94" i="66"/>
  <c r="L94" i="66"/>
  <c r="M94" i="66"/>
  <c r="N94" i="66"/>
  <c r="O94" i="66"/>
  <c r="P94" i="66"/>
  <c r="F95" i="66"/>
  <c r="G95" i="66"/>
  <c r="H95" i="66"/>
  <c r="I95" i="66"/>
  <c r="J95" i="66"/>
  <c r="K95" i="66"/>
  <c r="L95" i="66"/>
  <c r="M95" i="66"/>
  <c r="N95" i="66"/>
  <c r="O95" i="66"/>
  <c r="P95" i="66"/>
  <c r="F96" i="66"/>
  <c r="G96" i="66"/>
  <c r="H96" i="66"/>
  <c r="I96" i="66"/>
  <c r="J96" i="66"/>
  <c r="K96" i="66"/>
  <c r="L96" i="66"/>
  <c r="M96" i="66"/>
  <c r="N96" i="66"/>
  <c r="O96" i="66"/>
  <c r="P96" i="66"/>
  <c r="F97" i="66"/>
  <c r="G97" i="66"/>
  <c r="H97" i="66"/>
  <c r="I97" i="66"/>
  <c r="J97" i="66"/>
  <c r="K97" i="66"/>
  <c r="L97" i="66"/>
  <c r="M97" i="66"/>
  <c r="N97" i="66"/>
  <c r="O97" i="66"/>
  <c r="P97" i="66"/>
  <c r="E97" i="66"/>
  <c r="E87" i="66"/>
  <c r="J86" i="69" s="1"/>
  <c r="E88" i="66"/>
  <c r="J87" i="69" s="1"/>
  <c r="E89" i="66"/>
  <c r="J88" i="69" s="1"/>
  <c r="E90" i="66"/>
  <c r="E91" i="66"/>
  <c r="J90" i="69" s="1"/>
  <c r="E92" i="66"/>
  <c r="J91" i="69" s="1"/>
  <c r="E93" i="66"/>
  <c r="E94" i="66"/>
  <c r="J93" i="69" s="1"/>
  <c r="E95" i="66"/>
  <c r="J94" i="69" s="1"/>
  <c r="E96" i="66"/>
  <c r="J95" i="69" s="1"/>
  <c r="E86" i="66"/>
  <c r="E44" i="72" s="1"/>
  <c r="F167" i="66"/>
  <c r="G167" i="66"/>
  <c r="H167" i="66"/>
  <c r="I167" i="66"/>
  <c r="J167" i="66"/>
  <c r="K167" i="66"/>
  <c r="L167" i="66"/>
  <c r="M167" i="66"/>
  <c r="N167" i="66"/>
  <c r="O167" i="66"/>
  <c r="P167" i="66"/>
  <c r="E167" i="66"/>
  <c r="R192" i="66"/>
  <c r="Q192" i="66"/>
  <c r="R191" i="66"/>
  <c r="Q191" i="66"/>
  <c r="R190" i="66"/>
  <c r="Q190" i="66"/>
  <c r="R189" i="66"/>
  <c r="Q189" i="66"/>
  <c r="R188" i="66"/>
  <c r="Q188" i="66"/>
  <c r="R187" i="66"/>
  <c r="Q187" i="66"/>
  <c r="R186" i="66"/>
  <c r="Q186" i="66"/>
  <c r="R185" i="66"/>
  <c r="Q185" i="66"/>
  <c r="R184" i="66"/>
  <c r="Q184" i="66"/>
  <c r="R183" i="66"/>
  <c r="Q183" i="66"/>
  <c r="R182" i="66"/>
  <c r="Q182" i="66"/>
  <c r="R181" i="66"/>
  <c r="Q181" i="66"/>
  <c r="R179" i="66"/>
  <c r="Q179" i="66"/>
  <c r="AJ174" i="65"/>
  <c r="AJ175" i="65"/>
  <c r="AJ176" i="65"/>
  <c r="AJ177" i="65"/>
  <c r="AJ178" i="65"/>
  <c r="AJ179" i="65"/>
  <c r="AJ180" i="65"/>
  <c r="AJ181" i="65"/>
  <c r="AJ182" i="65"/>
  <c r="AJ183" i="65"/>
  <c r="AJ184" i="65"/>
  <c r="AJ173" i="65"/>
  <c r="F166" i="65"/>
  <c r="G166" i="65"/>
  <c r="H166" i="65"/>
  <c r="I166" i="65"/>
  <c r="J166" i="65"/>
  <c r="K166" i="65"/>
  <c r="L166" i="65"/>
  <c r="M166" i="65"/>
  <c r="N166" i="65"/>
  <c r="O166" i="65"/>
  <c r="P166" i="65"/>
  <c r="Q166" i="65"/>
  <c r="R166" i="65"/>
  <c r="S166" i="65"/>
  <c r="T166" i="65"/>
  <c r="U166" i="65"/>
  <c r="V166" i="65"/>
  <c r="W166" i="65"/>
  <c r="X166" i="65"/>
  <c r="Y166" i="65"/>
  <c r="Z166" i="65"/>
  <c r="AA166" i="65"/>
  <c r="AB166" i="65"/>
  <c r="AC166" i="65"/>
  <c r="AD166" i="65"/>
  <c r="AE166" i="65"/>
  <c r="AF166" i="65"/>
  <c r="AG166" i="65"/>
  <c r="AH166" i="65"/>
  <c r="AI166" i="65"/>
  <c r="E166" i="65"/>
  <c r="D183" i="65"/>
  <c r="D182" i="65"/>
  <c r="D181" i="65"/>
  <c r="D180" i="65"/>
  <c r="D179" i="65"/>
  <c r="D178" i="65"/>
  <c r="D177" i="65"/>
  <c r="D176" i="65"/>
  <c r="D175" i="65"/>
  <c r="D174" i="65"/>
  <c r="D173" i="65"/>
  <c r="F167" i="67"/>
  <c r="G167" i="67"/>
  <c r="H167" i="67"/>
  <c r="I167" i="67"/>
  <c r="J167" i="67"/>
  <c r="K167" i="67"/>
  <c r="L167" i="67"/>
  <c r="M167" i="67"/>
  <c r="N167" i="67"/>
  <c r="O167" i="67"/>
  <c r="P167" i="67"/>
  <c r="E167" i="67"/>
  <c r="R192" i="67"/>
  <c r="Q192" i="67"/>
  <c r="R191" i="67"/>
  <c r="V191" i="66" s="1"/>
  <c r="Q191" i="67"/>
  <c r="D191" i="67"/>
  <c r="R190" i="67"/>
  <c r="V190" i="66" s="1"/>
  <c r="N98" i="68" s="1"/>
  <c r="Q190" i="67"/>
  <c r="D190" i="67"/>
  <c r="R189" i="67"/>
  <c r="V189" i="66" s="1"/>
  <c r="Q189" i="67"/>
  <c r="D189" i="67"/>
  <c r="R188" i="67"/>
  <c r="V188" i="66" s="1"/>
  <c r="Q188" i="67"/>
  <c r="D188" i="67"/>
  <c r="R187" i="67"/>
  <c r="V187" i="66" s="1"/>
  <c r="Q187" i="67"/>
  <c r="D187" i="67"/>
  <c r="R186" i="67"/>
  <c r="V186" i="66" s="1"/>
  <c r="Q186" i="67"/>
  <c r="D186" i="67"/>
  <c r="R185" i="67"/>
  <c r="V185" i="66" s="1"/>
  <c r="Q185" i="67"/>
  <c r="D185" i="67"/>
  <c r="R184" i="67"/>
  <c r="V184" i="66" s="1"/>
  <c r="N92" i="68" s="1"/>
  <c r="Q184" i="67"/>
  <c r="D184" i="67"/>
  <c r="R183" i="67"/>
  <c r="V183" i="66" s="1"/>
  <c r="N91" i="68" s="1"/>
  <c r="Q183" i="67"/>
  <c r="D183" i="67"/>
  <c r="R182" i="67"/>
  <c r="Q182" i="67"/>
  <c r="D182" i="67"/>
  <c r="R181" i="67"/>
  <c r="V181" i="66" s="1"/>
  <c r="Q181" i="67"/>
  <c r="D181" i="67"/>
  <c r="R179" i="67"/>
  <c r="Q179" i="67"/>
  <c r="J96" i="69" l="1"/>
  <c r="E47" i="72"/>
  <c r="F47" i="72" s="1"/>
  <c r="J92" i="69"/>
  <c r="E46" i="72"/>
  <c r="F46" i="72" s="1"/>
  <c r="J89" i="69"/>
  <c r="E45" i="72"/>
  <c r="F45" i="72" s="1"/>
  <c r="J85" i="69"/>
  <c r="F44" i="72"/>
  <c r="N97" i="68"/>
  <c r="V179" i="66"/>
  <c r="T186" i="66"/>
  <c r="L94" i="68" s="1"/>
  <c r="U186" i="66"/>
  <c r="M94" i="68" s="1"/>
  <c r="U179" i="66"/>
  <c r="M87" i="68" s="1"/>
  <c r="T179" i="66"/>
  <c r="L87" i="68" s="1"/>
  <c r="U181" i="66"/>
  <c r="M89" i="68" s="1"/>
  <c r="T181" i="66"/>
  <c r="L89" i="68" s="1"/>
  <c r="U182" i="66"/>
  <c r="M90" i="68" s="1"/>
  <c r="T182" i="66"/>
  <c r="L90" i="68" s="1"/>
  <c r="U183" i="66"/>
  <c r="M91" i="68" s="1"/>
  <c r="T183" i="66"/>
  <c r="L91" i="68" s="1"/>
  <c r="U191" i="66"/>
  <c r="M99" i="68" s="1"/>
  <c r="T191" i="66"/>
  <c r="L99" i="68" s="1"/>
  <c r="T187" i="66"/>
  <c r="L95" i="68" s="1"/>
  <c r="U187" i="66"/>
  <c r="M95" i="68" s="1"/>
  <c r="T188" i="66"/>
  <c r="L96" i="68" s="1"/>
  <c r="U188" i="66"/>
  <c r="M96" i="68" s="1"/>
  <c r="U184" i="66"/>
  <c r="M92" i="68" s="1"/>
  <c r="T184" i="66"/>
  <c r="L92" i="68" s="1"/>
  <c r="V192" i="66"/>
  <c r="N100" i="68" s="1"/>
  <c r="T190" i="66"/>
  <c r="L98" i="68" s="1"/>
  <c r="U190" i="66"/>
  <c r="M98" i="68" s="1"/>
  <c r="T189" i="66"/>
  <c r="L97" i="68" s="1"/>
  <c r="U189" i="66"/>
  <c r="M97" i="68" s="1"/>
  <c r="V182" i="66"/>
  <c r="N90" i="68" s="1"/>
  <c r="U192" i="66"/>
  <c r="M100" i="68" s="1"/>
  <c r="T192" i="66"/>
  <c r="L100" i="68" s="1"/>
  <c r="U185" i="66"/>
  <c r="M93" i="68" s="1"/>
  <c r="T185" i="66"/>
  <c r="L93" i="68" s="1"/>
  <c r="N93" i="68"/>
  <c r="N96" i="68"/>
  <c r="N95" i="68"/>
  <c r="N89" i="68"/>
  <c r="N94" i="68"/>
  <c r="N99" i="68"/>
  <c r="N87" i="68"/>
  <c r="D83" i="63"/>
  <c r="D82" i="63"/>
  <c r="D81" i="63"/>
  <c r="D80" i="63"/>
  <c r="D79" i="63"/>
  <c r="D78" i="63"/>
  <c r="D77" i="63"/>
  <c r="D76" i="63"/>
  <c r="D75" i="63"/>
  <c r="D74" i="63"/>
  <c r="D73" i="63"/>
  <c r="D72" i="63"/>
  <c r="D71" i="63"/>
  <c r="D70" i="63"/>
  <c r="D69" i="63"/>
  <c r="D68" i="63"/>
  <c r="D67" i="63"/>
  <c r="D66" i="63"/>
  <c r="D65" i="63"/>
  <c r="D64" i="63"/>
  <c r="D63" i="63"/>
  <c r="D62" i="63"/>
  <c r="D61" i="63"/>
  <c r="D60" i="63"/>
  <c r="D59" i="63"/>
  <c r="D110" i="63"/>
  <c r="D109" i="63"/>
  <c r="D108" i="63"/>
  <c r="D107" i="63"/>
  <c r="D106" i="63"/>
  <c r="D105" i="63"/>
  <c r="D104" i="63"/>
  <c r="D103" i="63"/>
  <c r="D102" i="63"/>
  <c r="D101" i="63"/>
  <c r="D100" i="63"/>
  <c r="D99" i="63"/>
  <c r="D98" i="63"/>
  <c r="D97" i="63"/>
  <c r="D96" i="63"/>
  <c r="D95" i="63"/>
  <c r="D94" i="63"/>
  <c r="D93" i="63"/>
  <c r="D92" i="63"/>
  <c r="D91" i="63"/>
  <c r="D90" i="63"/>
  <c r="D89" i="63"/>
  <c r="D88" i="63"/>
  <c r="D87" i="63"/>
  <c r="D86" i="63"/>
  <c r="D137" i="63"/>
  <c r="D136" i="63"/>
  <c r="D135" i="63"/>
  <c r="D134" i="63"/>
  <c r="D133" i="63"/>
  <c r="D132" i="63"/>
  <c r="D131" i="63"/>
  <c r="D130" i="63"/>
  <c r="D129" i="63"/>
  <c r="D128" i="63"/>
  <c r="D127" i="63"/>
  <c r="D126" i="63"/>
  <c r="D125" i="63"/>
  <c r="D124" i="63"/>
  <c r="D123" i="63"/>
  <c r="D122" i="63"/>
  <c r="D121" i="63"/>
  <c r="D120" i="63"/>
  <c r="D119" i="63"/>
  <c r="D118" i="63"/>
  <c r="D117" i="63"/>
  <c r="D116" i="63"/>
  <c r="D115" i="63"/>
  <c r="D114" i="63"/>
  <c r="D113" i="63"/>
  <c r="D56" i="63"/>
  <c r="D55" i="63"/>
  <c r="D54" i="63"/>
  <c r="D53" i="63"/>
  <c r="D52" i="63"/>
  <c r="D51" i="63"/>
  <c r="D50" i="63"/>
  <c r="D49" i="63"/>
  <c r="D48" i="63"/>
  <c r="D47" i="63"/>
  <c r="D46" i="63"/>
  <c r="D45" i="63"/>
  <c r="D44" i="63"/>
  <c r="D43" i="63"/>
  <c r="D42" i="63"/>
  <c r="D41" i="63"/>
  <c r="D40" i="63"/>
  <c r="D39" i="63"/>
  <c r="D38" i="63"/>
  <c r="D37" i="63"/>
  <c r="D36" i="63"/>
  <c r="D35" i="63"/>
  <c r="D34" i="63"/>
  <c r="D33" i="63"/>
  <c r="D32" i="63"/>
  <c r="C107" i="49" l="1"/>
  <c r="B107" i="49"/>
  <c r="B106" i="49"/>
  <c r="C106" i="49"/>
  <c r="B105" i="49"/>
  <c r="C105" i="49"/>
  <c r="B104" i="49"/>
  <c r="C104" i="49"/>
  <c r="B103" i="49"/>
  <c r="C103" i="49"/>
  <c r="B102" i="49"/>
  <c r="C102" i="49"/>
  <c r="C82" i="49"/>
  <c r="C101" i="49"/>
  <c r="B82" i="49"/>
  <c r="B101" i="49"/>
  <c r="C93" i="49"/>
  <c r="B93" i="49"/>
  <c r="C95" i="49"/>
  <c r="C94" i="49"/>
  <c r="C96" i="49"/>
  <c r="C97" i="49"/>
  <c r="B97" i="49"/>
  <c r="B96" i="49"/>
  <c r="B95" i="49"/>
  <c r="B94" i="49"/>
  <c r="C90" i="49"/>
  <c r="D90" i="49" s="1"/>
  <c r="C88" i="49"/>
  <c r="C89" i="49"/>
  <c r="C85" i="49"/>
  <c r="C87" i="49"/>
  <c r="C78" i="49"/>
  <c r="B78" i="49"/>
  <c r="B81" i="49"/>
  <c r="C81" i="49"/>
  <c r="B79" i="49"/>
  <c r="C79" i="49"/>
  <c r="B80" i="49"/>
  <c r="C80" i="49"/>
  <c r="C73" i="49"/>
  <c r="C74" i="49"/>
  <c r="B74" i="49"/>
  <c r="C72" i="49"/>
  <c r="B72" i="49"/>
  <c r="B73" i="49"/>
  <c r="C66" i="49"/>
  <c r="B66" i="49"/>
  <c r="C68" i="49"/>
  <c r="C69" i="49"/>
  <c r="C67" i="49"/>
  <c r="B68" i="49"/>
  <c r="B69" i="49"/>
  <c r="B67" i="49"/>
  <c r="C53" i="49"/>
  <c r="C60" i="49"/>
  <c r="B53" i="49"/>
  <c r="C58" i="49"/>
  <c r="C59" i="49"/>
  <c r="C56" i="49"/>
  <c r="C57" i="49"/>
  <c r="C54" i="49"/>
  <c r="C55" i="49"/>
  <c r="B59" i="49"/>
  <c r="B60" i="49"/>
  <c r="B57" i="49"/>
  <c r="B58" i="49"/>
  <c r="B55" i="49"/>
  <c r="B56" i="49"/>
  <c r="B54" i="49"/>
  <c r="B61" i="49"/>
  <c r="C61" i="49"/>
  <c r="B62" i="49"/>
  <c r="C62" i="49"/>
  <c r="C29" i="49"/>
  <c r="B29" i="49"/>
  <c r="B41" i="49"/>
  <c r="B44" i="49"/>
  <c r="B47" i="49"/>
  <c r="B42" i="49"/>
  <c r="B48" i="49"/>
  <c r="B46" i="49"/>
  <c r="B39" i="49"/>
  <c r="B45" i="49"/>
  <c r="B40" i="49"/>
  <c r="B43" i="49"/>
  <c r="B49" i="49"/>
  <c r="B38" i="49"/>
  <c r="C34" i="49"/>
  <c r="B34" i="49"/>
  <c r="C32" i="49"/>
  <c r="C31" i="49"/>
  <c r="B31" i="49"/>
  <c r="B32" i="49"/>
  <c r="B33" i="49"/>
  <c r="C33" i="49"/>
  <c r="B30" i="49"/>
  <c r="C30" i="49"/>
  <c r="C14" i="49"/>
  <c r="B14" i="49"/>
  <c r="C25" i="49"/>
  <c r="B25" i="49"/>
  <c r="C23" i="49"/>
  <c r="C24" i="49"/>
  <c r="B23" i="49"/>
  <c r="B24" i="49"/>
  <c r="C20" i="49"/>
  <c r="C21" i="49"/>
  <c r="B20" i="49"/>
  <c r="B21" i="49"/>
  <c r="B19" i="49"/>
  <c r="C19" i="49"/>
  <c r="C16" i="49"/>
  <c r="B16" i="49"/>
  <c r="C13" i="49"/>
  <c r="C11" i="49"/>
  <c r="C12" i="49"/>
  <c r="C10" i="49"/>
  <c r="B13" i="49"/>
  <c r="B11" i="49"/>
  <c r="B12" i="49"/>
  <c r="B10" i="49"/>
  <c r="C8" i="49"/>
  <c r="B8" i="49"/>
  <c r="C7" i="49"/>
  <c r="C5" i="49"/>
  <c r="C6" i="49"/>
  <c r="C4" i="49"/>
  <c r="B4" i="49"/>
  <c r="B6" i="49"/>
  <c r="B7" i="49"/>
  <c r="B5" i="49"/>
  <c r="D84" i="63"/>
  <c r="D111" i="63"/>
  <c r="D138" i="63"/>
  <c r="D57" i="63"/>
  <c r="D31" i="63"/>
  <c r="D30" i="63"/>
  <c r="D29" i="63"/>
  <c r="D28" i="63"/>
  <c r="D27" i="63"/>
  <c r="D26" i="63"/>
  <c r="C9" i="49" l="1"/>
  <c r="Y80" i="65" l="1"/>
  <c r="F172" i="67"/>
  <c r="G172" i="67"/>
  <c r="H172" i="67"/>
  <c r="I172" i="67"/>
  <c r="J172" i="67"/>
  <c r="K172" i="67"/>
  <c r="L172" i="67"/>
  <c r="M172" i="67"/>
  <c r="N172" i="67"/>
  <c r="O172" i="67"/>
  <c r="P172" i="67"/>
  <c r="F174" i="67"/>
  <c r="G174" i="67"/>
  <c r="H174" i="67"/>
  <c r="I174" i="67"/>
  <c r="J174" i="67"/>
  <c r="K174" i="67"/>
  <c r="L174" i="67"/>
  <c r="M174" i="67"/>
  <c r="N174" i="67"/>
  <c r="O174" i="67"/>
  <c r="P174" i="67"/>
  <c r="F175" i="67"/>
  <c r="G175" i="67"/>
  <c r="H175" i="67"/>
  <c r="I175" i="67"/>
  <c r="J175" i="67"/>
  <c r="K175" i="67"/>
  <c r="L175" i="67"/>
  <c r="M175" i="67"/>
  <c r="N175" i="67"/>
  <c r="O175" i="67"/>
  <c r="P175" i="67"/>
  <c r="F177" i="67"/>
  <c r="G177" i="67"/>
  <c r="H177" i="67"/>
  <c r="I177" i="67"/>
  <c r="J177" i="67"/>
  <c r="K177" i="67"/>
  <c r="L177" i="67"/>
  <c r="M177" i="67"/>
  <c r="N177" i="67"/>
  <c r="O177" i="67"/>
  <c r="P177" i="67"/>
  <c r="E175" i="67"/>
  <c r="E174" i="67"/>
  <c r="E177" i="67"/>
  <c r="E172" i="67"/>
  <c r="F172" i="66"/>
  <c r="G172" i="66"/>
  <c r="H172" i="66"/>
  <c r="I172" i="66"/>
  <c r="J172" i="66"/>
  <c r="K172" i="66"/>
  <c r="L172" i="66"/>
  <c r="M172" i="66"/>
  <c r="N172" i="66"/>
  <c r="O172" i="66"/>
  <c r="P172" i="66"/>
  <c r="F174" i="66"/>
  <c r="G174" i="66"/>
  <c r="H174" i="66"/>
  <c r="I174" i="66"/>
  <c r="J174" i="66"/>
  <c r="K174" i="66"/>
  <c r="L174" i="66"/>
  <c r="M174" i="66"/>
  <c r="N174" i="66"/>
  <c r="O174" i="66"/>
  <c r="P174" i="66"/>
  <c r="F175" i="66"/>
  <c r="G175" i="66"/>
  <c r="H175" i="66"/>
  <c r="I175" i="66"/>
  <c r="J175" i="66"/>
  <c r="K175" i="66"/>
  <c r="L175" i="66"/>
  <c r="M175" i="66"/>
  <c r="N175" i="66"/>
  <c r="O175" i="66"/>
  <c r="P175" i="66"/>
  <c r="F177" i="66"/>
  <c r="G177" i="66"/>
  <c r="H177" i="66"/>
  <c r="I177" i="66"/>
  <c r="J177" i="66"/>
  <c r="K177" i="66"/>
  <c r="L177" i="66"/>
  <c r="M177" i="66"/>
  <c r="N177" i="66"/>
  <c r="O177" i="66"/>
  <c r="P177" i="66"/>
  <c r="E177" i="66"/>
  <c r="O90" i="52" s="1"/>
  <c r="E175" i="66"/>
  <c r="O88" i="52" s="1"/>
  <c r="E174" i="66"/>
  <c r="O87" i="52" s="1"/>
  <c r="E172" i="66"/>
  <c r="O85" i="52" s="1"/>
  <c r="P276" i="67" l="1"/>
  <c r="O276" i="67"/>
  <c r="N276" i="67"/>
  <c r="M276" i="67"/>
  <c r="L276" i="67"/>
  <c r="K276" i="67"/>
  <c r="J276" i="67"/>
  <c r="I276" i="67"/>
  <c r="H276" i="67"/>
  <c r="G276" i="67"/>
  <c r="F276" i="67"/>
  <c r="E276" i="67"/>
  <c r="R280" i="67"/>
  <c r="V280" i="66" s="1"/>
  <c r="Q280" i="67"/>
  <c r="R279" i="67"/>
  <c r="Q279" i="67"/>
  <c r="R278" i="67"/>
  <c r="Q278" i="67"/>
  <c r="R277" i="67"/>
  <c r="Q277" i="67"/>
  <c r="R275" i="67"/>
  <c r="Q275" i="67"/>
  <c r="R274" i="67"/>
  <c r="Q274" i="67"/>
  <c r="R273" i="67"/>
  <c r="Q273" i="67"/>
  <c r="R272" i="67"/>
  <c r="Q272" i="67"/>
  <c r="R271" i="67"/>
  <c r="V271" i="66" s="1"/>
  <c r="Q271" i="67"/>
  <c r="Q280" i="66"/>
  <c r="R280" i="66"/>
  <c r="Q271" i="66"/>
  <c r="R271" i="66"/>
  <c r="Q272" i="66"/>
  <c r="R272" i="66"/>
  <c r="Q273" i="66"/>
  <c r="R273" i="66"/>
  <c r="Q274" i="66"/>
  <c r="R274" i="66"/>
  <c r="Q275" i="66"/>
  <c r="R275" i="66"/>
  <c r="Q276" i="66"/>
  <c r="R276" i="66"/>
  <c r="Q277" i="66"/>
  <c r="R277" i="66"/>
  <c r="Q278" i="66"/>
  <c r="R278" i="66"/>
  <c r="Q279" i="66"/>
  <c r="R279" i="66"/>
  <c r="R244" i="67"/>
  <c r="K84" i="68"/>
  <c r="K83" i="68"/>
  <c r="K82" i="68"/>
  <c r="K81" i="68"/>
  <c r="K80" i="68"/>
  <c r="K79" i="68"/>
  <c r="K78" i="68"/>
  <c r="K77" i="68"/>
  <c r="K76" i="68"/>
  <c r="K75" i="68"/>
  <c r="K74" i="68"/>
  <c r="K69" i="68"/>
  <c r="K68" i="68"/>
  <c r="K67" i="68"/>
  <c r="K66" i="68"/>
  <c r="K65" i="68"/>
  <c r="K64" i="68"/>
  <c r="K63" i="68"/>
  <c r="K62" i="68"/>
  <c r="K61" i="68"/>
  <c r="K60" i="68"/>
  <c r="K59" i="68"/>
  <c r="C124" i="68"/>
  <c r="C123" i="68"/>
  <c r="C122" i="68"/>
  <c r="C121" i="68"/>
  <c r="C120" i="68"/>
  <c r="C119" i="68"/>
  <c r="C118" i="68"/>
  <c r="C117" i="68"/>
  <c r="C116" i="68"/>
  <c r="C115" i="68"/>
  <c r="C114" i="68"/>
  <c r="C108" i="68"/>
  <c r="C107" i="68"/>
  <c r="C106" i="68"/>
  <c r="C105" i="68"/>
  <c r="C104" i="68"/>
  <c r="C103" i="68"/>
  <c r="C102" i="68"/>
  <c r="C101" i="68"/>
  <c r="C100" i="68"/>
  <c r="C99" i="68"/>
  <c r="C98" i="68"/>
  <c r="C92" i="68"/>
  <c r="C91" i="68"/>
  <c r="C90" i="68"/>
  <c r="C89" i="68"/>
  <c r="C88" i="68"/>
  <c r="C87" i="68"/>
  <c r="C86" i="68"/>
  <c r="C85" i="68"/>
  <c r="C84" i="68"/>
  <c r="C83" i="68"/>
  <c r="C82" i="68"/>
  <c r="C76" i="68"/>
  <c r="C75" i="68"/>
  <c r="C74" i="68"/>
  <c r="C73" i="68"/>
  <c r="C72" i="68"/>
  <c r="C71" i="68"/>
  <c r="C70" i="68"/>
  <c r="C69" i="68"/>
  <c r="C68" i="68"/>
  <c r="C67" i="68"/>
  <c r="C66" i="68"/>
  <c r="C59" i="68"/>
  <c r="C58" i="68"/>
  <c r="C57" i="68"/>
  <c r="C56" i="68"/>
  <c r="C55" i="68"/>
  <c r="C54" i="68"/>
  <c r="C53" i="68"/>
  <c r="C52" i="68"/>
  <c r="C51" i="68"/>
  <c r="C50" i="68"/>
  <c r="C49" i="68"/>
  <c r="C2" i="67"/>
  <c r="R269" i="67"/>
  <c r="Q269" i="67"/>
  <c r="P268" i="67"/>
  <c r="O268" i="67"/>
  <c r="N268" i="67"/>
  <c r="M268" i="67"/>
  <c r="L268" i="67"/>
  <c r="K268" i="67"/>
  <c r="J268" i="67"/>
  <c r="I268" i="67"/>
  <c r="H268" i="67"/>
  <c r="G268" i="67"/>
  <c r="F268" i="67"/>
  <c r="E268" i="67"/>
  <c r="R267" i="67"/>
  <c r="Q267" i="67"/>
  <c r="R266" i="67"/>
  <c r="Q266" i="67"/>
  <c r="R265" i="67"/>
  <c r="Q265" i="67"/>
  <c r="R264" i="67"/>
  <c r="Q264" i="67"/>
  <c r="R263" i="67"/>
  <c r="Q263" i="67"/>
  <c r="P262" i="67"/>
  <c r="O262" i="67"/>
  <c r="N262" i="67"/>
  <c r="M262" i="67"/>
  <c r="L262" i="67"/>
  <c r="K262" i="67"/>
  <c r="J262" i="67"/>
  <c r="I262" i="67"/>
  <c r="H262" i="67"/>
  <c r="G262" i="67"/>
  <c r="F262" i="67"/>
  <c r="E262" i="67"/>
  <c r="R261" i="67"/>
  <c r="Q261" i="67"/>
  <c r="R260" i="67"/>
  <c r="Q260" i="67"/>
  <c r="R259" i="67"/>
  <c r="Q259" i="67"/>
  <c r="R258" i="67"/>
  <c r="Q258" i="67"/>
  <c r="R257" i="67"/>
  <c r="Q257" i="67"/>
  <c r="R254" i="67"/>
  <c r="Q254" i="67"/>
  <c r="R253" i="67"/>
  <c r="Q253" i="67"/>
  <c r="R252" i="67"/>
  <c r="Q252" i="67"/>
  <c r="R251" i="67"/>
  <c r="Q251" i="67"/>
  <c r="R249" i="67"/>
  <c r="Q249" i="67"/>
  <c r="R248" i="67"/>
  <c r="Q248" i="67"/>
  <c r="R247" i="67"/>
  <c r="Q247" i="67"/>
  <c r="R246" i="67"/>
  <c r="Q246" i="67"/>
  <c r="R245" i="67"/>
  <c r="Q245" i="67"/>
  <c r="Q244" i="67"/>
  <c r="R240" i="67"/>
  <c r="Q240" i="67"/>
  <c r="R239" i="67"/>
  <c r="Q239" i="67"/>
  <c r="R238" i="67"/>
  <c r="Q238" i="67"/>
  <c r="R237" i="67"/>
  <c r="Q237" i="67"/>
  <c r="R236" i="67"/>
  <c r="Q236" i="67"/>
  <c r="R235" i="67"/>
  <c r="Q235" i="67"/>
  <c r="R234" i="67"/>
  <c r="Q234" i="67"/>
  <c r="R231" i="67"/>
  <c r="Q231" i="67"/>
  <c r="R230" i="67"/>
  <c r="Q230" i="67"/>
  <c r="R229" i="67"/>
  <c r="Q229" i="67"/>
  <c r="R228" i="67"/>
  <c r="Q228" i="67"/>
  <c r="R227" i="67"/>
  <c r="Q227" i="67"/>
  <c r="R226" i="67"/>
  <c r="Q226" i="67"/>
  <c r="R225" i="67"/>
  <c r="Q225" i="67"/>
  <c r="R222" i="67"/>
  <c r="V222" i="66" s="1"/>
  <c r="Q222" i="67"/>
  <c r="R221" i="67"/>
  <c r="V221" i="66" s="1"/>
  <c r="Q221" i="67"/>
  <c r="D221" i="67"/>
  <c r="R220" i="67"/>
  <c r="V220" i="66" s="1"/>
  <c r="Q220" i="67"/>
  <c r="D220" i="67"/>
  <c r="R219" i="67"/>
  <c r="V219" i="66" s="1"/>
  <c r="Q219" i="67"/>
  <c r="D219" i="67"/>
  <c r="R218" i="67"/>
  <c r="V218" i="66" s="1"/>
  <c r="Q218" i="67"/>
  <c r="D218" i="67"/>
  <c r="R217" i="67"/>
  <c r="V217" i="66" s="1"/>
  <c r="Q217" i="67"/>
  <c r="D217" i="67"/>
  <c r="R216" i="67"/>
  <c r="V216" i="66" s="1"/>
  <c r="Q216" i="67"/>
  <c r="D216" i="67"/>
  <c r="R215" i="67"/>
  <c r="V215" i="66" s="1"/>
  <c r="Q215" i="67"/>
  <c r="D215" i="67"/>
  <c r="R214" i="67"/>
  <c r="V214" i="66" s="1"/>
  <c r="Q214" i="67"/>
  <c r="D214" i="67"/>
  <c r="R213" i="67"/>
  <c r="V213" i="66" s="1"/>
  <c r="Q213" i="67"/>
  <c r="D213" i="67"/>
  <c r="R212" i="67"/>
  <c r="V212" i="66" s="1"/>
  <c r="Q212" i="67"/>
  <c r="D212" i="67"/>
  <c r="R211" i="67"/>
  <c r="V211" i="66" s="1"/>
  <c r="Q211" i="67"/>
  <c r="D211" i="67"/>
  <c r="R209" i="67"/>
  <c r="Q209" i="67"/>
  <c r="R207" i="67"/>
  <c r="V207" i="66" s="1"/>
  <c r="Q207" i="67"/>
  <c r="R206" i="67"/>
  <c r="V206" i="66" s="1"/>
  <c r="Q206" i="67"/>
  <c r="D206" i="67"/>
  <c r="R205" i="67"/>
  <c r="V205" i="66" s="1"/>
  <c r="Q205" i="67"/>
  <c r="D205" i="67"/>
  <c r="R204" i="67"/>
  <c r="V204" i="66" s="1"/>
  <c r="Q204" i="67"/>
  <c r="D204" i="67"/>
  <c r="R203" i="67"/>
  <c r="V203" i="66" s="1"/>
  <c r="Q203" i="67"/>
  <c r="D203" i="67"/>
  <c r="R202" i="67"/>
  <c r="V202" i="66" s="1"/>
  <c r="Q202" i="67"/>
  <c r="D202" i="67"/>
  <c r="R201" i="67"/>
  <c r="V201" i="66" s="1"/>
  <c r="Q201" i="67"/>
  <c r="D201" i="67"/>
  <c r="R200" i="67"/>
  <c r="V200" i="66" s="1"/>
  <c r="Q200" i="67"/>
  <c r="D200" i="67"/>
  <c r="R199" i="67"/>
  <c r="V199" i="66" s="1"/>
  <c r="Q199" i="67"/>
  <c r="D199" i="67"/>
  <c r="R198" i="67"/>
  <c r="V198" i="66" s="1"/>
  <c r="Q198" i="67"/>
  <c r="D198" i="67"/>
  <c r="R197" i="67"/>
  <c r="V197" i="66" s="1"/>
  <c r="Q197" i="67"/>
  <c r="D197" i="67"/>
  <c r="R196" i="67"/>
  <c r="V196" i="66" s="1"/>
  <c r="Q196" i="67"/>
  <c r="D196" i="67"/>
  <c r="R194" i="67"/>
  <c r="Q194" i="67"/>
  <c r="R177" i="67"/>
  <c r="Q177" i="67"/>
  <c r="R175" i="67"/>
  <c r="V175" i="66" s="1"/>
  <c r="Q175" i="67"/>
  <c r="R174" i="67"/>
  <c r="Q174" i="67"/>
  <c r="R172" i="67"/>
  <c r="V172" i="66" s="1"/>
  <c r="Q172" i="67"/>
  <c r="R170" i="67"/>
  <c r="Q170" i="67"/>
  <c r="P169" i="67"/>
  <c r="P176" i="67" s="1"/>
  <c r="O169" i="67"/>
  <c r="O176" i="67" s="1"/>
  <c r="N169" i="67"/>
  <c r="N176" i="67" s="1"/>
  <c r="M169" i="67"/>
  <c r="M176" i="67" s="1"/>
  <c r="L169" i="67"/>
  <c r="L176" i="67" s="1"/>
  <c r="K169" i="67"/>
  <c r="K176" i="67" s="1"/>
  <c r="J169" i="67"/>
  <c r="J176" i="67" s="1"/>
  <c r="I169" i="67"/>
  <c r="I176" i="67" s="1"/>
  <c r="H169" i="67"/>
  <c r="H176" i="67" s="1"/>
  <c r="G169" i="67"/>
  <c r="G176" i="67" s="1"/>
  <c r="F169" i="67"/>
  <c r="F176" i="67" s="1"/>
  <c r="E169" i="67"/>
  <c r="E176" i="67" s="1"/>
  <c r="R168" i="67"/>
  <c r="V168" i="66" s="1"/>
  <c r="Q168" i="67"/>
  <c r="R167" i="67"/>
  <c r="Q167" i="67"/>
  <c r="P166" i="67"/>
  <c r="P173" i="67" s="1"/>
  <c r="O166" i="67"/>
  <c r="O173" i="67" s="1"/>
  <c r="N166" i="67"/>
  <c r="N173" i="67" s="1"/>
  <c r="M166" i="67"/>
  <c r="M173" i="67" s="1"/>
  <c r="L166" i="67"/>
  <c r="L173" i="67" s="1"/>
  <c r="K166" i="67"/>
  <c r="K173" i="67" s="1"/>
  <c r="J166" i="67"/>
  <c r="J173" i="67" s="1"/>
  <c r="I166" i="67"/>
  <c r="I173" i="67" s="1"/>
  <c r="H166" i="67"/>
  <c r="H173" i="67" s="1"/>
  <c r="G166" i="67"/>
  <c r="G173" i="67" s="1"/>
  <c r="F166" i="67"/>
  <c r="F173" i="67" s="1"/>
  <c r="E166" i="67"/>
  <c r="E173" i="67" s="1"/>
  <c r="R165" i="67"/>
  <c r="V165" i="66" s="1"/>
  <c r="Q165" i="67"/>
  <c r="R162" i="67"/>
  <c r="V162" i="66" s="1"/>
  <c r="Q162" i="67"/>
  <c r="R161" i="67"/>
  <c r="V161" i="66" s="1"/>
  <c r="Q161" i="67"/>
  <c r="D161" i="67"/>
  <c r="R160" i="67"/>
  <c r="V160" i="66" s="1"/>
  <c r="Q160" i="67"/>
  <c r="D160" i="67"/>
  <c r="R159" i="67"/>
  <c r="V159" i="66" s="1"/>
  <c r="Q159" i="67"/>
  <c r="D159" i="67"/>
  <c r="R158" i="67"/>
  <c r="V158" i="66" s="1"/>
  <c r="Q158" i="67"/>
  <c r="D158" i="67"/>
  <c r="R157" i="67"/>
  <c r="V157" i="66" s="1"/>
  <c r="Q157" i="67"/>
  <c r="D157" i="67"/>
  <c r="R156" i="67"/>
  <c r="V156" i="66" s="1"/>
  <c r="Q156" i="67"/>
  <c r="D156" i="67"/>
  <c r="R155" i="67"/>
  <c r="V155" i="66" s="1"/>
  <c r="Q155" i="67"/>
  <c r="D155" i="67"/>
  <c r="R154" i="67"/>
  <c r="V154" i="66" s="1"/>
  <c r="Q154" i="67"/>
  <c r="D154" i="67"/>
  <c r="R153" i="67"/>
  <c r="V153" i="66" s="1"/>
  <c r="Q153" i="67"/>
  <c r="D153" i="67"/>
  <c r="R152" i="67"/>
  <c r="V152" i="66" s="1"/>
  <c r="Q152" i="67"/>
  <c r="D152" i="67"/>
  <c r="R151" i="67"/>
  <c r="V151" i="66" s="1"/>
  <c r="Q151" i="67"/>
  <c r="D151" i="67"/>
  <c r="R149" i="67"/>
  <c r="V149" i="66" s="1"/>
  <c r="Q149" i="67"/>
  <c r="R146" i="67"/>
  <c r="V146" i="66" s="1"/>
  <c r="Q146" i="67"/>
  <c r="R145" i="67"/>
  <c r="V145" i="66" s="1"/>
  <c r="Q145" i="67"/>
  <c r="D145" i="67"/>
  <c r="R144" i="67"/>
  <c r="V144" i="66" s="1"/>
  <c r="Q144" i="67"/>
  <c r="D144" i="67"/>
  <c r="R143" i="67"/>
  <c r="V143" i="66" s="1"/>
  <c r="Q143" i="67"/>
  <c r="D143" i="67"/>
  <c r="R142" i="67"/>
  <c r="V142" i="66" s="1"/>
  <c r="Q142" i="67"/>
  <c r="D142" i="67"/>
  <c r="R141" i="67"/>
  <c r="V141" i="66" s="1"/>
  <c r="Q141" i="67"/>
  <c r="D141" i="67"/>
  <c r="R140" i="67"/>
  <c r="V140" i="66" s="1"/>
  <c r="Q140" i="67"/>
  <c r="D140" i="67"/>
  <c r="R139" i="67"/>
  <c r="V139" i="66" s="1"/>
  <c r="Q139" i="67"/>
  <c r="D139" i="67"/>
  <c r="R138" i="67"/>
  <c r="V138" i="66" s="1"/>
  <c r="Q138" i="67"/>
  <c r="D138" i="67"/>
  <c r="R137" i="67"/>
  <c r="V137" i="66" s="1"/>
  <c r="Q137" i="67"/>
  <c r="D137" i="67"/>
  <c r="R136" i="67"/>
  <c r="V136" i="66" s="1"/>
  <c r="Q136" i="67"/>
  <c r="D136" i="67"/>
  <c r="R135" i="67"/>
  <c r="V135" i="66" s="1"/>
  <c r="Q135" i="67"/>
  <c r="D135" i="67"/>
  <c r="R133" i="67"/>
  <c r="V133" i="66" s="1"/>
  <c r="Q133" i="67"/>
  <c r="R130" i="67"/>
  <c r="V130" i="66" s="1"/>
  <c r="Q130" i="67"/>
  <c r="R129" i="67"/>
  <c r="V129" i="66" s="1"/>
  <c r="Q129" i="67"/>
  <c r="D129" i="67"/>
  <c r="R128" i="67"/>
  <c r="V128" i="66" s="1"/>
  <c r="Q128" i="67"/>
  <c r="D128" i="67"/>
  <c r="R127" i="67"/>
  <c r="V127" i="66" s="1"/>
  <c r="Q127" i="67"/>
  <c r="D127" i="67"/>
  <c r="R126" i="67"/>
  <c r="V126" i="66" s="1"/>
  <c r="Q126" i="67"/>
  <c r="D126" i="67"/>
  <c r="R125" i="67"/>
  <c r="V125" i="66" s="1"/>
  <c r="Q125" i="67"/>
  <c r="D125" i="67"/>
  <c r="R124" i="67"/>
  <c r="V124" i="66" s="1"/>
  <c r="Q124" i="67"/>
  <c r="D124" i="67"/>
  <c r="R123" i="67"/>
  <c r="V123" i="66" s="1"/>
  <c r="Q123" i="67"/>
  <c r="D123" i="67"/>
  <c r="R122" i="67"/>
  <c r="V122" i="66" s="1"/>
  <c r="Q122" i="67"/>
  <c r="D122" i="67"/>
  <c r="R121" i="67"/>
  <c r="V121" i="66" s="1"/>
  <c r="Q121" i="67"/>
  <c r="D121" i="67"/>
  <c r="R120" i="67"/>
  <c r="V120" i="66" s="1"/>
  <c r="Q120" i="67"/>
  <c r="D120" i="67"/>
  <c r="R119" i="67"/>
  <c r="V119" i="66" s="1"/>
  <c r="Q119" i="67"/>
  <c r="D119" i="67"/>
  <c r="R117" i="67"/>
  <c r="V117" i="66" s="1"/>
  <c r="Q117" i="67"/>
  <c r="R114" i="67"/>
  <c r="V114" i="66" s="1"/>
  <c r="Q114" i="67"/>
  <c r="R113" i="67"/>
  <c r="V113" i="66" s="1"/>
  <c r="Q113" i="67"/>
  <c r="D113" i="67"/>
  <c r="R112" i="67"/>
  <c r="V112" i="66" s="1"/>
  <c r="Q112" i="67"/>
  <c r="D112" i="67"/>
  <c r="R111" i="67"/>
  <c r="V111" i="66" s="1"/>
  <c r="Q111" i="67"/>
  <c r="D111" i="67"/>
  <c r="R110" i="67"/>
  <c r="V110" i="66" s="1"/>
  <c r="Q110" i="67"/>
  <c r="D110" i="67"/>
  <c r="R109" i="67"/>
  <c r="V109" i="66" s="1"/>
  <c r="Q109" i="67"/>
  <c r="D109" i="67"/>
  <c r="R108" i="67"/>
  <c r="V108" i="66" s="1"/>
  <c r="Q108" i="67"/>
  <c r="D108" i="67"/>
  <c r="R107" i="67"/>
  <c r="V107" i="66" s="1"/>
  <c r="Q107" i="67"/>
  <c r="D107" i="67"/>
  <c r="R106" i="67"/>
  <c r="V106" i="66" s="1"/>
  <c r="Q106" i="67"/>
  <c r="D106" i="67"/>
  <c r="R105" i="67"/>
  <c r="V105" i="66" s="1"/>
  <c r="Q105" i="67"/>
  <c r="D105" i="67"/>
  <c r="R104" i="67"/>
  <c r="V104" i="66" s="1"/>
  <c r="Q104" i="67"/>
  <c r="D104" i="67"/>
  <c r="R103" i="67"/>
  <c r="V103" i="66" s="1"/>
  <c r="Q103" i="67"/>
  <c r="D103" i="67"/>
  <c r="R101" i="67"/>
  <c r="V101" i="66" s="1"/>
  <c r="Q101" i="67"/>
  <c r="C49" i="49"/>
  <c r="C48" i="49"/>
  <c r="D96" i="67"/>
  <c r="C47" i="49"/>
  <c r="D95" i="67"/>
  <c r="C46" i="49"/>
  <c r="D94" i="67"/>
  <c r="C45" i="49"/>
  <c r="D93" i="67"/>
  <c r="C44" i="49"/>
  <c r="D92" i="67"/>
  <c r="C43" i="49"/>
  <c r="D91" i="67"/>
  <c r="C42" i="49"/>
  <c r="D90" i="67"/>
  <c r="C41" i="49"/>
  <c r="D89" i="67"/>
  <c r="C40" i="49"/>
  <c r="D88" i="67"/>
  <c r="C39" i="49"/>
  <c r="D87" i="67"/>
  <c r="C38" i="49"/>
  <c r="D86" i="67"/>
  <c r="P84" i="67"/>
  <c r="O84" i="67"/>
  <c r="N84" i="67"/>
  <c r="M84" i="67"/>
  <c r="L84" i="67"/>
  <c r="K84" i="67"/>
  <c r="J84" i="67"/>
  <c r="I84" i="67"/>
  <c r="H84" i="67"/>
  <c r="G84" i="67"/>
  <c r="F84" i="67"/>
  <c r="E84" i="67"/>
  <c r="P83" i="67"/>
  <c r="O83" i="67"/>
  <c r="N83" i="67"/>
  <c r="M83" i="67"/>
  <c r="L83" i="67"/>
  <c r="K83" i="67"/>
  <c r="J83" i="67"/>
  <c r="I83" i="67"/>
  <c r="H83" i="67"/>
  <c r="G83" i="67"/>
  <c r="F83" i="67"/>
  <c r="E83" i="67"/>
  <c r="P82" i="67"/>
  <c r="O82" i="67"/>
  <c r="N82" i="67"/>
  <c r="M82" i="67"/>
  <c r="L82" i="67"/>
  <c r="K82" i="67"/>
  <c r="J82" i="67"/>
  <c r="I82" i="67"/>
  <c r="H82" i="67"/>
  <c r="G82" i="67"/>
  <c r="F82" i="67"/>
  <c r="E82" i="67"/>
  <c r="P81" i="67"/>
  <c r="O81" i="67"/>
  <c r="N81" i="67"/>
  <c r="M81" i="67"/>
  <c r="L81" i="67"/>
  <c r="K81" i="67"/>
  <c r="J81" i="67"/>
  <c r="I81" i="67"/>
  <c r="H81" i="67"/>
  <c r="G81" i="67"/>
  <c r="F81" i="67"/>
  <c r="E81" i="67"/>
  <c r="P75" i="67"/>
  <c r="O75" i="67"/>
  <c r="N75" i="67"/>
  <c r="M75" i="67"/>
  <c r="L75" i="67"/>
  <c r="K75" i="67"/>
  <c r="J75" i="67"/>
  <c r="I75" i="67"/>
  <c r="H75" i="67"/>
  <c r="G75" i="67"/>
  <c r="F75" i="67"/>
  <c r="E75" i="67"/>
  <c r="R74" i="67"/>
  <c r="V74" i="66" s="1"/>
  <c r="Q74" i="67"/>
  <c r="R73" i="67"/>
  <c r="V73" i="66" s="1"/>
  <c r="Q73" i="67"/>
  <c r="R72" i="67"/>
  <c r="Q72" i="67"/>
  <c r="R71" i="67"/>
  <c r="Q71" i="67"/>
  <c r="R70" i="67"/>
  <c r="V70" i="66" s="1"/>
  <c r="Q70" i="67"/>
  <c r="R69" i="67"/>
  <c r="V69" i="66" s="1"/>
  <c r="Q69" i="67"/>
  <c r="R68" i="67"/>
  <c r="V68" i="66" s="1"/>
  <c r="Q68" i="67"/>
  <c r="R67" i="67"/>
  <c r="Q67" i="67"/>
  <c r="P66" i="67"/>
  <c r="O66" i="67"/>
  <c r="N66" i="67"/>
  <c r="M66" i="67"/>
  <c r="L66" i="67"/>
  <c r="K66" i="67"/>
  <c r="J66" i="67"/>
  <c r="I66" i="67"/>
  <c r="H66" i="67"/>
  <c r="G66" i="67"/>
  <c r="F66" i="67"/>
  <c r="E66" i="67"/>
  <c r="R65" i="67"/>
  <c r="Q65" i="67"/>
  <c r="R64" i="67"/>
  <c r="Q64" i="67"/>
  <c r="R63" i="67"/>
  <c r="Q63" i="67"/>
  <c r="R62" i="67"/>
  <c r="Q62" i="67"/>
  <c r="R58" i="67"/>
  <c r="Q58" i="67"/>
  <c r="R57" i="67"/>
  <c r="Q57" i="67"/>
  <c r="R55" i="67"/>
  <c r="Q55" i="67"/>
  <c r="R54" i="67"/>
  <c r="Q54" i="67"/>
  <c r="R53" i="67"/>
  <c r="Q53" i="67"/>
  <c r="R52" i="67"/>
  <c r="V52" i="66" s="1"/>
  <c r="Q52" i="67"/>
  <c r="R51" i="67"/>
  <c r="Q51" i="67"/>
  <c r="R50" i="67"/>
  <c r="Q50" i="67"/>
  <c r="R49" i="67"/>
  <c r="Q49" i="67"/>
  <c r="R48" i="67"/>
  <c r="Q48" i="67"/>
  <c r="R45" i="67"/>
  <c r="V45" i="66" s="1"/>
  <c r="R44" i="67"/>
  <c r="Q44" i="67"/>
  <c r="R43" i="67"/>
  <c r="Q43" i="67"/>
  <c r="R42" i="67"/>
  <c r="Q42" i="67"/>
  <c r="R41" i="67"/>
  <c r="Q41" i="67"/>
  <c r="R40" i="67"/>
  <c r="Q40" i="67"/>
  <c r="R39" i="67"/>
  <c r="Q39" i="67"/>
  <c r="R37" i="67"/>
  <c r="V37" i="66" s="1"/>
  <c r="Q37" i="67"/>
  <c r="R36" i="67"/>
  <c r="V36" i="66" s="1"/>
  <c r="Q36" i="67"/>
  <c r="R35" i="67"/>
  <c r="Q35" i="67"/>
  <c r="R34" i="67"/>
  <c r="Q34" i="67"/>
  <c r="R33" i="67"/>
  <c r="Q33" i="67"/>
  <c r="R32" i="67"/>
  <c r="Q32" i="67"/>
  <c r="R30" i="67"/>
  <c r="Q30" i="67"/>
  <c r="R28" i="67"/>
  <c r="V28" i="66" s="1"/>
  <c r="Q28" i="67"/>
  <c r="R27" i="67"/>
  <c r="V27" i="66" s="1"/>
  <c r="Q27" i="67"/>
  <c r="R26" i="67"/>
  <c r="Q26" i="67"/>
  <c r="R25" i="67"/>
  <c r="Q25" i="67"/>
  <c r="R22" i="67"/>
  <c r="Q22" i="67"/>
  <c r="R21" i="67"/>
  <c r="Q21" i="67"/>
  <c r="R20" i="67"/>
  <c r="Q20" i="67"/>
  <c r="R18" i="67"/>
  <c r="Q18" i="67"/>
  <c r="R17" i="67"/>
  <c r="Q17" i="67"/>
  <c r="R16" i="67"/>
  <c r="Q16" i="67"/>
  <c r="R15" i="67"/>
  <c r="V15" i="66" s="1"/>
  <c r="Q15" i="67"/>
  <c r="R14" i="67"/>
  <c r="Q14" i="67"/>
  <c r="R13" i="67"/>
  <c r="Q13" i="67"/>
  <c r="R12" i="67"/>
  <c r="Q12" i="67"/>
  <c r="R11" i="67"/>
  <c r="Q11" i="67"/>
  <c r="R10" i="67"/>
  <c r="Q10" i="67"/>
  <c r="R9" i="67"/>
  <c r="Q9" i="67"/>
  <c r="R8" i="67"/>
  <c r="Q8" i="67"/>
  <c r="F268" i="66"/>
  <c r="G268" i="66"/>
  <c r="H268" i="66"/>
  <c r="I268" i="66"/>
  <c r="J268" i="66"/>
  <c r="K268" i="66"/>
  <c r="L268" i="66"/>
  <c r="M268" i="66"/>
  <c r="N268" i="66"/>
  <c r="O268" i="66"/>
  <c r="P268" i="66"/>
  <c r="F262" i="66"/>
  <c r="G262" i="66"/>
  <c r="H262" i="66"/>
  <c r="I262" i="66"/>
  <c r="J262" i="66"/>
  <c r="K262" i="66"/>
  <c r="L262" i="66"/>
  <c r="M262" i="66"/>
  <c r="N262" i="66"/>
  <c r="O262" i="66"/>
  <c r="P262" i="66"/>
  <c r="E268" i="66"/>
  <c r="O92" i="52" s="1"/>
  <c r="E262" i="66"/>
  <c r="Q62" i="66"/>
  <c r="Q245" i="66"/>
  <c r="Q246" i="66"/>
  <c r="Q247" i="66"/>
  <c r="Q248" i="66"/>
  <c r="Q249" i="66"/>
  <c r="Q251" i="66"/>
  <c r="Q252" i="66"/>
  <c r="Q253" i="66"/>
  <c r="Q254" i="66"/>
  <c r="Q244" i="66"/>
  <c r="Q235" i="66"/>
  <c r="Q236" i="66"/>
  <c r="Q237" i="66"/>
  <c r="Q238" i="66"/>
  <c r="Q239" i="66"/>
  <c r="T239" i="66" s="1"/>
  <c r="Q240" i="66"/>
  <c r="Q234" i="66"/>
  <c r="Q226" i="66"/>
  <c r="Q227" i="66"/>
  <c r="T227" i="66" s="1"/>
  <c r="Q228" i="66"/>
  <c r="Q229" i="66"/>
  <c r="Q230" i="66"/>
  <c r="Q231" i="66"/>
  <c r="Q225" i="66"/>
  <c r="M70" i="72" s="1"/>
  <c r="Q212" i="66"/>
  <c r="Q213" i="66"/>
  <c r="Q214" i="66"/>
  <c r="Q215" i="66"/>
  <c r="Q216" i="66"/>
  <c r="Q217" i="66"/>
  <c r="Q218" i="66"/>
  <c r="Q219" i="66"/>
  <c r="Q220" i="66"/>
  <c r="Q221" i="66"/>
  <c r="Q222" i="66"/>
  <c r="Q211" i="66"/>
  <c r="Q209" i="66"/>
  <c r="Q197" i="66"/>
  <c r="Q198" i="66"/>
  <c r="Q199" i="66"/>
  <c r="Q200" i="66"/>
  <c r="Q201" i="66"/>
  <c r="Q202" i="66"/>
  <c r="Q203" i="66"/>
  <c r="Q204" i="66"/>
  <c r="Q205" i="66"/>
  <c r="Q206" i="66"/>
  <c r="Q207" i="66"/>
  <c r="Q196" i="66"/>
  <c r="Q194" i="66"/>
  <c r="F169" i="66"/>
  <c r="F176" i="66" s="1"/>
  <c r="G169" i="66"/>
  <c r="G176" i="66" s="1"/>
  <c r="H169" i="66"/>
  <c r="H176" i="66" s="1"/>
  <c r="I169" i="66"/>
  <c r="I176" i="66" s="1"/>
  <c r="J169" i="66"/>
  <c r="J176" i="66" s="1"/>
  <c r="K169" i="66"/>
  <c r="K176" i="66" s="1"/>
  <c r="L169" i="66"/>
  <c r="L176" i="66" s="1"/>
  <c r="M169" i="66"/>
  <c r="M176" i="66" s="1"/>
  <c r="N169" i="66"/>
  <c r="N176" i="66" s="1"/>
  <c r="O169" i="66"/>
  <c r="O176" i="66" s="1"/>
  <c r="P169" i="66"/>
  <c r="P176" i="66" s="1"/>
  <c r="E169" i="66"/>
  <c r="E176" i="66" s="1"/>
  <c r="O89" i="52" s="1"/>
  <c r="F166" i="66"/>
  <c r="F173" i="66" s="1"/>
  <c r="G166" i="66"/>
  <c r="G173" i="66" s="1"/>
  <c r="H166" i="66"/>
  <c r="H173" i="66" s="1"/>
  <c r="I166" i="66"/>
  <c r="I173" i="66" s="1"/>
  <c r="J166" i="66"/>
  <c r="J173" i="66" s="1"/>
  <c r="K166" i="66"/>
  <c r="K173" i="66" s="1"/>
  <c r="L166" i="66"/>
  <c r="L173" i="66" s="1"/>
  <c r="M166" i="66"/>
  <c r="M173" i="66" s="1"/>
  <c r="N166" i="66"/>
  <c r="N173" i="66" s="1"/>
  <c r="O166" i="66"/>
  <c r="O173" i="66" s="1"/>
  <c r="P166" i="66"/>
  <c r="P173" i="66" s="1"/>
  <c r="E166" i="66"/>
  <c r="E173" i="66" s="1"/>
  <c r="O86" i="52" s="1"/>
  <c r="Q167" i="66"/>
  <c r="Q168" i="66"/>
  <c r="Q170" i="66"/>
  <c r="Q165" i="66"/>
  <c r="Q152" i="66"/>
  <c r="Q153" i="66"/>
  <c r="Q154" i="66"/>
  <c r="Q155" i="66"/>
  <c r="Q156" i="66"/>
  <c r="Q157" i="66"/>
  <c r="Q158" i="66"/>
  <c r="Q159" i="66"/>
  <c r="Q160" i="66"/>
  <c r="Q161" i="66"/>
  <c r="Q162" i="66"/>
  <c r="Q151" i="66"/>
  <c r="Q149" i="66"/>
  <c r="Q136" i="66"/>
  <c r="Q137" i="66"/>
  <c r="Q138" i="66"/>
  <c r="Q139" i="66"/>
  <c r="Q140" i="66"/>
  <c r="Q141" i="66"/>
  <c r="Q142" i="66"/>
  <c r="Q143" i="66"/>
  <c r="Q144" i="66"/>
  <c r="Q145" i="66"/>
  <c r="Q146" i="66"/>
  <c r="Q135" i="66"/>
  <c r="Q133" i="66"/>
  <c r="Q120" i="66"/>
  <c r="Q121" i="66"/>
  <c r="Q122" i="66"/>
  <c r="Q123" i="66"/>
  <c r="Q124" i="66"/>
  <c r="Q125" i="66"/>
  <c r="Q126" i="66"/>
  <c r="Q127" i="66"/>
  <c r="Q128" i="66"/>
  <c r="Q129" i="66"/>
  <c r="Q130" i="66"/>
  <c r="Q119" i="66"/>
  <c r="Q117" i="66"/>
  <c r="Q104" i="66"/>
  <c r="Q105" i="66"/>
  <c r="Q106" i="66"/>
  <c r="Q107" i="66"/>
  <c r="Q108" i="66"/>
  <c r="Q109" i="66"/>
  <c r="Q110" i="66"/>
  <c r="Q111" i="66"/>
  <c r="Q112" i="66"/>
  <c r="Q113" i="66"/>
  <c r="Q114" i="66"/>
  <c r="Q103" i="66"/>
  <c r="Q101" i="66"/>
  <c r="Q63" i="66"/>
  <c r="Q64" i="66"/>
  <c r="Q65" i="66"/>
  <c r="Q67" i="66"/>
  <c r="Q68" i="66"/>
  <c r="Q69" i="66"/>
  <c r="Q70" i="66"/>
  <c r="Q71" i="66"/>
  <c r="Q72" i="66"/>
  <c r="Q73" i="66"/>
  <c r="Q74" i="66"/>
  <c r="Q58" i="66"/>
  <c r="Q57" i="66"/>
  <c r="Q49" i="66"/>
  <c r="Q50" i="66"/>
  <c r="Q51" i="66"/>
  <c r="Q52" i="66"/>
  <c r="Q53" i="66"/>
  <c r="Q54" i="66"/>
  <c r="Q55" i="66"/>
  <c r="Q48" i="66"/>
  <c r="Q40" i="66"/>
  <c r="Q41" i="66"/>
  <c r="Q42" i="66"/>
  <c r="Q43" i="66"/>
  <c r="Q44" i="66"/>
  <c r="Q39" i="66"/>
  <c r="Q33" i="66"/>
  <c r="Q34" i="66"/>
  <c r="Q35" i="66"/>
  <c r="Q36" i="66"/>
  <c r="Q37" i="66"/>
  <c r="Q32" i="66"/>
  <c r="Q30" i="66"/>
  <c r="Q26" i="66"/>
  <c r="Q27" i="66"/>
  <c r="Q28" i="66"/>
  <c r="Q25" i="66"/>
  <c r="Q21" i="66"/>
  <c r="Q22" i="66"/>
  <c r="Q20" i="66"/>
  <c r="Q9" i="66"/>
  <c r="Q10" i="66"/>
  <c r="Q11" i="66"/>
  <c r="Q12" i="66"/>
  <c r="Q13" i="66"/>
  <c r="Q14" i="66"/>
  <c r="Q15" i="66"/>
  <c r="Q16" i="66"/>
  <c r="Q17" i="66"/>
  <c r="Q18" i="66"/>
  <c r="Q8" i="66"/>
  <c r="S10" i="1" l="1"/>
  <c r="B108" i="49"/>
  <c r="C108" i="49"/>
  <c r="V272" i="66"/>
  <c r="V275" i="66"/>
  <c r="T36" i="66"/>
  <c r="D33" i="68" s="1"/>
  <c r="U36" i="66"/>
  <c r="U103" i="66"/>
  <c r="T103" i="66"/>
  <c r="D66" i="68" s="1"/>
  <c r="U154" i="66"/>
  <c r="T154" i="66"/>
  <c r="D117" i="68" s="1"/>
  <c r="T234" i="66"/>
  <c r="R22" i="68" s="1"/>
  <c r="T49" i="66"/>
  <c r="L14" i="68" s="1"/>
  <c r="U49" i="66"/>
  <c r="T62" i="66"/>
  <c r="R6" i="68" s="1"/>
  <c r="U62" i="66"/>
  <c r="T11" i="66"/>
  <c r="D8" i="68" s="1"/>
  <c r="U11" i="66"/>
  <c r="T57" i="66"/>
  <c r="L22" i="68" s="1"/>
  <c r="U126" i="66"/>
  <c r="T126" i="66"/>
  <c r="D89" i="68" s="1"/>
  <c r="T152" i="66"/>
  <c r="U152" i="66"/>
  <c r="U218" i="66"/>
  <c r="T218" i="66"/>
  <c r="L81" i="68" s="1"/>
  <c r="T58" i="66"/>
  <c r="L23" i="68" s="1"/>
  <c r="U125" i="66"/>
  <c r="T125" i="66"/>
  <c r="D88" i="68" s="1"/>
  <c r="T205" i="66"/>
  <c r="L68" i="68" s="1"/>
  <c r="U205" i="66"/>
  <c r="T39" i="66"/>
  <c r="L5" i="68" s="1"/>
  <c r="T111" i="66"/>
  <c r="D74" i="68" s="1"/>
  <c r="U111" i="66"/>
  <c r="U137" i="66"/>
  <c r="T137" i="66"/>
  <c r="T204" i="66"/>
  <c r="L67" i="68" s="1"/>
  <c r="U204" i="66"/>
  <c r="U73" i="66"/>
  <c r="T73" i="66"/>
  <c r="R17" i="68" s="1"/>
  <c r="T203" i="66"/>
  <c r="L66" i="68" s="1"/>
  <c r="U203" i="66"/>
  <c r="T43" i="66"/>
  <c r="L9" i="68" s="1"/>
  <c r="U43" i="66"/>
  <c r="T149" i="66"/>
  <c r="D112" i="68" s="1"/>
  <c r="U149" i="66"/>
  <c r="U202" i="66"/>
  <c r="T202" i="66"/>
  <c r="L65" i="68" s="1"/>
  <c r="U214" i="66"/>
  <c r="T214" i="66"/>
  <c r="T108" i="66"/>
  <c r="D71" i="68" s="1"/>
  <c r="U108" i="66"/>
  <c r="U201" i="66"/>
  <c r="T201" i="66"/>
  <c r="L64" i="68" s="1"/>
  <c r="T70" i="66"/>
  <c r="R14" i="68" s="1"/>
  <c r="U70" i="66"/>
  <c r="U120" i="66"/>
  <c r="T120" i="66"/>
  <c r="D83" i="68" s="1"/>
  <c r="T254" i="66"/>
  <c r="R53" i="68" s="1"/>
  <c r="T40" i="66"/>
  <c r="L6" i="68" s="1"/>
  <c r="U161" i="66"/>
  <c r="T161" i="66"/>
  <c r="D124" i="68" s="1"/>
  <c r="T225" i="66"/>
  <c r="R33" i="68" s="1"/>
  <c r="T253" i="66"/>
  <c r="R52" i="68" s="1"/>
  <c r="U253" i="66"/>
  <c r="T8" i="66"/>
  <c r="D5" i="68" s="1"/>
  <c r="T28" i="66"/>
  <c r="D25" i="68" s="1"/>
  <c r="U28" i="66"/>
  <c r="T48" i="66"/>
  <c r="L13" i="68" s="1"/>
  <c r="U48" i="66"/>
  <c r="T68" i="66"/>
  <c r="R12" i="68" s="1"/>
  <c r="U68" i="66"/>
  <c r="U105" i="66"/>
  <c r="T105" i="66"/>
  <c r="D68" i="68" s="1"/>
  <c r="U135" i="66"/>
  <c r="T135" i="66"/>
  <c r="D98" i="68" s="1"/>
  <c r="U160" i="66"/>
  <c r="T160" i="66"/>
  <c r="D123" i="68" s="1"/>
  <c r="U198" i="66"/>
  <c r="T198" i="66"/>
  <c r="L61" i="68" s="1"/>
  <c r="T231" i="66"/>
  <c r="R39" i="68" s="1"/>
  <c r="T252" i="66"/>
  <c r="R51" i="68" s="1"/>
  <c r="T278" i="66"/>
  <c r="U278" i="66"/>
  <c r="V277" i="66"/>
  <c r="T50" i="66"/>
  <c r="L15" i="68" s="1"/>
  <c r="U114" i="66"/>
  <c r="T114" i="66"/>
  <c r="D77" i="68" s="1"/>
  <c r="T240" i="66"/>
  <c r="R28" i="68" s="1"/>
  <c r="U113" i="66"/>
  <c r="T113" i="66"/>
  <c r="D76" i="68" s="1"/>
  <c r="T10" i="66"/>
  <c r="D7" i="68" s="1"/>
  <c r="T112" i="66"/>
  <c r="D75" i="68" s="1"/>
  <c r="U112" i="66"/>
  <c r="U165" i="66"/>
  <c r="T165" i="66"/>
  <c r="L43" i="68" s="1"/>
  <c r="T238" i="66"/>
  <c r="R26" i="68" s="1"/>
  <c r="U74" i="66"/>
  <c r="T74" i="66"/>
  <c r="R18" i="68" s="1"/>
  <c r="U237" i="66"/>
  <c r="T237" i="66"/>
  <c r="R25" i="68" s="1"/>
  <c r="T44" i="66"/>
  <c r="L10" i="68" s="1"/>
  <c r="U44" i="66"/>
  <c r="U123" i="66"/>
  <c r="T123" i="66"/>
  <c r="D86" i="68" s="1"/>
  <c r="T168" i="66"/>
  <c r="L46" i="68" s="1"/>
  <c r="U168" i="66"/>
  <c r="U236" i="66"/>
  <c r="T236" i="66"/>
  <c r="T23" i="66"/>
  <c r="U23" i="66"/>
  <c r="U122" i="66"/>
  <c r="T122" i="66"/>
  <c r="D85" i="68" s="1"/>
  <c r="T235" i="66"/>
  <c r="R23" i="68" s="1"/>
  <c r="T22" i="66"/>
  <c r="D19" i="68" s="1"/>
  <c r="U121" i="66"/>
  <c r="T121" i="66"/>
  <c r="D84" i="68" s="1"/>
  <c r="T41" i="66"/>
  <c r="L7" i="68" s="1"/>
  <c r="T279" i="66"/>
  <c r="U279" i="66"/>
  <c r="T25" i="66"/>
  <c r="D22" i="68" s="1"/>
  <c r="T69" i="66"/>
  <c r="R13" i="68" s="1"/>
  <c r="U69" i="66"/>
  <c r="U199" i="66"/>
  <c r="T199" i="66"/>
  <c r="T27" i="66"/>
  <c r="D24" i="68" s="1"/>
  <c r="U27" i="66"/>
  <c r="T251" i="66"/>
  <c r="R50" i="68" s="1"/>
  <c r="U17" i="66"/>
  <c r="T17" i="66"/>
  <c r="D14" i="68" s="1"/>
  <c r="T26" i="66"/>
  <c r="D23" i="68" s="1"/>
  <c r="T54" i="66"/>
  <c r="L19" i="68" s="1"/>
  <c r="T65" i="66"/>
  <c r="R9" i="68" s="1"/>
  <c r="U117" i="66"/>
  <c r="T117" i="66"/>
  <c r="D80" i="68" s="1"/>
  <c r="U145" i="66"/>
  <c r="T145" i="66"/>
  <c r="D108" i="68" s="1"/>
  <c r="U158" i="66"/>
  <c r="T158" i="66"/>
  <c r="D121" i="68" s="1"/>
  <c r="T209" i="66"/>
  <c r="L72" i="68" s="1"/>
  <c r="U209" i="66"/>
  <c r="T229" i="66"/>
  <c r="R37" i="68" s="1"/>
  <c r="T249" i="66"/>
  <c r="R48" i="68" s="1"/>
  <c r="U277" i="66"/>
  <c r="T277" i="66"/>
  <c r="V278" i="66"/>
  <c r="T128" i="66"/>
  <c r="D91" i="68" s="1"/>
  <c r="U128" i="66"/>
  <c r="U196" i="66"/>
  <c r="T196" i="66"/>
  <c r="L59" i="68" s="1"/>
  <c r="U35" i="66"/>
  <c r="T35" i="66"/>
  <c r="D32" i="68" s="1"/>
  <c r="U140" i="66"/>
  <c r="T140" i="66"/>
  <c r="T207" i="66"/>
  <c r="L70" i="68" s="1"/>
  <c r="U207" i="66"/>
  <c r="U34" i="66"/>
  <c r="T34" i="66"/>
  <c r="D31" i="68" s="1"/>
  <c r="T206" i="66"/>
  <c r="L69" i="68" s="1"/>
  <c r="U206" i="66"/>
  <c r="U217" i="66"/>
  <c r="T217" i="66"/>
  <c r="L80" i="68" s="1"/>
  <c r="T170" i="66"/>
  <c r="L48" i="68" s="1"/>
  <c r="U273" i="66"/>
  <c r="T273" i="66"/>
  <c r="T110" i="66"/>
  <c r="U110" i="66"/>
  <c r="U215" i="66"/>
  <c r="T215" i="66"/>
  <c r="L78" i="68" s="1"/>
  <c r="U72" i="66"/>
  <c r="T72" i="66"/>
  <c r="R16" i="68" s="1"/>
  <c r="V274" i="66"/>
  <c r="T42" i="66"/>
  <c r="L8" i="68" s="1"/>
  <c r="T151" i="66"/>
  <c r="D114" i="68" s="1"/>
  <c r="U151" i="66"/>
  <c r="T244" i="66"/>
  <c r="R43" i="68" s="1"/>
  <c r="T21" i="66"/>
  <c r="D18" i="68" s="1"/>
  <c r="U200" i="66"/>
  <c r="T200" i="66"/>
  <c r="L63" i="68" s="1"/>
  <c r="U106" i="66"/>
  <c r="T106" i="66"/>
  <c r="D69" i="68" s="1"/>
  <c r="T55" i="66"/>
  <c r="L20" i="68" s="1"/>
  <c r="U159" i="66"/>
  <c r="T159" i="66"/>
  <c r="T30" i="66"/>
  <c r="D27" i="68" s="1"/>
  <c r="U119" i="66"/>
  <c r="T119" i="66"/>
  <c r="D82" i="68" s="1"/>
  <c r="U144" i="66"/>
  <c r="T144" i="66"/>
  <c r="D107" i="68" s="1"/>
  <c r="U157" i="66"/>
  <c r="T157" i="66"/>
  <c r="D120" i="68" s="1"/>
  <c r="U211" i="66"/>
  <c r="T211" i="66"/>
  <c r="L74" i="68" s="1"/>
  <c r="T228" i="66"/>
  <c r="R36" i="68" s="1"/>
  <c r="T248" i="66"/>
  <c r="R47" i="68" s="1"/>
  <c r="U220" i="66"/>
  <c r="T220" i="66"/>
  <c r="U275" i="66"/>
  <c r="T275" i="66"/>
  <c r="U12" i="66"/>
  <c r="T12" i="66"/>
  <c r="D9" i="68" s="1"/>
  <c r="T153" i="66"/>
  <c r="D116" i="68" s="1"/>
  <c r="U153" i="66"/>
  <c r="U274" i="66"/>
  <c r="T274" i="66"/>
  <c r="U33" i="66"/>
  <c r="T33" i="66"/>
  <c r="D30" i="68" s="1"/>
  <c r="U136" i="66"/>
  <c r="T136" i="66"/>
  <c r="D99" i="68" s="1"/>
  <c r="T109" i="66"/>
  <c r="D72" i="68" s="1"/>
  <c r="U109" i="66"/>
  <c r="T271" i="66"/>
  <c r="U271" i="66"/>
  <c r="U18" i="66"/>
  <c r="T18" i="66"/>
  <c r="U104" i="66"/>
  <c r="T104" i="66"/>
  <c r="D67" i="68" s="1"/>
  <c r="U197" i="66"/>
  <c r="T197" i="66"/>
  <c r="L60" i="68" s="1"/>
  <c r="U143" i="66"/>
  <c r="T143" i="66"/>
  <c r="D106" i="68" s="1"/>
  <c r="U276" i="66"/>
  <c r="T280" i="66"/>
  <c r="U280" i="66"/>
  <c r="V279" i="66"/>
  <c r="U13" i="66"/>
  <c r="T13" i="66"/>
  <c r="D10" i="68" s="1"/>
  <c r="U141" i="66"/>
  <c r="T141" i="66"/>
  <c r="D104" i="68" s="1"/>
  <c r="T245" i="66"/>
  <c r="R44" i="68" s="1"/>
  <c r="T127" i="66"/>
  <c r="D90" i="68" s="1"/>
  <c r="U127" i="66"/>
  <c r="U219" i="66"/>
  <c r="T219" i="66"/>
  <c r="L82" i="68" s="1"/>
  <c r="U139" i="66"/>
  <c r="T139" i="66"/>
  <c r="D102" i="68" s="1"/>
  <c r="U138" i="66"/>
  <c r="T138" i="66"/>
  <c r="D101" i="68" s="1"/>
  <c r="T9" i="66"/>
  <c r="D6" i="68" s="1"/>
  <c r="U124" i="66"/>
  <c r="T124" i="66"/>
  <c r="D87" i="68" s="1"/>
  <c r="U216" i="66"/>
  <c r="T216" i="66"/>
  <c r="L79" i="68" s="1"/>
  <c r="V273" i="66"/>
  <c r="T20" i="66"/>
  <c r="D17" i="68" s="1"/>
  <c r="T167" i="66"/>
  <c r="L45" i="68" s="1"/>
  <c r="U167" i="66"/>
  <c r="U272" i="66"/>
  <c r="T272" i="66"/>
  <c r="U71" i="66"/>
  <c r="T71" i="66"/>
  <c r="R15" i="68" s="1"/>
  <c r="U213" i="66"/>
  <c r="T213" i="66"/>
  <c r="L76" i="68" s="1"/>
  <c r="U107" i="66"/>
  <c r="T107" i="66"/>
  <c r="D70" i="68" s="1"/>
  <c r="U162" i="66"/>
  <c r="T162" i="66"/>
  <c r="D125" i="68" s="1"/>
  <c r="U212" i="66"/>
  <c r="T212" i="66"/>
  <c r="L75" i="68" s="1"/>
  <c r="T133" i="66"/>
  <c r="D96" i="68" s="1"/>
  <c r="U133" i="66"/>
  <c r="T67" i="66"/>
  <c r="R11" i="68" s="1"/>
  <c r="U67" i="66"/>
  <c r="T146" i="66"/>
  <c r="D109" i="68" s="1"/>
  <c r="U146" i="66"/>
  <c r="T230" i="66"/>
  <c r="R38" i="68" s="1"/>
  <c r="U230" i="66"/>
  <c r="U16" i="66"/>
  <c r="T16" i="66"/>
  <c r="D13" i="68" s="1"/>
  <c r="T53" i="66"/>
  <c r="L18" i="68" s="1"/>
  <c r="T64" i="66"/>
  <c r="R8" i="68" s="1"/>
  <c r="U64" i="66"/>
  <c r="U15" i="66"/>
  <c r="T15" i="66"/>
  <c r="D12" i="68" s="1"/>
  <c r="U32" i="66"/>
  <c r="T32" i="66"/>
  <c r="U52" i="66"/>
  <c r="T52" i="66"/>
  <c r="L17" i="68" s="1"/>
  <c r="T63" i="66"/>
  <c r="R7" i="68" s="1"/>
  <c r="T130" i="66"/>
  <c r="D93" i="68" s="1"/>
  <c r="U130" i="66"/>
  <c r="U156" i="66"/>
  <c r="T156" i="66"/>
  <c r="D119" i="68" s="1"/>
  <c r="T222" i="66"/>
  <c r="L85" i="68" s="1"/>
  <c r="U222" i="66"/>
  <c r="T247" i="66"/>
  <c r="R46" i="68" s="1"/>
  <c r="T14" i="66"/>
  <c r="D11" i="68" s="1"/>
  <c r="T37" i="66"/>
  <c r="D34" i="68" s="1"/>
  <c r="U37" i="66"/>
  <c r="T51" i="66"/>
  <c r="L16" i="68" s="1"/>
  <c r="U101" i="66"/>
  <c r="T101" i="66"/>
  <c r="D64" i="68" s="1"/>
  <c r="T129" i="66"/>
  <c r="D92" i="68" s="1"/>
  <c r="U129" i="66"/>
  <c r="U142" i="66"/>
  <c r="T142" i="66"/>
  <c r="D105" i="68" s="1"/>
  <c r="U155" i="66"/>
  <c r="T155" i="66"/>
  <c r="D118" i="68" s="1"/>
  <c r="U194" i="66"/>
  <c r="T194" i="66"/>
  <c r="L57" i="68" s="1"/>
  <c r="T221" i="66"/>
  <c r="L84" i="68" s="1"/>
  <c r="U221" i="66"/>
  <c r="T226" i="66"/>
  <c r="R34" i="68" s="1"/>
  <c r="T246" i="66"/>
  <c r="R45" i="68" s="1"/>
  <c r="J283" i="66"/>
  <c r="E283" i="67"/>
  <c r="I283" i="66"/>
  <c r="Q173" i="67"/>
  <c r="F283" i="67"/>
  <c r="Q176" i="67"/>
  <c r="N283" i="66"/>
  <c r="R173" i="67"/>
  <c r="R176" i="67"/>
  <c r="D122" i="68"/>
  <c r="J283" i="67"/>
  <c r="O283" i="66"/>
  <c r="M283" i="66"/>
  <c r="K283" i="66"/>
  <c r="L283" i="67"/>
  <c r="E283" i="66"/>
  <c r="S32" i="1" s="1"/>
  <c r="L283" i="66"/>
  <c r="G283" i="67"/>
  <c r="I283" i="67"/>
  <c r="K283" i="67"/>
  <c r="M283" i="67"/>
  <c r="G283" i="66"/>
  <c r="F283" i="66"/>
  <c r="N283" i="67"/>
  <c r="O283" i="67"/>
  <c r="P283" i="67"/>
  <c r="H283" i="66"/>
  <c r="H283" i="67"/>
  <c r="P283" i="66"/>
  <c r="R35" i="68"/>
  <c r="D73" i="68"/>
  <c r="R27" i="68"/>
  <c r="D100" i="68"/>
  <c r="L83" i="68"/>
  <c r="L77" i="68"/>
  <c r="D115" i="68"/>
  <c r="Q276" i="67"/>
  <c r="T276" i="66" s="1"/>
  <c r="R276" i="67"/>
  <c r="V276" i="66" s="1"/>
  <c r="D103" i="68"/>
  <c r="L62" i="68"/>
  <c r="R24" i="68"/>
  <c r="R66" i="67"/>
  <c r="Q81" i="67"/>
  <c r="Q82" i="67"/>
  <c r="Q83" i="67"/>
  <c r="Q84" i="67"/>
  <c r="R88" i="67"/>
  <c r="V88" i="66" s="1"/>
  <c r="Q91" i="67"/>
  <c r="R94" i="67"/>
  <c r="V94" i="66" s="1"/>
  <c r="R169" i="67"/>
  <c r="Q89" i="67"/>
  <c r="R92" i="67"/>
  <c r="V92" i="66" s="1"/>
  <c r="R87" i="67"/>
  <c r="V87" i="66" s="1"/>
  <c r="Q90" i="67"/>
  <c r="R91" i="67"/>
  <c r="V91" i="66" s="1"/>
  <c r="Q96" i="67"/>
  <c r="Q97" i="67"/>
  <c r="Q86" i="67"/>
  <c r="R89" i="67"/>
  <c r="V89" i="66" s="1"/>
  <c r="Q92" i="67"/>
  <c r="R93" i="67"/>
  <c r="V93" i="66" s="1"/>
  <c r="Q87" i="67"/>
  <c r="R90" i="67"/>
  <c r="V90" i="66" s="1"/>
  <c r="Q93" i="67"/>
  <c r="R96" i="67"/>
  <c r="V96" i="66" s="1"/>
  <c r="R97" i="67"/>
  <c r="V97" i="66" s="1"/>
  <c r="R166" i="67"/>
  <c r="R81" i="67"/>
  <c r="V81" i="66" s="1"/>
  <c r="R82" i="67"/>
  <c r="V82" i="66" s="1"/>
  <c r="R84" i="67"/>
  <c r="V84" i="66" s="1"/>
  <c r="Q88" i="67"/>
  <c r="Q94" i="67"/>
  <c r="R95" i="67"/>
  <c r="V95" i="66" s="1"/>
  <c r="R83" i="67"/>
  <c r="V83" i="66" s="1"/>
  <c r="R86" i="67"/>
  <c r="V86" i="66" s="1"/>
  <c r="Q95" i="67"/>
  <c r="Q268" i="67"/>
  <c r="R268" i="67"/>
  <c r="Q262" i="67"/>
  <c r="R262" i="67"/>
  <c r="Q169" i="67"/>
  <c r="Q166" i="67"/>
  <c r="R75" i="67"/>
  <c r="Q75" i="67"/>
  <c r="Q66" i="67"/>
  <c r="Q169" i="66"/>
  <c r="Q166" i="66"/>
  <c r="C2" i="66"/>
  <c r="Q258" i="66"/>
  <c r="P72" i="72" s="1"/>
  <c r="Q259" i="66"/>
  <c r="P74" i="72" s="1"/>
  <c r="Q260" i="66"/>
  <c r="P76" i="72" s="1"/>
  <c r="Q261" i="66"/>
  <c r="Q262" i="66"/>
  <c r="Q263" i="66"/>
  <c r="Q264" i="66"/>
  <c r="Q265" i="66"/>
  <c r="Q266" i="66"/>
  <c r="T266" i="66" s="1"/>
  <c r="Q267" i="66"/>
  <c r="Q268" i="66"/>
  <c r="Q269" i="66"/>
  <c r="Q257" i="66"/>
  <c r="P70" i="72" s="1"/>
  <c r="Q173" i="66"/>
  <c r="Q174" i="66"/>
  <c r="Q175" i="66"/>
  <c r="Q176" i="66"/>
  <c r="Q177" i="66"/>
  <c r="Q172" i="66"/>
  <c r="R173" i="66"/>
  <c r="R174" i="66"/>
  <c r="R175" i="66"/>
  <c r="R176" i="66"/>
  <c r="R177" i="66"/>
  <c r="V177" i="66" s="1"/>
  <c r="R172" i="66"/>
  <c r="F81" i="66"/>
  <c r="G81" i="66"/>
  <c r="H81" i="66"/>
  <c r="I81" i="66"/>
  <c r="J81" i="66"/>
  <c r="K81" i="66"/>
  <c r="L81" i="66"/>
  <c r="M81" i="66"/>
  <c r="N81" i="66"/>
  <c r="O81" i="66"/>
  <c r="P81" i="66"/>
  <c r="F82" i="66"/>
  <c r="G82" i="66"/>
  <c r="H82" i="66"/>
  <c r="I82" i="66"/>
  <c r="J82" i="66"/>
  <c r="K82" i="66"/>
  <c r="L82" i="66"/>
  <c r="M82" i="66"/>
  <c r="N82" i="66"/>
  <c r="O82" i="66"/>
  <c r="P82" i="66"/>
  <c r="F83" i="66"/>
  <c r="G83" i="66"/>
  <c r="H83" i="66"/>
  <c r="I83" i="66"/>
  <c r="J83" i="66"/>
  <c r="K83" i="66"/>
  <c r="L83" i="66"/>
  <c r="M83" i="66"/>
  <c r="N83" i="66"/>
  <c r="O83" i="66"/>
  <c r="P83" i="66"/>
  <c r="F84" i="66"/>
  <c r="G84" i="66"/>
  <c r="H84" i="66"/>
  <c r="I84" i="66"/>
  <c r="J84" i="66"/>
  <c r="K84" i="66"/>
  <c r="L84" i="66"/>
  <c r="M84" i="66"/>
  <c r="N84" i="66"/>
  <c r="O84" i="66"/>
  <c r="P84" i="66"/>
  <c r="E84" i="66"/>
  <c r="E83" i="66"/>
  <c r="E82" i="66"/>
  <c r="E81" i="66"/>
  <c r="F75" i="66"/>
  <c r="G75" i="66"/>
  <c r="H75" i="66"/>
  <c r="I75" i="66"/>
  <c r="J75" i="66"/>
  <c r="K75" i="66"/>
  <c r="L75" i="66"/>
  <c r="M75" i="66"/>
  <c r="N75" i="66"/>
  <c r="O75" i="66"/>
  <c r="P75" i="66"/>
  <c r="F66" i="66"/>
  <c r="G66" i="66"/>
  <c r="H66" i="66"/>
  <c r="I66" i="66"/>
  <c r="J66" i="66"/>
  <c r="K66" i="66"/>
  <c r="L66" i="66"/>
  <c r="M66" i="66"/>
  <c r="N66" i="66"/>
  <c r="O66" i="66"/>
  <c r="P66" i="66"/>
  <c r="E75" i="66"/>
  <c r="E66" i="66"/>
  <c r="R104" i="66"/>
  <c r="R105" i="66"/>
  <c r="R106" i="66"/>
  <c r="R107" i="66"/>
  <c r="R108" i="66"/>
  <c r="R109" i="66"/>
  <c r="R110" i="66"/>
  <c r="R111" i="66"/>
  <c r="R112" i="66"/>
  <c r="R113" i="66"/>
  <c r="R114" i="66"/>
  <c r="E77" i="68" s="1"/>
  <c r="R120" i="66"/>
  <c r="E83" i="68" s="1"/>
  <c r="R121" i="66"/>
  <c r="R122" i="66"/>
  <c r="R123" i="66"/>
  <c r="R124" i="66"/>
  <c r="R125" i="66"/>
  <c r="R126" i="66"/>
  <c r="R127" i="66"/>
  <c r="E90" i="68" s="1"/>
  <c r="R128" i="66"/>
  <c r="R129" i="66"/>
  <c r="R130" i="66"/>
  <c r="R136" i="66"/>
  <c r="R137" i="66"/>
  <c r="E100" i="68" s="1"/>
  <c r="R138" i="66"/>
  <c r="R139" i="66"/>
  <c r="R140" i="66"/>
  <c r="E103" i="68" s="1"/>
  <c r="R141" i="66"/>
  <c r="R142" i="66"/>
  <c r="R143" i="66"/>
  <c r="R144" i="66"/>
  <c r="E107" i="68" s="1"/>
  <c r="R145" i="66"/>
  <c r="E108" i="68" s="1"/>
  <c r="R146" i="66"/>
  <c r="R152" i="66"/>
  <c r="R153" i="66"/>
  <c r="R154" i="66"/>
  <c r="R155" i="66"/>
  <c r="R156" i="66"/>
  <c r="R157" i="66"/>
  <c r="R158" i="66"/>
  <c r="R159" i="66"/>
  <c r="R160" i="66"/>
  <c r="R161" i="66"/>
  <c r="R162" i="66"/>
  <c r="R166" i="66"/>
  <c r="R167" i="66"/>
  <c r="M45" i="68" s="1"/>
  <c r="R168" i="66"/>
  <c r="M46" i="68" s="1"/>
  <c r="R169" i="66"/>
  <c r="R170" i="66"/>
  <c r="R197" i="66"/>
  <c r="R198" i="66"/>
  <c r="M61" i="68" s="1"/>
  <c r="R199" i="66"/>
  <c r="R200" i="66"/>
  <c r="R201" i="66"/>
  <c r="R202" i="66"/>
  <c r="R203" i="66"/>
  <c r="R204" i="66"/>
  <c r="R205" i="66"/>
  <c r="R206" i="66"/>
  <c r="R207" i="66"/>
  <c r="R212" i="66"/>
  <c r="M75" i="68" s="1"/>
  <c r="R213" i="66"/>
  <c r="R214" i="66"/>
  <c r="R215" i="66"/>
  <c r="R216" i="66"/>
  <c r="M79" i="68" s="1"/>
  <c r="R217" i="66"/>
  <c r="R218" i="66"/>
  <c r="R219" i="66"/>
  <c r="R220" i="66"/>
  <c r="R221" i="66"/>
  <c r="R222" i="66"/>
  <c r="R211" i="66"/>
  <c r="R209" i="66"/>
  <c r="R196" i="66"/>
  <c r="M59" i="68" s="1"/>
  <c r="R194" i="66"/>
  <c r="R165" i="66"/>
  <c r="R151" i="66"/>
  <c r="R149" i="66"/>
  <c r="R135" i="66"/>
  <c r="E98" i="68" s="1"/>
  <c r="R133" i="66"/>
  <c r="R119" i="66"/>
  <c r="E82" i="68" s="1"/>
  <c r="R117" i="66"/>
  <c r="R103" i="66"/>
  <c r="R101" i="66"/>
  <c r="R244" i="66"/>
  <c r="V244" i="66" s="1"/>
  <c r="R245" i="66"/>
  <c r="U245" i="66" s="1"/>
  <c r="R246" i="66"/>
  <c r="V246" i="66" s="1"/>
  <c r="R247" i="66"/>
  <c r="U247" i="66" s="1"/>
  <c r="R248" i="66"/>
  <c r="U248" i="66" s="1"/>
  <c r="R249" i="66"/>
  <c r="U249" i="66" s="1"/>
  <c r="R251" i="66"/>
  <c r="V251" i="66" s="1"/>
  <c r="R252" i="66"/>
  <c r="U252" i="66" s="1"/>
  <c r="R253" i="66"/>
  <c r="V253" i="66" s="1"/>
  <c r="R254" i="66"/>
  <c r="U254" i="66" s="1"/>
  <c r="R235" i="66"/>
  <c r="U235" i="66" s="1"/>
  <c r="R236" i="66"/>
  <c r="R237" i="66"/>
  <c r="V237" i="66" s="1"/>
  <c r="R238" i="66"/>
  <c r="V238" i="66" s="1"/>
  <c r="R239" i="66"/>
  <c r="S27" i="68" s="1"/>
  <c r="R240" i="66"/>
  <c r="U240" i="66" s="1"/>
  <c r="R225" i="66"/>
  <c r="U225" i="66" s="1"/>
  <c r="R226" i="66"/>
  <c r="U226" i="66" s="1"/>
  <c r="R227" i="66"/>
  <c r="S35" i="68" s="1"/>
  <c r="R228" i="66"/>
  <c r="S36" i="68" s="1"/>
  <c r="R229" i="66"/>
  <c r="V229" i="66" s="1"/>
  <c r="R230" i="66"/>
  <c r="V230" i="66" s="1"/>
  <c r="R231" i="66"/>
  <c r="R234" i="66"/>
  <c r="R258" i="66"/>
  <c r="V258" i="66" s="1"/>
  <c r="R259" i="66"/>
  <c r="R260" i="66"/>
  <c r="V260" i="66" s="1"/>
  <c r="R261" i="66"/>
  <c r="R262" i="66"/>
  <c r="R263" i="66"/>
  <c r="V263" i="66" s="1"/>
  <c r="R264" i="66"/>
  <c r="V264" i="66" s="1"/>
  <c r="R265" i="66"/>
  <c r="V265" i="66" s="1"/>
  <c r="R266" i="66"/>
  <c r="T66" i="68" s="1"/>
  <c r="R267" i="66"/>
  <c r="R268" i="66"/>
  <c r="R269" i="66"/>
  <c r="V269" i="66" s="1"/>
  <c r="R257" i="66"/>
  <c r="V257" i="66" s="1"/>
  <c r="R63" i="66"/>
  <c r="U63" i="66" s="1"/>
  <c r="R64" i="66"/>
  <c r="R65" i="66"/>
  <c r="R67" i="66"/>
  <c r="S11" i="68" s="1"/>
  <c r="R68" i="66"/>
  <c r="R69" i="66"/>
  <c r="S13" i="68" s="1"/>
  <c r="R70" i="66"/>
  <c r="R71" i="66"/>
  <c r="V71" i="66" s="1"/>
  <c r="R72" i="66"/>
  <c r="V72" i="66" s="1"/>
  <c r="R73" i="66"/>
  <c r="R74" i="66"/>
  <c r="R62" i="66"/>
  <c r="V62" i="66" s="1"/>
  <c r="R58" i="66"/>
  <c r="V58" i="66" s="1"/>
  <c r="R57" i="66"/>
  <c r="V57" i="66" s="1"/>
  <c r="R49" i="66"/>
  <c r="R50" i="66"/>
  <c r="V50" i="66" s="1"/>
  <c r="R51" i="66"/>
  <c r="U51" i="66" s="1"/>
  <c r="R52" i="66"/>
  <c r="R53" i="66"/>
  <c r="U53" i="66" s="1"/>
  <c r="R54" i="66"/>
  <c r="U54" i="66" s="1"/>
  <c r="R55" i="66"/>
  <c r="U55" i="66" s="1"/>
  <c r="R48" i="66"/>
  <c r="M13" i="68" s="1"/>
  <c r="R40" i="66"/>
  <c r="U40" i="66" s="1"/>
  <c r="R41" i="66"/>
  <c r="U41" i="66" s="1"/>
  <c r="R42" i="66"/>
  <c r="U42" i="66" s="1"/>
  <c r="R43" i="66"/>
  <c r="R44" i="66"/>
  <c r="V44" i="66" s="1"/>
  <c r="R39" i="66"/>
  <c r="U39" i="66" s="1"/>
  <c r="R33" i="66"/>
  <c r="R34" i="66"/>
  <c r="V34" i="66" s="1"/>
  <c r="R35" i="66"/>
  <c r="R36" i="66"/>
  <c r="R37" i="66"/>
  <c r="R32" i="66"/>
  <c r="V32" i="66" s="1"/>
  <c r="R30" i="66"/>
  <c r="E114" i="68" l="1"/>
  <c r="E102" i="68"/>
  <c r="E76" i="68"/>
  <c r="E33" i="68"/>
  <c r="M72" i="68"/>
  <c r="E125" i="68"/>
  <c r="E124" i="68"/>
  <c r="E87" i="68"/>
  <c r="M70" i="68"/>
  <c r="M57" i="68"/>
  <c r="E118" i="68"/>
  <c r="E70" i="68"/>
  <c r="E106" i="68"/>
  <c r="U251" i="66"/>
  <c r="S50" i="68" s="1"/>
  <c r="M85" i="68"/>
  <c r="U246" i="66"/>
  <c r="S45" i="68" s="1"/>
  <c r="U244" i="66"/>
  <c r="S43" i="68" s="1"/>
  <c r="V54" i="66"/>
  <c r="N19" i="68" s="1"/>
  <c r="M77" i="68"/>
  <c r="U229" i="66"/>
  <c r="S37" i="68" s="1"/>
  <c r="S44" i="68"/>
  <c r="S53" i="68"/>
  <c r="S46" i="68"/>
  <c r="D108" i="49"/>
  <c r="E112" i="68"/>
  <c r="U58" i="66"/>
  <c r="V194" i="66"/>
  <c r="N57" i="68" s="1"/>
  <c r="U234" i="66"/>
  <c r="S22" i="68" s="1"/>
  <c r="V247" i="66"/>
  <c r="T46" i="68" s="1"/>
  <c r="U238" i="66"/>
  <c r="S26" i="68" s="1"/>
  <c r="S23" i="68"/>
  <c r="U50" i="66"/>
  <c r="M15" i="68" s="1"/>
  <c r="U231" i="66"/>
  <c r="S39" i="68" s="1"/>
  <c r="U57" i="66"/>
  <c r="S8" i="68"/>
  <c r="E86" i="68"/>
  <c r="M19" i="68"/>
  <c r="M8" i="68"/>
  <c r="S51" i="68"/>
  <c r="M60" i="68"/>
  <c r="E74" i="68"/>
  <c r="U30" i="66"/>
  <c r="E27" i="68" s="1"/>
  <c r="U170" i="66"/>
  <c r="M48" i="68" s="1"/>
  <c r="U65" i="66"/>
  <c r="S9" i="68" s="1"/>
  <c r="S28" i="68"/>
  <c r="E85" i="68"/>
  <c r="E66" i="68"/>
  <c r="E84" i="68"/>
  <c r="E91" i="68"/>
  <c r="E89" i="68"/>
  <c r="S12" i="68"/>
  <c r="M22" i="68"/>
  <c r="M18" i="68"/>
  <c r="E32" i="68"/>
  <c r="V35" i="66"/>
  <c r="E30" i="68"/>
  <c r="M65" i="68"/>
  <c r="E99" i="68"/>
  <c r="V170" i="66"/>
  <c r="N48" i="68" s="1"/>
  <c r="S48" i="68"/>
  <c r="M68" i="68"/>
  <c r="M83" i="68"/>
  <c r="E92" i="68"/>
  <c r="V167" i="66"/>
  <c r="N45" i="68" s="1"/>
  <c r="E119" i="68"/>
  <c r="V209" i="66"/>
  <c r="N72" i="68" s="1"/>
  <c r="M5" i="68"/>
  <c r="M9" i="68"/>
  <c r="M7" i="68"/>
  <c r="E105" i="68"/>
  <c r="E93" i="68"/>
  <c r="M6" i="68"/>
  <c r="S14" i="68"/>
  <c r="S24" i="68"/>
  <c r="E96" i="68"/>
  <c r="M78" i="68"/>
  <c r="U258" i="66"/>
  <c r="S58" i="68" s="1"/>
  <c r="T258" i="66"/>
  <c r="R58" i="68" s="1"/>
  <c r="U175" i="66"/>
  <c r="M53" i="68" s="1"/>
  <c r="T175" i="66"/>
  <c r="L53" i="68" s="1"/>
  <c r="M43" i="68"/>
  <c r="T169" i="66"/>
  <c r="L47" i="68" s="1"/>
  <c r="U169" i="66"/>
  <c r="M47" i="68" s="1"/>
  <c r="M17" i="68"/>
  <c r="M69" i="68"/>
  <c r="U257" i="66"/>
  <c r="S57" i="68" s="1"/>
  <c r="T257" i="66"/>
  <c r="R57" i="68" s="1"/>
  <c r="E75" i="68"/>
  <c r="E31" i="68"/>
  <c r="M74" i="68"/>
  <c r="T267" i="66"/>
  <c r="R67" i="68" s="1"/>
  <c r="U267" i="66"/>
  <c r="S67" i="68" s="1"/>
  <c r="V254" i="66"/>
  <c r="T53" i="68" s="1"/>
  <c r="M23" i="68"/>
  <c r="S34" i="68"/>
  <c r="M84" i="68"/>
  <c r="M64" i="68"/>
  <c r="E72" i="68"/>
  <c r="T265" i="66"/>
  <c r="R65" i="68" s="1"/>
  <c r="U265" i="66"/>
  <c r="S65" i="68" s="1"/>
  <c r="V262" i="66"/>
  <c r="T62" i="68" s="1"/>
  <c r="V53" i="66"/>
  <c r="N18" i="68" s="1"/>
  <c r="V41" i="66"/>
  <c r="N7" i="68" s="1"/>
  <c r="U176" i="66"/>
  <c r="M54" i="68" s="1"/>
  <c r="T176" i="66"/>
  <c r="L54" i="68" s="1"/>
  <c r="M20" i="68"/>
  <c r="U173" i="66"/>
  <c r="M51" i="68" s="1"/>
  <c r="T173" i="66"/>
  <c r="L51" i="68" s="1"/>
  <c r="S7" i="68"/>
  <c r="E122" i="68"/>
  <c r="V169" i="66"/>
  <c r="N47" i="68" s="1"/>
  <c r="E120" i="68"/>
  <c r="V48" i="66"/>
  <c r="N13" i="68" s="1"/>
  <c r="S6" i="68"/>
  <c r="S33" i="68"/>
  <c r="M63" i="68"/>
  <c r="E71" i="68"/>
  <c r="V176" i="66"/>
  <c r="N54" i="68" s="1"/>
  <c r="V267" i="66"/>
  <c r="T67" i="68" s="1"/>
  <c r="M10" i="68"/>
  <c r="S18" i="68"/>
  <c r="T65" i="68"/>
  <c r="E64" i="68"/>
  <c r="M82" i="68"/>
  <c r="M62" i="68"/>
  <c r="E117" i="68"/>
  <c r="T263" i="66"/>
  <c r="R63" i="68" s="1"/>
  <c r="U263" i="66"/>
  <c r="S63" i="68" s="1"/>
  <c r="V268" i="66"/>
  <c r="T68" i="68" s="1"/>
  <c r="V173" i="66"/>
  <c r="N51" i="68" s="1"/>
  <c r="V252" i="66"/>
  <c r="T51" i="68" s="1"/>
  <c r="V249" i="66"/>
  <c r="T48" i="68" s="1"/>
  <c r="V245" i="66"/>
  <c r="T44" i="68" s="1"/>
  <c r="U259" i="66"/>
  <c r="S59" i="68" s="1"/>
  <c r="T259" i="66"/>
  <c r="R59" i="68" s="1"/>
  <c r="T60" i="68"/>
  <c r="U174" i="66"/>
  <c r="M52" i="68" s="1"/>
  <c r="T174" i="66"/>
  <c r="L52" i="68" s="1"/>
  <c r="E104" i="68"/>
  <c r="E34" i="68"/>
  <c r="M16" i="68"/>
  <c r="S38" i="68"/>
  <c r="T269" i="66"/>
  <c r="R69" i="68" s="1"/>
  <c r="U269" i="66"/>
  <c r="S69" i="68" s="1"/>
  <c r="V64" i="66"/>
  <c r="T8" i="68" s="1"/>
  <c r="V67" i="66"/>
  <c r="S47" i="68"/>
  <c r="E101" i="68"/>
  <c r="V166" i="66"/>
  <c r="N44" i="68" s="1"/>
  <c r="V63" i="66"/>
  <c r="M14" i="68"/>
  <c r="E121" i="68"/>
  <c r="V259" i="66"/>
  <c r="T59" i="68" s="1"/>
  <c r="V49" i="66"/>
  <c r="N14" i="68" s="1"/>
  <c r="E73" i="68"/>
  <c r="V248" i="66"/>
  <c r="T47" i="68" s="1"/>
  <c r="T264" i="66"/>
  <c r="R64" i="68" s="1"/>
  <c r="U264" i="66"/>
  <c r="S64" i="68" s="1"/>
  <c r="S17" i="68"/>
  <c r="T64" i="68"/>
  <c r="M81" i="68"/>
  <c r="E116" i="68"/>
  <c r="E69" i="68"/>
  <c r="T262" i="66"/>
  <c r="R62" i="68" s="1"/>
  <c r="U262" i="66"/>
  <c r="S62" i="68" s="1"/>
  <c r="V40" i="66"/>
  <c r="N6" i="68" s="1"/>
  <c r="V33" i="66"/>
  <c r="F30" i="68" s="1"/>
  <c r="V236" i="66"/>
  <c r="T24" i="68" s="1"/>
  <c r="V65" i="66"/>
  <c r="T9" i="68" s="1"/>
  <c r="V235" i="66"/>
  <c r="T23" i="68" s="1"/>
  <c r="V55" i="66"/>
  <c r="N20" i="68" s="1"/>
  <c r="V42" i="66"/>
  <c r="N8" i="68" s="1"/>
  <c r="M76" i="68"/>
  <c r="T58" i="68"/>
  <c r="T57" i="68"/>
  <c r="T69" i="68"/>
  <c r="M66" i="68"/>
  <c r="T63" i="68"/>
  <c r="E80" i="68"/>
  <c r="M80" i="68"/>
  <c r="E115" i="68"/>
  <c r="E68" i="68"/>
  <c r="T261" i="66"/>
  <c r="R61" i="68" s="1"/>
  <c r="U261" i="66"/>
  <c r="S61" i="68" s="1"/>
  <c r="V30" i="66"/>
  <c r="F27" i="68" s="1"/>
  <c r="V174" i="66"/>
  <c r="N52" i="68" s="1"/>
  <c r="V231" i="66"/>
  <c r="T39" i="68" s="1"/>
  <c r="V226" i="66"/>
  <c r="T34" i="68" s="1"/>
  <c r="V225" i="66"/>
  <c r="T33" i="68" s="1"/>
  <c r="V43" i="66"/>
  <c r="N9" i="68" s="1"/>
  <c r="V234" i="66"/>
  <c r="T22" i="68" s="1"/>
  <c r="U177" i="66"/>
  <c r="M55" i="68" s="1"/>
  <c r="T177" i="66"/>
  <c r="L55" i="68" s="1"/>
  <c r="S52" i="68"/>
  <c r="U166" i="66"/>
  <c r="T166" i="66"/>
  <c r="L44" i="68" s="1"/>
  <c r="V261" i="66"/>
  <c r="T61" i="68" s="1"/>
  <c r="E123" i="68"/>
  <c r="M67" i="68"/>
  <c r="T268" i="66"/>
  <c r="R68" i="68" s="1"/>
  <c r="U268" i="66"/>
  <c r="S68" i="68" s="1"/>
  <c r="S16" i="68"/>
  <c r="S15" i="68"/>
  <c r="S25" i="68"/>
  <c r="E109" i="68"/>
  <c r="E88" i="68"/>
  <c r="E67" i="68"/>
  <c r="T172" i="66"/>
  <c r="L50" i="68" s="1"/>
  <c r="U172" i="66"/>
  <c r="M50" i="68" s="1"/>
  <c r="U260" i="66"/>
  <c r="S60" i="68" s="1"/>
  <c r="T260" i="66"/>
  <c r="R60" i="68" s="1"/>
  <c r="V39" i="66"/>
  <c r="N5" i="68" s="1"/>
  <c r="V51" i="66"/>
  <c r="N16" i="68" s="1"/>
  <c r="V240" i="66"/>
  <c r="T28" i="68" s="1"/>
  <c r="N78" i="68"/>
  <c r="N43" i="68"/>
  <c r="R283" i="67"/>
  <c r="F70" i="68"/>
  <c r="F89" i="68"/>
  <c r="Q283" i="67"/>
  <c r="F83" i="68"/>
  <c r="F88" i="68"/>
  <c r="T16" i="68"/>
  <c r="R283" i="66"/>
  <c r="F85" i="68"/>
  <c r="N74" i="68"/>
  <c r="T6" i="68"/>
  <c r="T26" i="68"/>
  <c r="F116" i="68"/>
  <c r="T36" i="68"/>
  <c r="F107" i="68"/>
  <c r="T15" i="68"/>
  <c r="N10" i="68"/>
  <c r="Q89" i="66"/>
  <c r="F32" i="68"/>
  <c r="I34" i="1"/>
  <c r="F96" i="68"/>
  <c r="F71" i="68"/>
  <c r="T52" i="68"/>
  <c r="T14" i="68"/>
  <c r="T45" i="68"/>
  <c r="F68" i="68"/>
  <c r="N22" i="68"/>
  <c r="F69" i="68"/>
  <c r="T38" i="68"/>
  <c r="F90" i="68"/>
  <c r="F74" i="68"/>
  <c r="T11" i="68"/>
  <c r="T27" i="68"/>
  <c r="N82" i="68"/>
  <c r="N46" i="68"/>
  <c r="T12" i="68"/>
  <c r="N80" i="68"/>
  <c r="N66" i="68"/>
  <c r="F80" i="68"/>
  <c r="T25" i="68"/>
  <c r="N85" i="68"/>
  <c r="F72" i="68"/>
  <c r="F91" i="68"/>
  <c r="F105" i="68"/>
  <c r="F121" i="68"/>
  <c r="Q283" i="66"/>
  <c r="N50" i="68"/>
  <c r="F101" i="68"/>
  <c r="S66" i="68"/>
  <c r="F102" i="68"/>
  <c r="T17" i="68"/>
  <c r="F100" i="68"/>
  <c r="F124" i="68"/>
  <c r="T43" i="68"/>
  <c r="N15" i="68"/>
  <c r="N76" i="68"/>
  <c r="N68" i="68"/>
  <c r="F120" i="68"/>
  <c r="F64" i="68"/>
  <c r="F66" i="68"/>
  <c r="T37" i="68"/>
  <c r="N79" i="68"/>
  <c r="T7" i="68"/>
  <c r="T35" i="68"/>
  <c r="F77" i="68"/>
  <c r="N61" i="68"/>
  <c r="F82" i="68"/>
  <c r="N65" i="68"/>
  <c r="N77" i="68"/>
  <c r="N23" i="68"/>
  <c r="F34" i="68"/>
  <c r="F118" i="68"/>
  <c r="N62" i="68"/>
  <c r="T18" i="68"/>
  <c r="F87" i="68"/>
  <c r="T50" i="68"/>
  <c r="N17" i="68"/>
  <c r="F93" i="68"/>
  <c r="N55" i="68"/>
  <c r="N75" i="68"/>
  <c r="F73" i="68"/>
  <c r="F76" i="68"/>
  <c r="F86" i="68"/>
  <c r="N64" i="68"/>
  <c r="N81" i="68"/>
  <c r="F103" i="68"/>
  <c r="Q82" i="66"/>
  <c r="Q75" i="66"/>
  <c r="R88" i="66"/>
  <c r="F51" i="68" s="1"/>
  <c r="F115" i="68"/>
  <c r="N83" i="68"/>
  <c r="F109" i="68"/>
  <c r="F84" i="68"/>
  <c r="F92" i="68"/>
  <c r="N60" i="68"/>
  <c r="F99" i="68"/>
  <c r="Q66" i="66"/>
  <c r="N63" i="68"/>
  <c r="F123" i="68"/>
  <c r="F106" i="68"/>
  <c r="F98" i="68"/>
  <c r="F75" i="68"/>
  <c r="F31" i="68"/>
  <c r="F117" i="68"/>
  <c r="N53" i="68"/>
  <c r="N70" i="68"/>
  <c r="F125" i="68"/>
  <c r="F112" i="68"/>
  <c r="T13" i="68"/>
  <c r="F33" i="68"/>
  <c r="F67" i="68"/>
  <c r="N67" i="68"/>
  <c r="N84" i="68"/>
  <c r="M44" i="68"/>
  <c r="Q90" i="66"/>
  <c r="F108" i="68"/>
  <c r="F122" i="68"/>
  <c r="N59" i="68"/>
  <c r="F119" i="68"/>
  <c r="F114" i="68"/>
  <c r="N69" i="68"/>
  <c r="F104" i="68"/>
  <c r="R66" i="68"/>
  <c r="Q95" i="66"/>
  <c r="Q84" i="66"/>
  <c r="Q87" i="66"/>
  <c r="Q86" i="66"/>
  <c r="Q92" i="66"/>
  <c r="Q96" i="66"/>
  <c r="Q91" i="66"/>
  <c r="Q94" i="66"/>
  <c r="Q81" i="66"/>
  <c r="Q83" i="66"/>
  <c r="Q88" i="66"/>
  <c r="Q97" i="66"/>
  <c r="Q93" i="66"/>
  <c r="R81" i="66"/>
  <c r="R75" i="66"/>
  <c r="V75" i="66" s="1"/>
  <c r="R94" i="66"/>
  <c r="R84" i="66"/>
  <c r="R86" i="66"/>
  <c r="R66" i="66"/>
  <c r="V66" i="66" s="1"/>
  <c r="R87" i="66"/>
  <c r="F50" i="68" s="1"/>
  <c r="R93" i="66"/>
  <c r="F56" i="68" s="1"/>
  <c r="R83" i="66"/>
  <c r="R82" i="66"/>
  <c r="R97" i="66"/>
  <c r="R96" i="66"/>
  <c r="R95" i="66"/>
  <c r="F58" i="68" s="1"/>
  <c r="R92" i="66"/>
  <c r="F55" i="68" s="1"/>
  <c r="R91" i="66"/>
  <c r="F54" i="68" s="1"/>
  <c r="R90" i="66"/>
  <c r="R89" i="66"/>
  <c r="R26" i="66"/>
  <c r="R27" i="66"/>
  <c r="R28" i="66"/>
  <c r="R21" i="66"/>
  <c r="R22" i="66"/>
  <c r="R25" i="66"/>
  <c r="R20" i="66"/>
  <c r="R9" i="66"/>
  <c r="R10" i="66"/>
  <c r="R11" i="66"/>
  <c r="V11" i="66" s="1"/>
  <c r="R12" i="66"/>
  <c r="V12" i="66" s="1"/>
  <c r="R13" i="66"/>
  <c r="V13" i="66" s="1"/>
  <c r="R14" i="66"/>
  <c r="R15" i="66"/>
  <c r="R16" i="66"/>
  <c r="V16" i="66" s="1"/>
  <c r="R17" i="66"/>
  <c r="V17" i="66" s="1"/>
  <c r="R18" i="66"/>
  <c r="V18" i="66" s="1"/>
  <c r="R8" i="66"/>
  <c r="D160" i="65"/>
  <c r="D159" i="65"/>
  <c r="D158" i="65"/>
  <c r="D157" i="65"/>
  <c r="D156" i="65"/>
  <c r="D155" i="65"/>
  <c r="D154" i="65"/>
  <c r="D153" i="65"/>
  <c r="D152" i="65"/>
  <c r="D151" i="65"/>
  <c r="D150" i="65"/>
  <c r="AI83" i="65"/>
  <c r="AH83" i="65"/>
  <c r="AG83" i="65"/>
  <c r="AF83" i="65"/>
  <c r="AE83" i="65"/>
  <c r="AC83" i="65"/>
  <c r="AB83" i="65"/>
  <c r="AA83" i="65"/>
  <c r="Z83" i="65"/>
  <c r="X83" i="65"/>
  <c r="W83" i="65"/>
  <c r="V83" i="65"/>
  <c r="U83" i="65"/>
  <c r="T83" i="65"/>
  <c r="S83" i="65"/>
  <c r="R83" i="65"/>
  <c r="Q83" i="65"/>
  <c r="P83" i="65"/>
  <c r="O83" i="65"/>
  <c r="N83" i="65"/>
  <c r="M83" i="65"/>
  <c r="L83" i="65"/>
  <c r="K83" i="65"/>
  <c r="J83" i="65"/>
  <c r="I83" i="65"/>
  <c r="H83" i="65"/>
  <c r="G83" i="65"/>
  <c r="F83" i="65"/>
  <c r="E83" i="65"/>
  <c r="D213" i="65"/>
  <c r="D212" i="65"/>
  <c r="D211" i="65"/>
  <c r="D210" i="65"/>
  <c r="D209" i="65"/>
  <c r="D208" i="65"/>
  <c r="D207" i="65"/>
  <c r="D206" i="65"/>
  <c r="D205" i="65"/>
  <c r="D204" i="65"/>
  <c r="D203" i="65"/>
  <c r="AI168" i="65"/>
  <c r="AH168" i="65"/>
  <c r="AG168" i="65"/>
  <c r="AF168" i="65"/>
  <c r="AE168" i="65"/>
  <c r="AD168" i="65"/>
  <c r="AC168" i="65"/>
  <c r="AB168" i="65"/>
  <c r="AA168" i="65"/>
  <c r="Z168" i="65"/>
  <c r="X168" i="65"/>
  <c r="W168" i="65"/>
  <c r="V168" i="65"/>
  <c r="U168" i="65"/>
  <c r="T168" i="65"/>
  <c r="S168" i="65"/>
  <c r="R168" i="65"/>
  <c r="Q168" i="65"/>
  <c r="P168" i="65"/>
  <c r="O168" i="65"/>
  <c r="N168" i="65"/>
  <c r="M168" i="65"/>
  <c r="L168" i="65"/>
  <c r="K168" i="65"/>
  <c r="J168" i="65"/>
  <c r="I168" i="65"/>
  <c r="H168" i="65"/>
  <c r="G168" i="65"/>
  <c r="F168" i="65"/>
  <c r="E168" i="65"/>
  <c r="D144" i="65"/>
  <c r="D143" i="65"/>
  <c r="D142" i="65"/>
  <c r="D141" i="65"/>
  <c r="D140" i="65"/>
  <c r="D139" i="65"/>
  <c r="D138" i="65"/>
  <c r="D137" i="65"/>
  <c r="D136" i="65"/>
  <c r="D135" i="65"/>
  <c r="D134" i="65"/>
  <c r="AI82" i="65"/>
  <c r="AH82" i="65"/>
  <c r="AG82" i="65"/>
  <c r="AF82" i="65"/>
  <c r="AE82" i="65"/>
  <c r="AC82" i="65"/>
  <c r="AB82" i="65"/>
  <c r="AA82" i="65"/>
  <c r="Z82" i="65"/>
  <c r="X82" i="65"/>
  <c r="W82" i="65"/>
  <c r="V82" i="65"/>
  <c r="U82" i="65"/>
  <c r="T82" i="65"/>
  <c r="S82" i="65"/>
  <c r="R82" i="65"/>
  <c r="Q82" i="65"/>
  <c r="P82" i="65"/>
  <c r="O82" i="65"/>
  <c r="N82" i="65"/>
  <c r="M82" i="65"/>
  <c r="L82" i="65"/>
  <c r="K82" i="65"/>
  <c r="J82" i="65"/>
  <c r="I82" i="65"/>
  <c r="H82" i="65"/>
  <c r="G82" i="65"/>
  <c r="F82" i="65"/>
  <c r="E82" i="65"/>
  <c r="D128" i="65"/>
  <c r="D127" i="65"/>
  <c r="D126" i="65"/>
  <c r="D125" i="65"/>
  <c r="D124" i="65"/>
  <c r="D123" i="65"/>
  <c r="D122" i="65"/>
  <c r="D121" i="65"/>
  <c r="D120" i="65"/>
  <c r="D119" i="65"/>
  <c r="D118" i="65"/>
  <c r="AI81" i="65"/>
  <c r="AH81" i="65"/>
  <c r="AG81" i="65"/>
  <c r="AF81" i="65"/>
  <c r="AE81" i="65"/>
  <c r="AC81" i="65"/>
  <c r="AB81" i="65"/>
  <c r="AA81" i="65"/>
  <c r="Z81" i="65"/>
  <c r="X81" i="65"/>
  <c r="W81" i="65"/>
  <c r="V81" i="65"/>
  <c r="U81" i="65"/>
  <c r="T81" i="65"/>
  <c r="S81" i="65"/>
  <c r="R81" i="65"/>
  <c r="Q81" i="65"/>
  <c r="P81" i="65"/>
  <c r="O81" i="65"/>
  <c r="N81" i="65"/>
  <c r="M81" i="65"/>
  <c r="L81" i="65"/>
  <c r="K81" i="65"/>
  <c r="J81" i="65"/>
  <c r="I81" i="65"/>
  <c r="H81" i="65"/>
  <c r="G81" i="65"/>
  <c r="F81" i="65"/>
  <c r="E81" i="65"/>
  <c r="D198" i="65"/>
  <c r="D197" i="65"/>
  <c r="D196" i="65"/>
  <c r="D195" i="65"/>
  <c r="D194" i="65"/>
  <c r="D193" i="65"/>
  <c r="D192" i="65"/>
  <c r="D191" i="65"/>
  <c r="D190" i="65"/>
  <c r="D189" i="65"/>
  <c r="D188" i="65"/>
  <c r="AI165" i="65"/>
  <c r="AH165" i="65"/>
  <c r="AG165" i="65"/>
  <c r="AF165" i="65"/>
  <c r="AE165" i="65"/>
  <c r="AD165" i="65"/>
  <c r="AC165" i="65"/>
  <c r="AB165" i="65"/>
  <c r="AA165" i="65"/>
  <c r="Z165" i="65"/>
  <c r="X165" i="65"/>
  <c r="W165" i="65"/>
  <c r="V165" i="65"/>
  <c r="U165" i="65"/>
  <c r="T165" i="65"/>
  <c r="S165" i="65"/>
  <c r="R165" i="65"/>
  <c r="Q165" i="65"/>
  <c r="P165" i="65"/>
  <c r="O165" i="65"/>
  <c r="N165" i="65"/>
  <c r="M165" i="65"/>
  <c r="L165" i="65"/>
  <c r="K165" i="65"/>
  <c r="J165" i="65"/>
  <c r="I165" i="65"/>
  <c r="H165" i="65"/>
  <c r="G165" i="65"/>
  <c r="F165" i="65"/>
  <c r="E165" i="65"/>
  <c r="U96" i="65"/>
  <c r="T96" i="65"/>
  <c r="E96" i="65"/>
  <c r="AI95" i="65"/>
  <c r="T95" i="65"/>
  <c r="S95" i="65"/>
  <c r="D112" i="65"/>
  <c r="AI94" i="65"/>
  <c r="T94" i="65"/>
  <c r="S94" i="65"/>
  <c r="D111" i="65"/>
  <c r="AI93" i="65"/>
  <c r="T93" i="65"/>
  <c r="S93" i="65"/>
  <c r="D110" i="65"/>
  <c r="AI92" i="65"/>
  <c r="T92" i="65"/>
  <c r="S92" i="65"/>
  <c r="D109" i="65"/>
  <c r="AI91" i="65"/>
  <c r="T91" i="65"/>
  <c r="S91" i="65"/>
  <c r="D108" i="65"/>
  <c r="AI90" i="65"/>
  <c r="T90" i="65"/>
  <c r="S90" i="65"/>
  <c r="D107" i="65"/>
  <c r="AI89" i="65"/>
  <c r="T89" i="65"/>
  <c r="S89" i="65"/>
  <c r="D106" i="65"/>
  <c r="AI88" i="65"/>
  <c r="T88" i="65"/>
  <c r="S88" i="65"/>
  <c r="D105" i="65"/>
  <c r="AI87" i="65"/>
  <c r="T87" i="65"/>
  <c r="S87" i="65"/>
  <c r="D104" i="65"/>
  <c r="AI86" i="65"/>
  <c r="T86" i="65"/>
  <c r="S86" i="65"/>
  <c r="D103" i="65"/>
  <c r="AI85" i="65"/>
  <c r="T85" i="65"/>
  <c r="S85" i="65"/>
  <c r="D102" i="65"/>
  <c r="AI80" i="65"/>
  <c r="AH80" i="65"/>
  <c r="AG80" i="65"/>
  <c r="AF80" i="65"/>
  <c r="AE80" i="65"/>
  <c r="AC80" i="65"/>
  <c r="AB80" i="65"/>
  <c r="Z80" i="65"/>
  <c r="X80" i="65"/>
  <c r="W80" i="65"/>
  <c r="V80" i="65"/>
  <c r="U80" i="65"/>
  <c r="T80" i="65"/>
  <c r="S80" i="65"/>
  <c r="R80" i="65"/>
  <c r="Q80" i="65"/>
  <c r="P80" i="65"/>
  <c r="O80" i="65"/>
  <c r="N80" i="65"/>
  <c r="M80" i="65"/>
  <c r="L80" i="65"/>
  <c r="K80" i="65"/>
  <c r="J80" i="65"/>
  <c r="I80" i="65"/>
  <c r="H80" i="65"/>
  <c r="G80" i="65"/>
  <c r="F80" i="65"/>
  <c r="E80" i="65"/>
  <c r="D95" i="65"/>
  <c r="D94" i="65"/>
  <c r="D93" i="65"/>
  <c r="D92" i="65"/>
  <c r="D91" i="65"/>
  <c r="D90" i="65"/>
  <c r="D89" i="65"/>
  <c r="D88" i="65"/>
  <c r="D87" i="65"/>
  <c r="D86" i="65"/>
  <c r="D85" i="65"/>
  <c r="G75" i="69"/>
  <c r="K75" i="69" s="1"/>
  <c r="V22" i="66" l="1"/>
  <c r="U22" i="66"/>
  <c r="V10" i="66"/>
  <c r="U10" i="66"/>
  <c r="V21" i="66"/>
  <c r="F18" i="68" s="1"/>
  <c r="U21" i="66"/>
  <c r="E18" i="68" s="1"/>
  <c r="V9" i="66"/>
  <c r="F6" i="68" s="1"/>
  <c r="U9" i="66"/>
  <c r="V14" i="66"/>
  <c r="U14" i="66"/>
  <c r="E11" i="68" s="1"/>
  <c r="V20" i="66"/>
  <c r="F17" i="68" s="1"/>
  <c r="U20" i="66"/>
  <c r="E17" i="68" s="1"/>
  <c r="V26" i="66"/>
  <c r="F23" i="68" s="1"/>
  <c r="U26" i="66"/>
  <c r="E23" i="68" s="1"/>
  <c r="V8" i="66"/>
  <c r="F5" i="68" s="1"/>
  <c r="U8" i="66"/>
  <c r="E5" i="68" s="1"/>
  <c r="V25" i="66"/>
  <c r="F22" i="68" s="1"/>
  <c r="U25" i="66"/>
  <c r="E22" i="68" s="1"/>
  <c r="H228" i="69"/>
  <c r="H229" i="69"/>
  <c r="H232" i="69"/>
  <c r="H234" i="69"/>
  <c r="H230" i="69"/>
  <c r="H233" i="69"/>
  <c r="H231" i="69"/>
  <c r="H224" i="69"/>
  <c r="H203" i="69"/>
  <c r="H204" i="69"/>
  <c r="H207" i="69"/>
  <c r="H210" i="69"/>
  <c r="H213" i="69"/>
  <c r="H205" i="69"/>
  <c r="H208" i="69"/>
  <c r="H211" i="69"/>
  <c r="H214" i="69"/>
  <c r="H206" i="69"/>
  <c r="H212" i="69"/>
  <c r="H209" i="69"/>
  <c r="H201" i="69"/>
  <c r="H188" i="69"/>
  <c r="H189" i="69"/>
  <c r="H192" i="69"/>
  <c r="H195" i="69"/>
  <c r="H198" i="69"/>
  <c r="H191" i="69"/>
  <c r="H190" i="69"/>
  <c r="H193" i="69"/>
  <c r="H196" i="69"/>
  <c r="H199" i="69"/>
  <c r="H194" i="69"/>
  <c r="H197" i="69"/>
  <c r="H186" i="69"/>
  <c r="H173" i="69"/>
  <c r="H174" i="69"/>
  <c r="H177" i="69"/>
  <c r="H180" i="69"/>
  <c r="H183" i="69"/>
  <c r="H175" i="69"/>
  <c r="H178" i="69"/>
  <c r="H181" i="69"/>
  <c r="H184" i="69"/>
  <c r="H176" i="69"/>
  <c r="H179" i="69"/>
  <c r="H182" i="69"/>
  <c r="H169" i="69"/>
  <c r="H171" i="69"/>
  <c r="H164" i="69"/>
  <c r="H167" i="69"/>
  <c r="H151" i="69"/>
  <c r="H154" i="69"/>
  <c r="H157" i="69"/>
  <c r="H160" i="69"/>
  <c r="H152" i="69"/>
  <c r="H155" i="69"/>
  <c r="H158" i="69"/>
  <c r="H161" i="69"/>
  <c r="H153" i="69"/>
  <c r="H156" i="69"/>
  <c r="H159" i="69"/>
  <c r="H148" i="69"/>
  <c r="H150" i="69"/>
  <c r="H135" i="69"/>
  <c r="H138" i="69"/>
  <c r="H141" i="69"/>
  <c r="H144" i="69"/>
  <c r="H136" i="69"/>
  <c r="H139" i="69"/>
  <c r="H142" i="69"/>
  <c r="H145" i="69"/>
  <c r="H137" i="69"/>
  <c r="H140" i="69"/>
  <c r="H143" i="69"/>
  <c r="H132" i="69"/>
  <c r="H134" i="69"/>
  <c r="H119" i="69"/>
  <c r="H122" i="69"/>
  <c r="H125" i="69"/>
  <c r="H128" i="69"/>
  <c r="H127" i="69"/>
  <c r="H124" i="69"/>
  <c r="H120" i="69"/>
  <c r="H123" i="69"/>
  <c r="H126" i="69"/>
  <c r="H129" i="69"/>
  <c r="H121" i="69"/>
  <c r="H116" i="69"/>
  <c r="H118" i="69"/>
  <c r="H103" i="69"/>
  <c r="H106" i="69"/>
  <c r="H109" i="69"/>
  <c r="H112" i="69"/>
  <c r="H108" i="69"/>
  <c r="H104" i="69"/>
  <c r="H107" i="69"/>
  <c r="H110" i="69"/>
  <c r="H113" i="69"/>
  <c r="H111" i="69"/>
  <c r="H105" i="69"/>
  <c r="H100" i="69"/>
  <c r="H102" i="69"/>
  <c r="H66" i="69"/>
  <c r="H67" i="69"/>
  <c r="H70" i="69"/>
  <c r="H73" i="69"/>
  <c r="H68" i="69"/>
  <c r="H71" i="69"/>
  <c r="H72" i="69"/>
  <c r="H69" i="69"/>
  <c r="H61" i="69"/>
  <c r="H62" i="69"/>
  <c r="H63" i="69"/>
  <c r="H64" i="69"/>
  <c r="H47" i="69"/>
  <c r="H48" i="69"/>
  <c r="H51" i="69"/>
  <c r="H54" i="69"/>
  <c r="H57" i="69"/>
  <c r="H56" i="69"/>
  <c r="H49" i="69"/>
  <c r="H52" i="69"/>
  <c r="H53" i="69"/>
  <c r="H50" i="69"/>
  <c r="H39" i="69"/>
  <c r="H41" i="69"/>
  <c r="H42" i="69"/>
  <c r="H40" i="69"/>
  <c r="H43" i="69"/>
  <c r="H33" i="69"/>
  <c r="H36" i="69"/>
  <c r="H34" i="69"/>
  <c r="H35" i="69"/>
  <c r="H29" i="69"/>
  <c r="H32" i="69"/>
  <c r="H24" i="69"/>
  <c r="H25" i="69"/>
  <c r="H26" i="69"/>
  <c r="H27" i="69"/>
  <c r="H19" i="69"/>
  <c r="H20" i="69"/>
  <c r="H21" i="69"/>
  <c r="H7" i="69"/>
  <c r="H8" i="69"/>
  <c r="H14" i="69"/>
  <c r="H9" i="69"/>
  <c r="H15" i="69"/>
  <c r="H10" i="69"/>
  <c r="H16" i="69"/>
  <c r="H11" i="69"/>
  <c r="H17" i="69"/>
  <c r="H12" i="69"/>
  <c r="H13" i="69"/>
  <c r="H6" i="69"/>
  <c r="F85" i="65"/>
  <c r="F86" i="65"/>
  <c r="F87" i="65"/>
  <c r="V87" i="65"/>
  <c r="V88" i="65"/>
  <c r="V89" i="65"/>
  <c r="V90" i="65"/>
  <c r="V91" i="65"/>
  <c r="V92" i="65"/>
  <c r="V93" i="65"/>
  <c r="V94" i="65"/>
  <c r="V95" i="65"/>
  <c r="W96" i="65"/>
  <c r="T66" i="66"/>
  <c r="R10" i="68" s="1"/>
  <c r="U66" i="66"/>
  <c r="S10" i="68" s="1"/>
  <c r="W85" i="65"/>
  <c r="W86" i="65"/>
  <c r="W87" i="65"/>
  <c r="W88" i="65"/>
  <c r="G89" i="65"/>
  <c r="G90" i="65"/>
  <c r="G91" i="65"/>
  <c r="W91" i="65"/>
  <c r="W92" i="65"/>
  <c r="W93" i="65"/>
  <c r="W94" i="65"/>
  <c r="W95" i="65"/>
  <c r="X96" i="65"/>
  <c r="U93" i="66"/>
  <c r="E56" i="68" s="1"/>
  <c r="T93" i="66"/>
  <c r="D56" i="68" s="1"/>
  <c r="T89" i="66"/>
  <c r="D52" i="68" s="1"/>
  <c r="U89" i="66"/>
  <c r="E52" i="68" s="1"/>
  <c r="AA85" i="65"/>
  <c r="AA87" i="65"/>
  <c r="K89" i="65"/>
  <c r="K91" i="65"/>
  <c r="AA92" i="65"/>
  <c r="K94" i="65"/>
  <c r="AA95" i="65"/>
  <c r="AB96" i="65"/>
  <c r="T88" i="66"/>
  <c r="D51" i="68" s="1"/>
  <c r="U88" i="66"/>
  <c r="E51" i="68" s="1"/>
  <c r="U83" i="66"/>
  <c r="E46" i="68" s="1"/>
  <c r="T83" i="66"/>
  <c r="D46" i="68" s="1"/>
  <c r="M85" i="65"/>
  <c r="AC85" i="65"/>
  <c r="M86" i="65"/>
  <c r="AC86" i="65"/>
  <c r="M87" i="65"/>
  <c r="AC87" i="65"/>
  <c r="M88" i="65"/>
  <c r="AC88" i="65"/>
  <c r="M89" i="65"/>
  <c r="AC89" i="65"/>
  <c r="M90" i="65"/>
  <c r="AC90" i="65"/>
  <c r="M91" i="65"/>
  <c r="AC91" i="65"/>
  <c r="M92" i="65"/>
  <c r="AC92" i="65"/>
  <c r="M93" i="65"/>
  <c r="AC93" i="65"/>
  <c r="M94" i="65"/>
  <c r="AC94" i="65"/>
  <c r="M95" i="65"/>
  <c r="AC95" i="65"/>
  <c r="N96" i="65"/>
  <c r="AD96" i="65"/>
  <c r="U81" i="66"/>
  <c r="E44" i="68" s="1"/>
  <c r="T81" i="66"/>
  <c r="D44" i="68" s="1"/>
  <c r="T90" i="66"/>
  <c r="D53" i="68" s="1"/>
  <c r="U90" i="66"/>
  <c r="E53" i="68" s="1"/>
  <c r="U84" i="66"/>
  <c r="E47" i="68" s="1"/>
  <c r="T84" i="66"/>
  <c r="D47" i="68" s="1"/>
  <c r="E86" i="65"/>
  <c r="U86" i="65"/>
  <c r="U87" i="65"/>
  <c r="E88" i="65"/>
  <c r="E89" i="65"/>
  <c r="E90" i="65"/>
  <c r="U90" i="65"/>
  <c r="U91" i="65"/>
  <c r="U92" i="65"/>
  <c r="U93" i="65"/>
  <c r="U94" i="65"/>
  <c r="U95" i="65"/>
  <c r="V96" i="65"/>
  <c r="U95" i="66"/>
  <c r="E58" i="68" s="1"/>
  <c r="T95" i="66"/>
  <c r="D58" i="68" s="1"/>
  <c r="V85" i="65"/>
  <c r="V86" i="65"/>
  <c r="F88" i="65"/>
  <c r="F89" i="65"/>
  <c r="F90" i="65"/>
  <c r="F91" i="65"/>
  <c r="F92" i="65"/>
  <c r="F93" i="65"/>
  <c r="F94" i="65"/>
  <c r="F95" i="65"/>
  <c r="G96" i="65"/>
  <c r="G85" i="65"/>
  <c r="G86" i="65"/>
  <c r="G87" i="65"/>
  <c r="G88" i="65"/>
  <c r="W89" i="65"/>
  <c r="W90" i="65"/>
  <c r="G92" i="65"/>
  <c r="G93" i="65"/>
  <c r="G94" i="65"/>
  <c r="G95" i="65"/>
  <c r="H96" i="65"/>
  <c r="G96" i="69" s="1"/>
  <c r="K96" i="69" s="1"/>
  <c r="U97" i="66"/>
  <c r="E60" i="68" s="1"/>
  <c r="T97" i="66"/>
  <c r="D60" i="68" s="1"/>
  <c r="K85" i="65"/>
  <c r="K90" i="65"/>
  <c r="AA93" i="65"/>
  <c r="L96" i="65"/>
  <c r="O85" i="65"/>
  <c r="AE85" i="65"/>
  <c r="O86" i="65"/>
  <c r="O87" i="65"/>
  <c r="AE87" i="65"/>
  <c r="O88" i="65"/>
  <c r="AE88" i="65"/>
  <c r="O89" i="65"/>
  <c r="AE89" i="65"/>
  <c r="O90" i="65"/>
  <c r="AE90" i="65"/>
  <c r="O91" i="65"/>
  <c r="AE91" i="65"/>
  <c r="O92" i="65"/>
  <c r="AE92" i="65"/>
  <c r="O93" i="65"/>
  <c r="AE93" i="65"/>
  <c r="O94" i="65"/>
  <c r="AE94" i="65"/>
  <c r="O95" i="65"/>
  <c r="AE95" i="65"/>
  <c r="P96" i="65"/>
  <c r="AF96" i="65"/>
  <c r="T91" i="66"/>
  <c r="D54" i="68" s="1"/>
  <c r="U91" i="66"/>
  <c r="E54" i="68" s="1"/>
  <c r="K86" i="65"/>
  <c r="K87" i="65"/>
  <c r="AA88" i="65"/>
  <c r="AA89" i="65"/>
  <c r="AA91" i="65"/>
  <c r="K93" i="65"/>
  <c r="AA94" i="65"/>
  <c r="U94" i="66"/>
  <c r="E57" i="68" s="1"/>
  <c r="T94" i="66"/>
  <c r="D57" i="68" s="1"/>
  <c r="AE86" i="65"/>
  <c r="P85" i="65"/>
  <c r="AF85" i="65"/>
  <c r="P86" i="65"/>
  <c r="AF86" i="65"/>
  <c r="P87" i="65"/>
  <c r="AF87" i="65"/>
  <c r="P88" i="65"/>
  <c r="AF88" i="65"/>
  <c r="P89" i="65"/>
  <c r="AF89" i="65"/>
  <c r="P90" i="65"/>
  <c r="AF90" i="65"/>
  <c r="P91" i="65"/>
  <c r="AF91" i="65"/>
  <c r="P92" i="65"/>
  <c r="AF92" i="65"/>
  <c r="P93" i="65"/>
  <c r="AF93" i="65"/>
  <c r="P94" i="65"/>
  <c r="AF94" i="65"/>
  <c r="P95" i="65"/>
  <c r="AF95" i="65"/>
  <c r="Q96" i="65"/>
  <c r="AG96" i="65"/>
  <c r="U96" i="66"/>
  <c r="E59" i="68" s="1"/>
  <c r="T96" i="66"/>
  <c r="D59" i="68" s="1"/>
  <c r="AA86" i="65"/>
  <c r="AA90" i="65"/>
  <c r="K95" i="65"/>
  <c r="Q85" i="65"/>
  <c r="AG85" i="65"/>
  <c r="Q86" i="65"/>
  <c r="AG86" i="65"/>
  <c r="Q87" i="65"/>
  <c r="AG87" i="65"/>
  <c r="Q88" i="65"/>
  <c r="AG88" i="65"/>
  <c r="Q89" i="65"/>
  <c r="AG89" i="65"/>
  <c r="Q90" i="65"/>
  <c r="AG90" i="65"/>
  <c r="Q91" i="65"/>
  <c r="AG91" i="65"/>
  <c r="Q92" i="65"/>
  <c r="AG92" i="65"/>
  <c r="Q93" i="65"/>
  <c r="AG93" i="65"/>
  <c r="Q94" i="65"/>
  <c r="AG94" i="65"/>
  <c r="Q95" i="65"/>
  <c r="AG95" i="65"/>
  <c r="R96" i="65"/>
  <c r="AH96" i="65"/>
  <c r="T92" i="66"/>
  <c r="D55" i="68" s="1"/>
  <c r="U92" i="66"/>
  <c r="E55" i="68" s="1"/>
  <c r="T10" i="68"/>
  <c r="U87" i="66"/>
  <c r="E50" i="68" s="1"/>
  <c r="T87" i="66"/>
  <c r="D50" i="68" s="1"/>
  <c r="U82" i="66"/>
  <c r="E45" i="68" s="1"/>
  <c r="T82" i="66"/>
  <c r="D45" i="68" s="1"/>
  <c r="U85" i="65"/>
  <c r="E87" i="65"/>
  <c r="U88" i="65"/>
  <c r="U89" i="65"/>
  <c r="E91" i="65"/>
  <c r="E92" i="65"/>
  <c r="E93" i="65"/>
  <c r="E94" i="65"/>
  <c r="G94" i="69" s="1"/>
  <c r="K94" i="69" s="1"/>
  <c r="E95" i="65"/>
  <c r="F96" i="65"/>
  <c r="K88" i="65"/>
  <c r="K92" i="65"/>
  <c r="R85" i="65"/>
  <c r="AH85" i="65"/>
  <c r="R86" i="65"/>
  <c r="AH86" i="65"/>
  <c r="R87" i="65"/>
  <c r="AH87" i="65"/>
  <c r="R88" i="65"/>
  <c r="AH88" i="65"/>
  <c r="R89" i="65"/>
  <c r="AH89" i="65"/>
  <c r="R90" i="65"/>
  <c r="AH90" i="65"/>
  <c r="R91" i="65"/>
  <c r="AH91" i="65"/>
  <c r="R92" i="65"/>
  <c r="AH92" i="65"/>
  <c r="R93" i="65"/>
  <c r="AH93" i="65"/>
  <c r="R94" i="65"/>
  <c r="AH94" i="65"/>
  <c r="R95" i="65"/>
  <c r="AH95" i="65"/>
  <c r="S96" i="65"/>
  <c r="AI96" i="65"/>
  <c r="U86" i="66"/>
  <c r="E49" i="68" s="1"/>
  <c r="T86" i="66"/>
  <c r="D49" i="68" s="1"/>
  <c r="T75" i="66"/>
  <c r="R19" i="68" s="1"/>
  <c r="U75" i="66"/>
  <c r="S19" i="68" s="1"/>
  <c r="E85" i="65"/>
  <c r="G85" i="69" s="1"/>
  <c r="K85" i="69" s="1"/>
  <c r="H85" i="65"/>
  <c r="X85" i="65"/>
  <c r="H86" i="65"/>
  <c r="X86" i="65"/>
  <c r="H87" i="65"/>
  <c r="X87" i="65"/>
  <c r="H88" i="65"/>
  <c r="X88" i="65"/>
  <c r="H89" i="65"/>
  <c r="X89" i="65"/>
  <c r="H90" i="65"/>
  <c r="X90" i="65"/>
  <c r="H91" i="65"/>
  <c r="X91" i="65"/>
  <c r="H92" i="65"/>
  <c r="X92" i="65"/>
  <c r="H93" i="65"/>
  <c r="X93" i="65"/>
  <c r="H94" i="65"/>
  <c r="X94" i="65"/>
  <c r="H95" i="65"/>
  <c r="X95" i="65"/>
  <c r="I96" i="65"/>
  <c r="Y96" i="65"/>
  <c r="I85" i="65"/>
  <c r="Y85" i="65"/>
  <c r="I86" i="65"/>
  <c r="Y86" i="65"/>
  <c r="I87" i="65"/>
  <c r="Y87" i="65"/>
  <c r="I88" i="65"/>
  <c r="Y88" i="65"/>
  <c r="I89" i="65"/>
  <c r="Y89" i="65"/>
  <c r="I90" i="65"/>
  <c r="Y90" i="65"/>
  <c r="I91" i="65"/>
  <c r="Y91" i="65"/>
  <c r="I92" i="65"/>
  <c r="Y92" i="65"/>
  <c r="I93" i="65"/>
  <c r="Y93" i="65"/>
  <c r="I94" i="65"/>
  <c r="Y94" i="65"/>
  <c r="I95" i="65"/>
  <c r="Y95" i="65"/>
  <c r="J96" i="65"/>
  <c r="Z96" i="65"/>
  <c r="J85" i="65"/>
  <c r="Z85" i="65"/>
  <c r="J86" i="65"/>
  <c r="Z86" i="65"/>
  <c r="J87" i="65"/>
  <c r="Z87" i="65"/>
  <c r="J88" i="65"/>
  <c r="Z88" i="65"/>
  <c r="J89" i="65"/>
  <c r="Z89" i="65"/>
  <c r="J90" i="65"/>
  <c r="Z90" i="65"/>
  <c r="J91" i="65"/>
  <c r="Z91" i="65"/>
  <c r="J92" i="65"/>
  <c r="Z92" i="65"/>
  <c r="J93" i="65"/>
  <c r="Z93" i="65"/>
  <c r="J94" i="65"/>
  <c r="Z94" i="65"/>
  <c r="J95" i="65"/>
  <c r="Z95" i="65"/>
  <c r="K96" i="65"/>
  <c r="AA96" i="65"/>
  <c r="L85" i="65"/>
  <c r="AB85" i="65"/>
  <c r="L86" i="65"/>
  <c r="AB86" i="65"/>
  <c r="L87" i="65"/>
  <c r="AB87" i="65"/>
  <c r="L88" i="65"/>
  <c r="AB88" i="65"/>
  <c r="L89" i="65"/>
  <c r="AB89" i="65"/>
  <c r="L90" i="65"/>
  <c r="AB90" i="65"/>
  <c r="L91" i="65"/>
  <c r="AB91" i="65"/>
  <c r="L92" i="65"/>
  <c r="AB92" i="65"/>
  <c r="L93" i="65"/>
  <c r="AB93" i="65"/>
  <c r="L94" i="65"/>
  <c r="AB94" i="65"/>
  <c r="L95" i="65"/>
  <c r="AB95" i="65"/>
  <c r="M96" i="65"/>
  <c r="AC96" i="65"/>
  <c r="N85" i="65"/>
  <c r="AD85" i="65"/>
  <c r="N86" i="65"/>
  <c r="AD86" i="65"/>
  <c r="N87" i="65"/>
  <c r="AD87" i="65"/>
  <c r="N88" i="65"/>
  <c r="AD88" i="65"/>
  <c r="N89" i="65"/>
  <c r="AD89" i="65"/>
  <c r="N90" i="65"/>
  <c r="AD90" i="65"/>
  <c r="N91" i="65"/>
  <c r="AD91" i="65"/>
  <c r="N92" i="65"/>
  <c r="AD92" i="65"/>
  <c r="N93" i="65"/>
  <c r="AD93" i="65"/>
  <c r="N94" i="65"/>
  <c r="AD94" i="65"/>
  <c r="N95" i="65"/>
  <c r="AD95" i="65"/>
  <c r="O96" i="65"/>
  <c r="AE96" i="65"/>
  <c r="AD83" i="65"/>
  <c r="AD82" i="65"/>
  <c r="AD81" i="65"/>
  <c r="AD80" i="65"/>
  <c r="AA80" i="65"/>
  <c r="Y83" i="65"/>
  <c r="Y168" i="65"/>
  <c r="AJ168" i="65" s="1"/>
  <c r="Y82" i="65"/>
  <c r="Y81" i="65"/>
  <c r="Y165" i="65"/>
  <c r="AJ165" i="65" s="1"/>
  <c r="F53" i="68"/>
  <c r="G7" i="68"/>
  <c r="G17" i="68"/>
  <c r="G31" i="68"/>
  <c r="G32" i="68"/>
  <c r="G30" i="68"/>
  <c r="G18" i="68"/>
  <c r="G27" i="68"/>
  <c r="E13" i="68"/>
  <c r="F13" i="68"/>
  <c r="E12" i="68"/>
  <c r="F12" i="68"/>
  <c r="F11" i="68"/>
  <c r="F44" i="68"/>
  <c r="E7" i="68"/>
  <c r="F7" i="68"/>
  <c r="F52" i="68"/>
  <c r="E6" i="68"/>
  <c r="F49" i="68"/>
  <c r="E14" i="68"/>
  <c r="F14" i="68"/>
  <c r="F45" i="68"/>
  <c r="F57" i="68"/>
  <c r="E25" i="68"/>
  <c r="F25" i="68"/>
  <c r="E8" i="68"/>
  <c r="F8" i="68"/>
  <c r="F46" i="68"/>
  <c r="F59" i="68"/>
  <c r="E24" i="68"/>
  <c r="F24" i="68"/>
  <c r="E10" i="68"/>
  <c r="F10" i="68"/>
  <c r="E9" i="68"/>
  <c r="F9" i="68"/>
  <c r="E19" i="68"/>
  <c r="F19" i="68"/>
  <c r="F47" i="68"/>
  <c r="T19" i="68"/>
  <c r="F60" i="68"/>
  <c r="AJ230" i="65"/>
  <c r="S26" i="1" s="1"/>
  <c r="AJ229" i="65"/>
  <c r="S25" i="1" s="1"/>
  <c r="AJ224" i="65"/>
  <c r="Q9" i="1" s="1"/>
  <c r="AJ228" i="65"/>
  <c r="S24" i="1" s="1"/>
  <c r="AJ103" i="65"/>
  <c r="AJ113" i="65"/>
  <c r="AJ192" i="65"/>
  <c r="AJ198" i="65"/>
  <c r="AJ199" i="65"/>
  <c r="AJ129" i="65"/>
  <c r="AJ204" i="65"/>
  <c r="AJ210" i="65"/>
  <c r="AJ232" i="65"/>
  <c r="S23" i="1" s="1"/>
  <c r="AJ36" i="65"/>
  <c r="AJ43" i="65"/>
  <c r="AJ9" i="65"/>
  <c r="AJ21" i="65"/>
  <c r="AJ31" i="65"/>
  <c r="AJ20" i="65"/>
  <c r="AJ26" i="65"/>
  <c r="J15" i="1" s="1"/>
  <c r="AJ27" i="65"/>
  <c r="AJ48" i="65"/>
  <c r="AJ72" i="65"/>
  <c r="AJ105" i="65"/>
  <c r="AJ188" i="65"/>
  <c r="AJ194" i="65"/>
  <c r="AJ206" i="65"/>
  <c r="AJ212" i="65"/>
  <c r="AJ166" i="65"/>
  <c r="AJ14" i="65"/>
  <c r="AJ7" i="65"/>
  <c r="AJ13" i="65"/>
  <c r="AJ29" i="65"/>
  <c r="R13" i="1" s="1"/>
  <c r="AJ34" i="65"/>
  <c r="O15" i="1" s="1"/>
  <c r="AJ35" i="65"/>
  <c r="AJ41" i="65"/>
  <c r="AJ42" i="65"/>
  <c r="AJ49" i="65"/>
  <c r="AJ50" i="65"/>
  <c r="AJ56" i="65"/>
  <c r="S8" i="1" s="1"/>
  <c r="AJ57" i="65"/>
  <c r="S9" i="1" s="1"/>
  <c r="AJ67" i="65"/>
  <c r="AJ73" i="65"/>
  <c r="AJ106" i="65"/>
  <c r="AJ109" i="65"/>
  <c r="AJ112" i="65"/>
  <c r="AJ189" i="65"/>
  <c r="AJ195" i="65"/>
  <c r="AJ119" i="65"/>
  <c r="AJ122" i="65"/>
  <c r="AJ125" i="65"/>
  <c r="AJ128" i="65"/>
  <c r="AJ135" i="65"/>
  <c r="AJ138" i="65"/>
  <c r="AJ141" i="65"/>
  <c r="AJ144" i="65"/>
  <c r="AJ207" i="65"/>
  <c r="AJ213" i="65"/>
  <c r="AJ151" i="65"/>
  <c r="AJ154" i="65"/>
  <c r="AJ157" i="65"/>
  <c r="AJ160" i="65"/>
  <c r="AJ167" i="65"/>
  <c r="AJ231" i="65"/>
  <c r="S27" i="1" s="1"/>
  <c r="AJ24" i="65"/>
  <c r="J13" i="1" s="1"/>
  <c r="AJ51" i="65"/>
  <c r="AJ68" i="65"/>
  <c r="AJ69" i="65"/>
  <c r="AJ104" i="65"/>
  <c r="AJ107" i="65"/>
  <c r="AJ110" i="65"/>
  <c r="AJ186" i="65"/>
  <c r="AJ193" i="65"/>
  <c r="AJ116" i="65"/>
  <c r="AJ120" i="65"/>
  <c r="AJ123" i="65"/>
  <c r="AJ126" i="65"/>
  <c r="AJ132" i="65"/>
  <c r="AJ136" i="65"/>
  <c r="AJ139" i="65"/>
  <c r="AJ142" i="65"/>
  <c r="AJ145" i="65"/>
  <c r="AJ205" i="65"/>
  <c r="AJ211" i="65"/>
  <c r="AJ214" i="65"/>
  <c r="AJ148" i="65"/>
  <c r="AJ152" i="65"/>
  <c r="AJ155" i="65"/>
  <c r="AJ158" i="65"/>
  <c r="AJ161" i="65"/>
  <c r="AJ164" i="65"/>
  <c r="AJ169" i="65"/>
  <c r="Q10" i="1" s="1"/>
  <c r="AJ10" i="65"/>
  <c r="AJ16" i="65"/>
  <c r="AJ25" i="65"/>
  <c r="J14" i="1" s="1"/>
  <c r="AJ32" i="65"/>
  <c r="O13" i="1" s="1"/>
  <c r="AJ39" i="65"/>
  <c r="AJ47" i="65"/>
  <c r="AJ52" i="65"/>
  <c r="AJ53" i="65"/>
  <c r="AJ62" i="65"/>
  <c r="AJ63" i="65"/>
  <c r="AJ70" i="65"/>
  <c r="AJ100" i="65"/>
  <c r="AJ190" i="65"/>
  <c r="AJ196" i="65"/>
  <c r="AJ201" i="65"/>
  <c r="AJ208" i="65"/>
  <c r="AJ15" i="65"/>
  <c r="AJ11" i="65"/>
  <c r="AJ12" i="65"/>
  <c r="AJ17" i="65"/>
  <c r="AJ19" i="65"/>
  <c r="AJ33" i="65"/>
  <c r="O14" i="1" s="1"/>
  <c r="AJ40" i="65"/>
  <c r="AJ54" i="65"/>
  <c r="AJ64" i="65"/>
  <c r="AJ71" i="65"/>
  <c r="AJ102" i="65"/>
  <c r="AJ108" i="65"/>
  <c r="AJ111" i="65"/>
  <c r="AJ191" i="65"/>
  <c r="AJ197" i="65"/>
  <c r="AJ118" i="65"/>
  <c r="AJ121" i="65"/>
  <c r="AJ124" i="65"/>
  <c r="AJ127" i="65"/>
  <c r="AJ134" i="65"/>
  <c r="AJ137" i="65"/>
  <c r="AJ140" i="65"/>
  <c r="AJ143" i="65"/>
  <c r="AJ203" i="65"/>
  <c r="AJ209" i="65"/>
  <c r="AJ150" i="65"/>
  <c r="AJ153" i="65"/>
  <c r="AJ156" i="65"/>
  <c r="AJ159" i="65"/>
  <c r="AJ233" i="65"/>
  <c r="AJ234" i="65"/>
  <c r="AJ66" i="65"/>
  <c r="AJ61" i="65"/>
  <c r="Q15" i="72" l="1"/>
  <c r="Q7" i="72"/>
  <c r="Q6" i="72" s="1"/>
  <c r="Q9" i="72"/>
  <c r="Q12" i="72"/>
  <c r="Q13" i="72"/>
  <c r="G91" i="69"/>
  <c r="K91" i="69" s="1"/>
  <c r="Q10" i="72"/>
  <c r="Q11" i="72"/>
  <c r="Q14" i="72"/>
  <c r="Q8" i="72"/>
  <c r="G87" i="69"/>
  <c r="K87" i="69" s="1"/>
  <c r="I32" i="1"/>
  <c r="G93" i="69"/>
  <c r="K93" i="69" s="1"/>
  <c r="G86" i="69"/>
  <c r="K86" i="69" s="1"/>
  <c r="G92" i="69"/>
  <c r="K92" i="69" s="1"/>
  <c r="G90" i="69"/>
  <c r="K90" i="69" s="1"/>
  <c r="G89" i="69"/>
  <c r="K89" i="69" s="1"/>
  <c r="G88" i="69"/>
  <c r="K88" i="69" s="1"/>
  <c r="G95" i="69"/>
  <c r="K95" i="69" s="1"/>
  <c r="AJ38" i="65"/>
  <c r="AJ83" i="65"/>
  <c r="AJ80" i="65"/>
  <c r="AJ82" i="65"/>
  <c r="AJ81" i="65"/>
  <c r="AJ65" i="65"/>
  <c r="AJ74" i="65"/>
  <c r="P47" i="52"/>
  <c r="AJ96" i="65" l="1"/>
  <c r="AJ95" i="65"/>
  <c r="AJ94" i="65"/>
  <c r="AJ93" i="65"/>
  <c r="AJ92" i="65"/>
  <c r="AJ91" i="65"/>
  <c r="AJ90" i="65"/>
  <c r="AJ89" i="65"/>
  <c r="AJ88" i="65"/>
  <c r="AJ87" i="65"/>
  <c r="AJ86" i="65"/>
  <c r="AJ85" i="65"/>
  <c r="Z8" i="32"/>
  <c r="Z9" i="32"/>
  <c r="Z10" i="32"/>
  <c r="Z11" i="32"/>
  <c r="Z12" i="32"/>
  <c r="Z13" i="32"/>
  <c r="Z14" i="32"/>
  <c r="Z15" i="32"/>
  <c r="Z16" i="32"/>
  <c r="Z17" i="32"/>
  <c r="Z18" i="32"/>
  <c r="Z19" i="32"/>
  <c r="Z20" i="32"/>
  <c r="Z21" i="32"/>
  <c r="Z22" i="32"/>
  <c r="Z23" i="32"/>
  <c r="Z24" i="32"/>
  <c r="Z25" i="32"/>
  <c r="Z26" i="32"/>
  <c r="Z27" i="32"/>
  <c r="Z28" i="32"/>
  <c r="Z29" i="32"/>
  <c r="Z30" i="32"/>
  <c r="Z31" i="32"/>
  <c r="Z32" i="32"/>
  <c r="Z33" i="32"/>
  <c r="Z34" i="32"/>
  <c r="Z35" i="32"/>
  <c r="Z36" i="32"/>
  <c r="Z37" i="32"/>
  <c r="Z38" i="32"/>
  <c r="Z39" i="32"/>
  <c r="Z40" i="32"/>
  <c r="Z41" i="32"/>
  <c r="Z42" i="32"/>
  <c r="Z43" i="32"/>
  <c r="Z44" i="32"/>
  <c r="Z45" i="32"/>
  <c r="Z46" i="32"/>
  <c r="Z47" i="32"/>
  <c r="Z48" i="32"/>
  <c r="Z49" i="32"/>
  <c r="Z50" i="32"/>
  <c r="Z51" i="32"/>
  <c r="Z52" i="32"/>
  <c r="Z53" i="32"/>
  <c r="Z54" i="32"/>
  <c r="Z55" i="32"/>
  <c r="Z56" i="32"/>
  <c r="Z57" i="32"/>
  <c r="Z58" i="32"/>
  <c r="Z59" i="32"/>
  <c r="Z60" i="32"/>
  <c r="Z61" i="32"/>
  <c r="Z62" i="32"/>
  <c r="Z63" i="32"/>
  <c r="Z64" i="32"/>
  <c r="Z7" i="32"/>
  <c r="V8" i="32"/>
  <c r="W8" i="32"/>
  <c r="X8" i="32"/>
  <c r="V9" i="32"/>
  <c r="W9" i="32"/>
  <c r="X9" i="32"/>
  <c r="V10" i="32"/>
  <c r="W10" i="32"/>
  <c r="X10" i="32"/>
  <c r="V11" i="32"/>
  <c r="W11" i="32"/>
  <c r="X11" i="32"/>
  <c r="V12" i="32"/>
  <c r="W12" i="32"/>
  <c r="X12" i="32"/>
  <c r="V13" i="32"/>
  <c r="W13" i="32"/>
  <c r="X13" i="32"/>
  <c r="V14" i="32"/>
  <c r="W14" i="32"/>
  <c r="X14" i="32"/>
  <c r="V15" i="32"/>
  <c r="W15" i="32"/>
  <c r="X15" i="32"/>
  <c r="V16" i="32"/>
  <c r="W16" i="32"/>
  <c r="X16" i="32"/>
  <c r="V17" i="32"/>
  <c r="W17" i="32"/>
  <c r="X17" i="32"/>
  <c r="V18" i="32"/>
  <c r="W18" i="32"/>
  <c r="X18" i="32"/>
  <c r="V19" i="32"/>
  <c r="W19" i="32"/>
  <c r="X19" i="32"/>
  <c r="V20" i="32"/>
  <c r="W20" i="32"/>
  <c r="X20" i="32"/>
  <c r="V21" i="32"/>
  <c r="W21" i="32"/>
  <c r="X21" i="32"/>
  <c r="V22" i="32"/>
  <c r="W22" i="32"/>
  <c r="X22" i="32"/>
  <c r="V23" i="32"/>
  <c r="W23" i="32"/>
  <c r="X23" i="32"/>
  <c r="V24" i="32"/>
  <c r="W24" i="32"/>
  <c r="X24" i="32"/>
  <c r="V25" i="32"/>
  <c r="W25" i="32"/>
  <c r="X25" i="32"/>
  <c r="V26" i="32"/>
  <c r="W26" i="32"/>
  <c r="X26" i="32"/>
  <c r="V27" i="32"/>
  <c r="W27" i="32"/>
  <c r="X27" i="32"/>
  <c r="V28" i="32"/>
  <c r="W28" i="32"/>
  <c r="X28" i="32"/>
  <c r="V29" i="32"/>
  <c r="W29" i="32"/>
  <c r="X29" i="32"/>
  <c r="V30" i="32"/>
  <c r="W30" i="32"/>
  <c r="X30" i="32"/>
  <c r="V31" i="32"/>
  <c r="W31" i="32"/>
  <c r="X31" i="32"/>
  <c r="V32" i="32"/>
  <c r="W32" i="32"/>
  <c r="X32" i="32"/>
  <c r="V33" i="32"/>
  <c r="W33" i="32"/>
  <c r="X33" i="32"/>
  <c r="V34" i="32"/>
  <c r="W34" i="32"/>
  <c r="X34" i="32"/>
  <c r="V35" i="32"/>
  <c r="W35" i="32"/>
  <c r="X35" i="32"/>
  <c r="V36" i="32"/>
  <c r="W36" i="32"/>
  <c r="X36" i="32"/>
  <c r="V37" i="32"/>
  <c r="W37" i="32"/>
  <c r="X37" i="32"/>
  <c r="V38" i="32"/>
  <c r="W38" i="32"/>
  <c r="X38" i="32"/>
  <c r="V39" i="32"/>
  <c r="W39" i="32"/>
  <c r="X39" i="32"/>
  <c r="V40" i="32"/>
  <c r="W40" i="32"/>
  <c r="X40" i="32"/>
  <c r="V41" i="32"/>
  <c r="W41" i="32"/>
  <c r="X41" i="32"/>
  <c r="V42" i="32"/>
  <c r="W42" i="32"/>
  <c r="X42" i="32"/>
  <c r="V43" i="32"/>
  <c r="W43" i="32"/>
  <c r="X43" i="32"/>
  <c r="V44" i="32"/>
  <c r="W44" i="32"/>
  <c r="X44" i="32"/>
  <c r="V45" i="32"/>
  <c r="W45" i="32"/>
  <c r="X45" i="32"/>
  <c r="V46" i="32"/>
  <c r="W46" i="32"/>
  <c r="X46" i="32"/>
  <c r="V47" i="32"/>
  <c r="W47" i="32"/>
  <c r="X47" i="32"/>
  <c r="V48" i="32"/>
  <c r="W48" i="32"/>
  <c r="X48" i="32"/>
  <c r="V49" i="32"/>
  <c r="W49" i="32"/>
  <c r="X49" i="32"/>
  <c r="V50" i="32"/>
  <c r="W50" i="32"/>
  <c r="X50" i="32"/>
  <c r="V51" i="32"/>
  <c r="W51" i="32"/>
  <c r="X51" i="32"/>
  <c r="V52" i="32"/>
  <c r="W52" i="32"/>
  <c r="X52" i="32"/>
  <c r="V53" i="32"/>
  <c r="W53" i="32"/>
  <c r="X53" i="32"/>
  <c r="V54" i="32"/>
  <c r="W54" i="32"/>
  <c r="X54" i="32"/>
  <c r="V55" i="32"/>
  <c r="W55" i="32"/>
  <c r="X55" i="32"/>
  <c r="V56" i="32"/>
  <c r="W56" i="32"/>
  <c r="X56" i="32"/>
  <c r="V57" i="32"/>
  <c r="H17" i="73" s="1"/>
  <c r="W57" i="32"/>
  <c r="X57" i="32"/>
  <c r="V58" i="32"/>
  <c r="W58" i="32"/>
  <c r="X58" i="32"/>
  <c r="V59" i="32"/>
  <c r="H18" i="73" s="1"/>
  <c r="W59" i="32"/>
  <c r="X59" i="32"/>
  <c r="V60" i="32"/>
  <c r="W60" i="32"/>
  <c r="X60" i="32"/>
  <c r="V61" i="32"/>
  <c r="W61" i="32"/>
  <c r="X61" i="32"/>
  <c r="V62" i="32"/>
  <c r="W62" i="32"/>
  <c r="X62" i="32"/>
  <c r="V63" i="32"/>
  <c r="W63" i="32"/>
  <c r="X63" i="32"/>
  <c r="V64" i="32"/>
  <c r="W64" i="32"/>
  <c r="X64" i="32"/>
  <c r="X7" i="32"/>
  <c r="W7" i="32"/>
  <c r="V7" i="32"/>
  <c r="H10" i="73" l="1"/>
  <c r="H13" i="73"/>
  <c r="H12" i="73"/>
  <c r="H11" i="73"/>
  <c r="H14" i="73"/>
  <c r="H9" i="73"/>
  <c r="H7" i="73"/>
  <c r="H16" i="73"/>
  <c r="H8" i="73"/>
  <c r="H15" i="73"/>
  <c r="F150" i="52" l="1"/>
  <c r="V6" i="24" l="1"/>
  <c r="P4" i="1" s="1"/>
  <c r="L4" i="1" l="1"/>
  <c r="N4" i="1"/>
  <c r="S34" i="1"/>
  <c r="F7" i="63"/>
  <c r="B8" i="73" s="1"/>
  <c r="F8" i="63"/>
  <c r="B9" i="73" s="1"/>
  <c r="F9" i="63"/>
  <c r="B10" i="73" s="1"/>
  <c r="F10" i="63"/>
  <c r="B11" i="73" s="1"/>
  <c r="F11" i="63"/>
  <c r="B12" i="73" s="1"/>
  <c r="F12" i="63"/>
  <c r="B13" i="73" s="1"/>
  <c r="F13" i="63"/>
  <c r="B14" i="73" s="1"/>
  <c r="F6" i="63"/>
  <c r="B7" i="73" s="1"/>
  <c r="Q4" i="1" l="1"/>
  <c r="H5" i="1" s="1"/>
  <c r="D7" i="63"/>
  <c r="M63" i="72" s="1"/>
  <c r="J76" i="32" l="1"/>
  <c r="I76" i="32"/>
  <c r="P46" i="52" l="1"/>
  <c r="P45" i="52"/>
  <c r="J16" i="52"/>
  <c r="AA75" i="32" l="1"/>
  <c r="AA74" i="32"/>
  <c r="J71" i="32"/>
  <c r="J72" i="32"/>
  <c r="J73" i="32"/>
  <c r="J74" i="32"/>
  <c r="J75" i="32"/>
  <c r="H74" i="32"/>
  <c r="H75" i="32"/>
  <c r="H73" i="32"/>
  <c r="AA73" i="32"/>
  <c r="H72" i="32"/>
  <c r="AA72" i="32"/>
  <c r="H71" i="32"/>
  <c r="AA71" i="32"/>
  <c r="I75" i="32"/>
  <c r="I74" i="32"/>
  <c r="I73" i="32"/>
  <c r="I72" i="32"/>
  <c r="I71" i="32"/>
  <c r="E7" i="63" l="1"/>
  <c r="E8" i="63" s="1"/>
  <c r="E9" i="63" s="1"/>
  <c r="E10" i="63" s="1"/>
  <c r="E11" i="63" s="1"/>
  <c r="E12" i="63" s="1"/>
  <c r="E13" i="63" s="1"/>
  <c r="E14" i="63" s="1"/>
  <c r="E15" i="63" s="1"/>
  <c r="E16" i="63" s="1"/>
  <c r="E17" i="63" s="1"/>
  <c r="E18" i="63" s="1"/>
  <c r="E19" i="63" s="1"/>
  <c r="E20" i="63" s="1"/>
  <c r="E21" i="63" s="1"/>
  <c r="E22" i="63" s="1"/>
  <c r="E23" i="63" s="1"/>
  <c r="E24" i="63" s="1"/>
  <c r="E25" i="63" s="1"/>
  <c r="E26" i="63" s="1"/>
  <c r="E27" i="63" s="1"/>
  <c r="E28" i="63" s="1"/>
  <c r="E29" i="63" s="1"/>
  <c r="E30" i="63" s="1"/>
  <c r="E31" i="63" s="1"/>
  <c r="E32" i="63" s="1"/>
  <c r="E33" i="63" s="1"/>
  <c r="E34" i="63" s="1"/>
  <c r="E35" i="63" s="1"/>
  <c r="E36" i="63" s="1"/>
  <c r="E37" i="63" s="1"/>
  <c r="E38" i="63" s="1"/>
  <c r="E39" i="63" s="1"/>
  <c r="E40" i="63" s="1"/>
  <c r="E41" i="63" s="1"/>
  <c r="E42" i="63" s="1"/>
  <c r="E43" i="63" s="1"/>
  <c r="E44" i="63" s="1"/>
  <c r="E45" i="63" s="1"/>
  <c r="E46" i="63" s="1"/>
  <c r="E47" i="63" s="1"/>
  <c r="E48" i="63" s="1"/>
  <c r="E49" i="63" s="1"/>
  <c r="E50" i="63" s="1"/>
  <c r="E51" i="63" s="1"/>
  <c r="E52" i="63" s="1"/>
  <c r="E53" i="63" s="1"/>
  <c r="E54" i="63" s="1"/>
  <c r="E55" i="63" s="1"/>
  <c r="E56" i="63" s="1"/>
  <c r="E57" i="63" s="1"/>
  <c r="E58" i="63" s="1"/>
  <c r="E59" i="63" s="1"/>
  <c r="E60" i="63" s="1"/>
  <c r="E61" i="63" s="1"/>
  <c r="E62" i="63" s="1"/>
  <c r="E63" i="63" s="1"/>
  <c r="E64" i="63" s="1"/>
  <c r="E65" i="63" s="1"/>
  <c r="E66" i="63" s="1"/>
  <c r="E67" i="63" s="1"/>
  <c r="E68" i="63" s="1"/>
  <c r="E69" i="63" s="1"/>
  <c r="E70" i="63" s="1"/>
  <c r="E71" i="63" s="1"/>
  <c r="E72" i="63" s="1"/>
  <c r="E73" i="63" s="1"/>
  <c r="E74" i="63" s="1"/>
  <c r="E75" i="63" s="1"/>
  <c r="E76" i="63" s="1"/>
  <c r="E77" i="63" s="1"/>
  <c r="E78" i="63" s="1"/>
  <c r="E79" i="63" s="1"/>
  <c r="E80" i="63" s="1"/>
  <c r="E81" i="63" s="1"/>
  <c r="E82" i="63" s="1"/>
  <c r="E83" i="63" s="1"/>
  <c r="E84" i="63" s="1"/>
  <c r="E85" i="63" s="1"/>
  <c r="E86" i="63" s="1"/>
  <c r="E87" i="63" s="1"/>
  <c r="E88" i="63" s="1"/>
  <c r="E89" i="63" s="1"/>
  <c r="E90" i="63" s="1"/>
  <c r="E91" i="63" s="1"/>
  <c r="E92" i="63" s="1"/>
  <c r="E93" i="63" s="1"/>
  <c r="E94" i="63" s="1"/>
  <c r="E95" i="63" s="1"/>
  <c r="E96" i="63" s="1"/>
  <c r="E97" i="63" s="1"/>
  <c r="E98" i="63" s="1"/>
  <c r="E99" i="63" s="1"/>
  <c r="E100" i="63" s="1"/>
  <c r="E101" i="63" s="1"/>
  <c r="E102" i="63" s="1"/>
  <c r="E103" i="63" s="1"/>
  <c r="E104" i="63" s="1"/>
  <c r="E105" i="63" s="1"/>
  <c r="E106" i="63" s="1"/>
  <c r="E107" i="63" s="1"/>
  <c r="E108" i="63" s="1"/>
  <c r="E109" i="63" s="1"/>
  <c r="E110" i="63" s="1"/>
  <c r="E111" i="63" s="1"/>
  <c r="E112" i="63" s="1"/>
  <c r="E113" i="63" s="1"/>
  <c r="E114" i="63" s="1"/>
  <c r="E115" i="63" s="1"/>
  <c r="E116" i="63" s="1"/>
  <c r="E117" i="63" s="1"/>
  <c r="E118" i="63" s="1"/>
  <c r="E119" i="63" s="1"/>
  <c r="E120" i="63" s="1"/>
  <c r="E121" i="63" s="1"/>
  <c r="E122" i="63" s="1"/>
  <c r="E123" i="63" s="1"/>
  <c r="E124" i="63" s="1"/>
  <c r="E125" i="63" s="1"/>
  <c r="E126" i="63" s="1"/>
  <c r="E127" i="63" s="1"/>
  <c r="E128" i="63" s="1"/>
  <c r="E129" i="63" s="1"/>
  <c r="E130" i="63" s="1"/>
  <c r="E131" i="63" s="1"/>
  <c r="E132" i="63" s="1"/>
  <c r="E133" i="63" s="1"/>
  <c r="E134" i="63" s="1"/>
  <c r="E135" i="63" s="1"/>
  <c r="E136" i="63" s="1"/>
  <c r="E137" i="63" s="1"/>
  <c r="E138" i="63" s="1"/>
  <c r="E139" i="63" s="1"/>
  <c r="E140" i="63" s="1"/>
  <c r="E141" i="63" s="1"/>
  <c r="E142" i="63" s="1"/>
  <c r="E143" i="63" s="1"/>
  <c r="E144" i="63" s="1"/>
  <c r="E145" i="63" s="1"/>
  <c r="E146" i="63" s="1"/>
  <c r="E147" i="63" s="1"/>
  <c r="E148" i="63" s="1"/>
  <c r="E149" i="63" s="1"/>
  <c r="E150" i="63" s="1"/>
  <c r="E151" i="63" s="1"/>
  <c r="E152" i="63" s="1"/>
  <c r="E153" i="63" s="1"/>
  <c r="E154" i="63" s="1"/>
  <c r="E155" i="63" s="1"/>
  <c r="E156" i="63" s="1"/>
  <c r="E157" i="63" s="1"/>
  <c r="E158" i="63" s="1"/>
  <c r="E159" i="63" s="1"/>
  <c r="E160" i="63" s="1"/>
  <c r="E161" i="63" s="1"/>
  <c r="B24" i="63" l="1"/>
  <c r="B23" i="63"/>
  <c r="B22" i="63"/>
  <c r="B21" i="63"/>
  <c r="D18" i="63"/>
  <c r="D17" i="63"/>
  <c r="D16" i="63"/>
  <c r="D15" i="63"/>
  <c r="D14" i="63"/>
  <c r="D13" i="63"/>
  <c r="D12" i="63"/>
  <c r="D11" i="63"/>
  <c r="D10" i="63"/>
  <c r="D9" i="63"/>
  <c r="D8" i="63"/>
  <c r="D19" i="63" l="1"/>
  <c r="D140" i="63" s="1"/>
  <c r="K27" i="1" s="1"/>
  <c r="L27" i="1" s="1"/>
  <c r="G159" i="63" l="1"/>
  <c r="P30" i="24"/>
  <c r="D21" i="63" l="1"/>
  <c r="J23" i="1" s="1"/>
  <c r="C160" i="73"/>
  <c r="D24" i="63"/>
  <c r="D23" i="63"/>
  <c r="D22" i="63"/>
  <c r="D58" i="63" l="1"/>
  <c r="K23" i="1" s="1"/>
  <c r="J24" i="1"/>
  <c r="D85" i="63"/>
  <c r="K25" i="1" s="1"/>
  <c r="J25" i="1"/>
  <c r="D112" i="63"/>
  <c r="K24" i="1" s="1"/>
  <c r="J26" i="1"/>
  <c r="D139" i="63"/>
  <c r="K26" i="1" s="1"/>
  <c r="I4" i="1"/>
  <c r="O22" i="1" l="1"/>
  <c r="N22" i="1"/>
  <c r="O21" i="1"/>
  <c r="O28" i="1"/>
  <c r="N21" i="1"/>
  <c r="O26" i="1"/>
  <c r="O27" i="1"/>
  <c r="N28" i="1"/>
  <c r="O25" i="1"/>
  <c r="N26" i="1"/>
  <c r="N27" i="1"/>
  <c r="N25" i="1"/>
  <c r="AA45" i="24"/>
  <c r="AA51" i="24"/>
  <c r="AA52" i="24"/>
  <c r="AA47" i="24"/>
  <c r="AA53" i="24"/>
  <c r="AA48" i="24"/>
  <c r="AA54" i="24"/>
  <c r="AA49" i="24"/>
  <c r="AA55" i="24"/>
  <c r="AA50" i="24"/>
  <c r="AA56" i="24"/>
  <c r="B28" i="49" l="1"/>
  <c r="C28" i="49" s="1"/>
  <c r="B3" i="49"/>
  <c r="B100" i="49" s="1"/>
  <c r="B84" i="49" l="1"/>
  <c r="B92" i="49"/>
  <c r="B71" i="49"/>
  <c r="B77" i="49"/>
  <c r="B52" i="49"/>
  <c r="B65" i="49"/>
  <c r="B18" i="49"/>
  <c r="B37" i="49"/>
  <c r="U13" i="24"/>
  <c r="I25" i="1" l="1"/>
  <c r="I24" i="1"/>
  <c r="V7" i="26" l="1"/>
  <c r="V6" i="26"/>
  <c r="U9" i="26"/>
  <c r="U8" i="26"/>
  <c r="A47" i="49"/>
  <c r="A46" i="49"/>
  <c r="A48" i="49"/>
  <c r="A45" i="49"/>
  <c r="A44" i="49"/>
  <c r="A43" i="49"/>
  <c r="A42" i="49"/>
  <c r="A41" i="49"/>
  <c r="A40" i="49"/>
  <c r="A39" i="49"/>
  <c r="A38" i="49"/>
  <c r="U34" i="26"/>
  <c r="U33" i="26"/>
  <c r="U32" i="26"/>
  <c r="U31" i="26"/>
  <c r="U29" i="26"/>
  <c r="U28" i="26"/>
  <c r="U27" i="26"/>
  <c r="I23" i="1"/>
  <c r="I26" i="1"/>
  <c r="AA8" i="32" l="1"/>
  <c r="AA9" i="32"/>
  <c r="AA10" i="32"/>
  <c r="AA11" i="32"/>
  <c r="AA12" i="32"/>
  <c r="AA13" i="32"/>
  <c r="AA14" i="32"/>
  <c r="AA15" i="32"/>
  <c r="AA16" i="32"/>
  <c r="AA17" i="32"/>
  <c r="AA18" i="32"/>
  <c r="AA19" i="32"/>
  <c r="AA20" i="32"/>
  <c r="AA21" i="32"/>
  <c r="AA22" i="32"/>
  <c r="AA23" i="32"/>
  <c r="AA24" i="32"/>
  <c r="AA25" i="32"/>
  <c r="AA26" i="32"/>
  <c r="AA27" i="32"/>
  <c r="AA28" i="32"/>
  <c r="AA29" i="32"/>
  <c r="AA30" i="32"/>
  <c r="AA31" i="32"/>
  <c r="AA32" i="32"/>
  <c r="AA33" i="32"/>
  <c r="AA34" i="32"/>
  <c r="AA35" i="32"/>
  <c r="AA36" i="32"/>
  <c r="AA37" i="32"/>
  <c r="AA38" i="32"/>
  <c r="AA39" i="32"/>
  <c r="AA40" i="32"/>
  <c r="AA41" i="32"/>
  <c r="AA42" i="32"/>
  <c r="AA43" i="32"/>
  <c r="AA44" i="32"/>
  <c r="AA45" i="32"/>
  <c r="AA46" i="32"/>
  <c r="AA47" i="32"/>
  <c r="AA48" i="32"/>
  <c r="AA49" i="32"/>
  <c r="AA50" i="32"/>
  <c r="AA51" i="32"/>
  <c r="AA52" i="32"/>
  <c r="AA53" i="32"/>
  <c r="AA54" i="32"/>
  <c r="AA55" i="32"/>
  <c r="AA56" i="32"/>
  <c r="AA57" i="32"/>
  <c r="AA58" i="32"/>
  <c r="AA59" i="32"/>
  <c r="AA60" i="32"/>
  <c r="AA61" i="32"/>
  <c r="AA62" i="32"/>
  <c r="AA63" i="32"/>
  <c r="AA64" i="32"/>
  <c r="AA65" i="32"/>
  <c r="AA66" i="32"/>
  <c r="AA67" i="32"/>
  <c r="AA68" i="32"/>
  <c r="AA69" i="32"/>
  <c r="AA70" i="32"/>
  <c r="AA7" i="32"/>
  <c r="H8" i="32"/>
  <c r="I8" i="32"/>
  <c r="J8" i="32"/>
  <c r="H9" i="32"/>
  <c r="I9" i="32"/>
  <c r="J9" i="32"/>
  <c r="H10" i="32"/>
  <c r="I10" i="32"/>
  <c r="J10" i="32"/>
  <c r="H11" i="32"/>
  <c r="I11" i="32"/>
  <c r="J11" i="32"/>
  <c r="H12" i="32"/>
  <c r="I12" i="32"/>
  <c r="J12" i="32"/>
  <c r="H13" i="32"/>
  <c r="I13" i="32"/>
  <c r="J13" i="32"/>
  <c r="H14" i="32"/>
  <c r="I14" i="32"/>
  <c r="J14" i="32"/>
  <c r="H15" i="32"/>
  <c r="I15" i="32"/>
  <c r="J15" i="32"/>
  <c r="H16" i="32"/>
  <c r="I16" i="32"/>
  <c r="J16" i="32"/>
  <c r="H17" i="32"/>
  <c r="I17" i="32"/>
  <c r="J17" i="32"/>
  <c r="H18" i="32"/>
  <c r="I18" i="32"/>
  <c r="J18" i="32"/>
  <c r="H19" i="32"/>
  <c r="I19" i="32"/>
  <c r="J19" i="32"/>
  <c r="H20" i="32"/>
  <c r="I20" i="32"/>
  <c r="J20" i="32"/>
  <c r="H21" i="32"/>
  <c r="I21" i="32"/>
  <c r="J21" i="32"/>
  <c r="H22" i="32"/>
  <c r="I22" i="32"/>
  <c r="J22" i="32"/>
  <c r="H23" i="32"/>
  <c r="I23" i="32"/>
  <c r="J23" i="32"/>
  <c r="H24" i="32"/>
  <c r="I24" i="32"/>
  <c r="J24" i="32"/>
  <c r="H25" i="32"/>
  <c r="I25" i="32"/>
  <c r="J25" i="32"/>
  <c r="H26" i="32"/>
  <c r="I26" i="32"/>
  <c r="J26" i="32"/>
  <c r="H27" i="32"/>
  <c r="I27" i="32"/>
  <c r="J27" i="32"/>
  <c r="H28" i="32"/>
  <c r="I28" i="32"/>
  <c r="J28" i="32"/>
  <c r="H29" i="32"/>
  <c r="I29" i="32"/>
  <c r="J29" i="32"/>
  <c r="H30" i="32"/>
  <c r="I30" i="32"/>
  <c r="J30" i="32"/>
  <c r="H31" i="32"/>
  <c r="I31" i="32"/>
  <c r="J31" i="32"/>
  <c r="H32" i="32"/>
  <c r="I32" i="32"/>
  <c r="J32" i="32"/>
  <c r="H33" i="32"/>
  <c r="I33" i="32"/>
  <c r="J33" i="32"/>
  <c r="H34" i="32"/>
  <c r="I34" i="32"/>
  <c r="J34" i="32"/>
  <c r="H35" i="32"/>
  <c r="I35" i="32"/>
  <c r="J35" i="32"/>
  <c r="H36" i="32"/>
  <c r="I36" i="32"/>
  <c r="J36" i="32"/>
  <c r="H37" i="32"/>
  <c r="I37" i="32"/>
  <c r="J37" i="32"/>
  <c r="H38" i="32"/>
  <c r="I38" i="32"/>
  <c r="J38" i="32"/>
  <c r="H39" i="32"/>
  <c r="I39" i="32"/>
  <c r="J39" i="32"/>
  <c r="H40" i="32"/>
  <c r="I40" i="32"/>
  <c r="J40" i="32"/>
  <c r="H41" i="32"/>
  <c r="I41" i="32"/>
  <c r="J41" i="32"/>
  <c r="H42" i="32"/>
  <c r="I42" i="32"/>
  <c r="J42" i="32"/>
  <c r="H43" i="32"/>
  <c r="I43" i="32"/>
  <c r="J43" i="32"/>
  <c r="H44" i="32"/>
  <c r="I44" i="32"/>
  <c r="J44" i="32"/>
  <c r="H45" i="32"/>
  <c r="I45" i="32"/>
  <c r="J45" i="32"/>
  <c r="H46" i="32"/>
  <c r="I46" i="32"/>
  <c r="J46" i="32"/>
  <c r="H47" i="32"/>
  <c r="I47" i="32"/>
  <c r="J47" i="32"/>
  <c r="H48" i="32"/>
  <c r="I48" i="32"/>
  <c r="J48" i="32"/>
  <c r="H49" i="32"/>
  <c r="I49" i="32"/>
  <c r="J49" i="32"/>
  <c r="H50" i="32"/>
  <c r="I50" i="32"/>
  <c r="J50" i="32"/>
  <c r="H51" i="32"/>
  <c r="I51" i="32"/>
  <c r="J51" i="32"/>
  <c r="H52" i="32"/>
  <c r="I52" i="32"/>
  <c r="J52" i="32"/>
  <c r="H53" i="32"/>
  <c r="I53" i="32"/>
  <c r="J53" i="32"/>
  <c r="H54" i="32"/>
  <c r="I54" i="32"/>
  <c r="J54" i="32"/>
  <c r="H55" i="32"/>
  <c r="I55" i="32"/>
  <c r="J55" i="32"/>
  <c r="H56" i="32"/>
  <c r="I56" i="32"/>
  <c r="J56" i="32"/>
  <c r="H57" i="32"/>
  <c r="I57" i="32"/>
  <c r="J57" i="32"/>
  <c r="H58" i="32"/>
  <c r="I58" i="32"/>
  <c r="J58" i="32"/>
  <c r="H59" i="32"/>
  <c r="I59" i="32"/>
  <c r="J59" i="32"/>
  <c r="H60" i="32"/>
  <c r="I60" i="32"/>
  <c r="J60" i="32"/>
  <c r="H61" i="32"/>
  <c r="I61" i="32"/>
  <c r="J61" i="32"/>
  <c r="H62" i="32"/>
  <c r="I62" i="32"/>
  <c r="J62" i="32"/>
  <c r="H63" i="32"/>
  <c r="I63" i="32"/>
  <c r="J63" i="32"/>
  <c r="H64" i="32"/>
  <c r="I64" i="32"/>
  <c r="J64" i="32"/>
  <c r="H65" i="32"/>
  <c r="I65" i="32"/>
  <c r="J65" i="32"/>
  <c r="H66" i="32"/>
  <c r="I66" i="32"/>
  <c r="J66" i="32"/>
  <c r="H67" i="32"/>
  <c r="I67" i="32"/>
  <c r="J67" i="32"/>
  <c r="H68" i="32"/>
  <c r="I68" i="32"/>
  <c r="J68" i="32"/>
  <c r="H69" i="32"/>
  <c r="I69" i="32"/>
  <c r="J69" i="32"/>
  <c r="H70" i="32"/>
  <c r="I70" i="32"/>
  <c r="J70" i="32"/>
  <c r="J7" i="32"/>
  <c r="I7" i="32"/>
  <c r="H7" i="32"/>
  <c r="D4" i="32"/>
  <c r="O22" i="24" l="1"/>
  <c r="O23" i="24" s="1"/>
  <c r="AA7" i="24" l="1"/>
  <c r="AA8" i="24"/>
  <c r="AA9" i="24"/>
  <c r="AA10" i="24"/>
  <c r="AA11" i="24"/>
  <c r="AA12" i="24"/>
  <c r="AA13" i="24"/>
  <c r="AA14" i="24"/>
  <c r="AA38" i="24" s="1"/>
  <c r="AA15" i="24"/>
  <c r="AA16" i="24"/>
  <c r="AA17" i="24"/>
  <c r="AA18" i="24"/>
  <c r="AA19" i="24"/>
  <c r="AA20" i="24"/>
  <c r="AA21" i="24"/>
  <c r="AA22" i="24"/>
  <c r="AA23" i="24"/>
  <c r="AA24" i="24"/>
  <c r="AA25" i="24"/>
  <c r="AA26" i="24"/>
  <c r="AA27" i="24"/>
  <c r="AA28" i="24"/>
  <c r="AA29" i="24"/>
  <c r="AA30" i="24"/>
  <c r="AA31" i="24"/>
  <c r="AA32" i="24"/>
  <c r="AA33" i="24"/>
  <c r="AA34" i="24"/>
  <c r="O79" i="52" l="1"/>
  <c r="O78" i="52"/>
  <c r="O77" i="52"/>
  <c r="O76" i="52"/>
  <c r="N58" i="52" l="1"/>
  <c r="N60" i="52"/>
  <c r="N59" i="52"/>
  <c r="N57" i="52"/>
  <c r="L38" i="52" l="1"/>
  <c r="J43" i="52"/>
  <c r="J41" i="52"/>
  <c r="J39" i="52"/>
  <c r="J37" i="52"/>
  <c r="H29" i="52"/>
  <c r="H31" i="52"/>
  <c r="H33" i="52"/>
  <c r="H35" i="52"/>
  <c r="D40" i="24" l="1"/>
  <c r="C60" i="24" l="1"/>
  <c r="D59" i="24" s="1"/>
  <c r="D32" i="24"/>
  <c r="C70" i="24"/>
  <c r="D69" i="24" s="1"/>
  <c r="D66" i="24" l="1"/>
  <c r="D62" i="24"/>
  <c r="D65" i="24"/>
  <c r="D68" i="24"/>
  <c r="D67" i="24"/>
  <c r="D63" i="24"/>
  <c r="D58" i="24"/>
  <c r="E60" i="24" s="1"/>
  <c r="D64" i="24"/>
  <c r="E57" i="24" l="1"/>
  <c r="E61" i="24"/>
  <c r="E70" i="24"/>
  <c r="E71" i="24" s="1"/>
  <c r="A1500" i="36" l="1"/>
  <c r="A1499" i="36"/>
  <c r="A1498" i="36"/>
  <c r="A1497" i="36"/>
  <c r="A1496" i="36"/>
  <c r="A1495" i="36"/>
  <c r="A1494" i="36"/>
  <c r="A1493" i="36"/>
  <c r="A1492" i="36"/>
  <c r="A1491" i="36"/>
  <c r="A1490" i="36"/>
  <c r="A1489" i="36"/>
  <c r="A1488" i="36"/>
  <c r="A1487" i="36"/>
  <c r="A1486" i="36"/>
  <c r="A1485" i="36"/>
  <c r="A1484" i="36"/>
  <c r="A1483" i="36"/>
  <c r="A1482" i="36"/>
  <c r="A1481" i="36"/>
  <c r="A1480" i="36"/>
  <c r="A1479" i="36"/>
  <c r="A1478" i="36"/>
  <c r="A1477" i="36"/>
  <c r="A1476" i="36"/>
  <c r="A1475" i="36"/>
  <c r="A1474" i="36"/>
  <c r="A1473" i="36"/>
  <c r="A1472" i="36"/>
  <c r="A1471" i="36"/>
  <c r="A1470" i="36"/>
  <c r="A1469" i="36"/>
  <c r="A1468" i="36"/>
  <c r="A1467" i="36"/>
  <c r="A1466" i="36"/>
  <c r="A1465" i="36"/>
  <c r="A1464" i="36"/>
  <c r="A1463" i="36"/>
  <c r="A1462" i="36"/>
  <c r="A1461" i="36"/>
  <c r="A1460" i="36"/>
  <c r="A1459" i="36"/>
  <c r="A1458" i="36"/>
  <c r="A1457" i="36"/>
  <c r="A1456" i="36"/>
  <c r="A1455" i="36"/>
  <c r="A1454" i="36"/>
  <c r="A1453" i="36"/>
  <c r="A1452" i="36"/>
  <c r="A1451" i="36"/>
  <c r="A1450" i="36"/>
  <c r="A1449" i="36"/>
  <c r="A1448" i="36"/>
  <c r="A1447" i="36"/>
  <c r="A1446" i="36"/>
  <c r="A1445" i="36"/>
  <c r="A1444" i="36"/>
  <c r="A1443" i="36"/>
  <c r="A1442" i="36"/>
  <c r="A1441" i="36"/>
  <c r="A1440" i="36"/>
  <c r="A1439" i="36"/>
  <c r="A1438" i="36"/>
  <c r="A1437" i="36"/>
  <c r="A1436" i="36"/>
  <c r="A1435" i="36"/>
  <c r="A1434" i="36"/>
  <c r="A1433" i="36"/>
  <c r="A1432" i="36"/>
  <c r="A1431" i="36"/>
  <c r="A1430" i="36"/>
  <c r="A1429" i="36"/>
  <c r="A1428" i="36"/>
  <c r="A1427" i="36"/>
  <c r="A1426" i="36"/>
  <c r="A1425" i="36"/>
  <c r="A1424" i="36"/>
  <c r="A1423" i="36"/>
  <c r="A1422" i="36"/>
  <c r="A1421" i="36"/>
  <c r="A1420" i="36"/>
  <c r="A1419" i="36"/>
  <c r="A1418" i="36"/>
  <c r="A1417" i="36"/>
  <c r="A1416" i="36"/>
  <c r="A1415" i="36"/>
  <c r="A1414" i="36"/>
  <c r="A1413" i="36"/>
  <c r="A1412" i="36"/>
  <c r="A1411" i="36"/>
  <c r="A1410" i="36"/>
  <c r="A1409" i="36"/>
  <c r="A1408" i="36"/>
  <c r="A1407" i="36"/>
  <c r="A1406" i="36"/>
  <c r="A1405" i="36"/>
  <c r="A1404" i="36"/>
  <c r="A1403" i="36"/>
  <c r="A1402" i="36"/>
  <c r="A1401" i="36"/>
  <c r="A1400" i="36"/>
  <c r="A1399" i="36"/>
  <c r="A1398" i="36"/>
  <c r="A1397" i="36"/>
  <c r="A1396" i="36"/>
  <c r="A1395" i="36"/>
  <c r="A1394" i="36"/>
  <c r="A1393" i="36"/>
  <c r="A1392" i="36"/>
  <c r="A1391" i="36"/>
  <c r="A1390" i="36"/>
  <c r="A1389" i="36"/>
  <c r="A1388" i="36"/>
  <c r="A1387" i="36"/>
  <c r="A1386" i="36"/>
  <c r="A1385" i="36"/>
  <c r="A1384" i="36"/>
  <c r="A1383" i="36"/>
  <c r="A1382" i="36"/>
  <c r="A1381" i="36"/>
  <c r="A1380" i="36"/>
  <c r="A1379" i="36"/>
  <c r="A1378" i="36"/>
  <c r="A1377" i="36"/>
  <c r="A1376" i="36"/>
  <c r="A1375" i="36"/>
  <c r="A1374" i="36"/>
  <c r="A1373" i="36"/>
  <c r="A1372" i="36"/>
  <c r="A1371" i="36"/>
  <c r="A1370" i="36"/>
  <c r="A1369" i="36"/>
  <c r="A1368" i="36"/>
  <c r="A1367" i="36"/>
  <c r="A1366" i="36"/>
  <c r="A1365" i="36"/>
  <c r="A1364" i="36"/>
  <c r="A1363" i="36"/>
  <c r="A1362" i="36"/>
  <c r="A1361" i="36"/>
  <c r="A1360" i="36"/>
  <c r="A1359" i="36"/>
  <c r="A1358" i="36"/>
  <c r="A1357" i="36"/>
  <c r="A1356" i="36"/>
  <c r="A1355" i="36"/>
  <c r="A1354" i="36"/>
  <c r="A1353" i="36"/>
  <c r="A1352" i="36"/>
  <c r="A1351" i="36"/>
  <c r="A1350" i="36"/>
  <c r="A1349" i="36"/>
  <c r="A1348" i="36"/>
  <c r="A1347" i="36"/>
  <c r="A1346" i="36"/>
  <c r="A1345" i="36"/>
  <c r="A1344" i="36"/>
  <c r="A1343" i="36"/>
  <c r="A1342" i="36"/>
  <c r="A1341" i="36"/>
  <c r="A1340" i="36"/>
  <c r="A1339" i="36"/>
  <c r="A1338" i="36"/>
  <c r="A1337" i="36"/>
  <c r="A1336" i="36"/>
  <c r="A1335" i="36"/>
  <c r="A1334" i="36"/>
  <c r="A1333" i="36"/>
  <c r="A1332" i="36"/>
  <c r="A1331" i="36"/>
  <c r="A1330" i="36"/>
  <c r="A1329" i="36"/>
  <c r="A1328" i="36"/>
  <c r="A1327" i="36"/>
  <c r="A1326" i="36"/>
  <c r="A1325" i="36"/>
  <c r="A1324" i="36"/>
  <c r="A1323" i="36"/>
  <c r="A1322" i="36"/>
  <c r="A1321" i="36"/>
  <c r="A1320" i="36"/>
  <c r="A1319" i="36"/>
  <c r="A1318" i="36"/>
  <c r="A1317" i="36"/>
  <c r="A1316" i="36"/>
  <c r="A1315" i="36"/>
  <c r="A1314" i="36"/>
  <c r="A1313" i="36"/>
  <c r="A1312" i="36"/>
  <c r="A1311" i="36"/>
  <c r="A1310" i="36"/>
  <c r="A1309" i="36"/>
  <c r="A1308" i="36"/>
  <c r="A1307" i="36"/>
  <c r="A1306" i="36"/>
  <c r="A1305" i="36"/>
  <c r="A1304" i="36"/>
  <c r="A1303" i="36"/>
  <c r="A1302" i="36"/>
  <c r="A1301" i="36"/>
  <c r="A1300" i="36"/>
  <c r="A1299" i="36"/>
  <c r="A1298" i="36"/>
  <c r="A1297" i="36"/>
  <c r="A1296" i="36"/>
  <c r="A1295" i="36"/>
  <c r="A1294" i="36"/>
  <c r="A1293" i="36"/>
  <c r="A1292" i="36"/>
  <c r="A1291" i="36"/>
  <c r="A1290" i="36"/>
  <c r="A1289" i="36"/>
  <c r="A1288" i="36"/>
  <c r="A1287" i="36"/>
  <c r="A1286" i="36"/>
  <c r="A1285" i="36"/>
  <c r="A1284" i="36"/>
  <c r="A1283" i="36"/>
  <c r="A1282" i="36"/>
  <c r="A1281" i="36"/>
  <c r="A1280" i="36"/>
  <c r="A1279" i="36"/>
  <c r="A1278" i="36"/>
  <c r="A1277" i="36"/>
  <c r="A1276" i="36"/>
  <c r="A1275" i="36"/>
  <c r="A1274" i="36"/>
  <c r="A1273" i="36"/>
  <c r="A1272" i="36"/>
  <c r="A1271" i="36"/>
  <c r="A1270" i="36"/>
  <c r="A1269" i="36"/>
  <c r="A1268" i="36"/>
  <c r="A1267" i="36"/>
  <c r="A1266" i="36"/>
  <c r="A1265" i="36"/>
  <c r="A1264" i="36"/>
  <c r="A1263" i="36"/>
  <c r="A1262" i="36"/>
  <c r="A1261" i="36"/>
  <c r="A1260" i="36"/>
  <c r="A1259" i="36"/>
  <c r="A1258" i="36"/>
  <c r="A1257" i="36"/>
  <c r="A1256" i="36"/>
  <c r="A1255" i="36"/>
  <c r="A1254" i="36"/>
  <c r="A1253" i="36"/>
  <c r="A1252" i="36"/>
  <c r="A1251" i="36"/>
  <c r="A1250" i="36"/>
  <c r="A1249" i="36"/>
  <c r="A1248" i="36"/>
  <c r="A1247" i="36"/>
  <c r="A1246" i="36"/>
  <c r="A1245" i="36"/>
  <c r="A1244" i="36"/>
  <c r="A1243" i="36"/>
  <c r="A1242" i="36"/>
  <c r="A1241" i="36"/>
  <c r="A1240" i="36"/>
  <c r="A1239" i="36"/>
  <c r="A1238" i="36"/>
  <c r="A1237" i="36"/>
  <c r="A1236" i="36"/>
  <c r="A1235" i="36"/>
  <c r="A1234" i="36"/>
  <c r="A1233" i="36"/>
  <c r="A1232" i="36"/>
  <c r="A1231" i="36"/>
  <c r="A1230" i="36"/>
  <c r="A1229" i="36"/>
  <c r="A1228" i="36"/>
  <c r="A1227" i="36"/>
  <c r="A1226" i="36"/>
  <c r="A1225" i="36"/>
  <c r="A1224" i="36"/>
  <c r="A1223" i="36"/>
  <c r="A1222" i="36"/>
  <c r="A1221" i="36"/>
  <c r="A1220" i="36"/>
  <c r="A1219" i="36"/>
  <c r="A1218" i="36"/>
  <c r="A1217" i="36"/>
  <c r="A1216" i="36"/>
  <c r="A1215" i="36"/>
  <c r="A1214" i="36"/>
  <c r="A1213" i="36"/>
  <c r="A1212" i="36"/>
  <c r="A1211" i="36"/>
  <c r="A1210" i="36"/>
  <c r="A1209" i="36"/>
  <c r="A1208" i="36"/>
  <c r="A1207" i="36"/>
  <c r="A1206" i="36"/>
  <c r="A1205" i="36"/>
  <c r="A1204" i="36"/>
  <c r="A1203" i="36"/>
  <c r="A1202" i="36"/>
  <c r="A1201" i="36"/>
  <c r="A1200" i="36"/>
  <c r="A1199" i="36"/>
  <c r="A1198" i="36"/>
  <c r="A1197" i="36"/>
  <c r="A1196" i="36"/>
  <c r="A1195" i="36"/>
  <c r="A1194" i="36"/>
  <c r="A1193" i="36"/>
  <c r="A1192" i="36"/>
  <c r="A1191" i="36"/>
  <c r="A1190" i="36"/>
  <c r="A1189" i="36"/>
  <c r="A1188" i="36"/>
  <c r="A1187" i="36"/>
  <c r="A1186" i="36"/>
  <c r="A1185" i="36"/>
  <c r="A1184" i="36"/>
  <c r="A1183" i="36"/>
  <c r="A1182" i="36"/>
  <c r="A1181" i="36"/>
  <c r="A1180" i="36"/>
  <c r="A1179" i="36"/>
  <c r="A1178" i="36"/>
  <c r="A1177" i="36"/>
  <c r="A1176" i="36"/>
  <c r="A1175" i="36"/>
  <c r="A1174" i="36"/>
  <c r="A1173" i="36"/>
  <c r="A1172" i="36"/>
  <c r="A1171" i="36"/>
  <c r="A1170" i="36"/>
  <c r="A1169" i="36"/>
  <c r="A1168" i="36"/>
  <c r="A1167" i="36"/>
  <c r="A1166" i="36"/>
  <c r="A1165" i="36"/>
  <c r="A1164" i="36"/>
  <c r="A1163" i="36"/>
  <c r="A1162" i="36"/>
  <c r="A1161" i="36"/>
  <c r="A1160" i="36"/>
  <c r="A1159" i="36"/>
  <c r="A1158" i="36"/>
  <c r="A1157" i="36"/>
  <c r="A1156" i="36"/>
  <c r="A1155" i="36"/>
  <c r="A1154" i="36"/>
  <c r="A1153" i="36"/>
  <c r="A1152" i="36"/>
  <c r="A1151" i="36"/>
  <c r="A1150" i="36"/>
  <c r="A1149" i="36"/>
  <c r="A1148" i="36"/>
  <c r="A1147" i="36"/>
  <c r="A1146" i="36"/>
  <c r="A1145" i="36"/>
  <c r="A1144" i="36"/>
  <c r="A1143" i="36"/>
  <c r="A1142" i="36"/>
  <c r="A1141" i="36"/>
  <c r="A1140" i="36"/>
  <c r="A1139" i="36"/>
  <c r="A1138" i="36"/>
  <c r="A1137" i="36"/>
  <c r="A1136" i="36"/>
  <c r="A1135" i="36"/>
  <c r="A1134" i="36"/>
  <c r="A1133" i="36"/>
  <c r="A1132" i="36"/>
  <c r="A1131" i="36"/>
  <c r="A1130" i="36"/>
  <c r="A1129" i="36"/>
  <c r="A1128" i="36"/>
  <c r="A1127" i="36"/>
  <c r="A1126" i="36"/>
  <c r="A1125" i="36"/>
  <c r="A1124" i="36"/>
  <c r="A1123" i="36"/>
  <c r="A1122" i="36"/>
  <c r="A1121" i="36"/>
  <c r="A1120" i="36"/>
  <c r="A1119" i="36"/>
  <c r="A1118" i="36"/>
  <c r="A1117" i="36"/>
  <c r="A1116" i="36"/>
  <c r="A1115" i="36"/>
  <c r="A1114" i="36"/>
  <c r="A1113" i="36"/>
  <c r="A1112" i="36"/>
  <c r="A1111" i="36"/>
  <c r="A1110" i="36"/>
  <c r="A1109" i="36"/>
  <c r="A1108" i="36"/>
  <c r="A1107" i="36"/>
  <c r="A1106" i="36"/>
  <c r="A1105" i="36"/>
  <c r="A1104" i="36"/>
  <c r="A1103" i="36"/>
  <c r="A1102" i="36"/>
  <c r="A1101" i="36"/>
  <c r="A1100" i="36"/>
  <c r="A1099" i="36"/>
  <c r="A1098" i="36"/>
  <c r="A1097" i="36"/>
  <c r="A1096" i="36"/>
  <c r="A1095" i="36"/>
  <c r="A1094" i="36"/>
  <c r="A1093" i="36"/>
  <c r="A1092" i="36"/>
  <c r="A1091" i="36"/>
  <c r="A1090" i="36"/>
  <c r="A1089" i="36"/>
  <c r="A1088" i="36"/>
  <c r="A1087" i="36"/>
  <c r="A1086" i="36"/>
  <c r="A1085" i="36"/>
  <c r="A1084" i="36"/>
  <c r="A1083" i="36"/>
  <c r="A1082" i="36"/>
  <c r="A1081" i="36"/>
  <c r="A1080" i="36"/>
  <c r="A1079" i="36"/>
  <c r="A1078" i="36"/>
  <c r="A1077" i="36"/>
  <c r="A1076" i="36"/>
  <c r="A1075" i="36"/>
  <c r="A1074" i="36"/>
  <c r="A1073" i="36"/>
  <c r="A1072" i="36"/>
  <c r="A1071" i="36"/>
  <c r="A1070" i="36"/>
  <c r="A1069" i="36"/>
  <c r="A1068" i="36"/>
  <c r="A1067" i="36"/>
  <c r="A1066" i="36"/>
  <c r="A1065" i="36"/>
  <c r="A1064" i="36"/>
  <c r="A1063" i="36"/>
  <c r="A1062" i="36"/>
  <c r="A1061" i="36"/>
  <c r="A1060" i="36"/>
  <c r="A1059" i="36"/>
  <c r="A1058" i="36"/>
  <c r="A1057" i="36"/>
  <c r="A1056" i="36"/>
  <c r="A1055" i="36"/>
  <c r="A1054" i="36"/>
  <c r="A1053" i="36"/>
  <c r="A1052" i="36"/>
  <c r="A1051" i="36"/>
  <c r="A1050" i="36"/>
  <c r="A1049" i="36"/>
  <c r="A1048" i="36"/>
  <c r="A1047" i="36"/>
  <c r="A1046" i="36"/>
  <c r="A1045" i="36"/>
  <c r="A1044" i="36"/>
  <c r="A1043" i="36"/>
  <c r="A1042" i="36"/>
  <c r="A1041" i="36"/>
  <c r="A1040" i="36"/>
  <c r="A1039" i="36"/>
  <c r="A1038" i="36"/>
  <c r="A1037" i="36"/>
  <c r="A1036" i="36"/>
  <c r="A1035" i="36"/>
  <c r="A1034" i="36"/>
  <c r="A1033" i="36"/>
  <c r="A1032" i="36"/>
  <c r="A1031" i="36"/>
  <c r="A1030" i="36"/>
  <c r="A1029" i="36"/>
  <c r="A1028" i="36"/>
  <c r="A1027" i="36"/>
  <c r="A1026" i="36"/>
  <c r="A1025" i="36"/>
  <c r="A1024" i="36"/>
  <c r="A1023" i="36"/>
  <c r="A1022" i="36"/>
  <c r="A1021" i="36"/>
  <c r="A1020" i="36"/>
  <c r="A1019" i="36"/>
  <c r="A1018" i="36"/>
  <c r="A1017" i="36"/>
  <c r="A1016" i="36"/>
  <c r="A1015" i="36"/>
  <c r="A1014" i="36"/>
  <c r="A1013" i="36"/>
  <c r="A1012" i="36"/>
  <c r="A1011" i="36"/>
  <c r="A1010" i="36"/>
  <c r="A1009" i="36"/>
  <c r="A1008" i="36"/>
  <c r="A1007" i="36"/>
  <c r="A1006" i="36"/>
  <c r="A1005" i="36"/>
  <c r="A1004" i="36"/>
  <c r="A1003" i="36"/>
  <c r="A1002" i="36"/>
  <c r="A1001" i="36"/>
  <c r="A1000" i="36"/>
  <c r="A999" i="36"/>
  <c r="A998" i="36"/>
  <c r="A997" i="36"/>
  <c r="A996" i="36"/>
  <c r="A995" i="36"/>
  <c r="A994" i="36"/>
  <c r="A993" i="36"/>
  <c r="A992" i="36"/>
  <c r="A991" i="36"/>
  <c r="A990" i="36"/>
  <c r="A989" i="36"/>
  <c r="A988" i="36"/>
  <c r="A987" i="36"/>
  <c r="A986" i="36"/>
  <c r="A985" i="36"/>
  <c r="A984" i="36"/>
  <c r="A983" i="36"/>
  <c r="A982" i="36"/>
  <c r="A981" i="36"/>
  <c r="A980" i="36"/>
  <c r="A979" i="36"/>
  <c r="A978" i="36"/>
  <c r="A977" i="36"/>
  <c r="A976" i="36"/>
  <c r="A975" i="36"/>
  <c r="A974" i="36"/>
  <c r="A973" i="36"/>
  <c r="A972" i="36"/>
  <c r="A971" i="36"/>
  <c r="A970" i="36"/>
  <c r="A969" i="36"/>
  <c r="A968" i="36"/>
  <c r="A967" i="36"/>
  <c r="A966" i="36"/>
  <c r="A965" i="36"/>
  <c r="A964" i="36"/>
  <c r="A963" i="36"/>
  <c r="A962" i="36"/>
  <c r="A961" i="36"/>
  <c r="A960" i="36"/>
  <c r="A959" i="36"/>
  <c r="A958" i="36"/>
  <c r="A957" i="36"/>
  <c r="A956" i="36"/>
  <c r="A955" i="36"/>
  <c r="A954" i="36"/>
  <c r="A953" i="36"/>
  <c r="A952" i="36"/>
  <c r="A951" i="36"/>
  <c r="A950" i="36"/>
  <c r="A949" i="36"/>
  <c r="A948" i="36"/>
  <c r="A947" i="36"/>
  <c r="A946" i="36"/>
  <c r="A945" i="36"/>
  <c r="A944" i="36"/>
  <c r="A943" i="36"/>
  <c r="A942" i="36"/>
  <c r="A941" i="36"/>
  <c r="A940" i="36"/>
  <c r="A939" i="36"/>
  <c r="A938" i="36"/>
  <c r="A937" i="36"/>
  <c r="A936" i="36"/>
  <c r="A935" i="36"/>
  <c r="A934" i="36"/>
  <c r="A933" i="36"/>
  <c r="A932" i="36"/>
  <c r="A931" i="36"/>
  <c r="A930" i="36"/>
  <c r="A929" i="36"/>
  <c r="A928" i="36"/>
  <c r="A927" i="36"/>
  <c r="A926" i="36"/>
  <c r="A925" i="36"/>
  <c r="A924" i="36"/>
  <c r="A923" i="36"/>
  <c r="A922" i="36"/>
  <c r="A921" i="36"/>
  <c r="A920" i="36"/>
  <c r="A919" i="36"/>
  <c r="A918" i="36"/>
  <c r="A917" i="36"/>
  <c r="A916" i="36"/>
  <c r="A915" i="36"/>
  <c r="A914" i="36"/>
  <c r="A913" i="36"/>
  <c r="A912" i="36"/>
  <c r="A911" i="36"/>
  <c r="A910" i="36"/>
  <c r="A909" i="36"/>
  <c r="A908" i="36"/>
  <c r="A907" i="36"/>
  <c r="A906" i="36"/>
  <c r="A905" i="36"/>
  <c r="A904" i="36"/>
  <c r="A903" i="36"/>
  <c r="A902" i="36"/>
  <c r="A901" i="36"/>
  <c r="A900" i="36"/>
  <c r="A899" i="36"/>
  <c r="A898" i="36"/>
  <c r="A897" i="36"/>
  <c r="A896" i="36"/>
  <c r="A895" i="36"/>
  <c r="A894" i="36"/>
  <c r="A893" i="36"/>
  <c r="A892" i="36"/>
  <c r="A891" i="36"/>
  <c r="A890" i="36"/>
  <c r="A889" i="36"/>
  <c r="A888" i="36"/>
  <c r="A887" i="36"/>
  <c r="A886" i="36"/>
  <c r="A885" i="36"/>
  <c r="A884" i="36"/>
  <c r="A883" i="36"/>
  <c r="A882" i="36"/>
  <c r="A881" i="36"/>
  <c r="A880" i="36"/>
  <c r="A879" i="36"/>
  <c r="A878" i="36"/>
  <c r="A877" i="36"/>
  <c r="A876" i="36"/>
  <c r="A875" i="36"/>
  <c r="A874" i="36"/>
  <c r="A873" i="36"/>
  <c r="A872" i="36"/>
  <c r="A871" i="36"/>
  <c r="A870" i="36"/>
  <c r="A869" i="36"/>
  <c r="A868" i="36"/>
  <c r="A867" i="36"/>
  <c r="A866" i="36"/>
  <c r="A865" i="36"/>
  <c r="A864" i="36"/>
  <c r="A863" i="36"/>
  <c r="A862" i="36"/>
  <c r="A861" i="36"/>
  <c r="A860" i="36"/>
  <c r="A859" i="36"/>
  <c r="A858" i="36"/>
  <c r="A857" i="36"/>
  <c r="A856" i="36"/>
  <c r="A855" i="36"/>
  <c r="A854" i="36"/>
  <c r="A853" i="36"/>
  <c r="A852" i="36"/>
  <c r="A851" i="36"/>
  <c r="A850" i="36"/>
  <c r="A849" i="36"/>
  <c r="A848" i="36"/>
  <c r="A847" i="36"/>
  <c r="A846" i="36"/>
  <c r="A845" i="36"/>
  <c r="A844" i="36"/>
  <c r="A843" i="36"/>
  <c r="A842" i="36"/>
  <c r="A841" i="36"/>
  <c r="A840" i="36"/>
  <c r="A839" i="36"/>
  <c r="A838" i="36"/>
  <c r="A837" i="36"/>
  <c r="A836" i="36"/>
  <c r="A835" i="36"/>
  <c r="A834" i="36"/>
  <c r="A833" i="36"/>
  <c r="A832" i="36"/>
  <c r="A831" i="36"/>
  <c r="A830" i="36"/>
  <c r="A829" i="36"/>
  <c r="A828" i="36"/>
  <c r="A827" i="36"/>
  <c r="A826" i="36"/>
  <c r="A825" i="36"/>
  <c r="A824" i="36"/>
  <c r="A823" i="36"/>
  <c r="A822" i="36"/>
  <c r="A821" i="36"/>
  <c r="A820" i="36"/>
  <c r="A819" i="36"/>
  <c r="A818" i="36"/>
  <c r="A817" i="36"/>
  <c r="A816" i="36"/>
  <c r="A815" i="36"/>
  <c r="A814" i="36"/>
  <c r="A813" i="36"/>
  <c r="A812" i="36"/>
  <c r="A811" i="36"/>
  <c r="A810" i="36"/>
  <c r="A809" i="36"/>
  <c r="A808" i="36"/>
  <c r="A807" i="36"/>
  <c r="A806" i="36"/>
  <c r="A805" i="36"/>
  <c r="A804" i="36"/>
  <c r="A803" i="36"/>
  <c r="A802" i="36"/>
  <c r="A801" i="36"/>
  <c r="A800" i="36"/>
  <c r="A799" i="36"/>
  <c r="A798" i="36"/>
  <c r="A797" i="36"/>
  <c r="A796" i="36"/>
  <c r="A795" i="36"/>
  <c r="A794" i="36"/>
  <c r="A793" i="36"/>
  <c r="A792" i="36"/>
  <c r="A791" i="36"/>
  <c r="A790" i="36"/>
  <c r="A789" i="36"/>
  <c r="A788" i="36"/>
  <c r="A787" i="36"/>
  <c r="A786" i="36"/>
  <c r="A785" i="36"/>
  <c r="A784" i="36"/>
  <c r="A783" i="36"/>
  <c r="A782" i="36"/>
  <c r="A781" i="36"/>
  <c r="A780" i="36"/>
  <c r="A779" i="36"/>
  <c r="A778" i="36"/>
  <c r="A777" i="36"/>
  <c r="A776" i="36"/>
  <c r="A775" i="36"/>
  <c r="A774" i="36"/>
  <c r="A773" i="36"/>
  <c r="A772" i="36"/>
  <c r="A771" i="36"/>
  <c r="A770" i="36"/>
  <c r="A769" i="36"/>
  <c r="A768" i="36"/>
  <c r="A767" i="36"/>
  <c r="A766" i="36"/>
  <c r="A765" i="36"/>
  <c r="A764" i="36"/>
  <c r="A763" i="36"/>
  <c r="A762" i="36"/>
  <c r="A761" i="36"/>
  <c r="A760" i="36"/>
  <c r="A759" i="36"/>
  <c r="A758" i="36"/>
  <c r="A757" i="36"/>
  <c r="A756" i="36"/>
  <c r="A755" i="36"/>
  <c r="A754" i="36"/>
  <c r="A753" i="36"/>
  <c r="A752" i="36"/>
  <c r="A751" i="36"/>
  <c r="A750" i="36"/>
  <c r="A749" i="36"/>
  <c r="A748" i="36"/>
  <c r="A747" i="36"/>
  <c r="A746" i="36"/>
  <c r="A745" i="36"/>
  <c r="A744" i="36"/>
  <c r="A743" i="36"/>
  <c r="A742" i="36"/>
  <c r="A741" i="36"/>
  <c r="A740" i="36"/>
  <c r="A739" i="36"/>
  <c r="A738" i="36"/>
  <c r="A737" i="36"/>
  <c r="A736" i="36"/>
  <c r="A735" i="36"/>
  <c r="A734" i="36"/>
  <c r="A733" i="36"/>
  <c r="A732" i="36"/>
  <c r="A731" i="36"/>
  <c r="A730" i="36"/>
  <c r="A729" i="36"/>
  <c r="A728" i="36"/>
  <c r="A727" i="36"/>
  <c r="A726" i="36"/>
  <c r="A725" i="36"/>
  <c r="A724" i="36"/>
  <c r="A723" i="36"/>
  <c r="A722" i="36"/>
  <c r="A721" i="36"/>
  <c r="A720" i="36"/>
  <c r="A719" i="36"/>
  <c r="A718" i="36"/>
  <c r="A717" i="36"/>
  <c r="A716" i="36"/>
  <c r="A715" i="36"/>
  <c r="A714" i="36"/>
  <c r="A713" i="36"/>
  <c r="A712" i="36"/>
  <c r="A711" i="36"/>
  <c r="A710" i="36"/>
  <c r="A709" i="36"/>
  <c r="A708" i="36"/>
  <c r="A707" i="36"/>
  <c r="A706" i="36"/>
  <c r="A705" i="36"/>
  <c r="A704" i="36"/>
  <c r="A703" i="36"/>
  <c r="A702" i="36"/>
  <c r="A701" i="36"/>
  <c r="A700" i="36"/>
  <c r="A699" i="36"/>
  <c r="A698" i="36"/>
  <c r="A697" i="36"/>
  <c r="A696" i="36"/>
  <c r="A695" i="36"/>
  <c r="A694" i="36"/>
  <c r="A693" i="36"/>
  <c r="A692" i="36"/>
  <c r="A691" i="36"/>
  <c r="A690" i="36"/>
  <c r="A689" i="36"/>
  <c r="A688" i="36"/>
  <c r="A687" i="36"/>
  <c r="A686" i="36"/>
  <c r="A685" i="36"/>
  <c r="A684" i="36"/>
  <c r="A683" i="36"/>
  <c r="A682" i="36"/>
  <c r="A681" i="36"/>
  <c r="A680" i="36"/>
  <c r="A679" i="36"/>
  <c r="A678" i="36"/>
  <c r="A677" i="36"/>
  <c r="A676" i="36"/>
  <c r="A675" i="36"/>
  <c r="A674" i="36"/>
  <c r="A673" i="36"/>
  <c r="A672" i="36"/>
  <c r="A671" i="36"/>
  <c r="A670" i="36"/>
  <c r="A669" i="36"/>
  <c r="A668" i="36"/>
  <c r="A667" i="36"/>
  <c r="A666" i="36"/>
  <c r="A665" i="36"/>
  <c r="A664" i="36"/>
  <c r="A663" i="36"/>
  <c r="A662" i="36"/>
  <c r="A661" i="36"/>
  <c r="A660" i="36"/>
  <c r="A659" i="36"/>
  <c r="A658" i="36"/>
  <c r="A657" i="36"/>
  <c r="A656" i="36"/>
  <c r="A655" i="36"/>
  <c r="A654" i="36"/>
  <c r="A653" i="36"/>
  <c r="A652" i="36"/>
  <c r="A651" i="36"/>
  <c r="A650" i="36"/>
  <c r="A649" i="36"/>
  <c r="A648" i="36"/>
  <c r="A647" i="36"/>
  <c r="A646" i="36"/>
  <c r="A645" i="36"/>
  <c r="A644" i="36"/>
  <c r="A643" i="36"/>
  <c r="A642" i="36"/>
  <c r="A641" i="36"/>
  <c r="A640" i="36"/>
  <c r="A639" i="36"/>
  <c r="A638" i="36"/>
  <c r="A637" i="36"/>
  <c r="A636" i="36"/>
  <c r="A635" i="36"/>
  <c r="A634" i="36"/>
  <c r="A633" i="36"/>
  <c r="A632" i="36"/>
  <c r="A631" i="36"/>
  <c r="A630" i="36"/>
  <c r="A629" i="36"/>
  <c r="A628" i="36"/>
  <c r="A627" i="36"/>
  <c r="A626" i="36"/>
  <c r="A625" i="36"/>
  <c r="A624" i="36"/>
  <c r="A623" i="36"/>
  <c r="A622" i="36"/>
  <c r="A621" i="36"/>
  <c r="A620" i="36"/>
  <c r="A619" i="36"/>
  <c r="A618" i="36"/>
  <c r="A617" i="36"/>
  <c r="A616" i="36"/>
  <c r="A615" i="36"/>
  <c r="A614" i="36"/>
  <c r="A613" i="36"/>
  <c r="A612" i="36"/>
  <c r="A611" i="36"/>
  <c r="A610" i="36"/>
  <c r="A609" i="36"/>
  <c r="A608" i="36"/>
  <c r="A607" i="36"/>
  <c r="A606" i="36"/>
  <c r="A605" i="36"/>
  <c r="A604" i="36"/>
  <c r="A603" i="36"/>
  <c r="A602" i="36"/>
  <c r="A601" i="36"/>
  <c r="A600" i="36"/>
  <c r="A599" i="36"/>
  <c r="A598" i="36"/>
  <c r="A597" i="36"/>
  <c r="A596" i="36"/>
  <c r="A595" i="36"/>
  <c r="A594" i="36"/>
  <c r="A593" i="36"/>
  <c r="A592" i="36"/>
  <c r="A591" i="36"/>
  <c r="A590" i="36"/>
  <c r="A589" i="36"/>
  <c r="A588" i="36"/>
  <c r="A587" i="36"/>
  <c r="A586" i="36"/>
  <c r="A585" i="36"/>
  <c r="A584" i="36"/>
  <c r="A583" i="36"/>
  <c r="A582" i="36"/>
  <c r="A581" i="36"/>
  <c r="A580" i="36"/>
  <c r="A579" i="36"/>
  <c r="A578" i="36"/>
  <c r="A577" i="36"/>
  <c r="A576" i="36"/>
  <c r="A575" i="36"/>
  <c r="A574" i="36"/>
  <c r="A573" i="36"/>
  <c r="A572" i="36"/>
  <c r="A571" i="36"/>
  <c r="A570" i="36"/>
  <c r="A569" i="36"/>
  <c r="A568" i="36"/>
  <c r="A567" i="36"/>
  <c r="A566" i="36"/>
  <c r="A565" i="36"/>
  <c r="A564" i="36"/>
  <c r="A563" i="36"/>
  <c r="A562" i="36"/>
  <c r="A561" i="36"/>
  <c r="A560" i="36"/>
  <c r="A559" i="36"/>
  <c r="A558" i="36"/>
  <c r="A557" i="36"/>
  <c r="A556" i="36"/>
  <c r="A555" i="36"/>
  <c r="A554" i="36"/>
  <c r="A553" i="36"/>
  <c r="A552" i="36"/>
  <c r="A551" i="36"/>
  <c r="A550" i="36"/>
  <c r="A549" i="36"/>
  <c r="A548" i="36"/>
  <c r="A547" i="36"/>
  <c r="A546" i="36"/>
  <c r="A545" i="36"/>
  <c r="A544" i="36"/>
  <c r="A543" i="36"/>
  <c r="A542" i="36"/>
  <c r="A541" i="36"/>
  <c r="A540" i="36"/>
  <c r="A539" i="36"/>
  <c r="A538" i="36"/>
  <c r="A537" i="36"/>
  <c r="A536" i="36"/>
  <c r="A535" i="36"/>
  <c r="A534" i="36"/>
  <c r="A533" i="36"/>
  <c r="A532" i="36"/>
  <c r="A531" i="36"/>
  <c r="A530" i="36"/>
  <c r="A529" i="36"/>
  <c r="A528" i="36"/>
  <c r="A527" i="36"/>
  <c r="A526" i="36"/>
  <c r="A525" i="36"/>
  <c r="A524" i="36"/>
  <c r="A523" i="36"/>
  <c r="A522" i="36"/>
  <c r="A521" i="36"/>
  <c r="A520" i="36"/>
  <c r="A519" i="36"/>
  <c r="A518" i="36"/>
  <c r="A517" i="36"/>
  <c r="A516" i="36"/>
  <c r="A515" i="36"/>
  <c r="A514" i="36"/>
  <c r="A513" i="36"/>
  <c r="A512" i="36"/>
  <c r="A511" i="36"/>
  <c r="A510" i="36"/>
  <c r="A509" i="36"/>
  <c r="A508" i="36"/>
  <c r="A507" i="36"/>
  <c r="A506" i="36"/>
  <c r="A505" i="36"/>
  <c r="A504" i="36"/>
  <c r="A503" i="36"/>
  <c r="A502" i="36"/>
  <c r="A501" i="36"/>
  <c r="A500" i="36"/>
  <c r="A499" i="36"/>
  <c r="A498" i="36"/>
  <c r="A497" i="36"/>
  <c r="A496" i="36"/>
  <c r="A495" i="36"/>
  <c r="A494" i="36"/>
  <c r="A493" i="36"/>
  <c r="A492" i="36"/>
  <c r="A491" i="36"/>
  <c r="A490" i="36"/>
  <c r="A489" i="36"/>
  <c r="A488" i="36"/>
  <c r="A487" i="36"/>
  <c r="A486" i="36"/>
  <c r="A485" i="36"/>
  <c r="A484" i="36"/>
  <c r="A483" i="36"/>
  <c r="A482" i="36"/>
  <c r="A481" i="36"/>
  <c r="A480" i="36"/>
  <c r="A479" i="36"/>
  <c r="A478" i="36"/>
  <c r="A477" i="36"/>
  <c r="A476" i="36"/>
  <c r="A475" i="36"/>
  <c r="A474" i="36"/>
  <c r="A473" i="36"/>
  <c r="A472" i="36"/>
  <c r="A471" i="36"/>
  <c r="A470" i="36"/>
  <c r="A469" i="36"/>
  <c r="A468" i="36"/>
  <c r="A467" i="36"/>
  <c r="A466" i="36"/>
  <c r="A465" i="36"/>
  <c r="A464" i="36"/>
  <c r="A463" i="36"/>
  <c r="A462" i="36"/>
  <c r="A461" i="36"/>
  <c r="A460" i="36"/>
  <c r="A459" i="36"/>
  <c r="A458" i="36"/>
  <c r="A457" i="36"/>
  <c r="A456" i="36"/>
  <c r="A455" i="36"/>
  <c r="A454" i="36"/>
  <c r="A453" i="36"/>
  <c r="A452" i="36"/>
  <c r="A451" i="36"/>
  <c r="A450" i="36"/>
  <c r="A449" i="36"/>
  <c r="A448" i="36"/>
  <c r="A447" i="36"/>
  <c r="A446" i="36"/>
  <c r="A445" i="36"/>
  <c r="A444" i="36"/>
  <c r="A443" i="36"/>
  <c r="A442" i="36"/>
  <c r="A441" i="36"/>
  <c r="A440" i="36"/>
  <c r="A439" i="36"/>
  <c r="A438" i="36"/>
  <c r="A437" i="36"/>
  <c r="A436" i="36"/>
  <c r="A435" i="36"/>
  <c r="A434" i="36"/>
  <c r="A433" i="36"/>
  <c r="A432" i="36"/>
  <c r="A431" i="36"/>
  <c r="A430" i="36"/>
  <c r="A429" i="36"/>
  <c r="A428" i="36"/>
  <c r="A427" i="36"/>
  <c r="A426" i="36"/>
  <c r="A425" i="36"/>
  <c r="A424" i="36"/>
  <c r="A423" i="36"/>
  <c r="A422" i="36"/>
  <c r="A421" i="36"/>
  <c r="A420" i="36"/>
  <c r="A419" i="36"/>
  <c r="A418" i="36"/>
  <c r="A417" i="36"/>
  <c r="A416" i="36"/>
  <c r="A415" i="36"/>
  <c r="A414" i="36"/>
  <c r="A413" i="36"/>
  <c r="A412" i="36"/>
  <c r="A411" i="36"/>
  <c r="A410" i="36"/>
  <c r="A409" i="36"/>
  <c r="A408" i="36"/>
  <c r="A407" i="36"/>
  <c r="A406" i="36"/>
  <c r="A405" i="36"/>
  <c r="A404" i="36"/>
  <c r="A403" i="36"/>
  <c r="A402" i="36"/>
  <c r="A401" i="36"/>
  <c r="A400" i="36"/>
  <c r="A399" i="36"/>
  <c r="A398" i="36"/>
  <c r="A397" i="36"/>
  <c r="A396" i="36"/>
  <c r="A395" i="36"/>
  <c r="A394" i="36"/>
  <c r="A393" i="36"/>
  <c r="A392" i="36"/>
  <c r="A391" i="36"/>
  <c r="A390" i="36"/>
  <c r="A389" i="36"/>
  <c r="A388" i="36"/>
  <c r="A387" i="36"/>
  <c r="A386" i="36"/>
  <c r="A385" i="36"/>
  <c r="A384" i="36"/>
  <c r="A383" i="36"/>
  <c r="A382" i="36"/>
  <c r="A381" i="36"/>
  <c r="A380" i="36"/>
  <c r="A379" i="36"/>
  <c r="A378" i="36"/>
  <c r="A377" i="36"/>
  <c r="A376" i="36"/>
  <c r="A375" i="36"/>
  <c r="A374" i="36"/>
  <c r="A373" i="36"/>
  <c r="A372" i="36"/>
  <c r="A371" i="36"/>
  <c r="A370" i="36"/>
  <c r="A369" i="36"/>
  <c r="A368" i="36"/>
  <c r="A367" i="36"/>
  <c r="A366" i="36"/>
  <c r="A365" i="36"/>
  <c r="A364" i="36"/>
  <c r="A363" i="36"/>
  <c r="A362" i="36"/>
  <c r="A361" i="36"/>
  <c r="A360" i="36"/>
  <c r="A359" i="36"/>
  <c r="A358" i="36"/>
  <c r="A357" i="36"/>
  <c r="A356" i="36"/>
  <c r="A355" i="36"/>
  <c r="A354" i="36"/>
  <c r="A353" i="36"/>
  <c r="A352" i="36"/>
  <c r="A351" i="36"/>
  <c r="A350" i="36"/>
  <c r="A349" i="36"/>
  <c r="A348" i="36"/>
  <c r="A347" i="36"/>
  <c r="A346" i="36"/>
  <c r="A345" i="36"/>
  <c r="A344" i="36"/>
  <c r="A343" i="36"/>
  <c r="A342" i="36"/>
  <c r="A341" i="36"/>
  <c r="A340" i="36"/>
  <c r="A339" i="36"/>
  <c r="A338" i="36"/>
  <c r="A337" i="36"/>
  <c r="A336" i="36"/>
  <c r="A335" i="36"/>
  <c r="A334" i="36"/>
  <c r="A333" i="36"/>
  <c r="A332" i="36"/>
  <c r="A331" i="36"/>
  <c r="A330" i="36"/>
  <c r="A329" i="36"/>
  <c r="A328" i="36"/>
  <c r="A327" i="36"/>
  <c r="A326" i="36"/>
  <c r="A325" i="36"/>
  <c r="A324" i="36"/>
  <c r="A323" i="36"/>
  <c r="A322" i="36"/>
  <c r="A321" i="36"/>
  <c r="A320" i="36"/>
  <c r="A319" i="36"/>
  <c r="A318" i="36"/>
  <c r="A317" i="36"/>
  <c r="A316" i="36"/>
  <c r="A315" i="36"/>
  <c r="A314" i="36"/>
  <c r="A313" i="36"/>
  <c r="A312" i="36"/>
  <c r="A311" i="36"/>
  <c r="A310" i="36"/>
  <c r="A309" i="36"/>
  <c r="A308" i="36"/>
  <c r="A307" i="36"/>
  <c r="A306" i="36"/>
  <c r="A305" i="36"/>
  <c r="A304" i="36"/>
  <c r="A303" i="36"/>
  <c r="A302" i="36"/>
  <c r="A301" i="36"/>
  <c r="A300" i="36"/>
  <c r="A299" i="36"/>
  <c r="A298" i="36"/>
  <c r="A297" i="36"/>
  <c r="A296" i="36"/>
  <c r="A295" i="36"/>
  <c r="A294" i="36"/>
  <c r="A293" i="36"/>
  <c r="A292" i="36"/>
  <c r="A291" i="36"/>
  <c r="A290" i="36"/>
  <c r="A289" i="36"/>
  <c r="A288" i="36"/>
  <c r="A287" i="36"/>
  <c r="A286" i="36"/>
  <c r="A285" i="36"/>
  <c r="A284" i="36"/>
  <c r="A283" i="36"/>
  <c r="A282" i="36"/>
  <c r="A281" i="36"/>
  <c r="A280" i="36"/>
  <c r="A279" i="36"/>
  <c r="A278" i="36"/>
  <c r="A277" i="36"/>
  <c r="A276" i="36"/>
  <c r="A275" i="36"/>
  <c r="A274" i="36"/>
  <c r="A273" i="36"/>
  <c r="A272" i="36"/>
  <c r="A271" i="36"/>
  <c r="A270" i="36"/>
  <c r="A269" i="36"/>
  <c r="A268" i="36"/>
  <c r="A267" i="36"/>
  <c r="A266" i="36"/>
  <c r="A265" i="36"/>
  <c r="A264" i="36"/>
  <c r="A263" i="36"/>
  <c r="A262" i="36"/>
  <c r="A261" i="36"/>
  <c r="A260" i="36"/>
  <c r="A259" i="36"/>
  <c r="A258" i="36"/>
  <c r="A257" i="36"/>
  <c r="A256" i="36"/>
  <c r="A255" i="36"/>
  <c r="A254" i="36"/>
  <c r="A253" i="36"/>
  <c r="A252" i="36"/>
  <c r="A251" i="36"/>
  <c r="A250" i="36"/>
  <c r="A249" i="36"/>
  <c r="A248" i="36"/>
  <c r="A247" i="36"/>
  <c r="A246" i="36"/>
  <c r="A245" i="36"/>
  <c r="A244" i="36"/>
  <c r="A243" i="36"/>
  <c r="A242" i="36"/>
  <c r="A241" i="36"/>
  <c r="A240" i="36"/>
  <c r="A239" i="36"/>
  <c r="A238" i="36"/>
  <c r="A237" i="36"/>
  <c r="A236" i="36"/>
  <c r="A235" i="36"/>
  <c r="A234" i="36"/>
  <c r="A233" i="36"/>
  <c r="A232" i="36"/>
  <c r="A231" i="36"/>
  <c r="A230" i="36"/>
  <c r="A229" i="36"/>
  <c r="A228" i="36"/>
  <c r="A227" i="36"/>
  <c r="A226" i="36"/>
  <c r="A225" i="36"/>
  <c r="A224" i="36"/>
  <c r="A223" i="36"/>
  <c r="A222" i="36"/>
  <c r="A221" i="36"/>
  <c r="A220" i="36"/>
  <c r="A219" i="36"/>
  <c r="A218" i="36"/>
  <c r="A217" i="36"/>
  <c r="A216" i="36"/>
  <c r="A215" i="36"/>
  <c r="A214" i="36"/>
  <c r="A213" i="36"/>
  <c r="A212" i="36"/>
  <c r="A211" i="36"/>
  <c r="A210" i="36"/>
  <c r="A209" i="36"/>
  <c r="A208" i="36"/>
  <c r="A207" i="36"/>
  <c r="A206" i="36"/>
  <c r="A205" i="36"/>
  <c r="A204" i="36"/>
  <c r="A203" i="36"/>
  <c r="A202" i="36"/>
  <c r="A201" i="36"/>
  <c r="A200" i="36"/>
  <c r="A199" i="36"/>
  <c r="A198" i="36"/>
  <c r="A197" i="36"/>
  <c r="A196" i="36"/>
  <c r="A195" i="36"/>
  <c r="A194" i="36"/>
  <c r="A193" i="36"/>
  <c r="A192" i="36"/>
  <c r="A191" i="36"/>
  <c r="A190" i="36"/>
  <c r="A189" i="36"/>
  <c r="A188" i="36"/>
  <c r="A187" i="36"/>
  <c r="A186" i="36"/>
  <c r="A185" i="36"/>
  <c r="A184" i="36"/>
  <c r="A183" i="36"/>
  <c r="A182" i="36"/>
  <c r="A181" i="36"/>
  <c r="A180" i="36"/>
  <c r="A179" i="36"/>
  <c r="A178" i="36"/>
  <c r="A177" i="36"/>
  <c r="A176" i="36"/>
  <c r="A175" i="36"/>
  <c r="A174" i="36"/>
  <c r="A173" i="36"/>
  <c r="A172" i="36"/>
  <c r="A171" i="36"/>
  <c r="A170" i="36"/>
  <c r="A169" i="36"/>
  <c r="A168" i="36"/>
  <c r="A167" i="36"/>
  <c r="A166" i="36"/>
  <c r="A165" i="36"/>
  <c r="A164" i="36"/>
  <c r="A163" i="36"/>
  <c r="A162" i="36"/>
  <c r="A161" i="36"/>
  <c r="A160" i="36"/>
  <c r="A159" i="36"/>
  <c r="A158" i="36"/>
  <c r="A157" i="36"/>
  <c r="A156" i="36"/>
  <c r="A155" i="36"/>
  <c r="A154" i="36"/>
  <c r="A153" i="36"/>
  <c r="A152" i="36"/>
  <c r="A151" i="36"/>
  <c r="A150" i="36"/>
  <c r="A149" i="36"/>
  <c r="A148" i="36"/>
  <c r="A147" i="36"/>
  <c r="A146" i="36"/>
  <c r="A145" i="36"/>
  <c r="A144" i="36"/>
  <c r="A143" i="36"/>
  <c r="A142" i="36"/>
  <c r="A141" i="36"/>
  <c r="A140" i="36"/>
  <c r="A139" i="36"/>
  <c r="A138" i="36"/>
  <c r="A137" i="36"/>
  <c r="A136" i="36"/>
  <c r="A135" i="36"/>
  <c r="A134" i="36"/>
  <c r="A133" i="36"/>
  <c r="A132" i="36"/>
  <c r="A131" i="36"/>
  <c r="A130" i="36"/>
  <c r="A129" i="36"/>
  <c r="A128" i="36"/>
  <c r="A127" i="36"/>
  <c r="A126" i="36"/>
  <c r="A125" i="36"/>
  <c r="A124" i="36"/>
  <c r="A123" i="36"/>
  <c r="A122" i="36"/>
  <c r="A121" i="36"/>
  <c r="A120" i="36"/>
  <c r="A119" i="36"/>
  <c r="A118" i="36"/>
  <c r="A117" i="36"/>
  <c r="A116" i="36"/>
  <c r="A115" i="36"/>
  <c r="A114" i="36"/>
  <c r="A113" i="36"/>
  <c r="A112" i="36"/>
  <c r="A111" i="36"/>
  <c r="A110" i="36"/>
  <c r="A109" i="36"/>
  <c r="A108" i="36"/>
  <c r="A107" i="36"/>
  <c r="A106" i="36"/>
  <c r="A105" i="36"/>
  <c r="A104" i="36"/>
  <c r="A103" i="36"/>
  <c r="A102" i="36"/>
  <c r="A101" i="36"/>
  <c r="A100" i="36"/>
  <c r="A99" i="36"/>
  <c r="A98" i="36"/>
  <c r="A97" i="36"/>
  <c r="A96" i="36"/>
  <c r="A95" i="36"/>
  <c r="A94" i="36"/>
  <c r="A93" i="36"/>
  <c r="A92" i="36"/>
  <c r="A91" i="36"/>
  <c r="A90" i="36"/>
  <c r="A89" i="36"/>
  <c r="A88" i="36"/>
  <c r="A87" i="36"/>
  <c r="A86" i="36"/>
  <c r="A85" i="36"/>
  <c r="A84" i="36"/>
  <c r="A83" i="36"/>
  <c r="A82" i="36"/>
  <c r="A81" i="36"/>
  <c r="A80" i="36"/>
  <c r="A79" i="36"/>
  <c r="A78" i="36"/>
  <c r="A77" i="36"/>
  <c r="A76" i="36"/>
  <c r="A75" i="36"/>
  <c r="A74" i="36"/>
  <c r="A73" i="36"/>
  <c r="A72" i="36"/>
  <c r="A71" i="36"/>
  <c r="A70" i="36"/>
  <c r="A69" i="36"/>
  <c r="A68" i="36"/>
  <c r="A67" i="36"/>
  <c r="A66" i="36"/>
  <c r="A65" i="36"/>
  <c r="A64" i="36"/>
  <c r="A63" i="36"/>
  <c r="A62" i="36"/>
  <c r="A61" i="36"/>
  <c r="A60" i="36"/>
  <c r="A59" i="36"/>
  <c r="A58" i="36"/>
  <c r="A57" i="36"/>
  <c r="A56" i="36"/>
  <c r="A55" i="36"/>
  <c r="A54" i="36"/>
  <c r="A53" i="36"/>
  <c r="A52" i="36"/>
  <c r="A51" i="36"/>
  <c r="A50" i="36"/>
  <c r="A49" i="36"/>
  <c r="A48" i="36"/>
  <c r="A47" i="36"/>
  <c r="A46" i="36"/>
  <c r="A45" i="36"/>
  <c r="A44" i="36"/>
  <c r="A43" i="36"/>
  <c r="A42" i="36"/>
  <c r="A41" i="36"/>
  <c r="A40" i="36"/>
  <c r="A39" i="36"/>
  <c r="A38" i="36"/>
  <c r="A37" i="36"/>
  <c r="A36" i="36"/>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A4" i="36"/>
  <c r="A3" i="36"/>
  <c r="A1500" i="37"/>
  <c r="A1499" i="37"/>
  <c r="A1498" i="37"/>
  <c r="A1497" i="37"/>
  <c r="A1496" i="37"/>
  <c r="A1495" i="37"/>
  <c r="A1494" i="37"/>
  <c r="A1493" i="37"/>
  <c r="A1492" i="37"/>
  <c r="A1491" i="37"/>
  <c r="A1490" i="37"/>
  <c r="A1489" i="37"/>
  <c r="A1488" i="37"/>
  <c r="A1487" i="37"/>
  <c r="A1486" i="37"/>
  <c r="A1485" i="37"/>
  <c r="A1484" i="37"/>
  <c r="A1483" i="37"/>
  <c r="A1482" i="37"/>
  <c r="A1481" i="37"/>
  <c r="A1480" i="37"/>
  <c r="A1479" i="37"/>
  <c r="A1478" i="37"/>
  <c r="A1477" i="37"/>
  <c r="A1476" i="37"/>
  <c r="A1475" i="37"/>
  <c r="A1474" i="37"/>
  <c r="A1473" i="37"/>
  <c r="A1472" i="37"/>
  <c r="A1471" i="37"/>
  <c r="A1470" i="37"/>
  <c r="A1469" i="37"/>
  <c r="A1468" i="37"/>
  <c r="A1467" i="37"/>
  <c r="A1466" i="37"/>
  <c r="A1465" i="37"/>
  <c r="A1464" i="37"/>
  <c r="A1463" i="37"/>
  <c r="A1462" i="37"/>
  <c r="A1461" i="37"/>
  <c r="A1460" i="37"/>
  <c r="A1459" i="37"/>
  <c r="A1458" i="37"/>
  <c r="A1457" i="37"/>
  <c r="A1456" i="37"/>
  <c r="A1455" i="37"/>
  <c r="A1454" i="37"/>
  <c r="A1453" i="37"/>
  <c r="A1452" i="37"/>
  <c r="A1451" i="37"/>
  <c r="A1450" i="37"/>
  <c r="A1449" i="37"/>
  <c r="A1448" i="37"/>
  <c r="A1447" i="37"/>
  <c r="A1446" i="37"/>
  <c r="A1445" i="37"/>
  <c r="A1444" i="37"/>
  <c r="A1443" i="37"/>
  <c r="A1442" i="37"/>
  <c r="A1441" i="37"/>
  <c r="A1440" i="37"/>
  <c r="A1439" i="37"/>
  <c r="A1438" i="37"/>
  <c r="A1437" i="37"/>
  <c r="A1436" i="37"/>
  <c r="A1435" i="37"/>
  <c r="A1434" i="37"/>
  <c r="A1433" i="37"/>
  <c r="A1432" i="37"/>
  <c r="A1431" i="37"/>
  <c r="A1430" i="37"/>
  <c r="A1429" i="37"/>
  <c r="A1428" i="37"/>
  <c r="A1427" i="37"/>
  <c r="A1426" i="37"/>
  <c r="A1425" i="37"/>
  <c r="A1424" i="37"/>
  <c r="A1423" i="37"/>
  <c r="A1422" i="37"/>
  <c r="A1421" i="37"/>
  <c r="A1420" i="37"/>
  <c r="A1419" i="37"/>
  <c r="A1418" i="37"/>
  <c r="A1417" i="37"/>
  <c r="A1416" i="37"/>
  <c r="A1415" i="37"/>
  <c r="A1414" i="37"/>
  <c r="A1413" i="37"/>
  <c r="A1412" i="37"/>
  <c r="A1411" i="37"/>
  <c r="A1410" i="37"/>
  <c r="A1409" i="37"/>
  <c r="A1408" i="37"/>
  <c r="A1407" i="37"/>
  <c r="A1406" i="37"/>
  <c r="A1405" i="37"/>
  <c r="A1404" i="37"/>
  <c r="A1403" i="37"/>
  <c r="A1402" i="37"/>
  <c r="A1401" i="37"/>
  <c r="A1400" i="37"/>
  <c r="A1399" i="37"/>
  <c r="A1398" i="37"/>
  <c r="A1397" i="37"/>
  <c r="A1396" i="37"/>
  <c r="A1395" i="37"/>
  <c r="A1394" i="37"/>
  <c r="A1393" i="37"/>
  <c r="A1392" i="37"/>
  <c r="A1391" i="37"/>
  <c r="A1390" i="37"/>
  <c r="A1389" i="37"/>
  <c r="A1388" i="37"/>
  <c r="A1387" i="37"/>
  <c r="A1386" i="37"/>
  <c r="A1385" i="37"/>
  <c r="A1384" i="37"/>
  <c r="A1383" i="37"/>
  <c r="A1382" i="37"/>
  <c r="A1381" i="37"/>
  <c r="A1380" i="37"/>
  <c r="A1379" i="37"/>
  <c r="A1378" i="37"/>
  <c r="A1377" i="37"/>
  <c r="A1376" i="37"/>
  <c r="A1375" i="37"/>
  <c r="A1374" i="37"/>
  <c r="A1373" i="37"/>
  <c r="A1372" i="37"/>
  <c r="A1371" i="37"/>
  <c r="A1370" i="37"/>
  <c r="A1369" i="37"/>
  <c r="A1368" i="37"/>
  <c r="A1367" i="37"/>
  <c r="A1366" i="37"/>
  <c r="A1365" i="37"/>
  <c r="A1364" i="37"/>
  <c r="A1363" i="37"/>
  <c r="A1362" i="37"/>
  <c r="A1361" i="37"/>
  <c r="A1360" i="37"/>
  <c r="A1359" i="37"/>
  <c r="A1358" i="37"/>
  <c r="A1357" i="37"/>
  <c r="A1356" i="37"/>
  <c r="A1355" i="37"/>
  <c r="A1354" i="37"/>
  <c r="A1353" i="37"/>
  <c r="A1352" i="37"/>
  <c r="A1351" i="37"/>
  <c r="A1350" i="37"/>
  <c r="A1349" i="37"/>
  <c r="A1348" i="37"/>
  <c r="A1347" i="37"/>
  <c r="A1346" i="37"/>
  <c r="A1345" i="37"/>
  <c r="A1344" i="37"/>
  <c r="A1343" i="37"/>
  <c r="A1342" i="37"/>
  <c r="A1341" i="37"/>
  <c r="A1340" i="37"/>
  <c r="A1339" i="37"/>
  <c r="A1338" i="37"/>
  <c r="A1337" i="37"/>
  <c r="A1336" i="37"/>
  <c r="A1335" i="37"/>
  <c r="A1334" i="37"/>
  <c r="A1333" i="37"/>
  <c r="A1332" i="37"/>
  <c r="A1331" i="37"/>
  <c r="A1330" i="37"/>
  <c r="A1329" i="37"/>
  <c r="A1328" i="37"/>
  <c r="A1327" i="37"/>
  <c r="A1326" i="37"/>
  <c r="A1325" i="37"/>
  <c r="A1324" i="37"/>
  <c r="A1323" i="37"/>
  <c r="A1322" i="37"/>
  <c r="A1321" i="37"/>
  <c r="A1320" i="37"/>
  <c r="A1319" i="37"/>
  <c r="A1318" i="37"/>
  <c r="A1317" i="37"/>
  <c r="A1316" i="37"/>
  <c r="A1315" i="37"/>
  <c r="A1314" i="37"/>
  <c r="A1313" i="37"/>
  <c r="A1312" i="37"/>
  <c r="A1311" i="37"/>
  <c r="A1310" i="37"/>
  <c r="A1309" i="37"/>
  <c r="A1308" i="37"/>
  <c r="A1307" i="37"/>
  <c r="A1306" i="37"/>
  <c r="A1305" i="37"/>
  <c r="A1304" i="37"/>
  <c r="A1303" i="37"/>
  <c r="A1302" i="37"/>
  <c r="A1301" i="37"/>
  <c r="A1300" i="37"/>
  <c r="A1299" i="37"/>
  <c r="A1298" i="37"/>
  <c r="A1297" i="37"/>
  <c r="A1296" i="37"/>
  <c r="A1295" i="37"/>
  <c r="A1294" i="37"/>
  <c r="A1293" i="37"/>
  <c r="A1292" i="37"/>
  <c r="A1291" i="37"/>
  <c r="A1290" i="37"/>
  <c r="A1289" i="37"/>
  <c r="A1288" i="37"/>
  <c r="A1287" i="37"/>
  <c r="A1286" i="37"/>
  <c r="A1285" i="37"/>
  <c r="A1284" i="37"/>
  <c r="A1283" i="37"/>
  <c r="A1282" i="37"/>
  <c r="A1281" i="37"/>
  <c r="A1280" i="37"/>
  <c r="A1279" i="37"/>
  <c r="A1278" i="37"/>
  <c r="A1277" i="37"/>
  <c r="A1276" i="37"/>
  <c r="A1275" i="37"/>
  <c r="A1274" i="37"/>
  <c r="A1273" i="37"/>
  <c r="A1272" i="37"/>
  <c r="A1271" i="37"/>
  <c r="A1270" i="37"/>
  <c r="A1269" i="37"/>
  <c r="A1268" i="37"/>
  <c r="A1267" i="37"/>
  <c r="A1266" i="37"/>
  <c r="A1265" i="37"/>
  <c r="A1264" i="37"/>
  <c r="A1263" i="37"/>
  <c r="A1262" i="37"/>
  <c r="A1261" i="37"/>
  <c r="A1260" i="37"/>
  <c r="A1259" i="37"/>
  <c r="A1258" i="37"/>
  <c r="A1257" i="37"/>
  <c r="A1256" i="37"/>
  <c r="A1255" i="37"/>
  <c r="A1254" i="37"/>
  <c r="A1253" i="37"/>
  <c r="A1252" i="37"/>
  <c r="A1251" i="37"/>
  <c r="A1250" i="37"/>
  <c r="A1249" i="37"/>
  <c r="A1248" i="37"/>
  <c r="A1247" i="37"/>
  <c r="A1246" i="37"/>
  <c r="A1245" i="37"/>
  <c r="A1244" i="37"/>
  <c r="A1243" i="37"/>
  <c r="A1242" i="37"/>
  <c r="A1241" i="37"/>
  <c r="A1240" i="37"/>
  <c r="A1239" i="37"/>
  <c r="A1238" i="37"/>
  <c r="A1237" i="37"/>
  <c r="A1236" i="37"/>
  <c r="A1235" i="37"/>
  <c r="A1234" i="37"/>
  <c r="A1233" i="37"/>
  <c r="A1232" i="37"/>
  <c r="A1231" i="37"/>
  <c r="A1230" i="37"/>
  <c r="A1229" i="37"/>
  <c r="A1228" i="37"/>
  <c r="A1227" i="37"/>
  <c r="A1226" i="37"/>
  <c r="A1225" i="37"/>
  <c r="A1224" i="37"/>
  <c r="A1223" i="37"/>
  <c r="A1222" i="37"/>
  <c r="A1221" i="37"/>
  <c r="A1220" i="37"/>
  <c r="A1219" i="37"/>
  <c r="A1218" i="37"/>
  <c r="A1217" i="37"/>
  <c r="A1216" i="37"/>
  <c r="A1215" i="37"/>
  <c r="A1214" i="37"/>
  <c r="A1213" i="37"/>
  <c r="A1212" i="37"/>
  <c r="A1211" i="37"/>
  <c r="A1210" i="37"/>
  <c r="A1209" i="37"/>
  <c r="A1208" i="37"/>
  <c r="A1207" i="37"/>
  <c r="A1206" i="37"/>
  <c r="A1205" i="37"/>
  <c r="A1204" i="37"/>
  <c r="A1203" i="37"/>
  <c r="A1202" i="37"/>
  <c r="A1201" i="37"/>
  <c r="A1200" i="37"/>
  <c r="A1199" i="37"/>
  <c r="A1198" i="37"/>
  <c r="A1197" i="37"/>
  <c r="A1196" i="37"/>
  <c r="A1195" i="37"/>
  <c r="A1194" i="37"/>
  <c r="A1193" i="37"/>
  <c r="A1192" i="37"/>
  <c r="A1191" i="37"/>
  <c r="A1190" i="37"/>
  <c r="A1189" i="37"/>
  <c r="A1188" i="37"/>
  <c r="A1187" i="37"/>
  <c r="A1186" i="37"/>
  <c r="A1185" i="37"/>
  <c r="A1184" i="37"/>
  <c r="A1183" i="37"/>
  <c r="A1182" i="37"/>
  <c r="A1181" i="37"/>
  <c r="A1180" i="37"/>
  <c r="A1179" i="37"/>
  <c r="A1178" i="37"/>
  <c r="A1177" i="37"/>
  <c r="A1176" i="37"/>
  <c r="A1175" i="37"/>
  <c r="A1174" i="37"/>
  <c r="A1173" i="37"/>
  <c r="A1172" i="37"/>
  <c r="A1171" i="37"/>
  <c r="A1170" i="37"/>
  <c r="A1169" i="37"/>
  <c r="A1168" i="37"/>
  <c r="A1167" i="37"/>
  <c r="A1166" i="37"/>
  <c r="A1165" i="37"/>
  <c r="A1164" i="37"/>
  <c r="A1163" i="37"/>
  <c r="A1162" i="37"/>
  <c r="A1161" i="37"/>
  <c r="A1160" i="37"/>
  <c r="A1159" i="37"/>
  <c r="A1158" i="37"/>
  <c r="A1157" i="37"/>
  <c r="A1156" i="37"/>
  <c r="A1155" i="37"/>
  <c r="A1154" i="37"/>
  <c r="A1153" i="37"/>
  <c r="A1152" i="37"/>
  <c r="A1151" i="37"/>
  <c r="A1150" i="37"/>
  <c r="A1149" i="37"/>
  <c r="A1148" i="37"/>
  <c r="A1147" i="37"/>
  <c r="A1146" i="37"/>
  <c r="A1145" i="37"/>
  <c r="A1144" i="37"/>
  <c r="A1143" i="37"/>
  <c r="A1142" i="37"/>
  <c r="A1141" i="37"/>
  <c r="A1140" i="37"/>
  <c r="A1139" i="37"/>
  <c r="A1138" i="37"/>
  <c r="A1137" i="37"/>
  <c r="A1136" i="37"/>
  <c r="A1135" i="37"/>
  <c r="A1134" i="37"/>
  <c r="A1133" i="37"/>
  <c r="A1132" i="37"/>
  <c r="A1131" i="37"/>
  <c r="A1130" i="37"/>
  <c r="A1129" i="37"/>
  <c r="A1128" i="37"/>
  <c r="A1127" i="37"/>
  <c r="A1126" i="37"/>
  <c r="A1125" i="37"/>
  <c r="A1124" i="37"/>
  <c r="A1123" i="37"/>
  <c r="A1122" i="37"/>
  <c r="A1121" i="37"/>
  <c r="A1120" i="37"/>
  <c r="A1119" i="37"/>
  <c r="A1118" i="37"/>
  <c r="A1117" i="37"/>
  <c r="A1116" i="37"/>
  <c r="A1115" i="37"/>
  <c r="A1114" i="37"/>
  <c r="A1113" i="37"/>
  <c r="A1112" i="37"/>
  <c r="A1111" i="37"/>
  <c r="A1110" i="37"/>
  <c r="A1109" i="37"/>
  <c r="A1108" i="37"/>
  <c r="A1107" i="37"/>
  <c r="A1106" i="37"/>
  <c r="A1105" i="37"/>
  <c r="A1104" i="37"/>
  <c r="A1103" i="37"/>
  <c r="A1102" i="37"/>
  <c r="A1101" i="37"/>
  <c r="A1100" i="37"/>
  <c r="A1099" i="37"/>
  <c r="A1098" i="37"/>
  <c r="A1097" i="37"/>
  <c r="A1096" i="37"/>
  <c r="A1095" i="37"/>
  <c r="A1094" i="37"/>
  <c r="A1093" i="37"/>
  <c r="A1092" i="37"/>
  <c r="A1091" i="37"/>
  <c r="A1090" i="37"/>
  <c r="A1089" i="37"/>
  <c r="A1088" i="37"/>
  <c r="A1087" i="37"/>
  <c r="A1086" i="37"/>
  <c r="A1085" i="37"/>
  <c r="A1084" i="37"/>
  <c r="A1083" i="37"/>
  <c r="A1082" i="37"/>
  <c r="A1081" i="37"/>
  <c r="A1080" i="37"/>
  <c r="A1079" i="37"/>
  <c r="A1078" i="37"/>
  <c r="A1077" i="37"/>
  <c r="A1076" i="37"/>
  <c r="A1075" i="37"/>
  <c r="A1074" i="37"/>
  <c r="A1073" i="37"/>
  <c r="A1072" i="37"/>
  <c r="A1071" i="37"/>
  <c r="A1070" i="37"/>
  <c r="A1069" i="37"/>
  <c r="A1068" i="37"/>
  <c r="A1067" i="37"/>
  <c r="A1066" i="37"/>
  <c r="A1065" i="37"/>
  <c r="A1064" i="37"/>
  <c r="A1063" i="37"/>
  <c r="A1062" i="37"/>
  <c r="A1061" i="37"/>
  <c r="A1060" i="37"/>
  <c r="A1059" i="37"/>
  <c r="A1058" i="37"/>
  <c r="A1057" i="37"/>
  <c r="A1056" i="37"/>
  <c r="A1055" i="37"/>
  <c r="A1054" i="37"/>
  <c r="A1053" i="37"/>
  <c r="A1052" i="37"/>
  <c r="A1051" i="37"/>
  <c r="A1050" i="37"/>
  <c r="A1049" i="37"/>
  <c r="A1048" i="37"/>
  <c r="A1047" i="37"/>
  <c r="A1046" i="37"/>
  <c r="A1045" i="37"/>
  <c r="A1044" i="37"/>
  <c r="A1043" i="37"/>
  <c r="A1042" i="37"/>
  <c r="A1041" i="37"/>
  <c r="A1040" i="37"/>
  <c r="A1039" i="37"/>
  <c r="A1038" i="37"/>
  <c r="A1037" i="37"/>
  <c r="A1036" i="37"/>
  <c r="A1035" i="37"/>
  <c r="A1034" i="37"/>
  <c r="A1033" i="37"/>
  <c r="A1032" i="37"/>
  <c r="A1031" i="37"/>
  <c r="A1030" i="37"/>
  <c r="A1029" i="37"/>
  <c r="A1028" i="37"/>
  <c r="A1027" i="37"/>
  <c r="A1026" i="37"/>
  <c r="A1025" i="37"/>
  <c r="A1024" i="37"/>
  <c r="A1023" i="37"/>
  <c r="A1022" i="37"/>
  <c r="A1021" i="37"/>
  <c r="A1020" i="37"/>
  <c r="A1019" i="37"/>
  <c r="A1018" i="37"/>
  <c r="A1017" i="37"/>
  <c r="A1016" i="37"/>
  <c r="A1015" i="37"/>
  <c r="A1014" i="37"/>
  <c r="A1013" i="37"/>
  <c r="A1012" i="37"/>
  <c r="A1011" i="37"/>
  <c r="A1010" i="37"/>
  <c r="A1009" i="37"/>
  <c r="A1008" i="37"/>
  <c r="A1007" i="37"/>
  <c r="A1006" i="37"/>
  <c r="A1005" i="37"/>
  <c r="A1004" i="37"/>
  <c r="A1003" i="37"/>
  <c r="A1002" i="37"/>
  <c r="A1001" i="37"/>
  <c r="A1000" i="37"/>
  <c r="A999" i="37"/>
  <c r="A998" i="37"/>
  <c r="A997" i="37"/>
  <c r="A996" i="37"/>
  <c r="A995" i="37"/>
  <c r="A994" i="37"/>
  <c r="A993" i="37"/>
  <c r="A992" i="37"/>
  <c r="A991" i="37"/>
  <c r="A990" i="37"/>
  <c r="A989" i="37"/>
  <c r="A988" i="37"/>
  <c r="A987" i="37"/>
  <c r="A986" i="37"/>
  <c r="A985" i="37"/>
  <c r="A984" i="37"/>
  <c r="A983" i="37"/>
  <c r="A982" i="37"/>
  <c r="A981" i="37"/>
  <c r="A980" i="37"/>
  <c r="A979" i="37"/>
  <c r="A978" i="37"/>
  <c r="A977" i="37"/>
  <c r="A976" i="37"/>
  <c r="A975" i="37"/>
  <c r="A974" i="37"/>
  <c r="A973" i="37"/>
  <c r="A972" i="37"/>
  <c r="A971" i="37"/>
  <c r="A970" i="37"/>
  <c r="A969" i="37"/>
  <c r="A968" i="37"/>
  <c r="A967" i="37"/>
  <c r="A966" i="37"/>
  <c r="A965" i="37"/>
  <c r="A964" i="37"/>
  <c r="A963" i="37"/>
  <c r="A962" i="37"/>
  <c r="A961" i="37"/>
  <c r="A960" i="37"/>
  <c r="A959" i="37"/>
  <c r="A958" i="37"/>
  <c r="A957" i="37"/>
  <c r="A956" i="37"/>
  <c r="A955" i="37"/>
  <c r="A954" i="37"/>
  <c r="A953" i="37"/>
  <c r="A952" i="37"/>
  <c r="A951" i="37"/>
  <c r="A950" i="37"/>
  <c r="A949" i="37"/>
  <c r="A948" i="37"/>
  <c r="A947" i="37"/>
  <c r="A946" i="37"/>
  <c r="A945" i="37"/>
  <c r="A944" i="37"/>
  <c r="A943" i="37"/>
  <c r="A942" i="37"/>
  <c r="A941" i="37"/>
  <c r="A940" i="37"/>
  <c r="A939" i="37"/>
  <c r="A938" i="37"/>
  <c r="A937" i="37"/>
  <c r="A936" i="37"/>
  <c r="A935" i="37"/>
  <c r="A934" i="37"/>
  <c r="A933" i="37"/>
  <c r="A932" i="37"/>
  <c r="A931" i="37"/>
  <c r="A930" i="37"/>
  <c r="A929" i="37"/>
  <c r="A928" i="37"/>
  <c r="A927" i="37"/>
  <c r="A926" i="37"/>
  <c r="A925" i="37"/>
  <c r="A924" i="37"/>
  <c r="A923" i="37"/>
  <c r="A922" i="37"/>
  <c r="A921" i="37"/>
  <c r="A920" i="37"/>
  <c r="A919" i="37"/>
  <c r="A918" i="37"/>
  <c r="A917" i="37"/>
  <c r="A916" i="37"/>
  <c r="A915" i="37"/>
  <c r="A914" i="37"/>
  <c r="A913" i="37"/>
  <c r="A912" i="37"/>
  <c r="A911" i="37"/>
  <c r="A910" i="37"/>
  <c r="A909" i="37"/>
  <c r="A908" i="37"/>
  <c r="A907" i="37"/>
  <c r="A906" i="37"/>
  <c r="A905" i="37"/>
  <c r="A904" i="37"/>
  <c r="A903" i="37"/>
  <c r="A902" i="37"/>
  <c r="A901" i="37"/>
  <c r="A900" i="37"/>
  <c r="A899" i="37"/>
  <c r="A898" i="37"/>
  <c r="A897" i="37"/>
  <c r="A896" i="37"/>
  <c r="A895" i="37"/>
  <c r="A894" i="37"/>
  <c r="A893" i="37"/>
  <c r="A892" i="37"/>
  <c r="A891" i="37"/>
  <c r="A890" i="37"/>
  <c r="A889" i="37"/>
  <c r="A888" i="37"/>
  <c r="A887" i="37"/>
  <c r="A886" i="37"/>
  <c r="A885" i="37"/>
  <c r="A884" i="37"/>
  <c r="A883" i="37"/>
  <c r="A882" i="37"/>
  <c r="A881" i="37"/>
  <c r="A880" i="37"/>
  <c r="A879" i="37"/>
  <c r="A878" i="37"/>
  <c r="A877" i="37"/>
  <c r="A876" i="37"/>
  <c r="A875" i="37"/>
  <c r="A874" i="37"/>
  <c r="A873" i="37"/>
  <c r="A872" i="37"/>
  <c r="A871" i="37"/>
  <c r="A870" i="37"/>
  <c r="A869" i="37"/>
  <c r="A868" i="37"/>
  <c r="A867" i="37"/>
  <c r="A866" i="37"/>
  <c r="A865" i="37"/>
  <c r="A864" i="37"/>
  <c r="A863" i="37"/>
  <c r="A862" i="37"/>
  <c r="A861" i="37"/>
  <c r="A860" i="37"/>
  <c r="A859" i="37"/>
  <c r="A858" i="37"/>
  <c r="A857" i="37"/>
  <c r="A856" i="37"/>
  <c r="A855" i="37"/>
  <c r="A854" i="37"/>
  <c r="A853" i="37"/>
  <c r="A852" i="37"/>
  <c r="A851" i="37"/>
  <c r="A850" i="37"/>
  <c r="A849" i="37"/>
  <c r="A848" i="37"/>
  <c r="A847" i="37"/>
  <c r="A846" i="37"/>
  <c r="A845" i="37"/>
  <c r="A844" i="37"/>
  <c r="A843" i="37"/>
  <c r="A842" i="37"/>
  <c r="A841" i="37"/>
  <c r="A840" i="37"/>
  <c r="A839" i="37"/>
  <c r="A838" i="37"/>
  <c r="A837" i="37"/>
  <c r="A836" i="37"/>
  <c r="A835" i="37"/>
  <c r="A834" i="37"/>
  <c r="A833" i="37"/>
  <c r="A832" i="37"/>
  <c r="A831" i="37"/>
  <c r="A830" i="37"/>
  <c r="A829" i="37"/>
  <c r="A828" i="37"/>
  <c r="A827" i="37"/>
  <c r="A826" i="37"/>
  <c r="A825" i="37"/>
  <c r="A824" i="37"/>
  <c r="A823" i="37"/>
  <c r="A822" i="37"/>
  <c r="A821" i="37"/>
  <c r="A820" i="37"/>
  <c r="A819" i="37"/>
  <c r="A818" i="37"/>
  <c r="A817" i="37"/>
  <c r="A816" i="37"/>
  <c r="A815" i="37"/>
  <c r="A814" i="37"/>
  <c r="A813" i="37"/>
  <c r="A812" i="37"/>
  <c r="A811" i="37"/>
  <c r="A810" i="37"/>
  <c r="A809" i="37"/>
  <c r="A808" i="37"/>
  <c r="A807" i="37"/>
  <c r="A806" i="37"/>
  <c r="A805" i="37"/>
  <c r="A804" i="37"/>
  <c r="A803" i="37"/>
  <c r="A802" i="37"/>
  <c r="A801" i="37"/>
  <c r="A800" i="37"/>
  <c r="A799" i="37"/>
  <c r="A798" i="37"/>
  <c r="A797" i="37"/>
  <c r="A796" i="37"/>
  <c r="A795" i="37"/>
  <c r="A794" i="37"/>
  <c r="A793" i="37"/>
  <c r="A792" i="37"/>
  <c r="A791" i="37"/>
  <c r="A790" i="37"/>
  <c r="A789" i="37"/>
  <c r="A788" i="37"/>
  <c r="A787" i="37"/>
  <c r="A786" i="37"/>
  <c r="A785" i="37"/>
  <c r="A784" i="37"/>
  <c r="A783" i="37"/>
  <c r="A782" i="37"/>
  <c r="A781" i="37"/>
  <c r="A780" i="37"/>
  <c r="A779" i="37"/>
  <c r="A778" i="37"/>
  <c r="A777" i="37"/>
  <c r="A776" i="37"/>
  <c r="A775" i="37"/>
  <c r="A774" i="37"/>
  <c r="A773" i="37"/>
  <c r="A772" i="37"/>
  <c r="A771" i="37"/>
  <c r="A770" i="37"/>
  <c r="A769" i="37"/>
  <c r="A768" i="37"/>
  <c r="A767" i="37"/>
  <c r="A766" i="37"/>
  <c r="A765" i="37"/>
  <c r="A764" i="37"/>
  <c r="A763" i="37"/>
  <c r="A762" i="37"/>
  <c r="A761" i="37"/>
  <c r="A760" i="37"/>
  <c r="A759" i="37"/>
  <c r="A758" i="37"/>
  <c r="A757" i="37"/>
  <c r="A756" i="37"/>
  <c r="A755" i="37"/>
  <c r="A754" i="37"/>
  <c r="A753" i="37"/>
  <c r="A752" i="37"/>
  <c r="A751" i="37"/>
  <c r="A750" i="37"/>
  <c r="A749" i="37"/>
  <c r="A748" i="37"/>
  <c r="A747" i="37"/>
  <c r="A746" i="37"/>
  <c r="A745" i="37"/>
  <c r="A744" i="37"/>
  <c r="A743" i="37"/>
  <c r="A742" i="37"/>
  <c r="A741" i="37"/>
  <c r="A740" i="37"/>
  <c r="A739" i="37"/>
  <c r="A738" i="37"/>
  <c r="A737" i="37"/>
  <c r="A736" i="37"/>
  <c r="A735" i="37"/>
  <c r="A734" i="37"/>
  <c r="A733" i="37"/>
  <c r="A732" i="37"/>
  <c r="A731" i="37"/>
  <c r="A730" i="37"/>
  <c r="A729" i="37"/>
  <c r="A728" i="37"/>
  <c r="A727" i="37"/>
  <c r="A726" i="37"/>
  <c r="A725" i="37"/>
  <c r="A724" i="37"/>
  <c r="A723" i="37"/>
  <c r="A722" i="37"/>
  <c r="A721" i="37"/>
  <c r="A720" i="37"/>
  <c r="A719" i="37"/>
  <c r="A718" i="37"/>
  <c r="A717" i="37"/>
  <c r="A716" i="37"/>
  <c r="A715" i="37"/>
  <c r="A714" i="37"/>
  <c r="A713" i="37"/>
  <c r="A712" i="37"/>
  <c r="A711" i="37"/>
  <c r="A710" i="37"/>
  <c r="A709" i="37"/>
  <c r="A708" i="37"/>
  <c r="A707" i="37"/>
  <c r="A706" i="37"/>
  <c r="A705" i="37"/>
  <c r="A704" i="37"/>
  <c r="A703" i="37"/>
  <c r="A702" i="37"/>
  <c r="A701" i="37"/>
  <c r="A700" i="37"/>
  <c r="A699" i="37"/>
  <c r="A698" i="37"/>
  <c r="A697" i="37"/>
  <c r="A696" i="37"/>
  <c r="A695" i="37"/>
  <c r="A694" i="37"/>
  <c r="A693" i="37"/>
  <c r="A692" i="37"/>
  <c r="A691" i="37"/>
  <c r="A690" i="37"/>
  <c r="A689" i="37"/>
  <c r="A688" i="37"/>
  <c r="A687" i="37"/>
  <c r="A686" i="37"/>
  <c r="A685" i="37"/>
  <c r="A684" i="37"/>
  <c r="A683" i="37"/>
  <c r="A682" i="37"/>
  <c r="A681" i="37"/>
  <c r="A680" i="37"/>
  <c r="A679" i="37"/>
  <c r="A678" i="37"/>
  <c r="A677" i="37"/>
  <c r="A676" i="37"/>
  <c r="A675" i="37"/>
  <c r="A674" i="37"/>
  <c r="A673" i="37"/>
  <c r="A672" i="37"/>
  <c r="A671" i="37"/>
  <c r="A670" i="37"/>
  <c r="A669" i="37"/>
  <c r="A668" i="37"/>
  <c r="A667" i="37"/>
  <c r="A666" i="37"/>
  <c r="A665" i="37"/>
  <c r="A664" i="37"/>
  <c r="A663" i="37"/>
  <c r="A662" i="37"/>
  <c r="A661" i="37"/>
  <c r="A660" i="37"/>
  <c r="A659" i="37"/>
  <c r="A658" i="37"/>
  <c r="A657" i="37"/>
  <c r="A656" i="37"/>
  <c r="A655" i="37"/>
  <c r="A654" i="37"/>
  <c r="A653" i="37"/>
  <c r="A652" i="37"/>
  <c r="A651" i="37"/>
  <c r="A650" i="37"/>
  <c r="A649" i="37"/>
  <c r="A648" i="37"/>
  <c r="A647" i="37"/>
  <c r="A646" i="37"/>
  <c r="A645" i="37"/>
  <c r="A644" i="37"/>
  <c r="A643" i="37"/>
  <c r="A642" i="37"/>
  <c r="A641" i="37"/>
  <c r="A640" i="37"/>
  <c r="A639" i="37"/>
  <c r="A638" i="37"/>
  <c r="A637" i="37"/>
  <c r="A636" i="37"/>
  <c r="A635" i="37"/>
  <c r="A634" i="37"/>
  <c r="A633" i="37"/>
  <c r="A632" i="37"/>
  <c r="A631" i="37"/>
  <c r="A630" i="37"/>
  <c r="A629" i="37"/>
  <c r="A628" i="37"/>
  <c r="A627" i="37"/>
  <c r="A626" i="37"/>
  <c r="A625" i="37"/>
  <c r="A624" i="37"/>
  <c r="A623" i="37"/>
  <c r="A622" i="37"/>
  <c r="A621" i="37"/>
  <c r="A620" i="37"/>
  <c r="A619" i="37"/>
  <c r="A618" i="37"/>
  <c r="A617" i="37"/>
  <c r="A616" i="37"/>
  <c r="A615" i="37"/>
  <c r="A614" i="37"/>
  <c r="A613" i="37"/>
  <c r="A612" i="37"/>
  <c r="A611" i="37"/>
  <c r="A610" i="37"/>
  <c r="A609" i="37"/>
  <c r="A608" i="37"/>
  <c r="A607" i="37"/>
  <c r="A606" i="37"/>
  <c r="A605" i="37"/>
  <c r="A604" i="37"/>
  <c r="A603" i="37"/>
  <c r="A602" i="37"/>
  <c r="A601" i="37"/>
  <c r="A600" i="37"/>
  <c r="A599" i="37"/>
  <c r="A598" i="37"/>
  <c r="A597" i="37"/>
  <c r="A596" i="37"/>
  <c r="A595" i="37"/>
  <c r="A594" i="37"/>
  <c r="A593" i="37"/>
  <c r="A592" i="37"/>
  <c r="A591" i="37"/>
  <c r="A590" i="37"/>
  <c r="A589" i="37"/>
  <c r="A588" i="37"/>
  <c r="A587" i="37"/>
  <c r="A586" i="37"/>
  <c r="A585" i="37"/>
  <c r="A584" i="37"/>
  <c r="A583" i="37"/>
  <c r="A582" i="37"/>
  <c r="A581" i="37"/>
  <c r="A580" i="37"/>
  <c r="A579" i="37"/>
  <c r="A578" i="37"/>
  <c r="A577" i="37"/>
  <c r="A576" i="37"/>
  <c r="A575" i="37"/>
  <c r="A574" i="37"/>
  <c r="A573" i="37"/>
  <c r="A572" i="37"/>
  <c r="A571" i="37"/>
  <c r="A570" i="37"/>
  <c r="A569" i="37"/>
  <c r="A568" i="37"/>
  <c r="A567" i="37"/>
  <c r="A566" i="37"/>
  <c r="A565" i="37"/>
  <c r="A564" i="37"/>
  <c r="A563" i="37"/>
  <c r="A562" i="37"/>
  <c r="A561" i="37"/>
  <c r="A560" i="37"/>
  <c r="A559" i="37"/>
  <c r="A558" i="37"/>
  <c r="A557" i="37"/>
  <c r="A556" i="37"/>
  <c r="A555" i="37"/>
  <c r="A554" i="37"/>
  <c r="A553" i="37"/>
  <c r="A552" i="37"/>
  <c r="A551" i="37"/>
  <c r="A550" i="37"/>
  <c r="A549" i="37"/>
  <c r="A548" i="37"/>
  <c r="A547" i="37"/>
  <c r="A546" i="37"/>
  <c r="A545" i="37"/>
  <c r="A544" i="37"/>
  <c r="A543" i="37"/>
  <c r="A542" i="37"/>
  <c r="A541" i="37"/>
  <c r="A540" i="37"/>
  <c r="A539" i="37"/>
  <c r="A538" i="37"/>
  <c r="A537" i="37"/>
  <c r="A536" i="37"/>
  <c r="A535" i="37"/>
  <c r="A534" i="37"/>
  <c r="A533" i="37"/>
  <c r="A532" i="37"/>
  <c r="A531" i="37"/>
  <c r="A530" i="37"/>
  <c r="A529" i="37"/>
  <c r="A528" i="37"/>
  <c r="A527" i="37"/>
  <c r="A526" i="37"/>
  <c r="A525" i="37"/>
  <c r="A524" i="37"/>
  <c r="A523" i="37"/>
  <c r="A522" i="37"/>
  <c r="A521" i="37"/>
  <c r="A520" i="37"/>
  <c r="A519" i="37"/>
  <c r="A518" i="37"/>
  <c r="A517" i="37"/>
  <c r="A516" i="37"/>
  <c r="A515" i="37"/>
  <c r="A514" i="37"/>
  <c r="A513" i="37"/>
  <c r="A512" i="37"/>
  <c r="A511" i="37"/>
  <c r="A510" i="37"/>
  <c r="A509" i="37"/>
  <c r="A508" i="37"/>
  <c r="A507" i="37"/>
  <c r="A506" i="37"/>
  <c r="A505" i="37"/>
  <c r="A504" i="37"/>
  <c r="A503" i="37"/>
  <c r="A502" i="37"/>
  <c r="A501" i="37"/>
  <c r="A500" i="37"/>
  <c r="A499" i="37"/>
  <c r="A498" i="37"/>
  <c r="A497" i="37"/>
  <c r="A496" i="37"/>
  <c r="A495" i="37"/>
  <c r="A494" i="37"/>
  <c r="A493" i="37"/>
  <c r="A492" i="37"/>
  <c r="A491" i="37"/>
  <c r="A490" i="37"/>
  <c r="A489" i="37"/>
  <c r="A488" i="37"/>
  <c r="A487" i="37"/>
  <c r="A486" i="37"/>
  <c r="A485" i="37"/>
  <c r="A484" i="37"/>
  <c r="A483" i="37"/>
  <c r="A482" i="37"/>
  <c r="A481" i="37"/>
  <c r="A480" i="37"/>
  <c r="A479" i="37"/>
  <c r="A478" i="37"/>
  <c r="A477" i="37"/>
  <c r="A476" i="37"/>
  <c r="A475" i="37"/>
  <c r="A474" i="37"/>
  <c r="A473" i="37"/>
  <c r="A472" i="37"/>
  <c r="A471" i="37"/>
  <c r="A470" i="37"/>
  <c r="A469" i="37"/>
  <c r="A468" i="37"/>
  <c r="A467" i="37"/>
  <c r="A466" i="37"/>
  <c r="A465" i="37"/>
  <c r="A464" i="37"/>
  <c r="A463" i="37"/>
  <c r="A462" i="37"/>
  <c r="A461" i="37"/>
  <c r="A460" i="37"/>
  <c r="A459" i="37"/>
  <c r="A458" i="37"/>
  <c r="A457" i="37"/>
  <c r="A456" i="37"/>
  <c r="A455" i="37"/>
  <c r="A454" i="37"/>
  <c r="A453" i="37"/>
  <c r="A452" i="37"/>
  <c r="A451" i="37"/>
  <c r="A450" i="37"/>
  <c r="A449" i="37"/>
  <c r="A448" i="37"/>
  <c r="A447" i="37"/>
  <c r="A446" i="37"/>
  <c r="A445" i="37"/>
  <c r="A444" i="37"/>
  <c r="A443" i="37"/>
  <c r="A442" i="37"/>
  <c r="A441" i="37"/>
  <c r="A440" i="37"/>
  <c r="A439" i="37"/>
  <c r="A438" i="37"/>
  <c r="A437" i="37"/>
  <c r="A436" i="37"/>
  <c r="A435" i="37"/>
  <c r="A434" i="37"/>
  <c r="A433" i="37"/>
  <c r="A432" i="37"/>
  <c r="A431" i="37"/>
  <c r="A430" i="37"/>
  <c r="A429" i="37"/>
  <c r="A428" i="37"/>
  <c r="A427" i="37"/>
  <c r="A426" i="37"/>
  <c r="A425" i="37"/>
  <c r="A424" i="37"/>
  <c r="A423" i="37"/>
  <c r="A422" i="37"/>
  <c r="A421" i="37"/>
  <c r="A420" i="37"/>
  <c r="A419" i="37"/>
  <c r="A418" i="37"/>
  <c r="A417" i="37"/>
  <c r="A416" i="37"/>
  <c r="A415" i="37"/>
  <c r="A414" i="37"/>
  <c r="A413" i="37"/>
  <c r="A412" i="37"/>
  <c r="A411" i="37"/>
  <c r="A410" i="37"/>
  <c r="A409" i="37"/>
  <c r="A408" i="37"/>
  <c r="A407" i="37"/>
  <c r="A406" i="37"/>
  <c r="A405" i="37"/>
  <c r="A404" i="37"/>
  <c r="A403" i="37"/>
  <c r="A402" i="37"/>
  <c r="A401" i="37"/>
  <c r="A400" i="37"/>
  <c r="A399" i="37"/>
  <c r="A398" i="37"/>
  <c r="A397" i="37"/>
  <c r="A396" i="37"/>
  <c r="A395" i="37"/>
  <c r="A394" i="37"/>
  <c r="A393" i="37"/>
  <c r="A392" i="37"/>
  <c r="A391" i="37"/>
  <c r="A390" i="37"/>
  <c r="A389" i="37"/>
  <c r="A388" i="37"/>
  <c r="A387" i="37"/>
  <c r="A386" i="37"/>
  <c r="A385" i="37"/>
  <c r="A384" i="37"/>
  <c r="A383" i="37"/>
  <c r="A382" i="37"/>
  <c r="A381" i="37"/>
  <c r="A380" i="37"/>
  <c r="A379" i="37"/>
  <c r="A378" i="37"/>
  <c r="A377" i="37"/>
  <c r="A376" i="37"/>
  <c r="A375" i="37"/>
  <c r="A374" i="37"/>
  <c r="A373" i="37"/>
  <c r="A372" i="37"/>
  <c r="A371" i="37"/>
  <c r="A370" i="37"/>
  <c r="A369" i="37"/>
  <c r="A368" i="37"/>
  <c r="A367" i="37"/>
  <c r="A366" i="37"/>
  <c r="A365" i="37"/>
  <c r="A364" i="37"/>
  <c r="A363" i="37"/>
  <c r="A362" i="37"/>
  <c r="A361" i="37"/>
  <c r="A360" i="37"/>
  <c r="A359" i="37"/>
  <c r="A358" i="37"/>
  <c r="A357" i="37"/>
  <c r="A356" i="37"/>
  <c r="A355" i="37"/>
  <c r="A354" i="37"/>
  <c r="A353" i="37"/>
  <c r="A352" i="37"/>
  <c r="A351" i="37"/>
  <c r="A350" i="37"/>
  <c r="A349" i="37"/>
  <c r="A348" i="37"/>
  <c r="A347" i="37"/>
  <c r="A346" i="37"/>
  <c r="A345" i="37"/>
  <c r="A344" i="37"/>
  <c r="A343" i="37"/>
  <c r="A342" i="37"/>
  <c r="A341" i="37"/>
  <c r="A340" i="37"/>
  <c r="A339" i="37"/>
  <c r="A338" i="37"/>
  <c r="A337" i="37"/>
  <c r="A336" i="37"/>
  <c r="A335" i="37"/>
  <c r="A334" i="37"/>
  <c r="A333" i="37"/>
  <c r="A332" i="37"/>
  <c r="A331" i="37"/>
  <c r="A330" i="37"/>
  <c r="A329" i="37"/>
  <c r="A328" i="37"/>
  <c r="A327" i="37"/>
  <c r="A326" i="37"/>
  <c r="A325" i="37"/>
  <c r="A324" i="37"/>
  <c r="A323" i="37"/>
  <c r="A322" i="37"/>
  <c r="A321" i="37"/>
  <c r="A320" i="37"/>
  <c r="A319" i="37"/>
  <c r="A318" i="37"/>
  <c r="A317" i="37"/>
  <c r="A316" i="37"/>
  <c r="A315" i="37"/>
  <c r="A314" i="37"/>
  <c r="A313" i="37"/>
  <c r="A312" i="37"/>
  <c r="A311" i="37"/>
  <c r="A310" i="37"/>
  <c r="A309" i="37"/>
  <c r="A308" i="37"/>
  <c r="A307" i="37"/>
  <c r="A306" i="37"/>
  <c r="A305" i="37"/>
  <c r="A304" i="37"/>
  <c r="A303" i="37"/>
  <c r="A302" i="37"/>
  <c r="A301" i="37"/>
  <c r="A300" i="37"/>
  <c r="A299" i="37"/>
  <c r="A298" i="37"/>
  <c r="A297" i="37"/>
  <c r="A296" i="37"/>
  <c r="A295" i="37"/>
  <c r="A294" i="37"/>
  <c r="A293" i="37"/>
  <c r="A292" i="37"/>
  <c r="A291" i="37"/>
  <c r="A290" i="37"/>
  <c r="A289" i="37"/>
  <c r="A288" i="37"/>
  <c r="A287" i="37"/>
  <c r="A286" i="37"/>
  <c r="A285" i="37"/>
  <c r="A284" i="37"/>
  <c r="A283" i="37"/>
  <c r="A282" i="37"/>
  <c r="A281" i="37"/>
  <c r="A280" i="37"/>
  <c r="A279" i="37"/>
  <c r="A278" i="37"/>
  <c r="A277" i="37"/>
  <c r="A276" i="37"/>
  <c r="A275" i="37"/>
  <c r="A274" i="37"/>
  <c r="A273" i="37"/>
  <c r="A272" i="37"/>
  <c r="A271" i="37"/>
  <c r="A270" i="37"/>
  <c r="A269" i="37"/>
  <c r="A268" i="37"/>
  <c r="A267" i="37"/>
  <c r="A266" i="37"/>
  <c r="A265" i="37"/>
  <c r="A264" i="37"/>
  <c r="A263" i="37"/>
  <c r="A262" i="37"/>
  <c r="A261" i="37"/>
  <c r="A260" i="37"/>
  <c r="A259" i="37"/>
  <c r="A258" i="37"/>
  <c r="A257" i="37"/>
  <c r="A256" i="37"/>
  <c r="A255" i="37"/>
  <c r="A254" i="37"/>
  <c r="A253" i="37"/>
  <c r="A252" i="37"/>
  <c r="A251" i="37"/>
  <c r="A250" i="37"/>
  <c r="A249" i="37"/>
  <c r="A248" i="37"/>
  <c r="A247" i="37"/>
  <c r="A246" i="37"/>
  <c r="A245" i="37"/>
  <c r="A244" i="37"/>
  <c r="A243" i="37"/>
  <c r="A242" i="37"/>
  <c r="A241" i="37"/>
  <c r="A240" i="37"/>
  <c r="A239" i="37"/>
  <c r="A238" i="37"/>
  <c r="A237" i="37"/>
  <c r="A236" i="37"/>
  <c r="A235" i="37"/>
  <c r="A234" i="37"/>
  <c r="A233" i="37"/>
  <c r="A232" i="37"/>
  <c r="A231" i="37"/>
  <c r="A230" i="37"/>
  <c r="A229" i="37"/>
  <c r="A228" i="37"/>
  <c r="A227" i="37"/>
  <c r="A226" i="37"/>
  <c r="A225" i="37"/>
  <c r="A224" i="37"/>
  <c r="A223" i="37"/>
  <c r="A222" i="37"/>
  <c r="A221" i="37"/>
  <c r="A220" i="37"/>
  <c r="A219" i="37"/>
  <c r="A218" i="37"/>
  <c r="A217" i="37"/>
  <c r="A216" i="37"/>
  <c r="A215" i="37"/>
  <c r="A214" i="37"/>
  <c r="A213" i="37"/>
  <c r="A212" i="37"/>
  <c r="A211" i="37"/>
  <c r="A210" i="37"/>
  <c r="A209" i="37"/>
  <c r="A208" i="37"/>
  <c r="A207" i="37"/>
  <c r="A206" i="37"/>
  <c r="A205" i="37"/>
  <c r="A204" i="37"/>
  <c r="A203" i="37"/>
  <c r="A202" i="37"/>
  <c r="A201" i="37"/>
  <c r="A200" i="37"/>
  <c r="A199" i="37"/>
  <c r="A198" i="37"/>
  <c r="A197" i="37"/>
  <c r="A196" i="37"/>
  <c r="A195" i="37"/>
  <c r="A194" i="37"/>
  <c r="A193" i="37"/>
  <c r="A192" i="37"/>
  <c r="A191" i="37"/>
  <c r="A190" i="37"/>
  <c r="A189" i="37"/>
  <c r="A188" i="37"/>
  <c r="A187" i="37"/>
  <c r="A186" i="37"/>
  <c r="A185" i="37"/>
  <c r="A184" i="37"/>
  <c r="A183" i="37"/>
  <c r="A182" i="37"/>
  <c r="A181" i="37"/>
  <c r="A180" i="37"/>
  <c r="A179" i="37"/>
  <c r="A178" i="37"/>
  <c r="A177" i="37"/>
  <c r="A176" i="37"/>
  <c r="A175" i="37"/>
  <c r="A174" i="37"/>
  <c r="A173" i="37"/>
  <c r="A172" i="37"/>
  <c r="A171" i="37"/>
  <c r="A170" i="37"/>
  <c r="A169" i="37"/>
  <c r="A168" i="37"/>
  <c r="A167" i="37"/>
  <c r="A166" i="37"/>
  <c r="A165" i="37"/>
  <c r="A164" i="37"/>
  <c r="A163" i="37"/>
  <c r="A162" i="37"/>
  <c r="A161" i="37"/>
  <c r="A160" i="37"/>
  <c r="A159" i="37"/>
  <c r="A158" i="37"/>
  <c r="A157" i="37"/>
  <c r="A156" i="37"/>
  <c r="A155" i="37"/>
  <c r="A154" i="37"/>
  <c r="A153" i="37"/>
  <c r="A152" i="37"/>
  <c r="A151" i="37"/>
  <c r="A150" i="37"/>
  <c r="A149" i="37"/>
  <c r="A148" i="37"/>
  <c r="A147" i="37"/>
  <c r="A146" i="37"/>
  <c r="A145" i="37"/>
  <c r="A144" i="37"/>
  <c r="A143" i="37"/>
  <c r="A142" i="37"/>
  <c r="A141" i="37"/>
  <c r="A140" i="37"/>
  <c r="A139" i="37"/>
  <c r="A138" i="37"/>
  <c r="A137" i="37"/>
  <c r="A136" i="37"/>
  <c r="A135" i="37"/>
  <c r="A134" i="37"/>
  <c r="A133" i="37"/>
  <c r="A132" i="37"/>
  <c r="A131" i="37"/>
  <c r="A130" i="37"/>
  <c r="A129" i="37"/>
  <c r="A128" i="37"/>
  <c r="A127" i="37"/>
  <c r="A126" i="37"/>
  <c r="A125" i="37"/>
  <c r="A124" i="37"/>
  <c r="A123" i="37"/>
  <c r="A122" i="37"/>
  <c r="A121" i="37"/>
  <c r="A120" i="37"/>
  <c r="A119" i="37"/>
  <c r="A118" i="37"/>
  <c r="A117" i="37"/>
  <c r="A116" i="37"/>
  <c r="A115" i="37"/>
  <c r="A114" i="37"/>
  <c r="A113" i="37"/>
  <c r="A112" i="37"/>
  <c r="A111" i="37"/>
  <c r="A110" i="37"/>
  <c r="A109" i="37"/>
  <c r="A108" i="37"/>
  <c r="A107" i="37"/>
  <c r="A106" i="37"/>
  <c r="A105" i="37"/>
  <c r="A104" i="37"/>
  <c r="A103" i="37"/>
  <c r="A102" i="37"/>
  <c r="A101" i="37"/>
  <c r="A100" i="37"/>
  <c r="A99" i="37"/>
  <c r="A98" i="37"/>
  <c r="A97" i="37"/>
  <c r="A96" i="37"/>
  <c r="A95" i="37"/>
  <c r="A94" i="37"/>
  <c r="A93" i="37"/>
  <c r="A92" i="37"/>
  <c r="A91" i="37"/>
  <c r="A90" i="37"/>
  <c r="A89" i="37"/>
  <c r="A88" i="37"/>
  <c r="A87" i="37"/>
  <c r="A86" i="37"/>
  <c r="A85" i="37"/>
  <c r="A84" i="37"/>
  <c r="A83" i="37"/>
  <c r="A82" i="37"/>
  <c r="A81" i="37"/>
  <c r="A80" i="37"/>
  <c r="A79" i="37"/>
  <c r="A78" i="37"/>
  <c r="A77" i="37"/>
  <c r="A76" i="37"/>
  <c r="A75" i="37"/>
  <c r="A74" i="37"/>
  <c r="A73" i="37"/>
  <c r="A72" i="37"/>
  <c r="A71" i="37"/>
  <c r="A70" i="37"/>
  <c r="A69" i="37"/>
  <c r="A68" i="37"/>
  <c r="A67" i="37"/>
  <c r="A66" i="37"/>
  <c r="A65" i="37"/>
  <c r="A64" i="37"/>
  <c r="A63" i="37"/>
  <c r="A62" i="37"/>
  <c r="A61" i="37"/>
  <c r="A60" i="37"/>
  <c r="A59" i="37"/>
  <c r="A58" i="37"/>
  <c r="A57" i="37"/>
  <c r="A56" i="37"/>
  <c r="A55" i="37"/>
  <c r="A54" i="37"/>
  <c r="A53" i="37"/>
  <c r="A52" i="37"/>
  <c r="A51" i="37"/>
  <c r="A50" i="37"/>
  <c r="A49" i="37"/>
  <c r="A48" i="37"/>
  <c r="A47" i="37"/>
  <c r="A46" i="37"/>
  <c r="A45" i="37"/>
  <c r="A44" i="37"/>
  <c r="A43" i="37"/>
  <c r="A42" i="37"/>
  <c r="A41" i="37"/>
  <c r="A40" i="37"/>
  <c r="A39" i="37"/>
  <c r="A38" i="37"/>
  <c r="A37" i="37"/>
  <c r="A36" i="37"/>
  <c r="A35" i="37"/>
  <c r="A34" i="37"/>
  <c r="A33" i="37"/>
  <c r="A32" i="37"/>
  <c r="A31" i="37"/>
  <c r="A30" i="37"/>
  <c r="A29" i="37"/>
  <c r="A28" i="37"/>
  <c r="A27" i="37"/>
  <c r="A26" i="37"/>
  <c r="A25" i="37"/>
  <c r="A24" i="37"/>
  <c r="A23" i="37"/>
  <c r="A22" i="37"/>
  <c r="A21" i="37"/>
  <c r="A20" i="37"/>
  <c r="A19" i="37"/>
  <c r="A18" i="37"/>
  <c r="A17" i="37"/>
  <c r="A16" i="37"/>
  <c r="A15" i="37"/>
  <c r="A14" i="37"/>
  <c r="A13" i="37"/>
  <c r="A12" i="37"/>
  <c r="A11" i="37"/>
  <c r="A10" i="37"/>
  <c r="A9" i="37"/>
  <c r="A8" i="37"/>
  <c r="A7" i="37"/>
  <c r="A6" i="37"/>
  <c r="A5" i="37"/>
  <c r="A4" i="37"/>
  <c r="A3" i="37"/>
  <c r="A1500" i="35"/>
  <c r="A1499" i="35"/>
  <c r="A1498" i="35"/>
  <c r="A1497" i="35"/>
  <c r="A1496" i="35"/>
  <c r="A1495" i="35"/>
  <c r="A1494" i="35"/>
  <c r="A1493" i="35"/>
  <c r="A1492" i="35"/>
  <c r="A1491" i="35"/>
  <c r="A1490" i="35"/>
  <c r="A1489" i="35"/>
  <c r="A1488" i="35"/>
  <c r="A1487" i="35"/>
  <c r="A1486" i="35"/>
  <c r="A1485" i="35"/>
  <c r="A1484" i="35"/>
  <c r="A1483" i="35"/>
  <c r="A1482" i="35"/>
  <c r="A1481" i="35"/>
  <c r="A1480" i="35"/>
  <c r="A1479" i="35"/>
  <c r="A1478" i="35"/>
  <c r="A1477" i="35"/>
  <c r="A1476" i="35"/>
  <c r="A1475" i="35"/>
  <c r="A1474" i="35"/>
  <c r="A1473" i="35"/>
  <c r="A1472" i="35"/>
  <c r="A1471" i="35"/>
  <c r="A1470" i="35"/>
  <c r="A1469" i="35"/>
  <c r="A1468" i="35"/>
  <c r="A1467" i="35"/>
  <c r="A1466" i="35"/>
  <c r="A1465" i="35"/>
  <c r="A1464" i="35"/>
  <c r="A1463" i="35"/>
  <c r="A1462" i="35"/>
  <c r="A1461" i="35"/>
  <c r="A1460" i="35"/>
  <c r="A1459" i="35"/>
  <c r="A1458" i="35"/>
  <c r="A1457" i="35"/>
  <c r="A1456" i="35"/>
  <c r="A1455" i="35"/>
  <c r="A1454" i="35"/>
  <c r="A1453" i="35"/>
  <c r="A1452" i="35"/>
  <c r="A1451" i="35"/>
  <c r="A1450" i="35"/>
  <c r="A1449" i="35"/>
  <c r="A1448" i="35"/>
  <c r="A1447" i="35"/>
  <c r="A1446" i="35"/>
  <c r="A1445" i="35"/>
  <c r="A1444" i="35"/>
  <c r="A1443" i="35"/>
  <c r="A1442" i="35"/>
  <c r="A1441" i="35"/>
  <c r="A1440" i="35"/>
  <c r="A1439" i="35"/>
  <c r="A1438" i="35"/>
  <c r="A1437" i="35"/>
  <c r="A1436" i="35"/>
  <c r="A1435" i="35"/>
  <c r="A1434" i="35"/>
  <c r="A1433" i="35"/>
  <c r="A1432" i="35"/>
  <c r="A1431" i="35"/>
  <c r="A1430" i="35"/>
  <c r="A1429" i="35"/>
  <c r="A1428" i="35"/>
  <c r="A1427" i="35"/>
  <c r="A1426" i="35"/>
  <c r="A1425" i="35"/>
  <c r="A1424" i="35"/>
  <c r="A1423" i="35"/>
  <c r="A1422" i="35"/>
  <c r="A1421" i="35"/>
  <c r="A1420" i="35"/>
  <c r="A1419" i="35"/>
  <c r="A1418" i="35"/>
  <c r="A1417" i="35"/>
  <c r="A1416" i="35"/>
  <c r="A1415" i="35"/>
  <c r="A1414" i="35"/>
  <c r="A1413" i="35"/>
  <c r="A1412" i="35"/>
  <c r="A1411" i="35"/>
  <c r="A1410" i="35"/>
  <c r="A1409" i="35"/>
  <c r="A1408" i="35"/>
  <c r="A1407" i="35"/>
  <c r="A1406" i="35"/>
  <c r="A1405" i="35"/>
  <c r="A1404" i="35"/>
  <c r="A1403" i="35"/>
  <c r="A1402" i="35"/>
  <c r="A1401" i="35"/>
  <c r="A1400" i="35"/>
  <c r="A1399" i="35"/>
  <c r="A1398" i="35"/>
  <c r="A1397" i="35"/>
  <c r="A1396" i="35"/>
  <c r="A1395" i="35"/>
  <c r="A1394" i="35"/>
  <c r="A1393" i="35"/>
  <c r="A1392" i="35"/>
  <c r="A1391" i="35"/>
  <c r="A1390" i="35"/>
  <c r="A1389" i="35"/>
  <c r="A1388" i="35"/>
  <c r="A1387" i="35"/>
  <c r="A1386" i="35"/>
  <c r="A1385" i="35"/>
  <c r="A1384" i="35"/>
  <c r="A1383" i="35"/>
  <c r="A1382" i="35"/>
  <c r="A1381" i="35"/>
  <c r="A1380" i="35"/>
  <c r="A1379" i="35"/>
  <c r="A1378" i="35"/>
  <c r="A1377" i="35"/>
  <c r="A1376" i="35"/>
  <c r="A1375" i="35"/>
  <c r="A1374" i="35"/>
  <c r="A1373" i="35"/>
  <c r="A1372" i="35"/>
  <c r="A1371" i="35"/>
  <c r="A1370" i="35"/>
  <c r="A1369" i="35"/>
  <c r="A1368" i="35"/>
  <c r="A1367" i="35"/>
  <c r="A1366" i="35"/>
  <c r="A1365" i="35"/>
  <c r="A1364" i="35"/>
  <c r="A1363" i="35"/>
  <c r="A1362" i="35"/>
  <c r="A1361" i="35"/>
  <c r="A1360" i="35"/>
  <c r="A1359" i="35"/>
  <c r="A1358" i="35"/>
  <c r="A1357" i="35"/>
  <c r="A1356" i="35"/>
  <c r="A1355" i="35"/>
  <c r="A1354" i="35"/>
  <c r="A1353" i="35"/>
  <c r="A1352" i="35"/>
  <c r="A1351" i="35"/>
  <c r="A1350" i="35"/>
  <c r="A1349" i="35"/>
  <c r="A1348" i="35"/>
  <c r="A1347" i="35"/>
  <c r="A1346" i="35"/>
  <c r="A1345" i="35"/>
  <c r="A1344" i="35"/>
  <c r="A1343" i="35"/>
  <c r="A1342" i="35"/>
  <c r="A1341" i="35"/>
  <c r="A1340" i="35"/>
  <c r="A1339" i="35"/>
  <c r="A1338" i="35"/>
  <c r="A1337" i="35"/>
  <c r="A1336" i="35"/>
  <c r="A1335" i="35"/>
  <c r="A1334" i="35"/>
  <c r="A1333" i="35"/>
  <c r="A1332" i="35"/>
  <c r="A1331" i="35"/>
  <c r="A1330" i="35"/>
  <c r="A1329" i="35"/>
  <c r="A1328" i="35"/>
  <c r="A1327" i="35"/>
  <c r="A1326" i="35"/>
  <c r="A1325" i="35"/>
  <c r="A1324" i="35"/>
  <c r="A1323" i="35"/>
  <c r="A1322" i="35"/>
  <c r="A1321" i="35"/>
  <c r="A1320" i="35"/>
  <c r="A1319" i="35"/>
  <c r="A1318" i="35"/>
  <c r="A1317" i="35"/>
  <c r="A1316" i="35"/>
  <c r="A1315" i="35"/>
  <c r="A1314" i="35"/>
  <c r="A1313" i="35"/>
  <c r="A1312" i="35"/>
  <c r="A1311" i="35"/>
  <c r="A1310" i="35"/>
  <c r="A1309" i="35"/>
  <c r="A1308" i="35"/>
  <c r="A1307" i="35"/>
  <c r="A1306" i="35"/>
  <c r="A1305" i="35"/>
  <c r="A1304" i="35"/>
  <c r="A1303" i="35"/>
  <c r="A1302" i="35"/>
  <c r="A1301" i="35"/>
  <c r="A1300" i="35"/>
  <c r="A1299" i="35"/>
  <c r="A1298" i="35"/>
  <c r="A1297" i="35"/>
  <c r="A1296" i="35"/>
  <c r="A1295" i="35"/>
  <c r="A1294" i="35"/>
  <c r="A1293" i="35"/>
  <c r="A1292" i="35"/>
  <c r="A1291" i="35"/>
  <c r="A1290" i="35"/>
  <c r="A1289" i="35"/>
  <c r="A1288" i="35"/>
  <c r="A1287" i="35"/>
  <c r="A1286" i="35"/>
  <c r="A1285" i="35"/>
  <c r="A1284" i="35"/>
  <c r="A1283" i="35"/>
  <c r="A1282" i="35"/>
  <c r="A1281" i="35"/>
  <c r="A1280" i="35"/>
  <c r="A1279" i="35"/>
  <c r="A1278" i="35"/>
  <c r="A1277" i="35"/>
  <c r="A1276" i="35"/>
  <c r="A1275" i="35"/>
  <c r="A1274" i="35"/>
  <c r="A1273" i="35"/>
  <c r="A1272" i="35"/>
  <c r="A1271" i="35"/>
  <c r="A1270" i="35"/>
  <c r="A1269" i="35"/>
  <c r="A1268" i="35"/>
  <c r="A1267" i="35"/>
  <c r="A1266" i="35"/>
  <c r="A1265" i="35"/>
  <c r="A1264" i="35"/>
  <c r="A1263" i="35"/>
  <c r="A1262" i="35"/>
  <c r="A1261" i="35"/>
  <c r="A1260" i="35"/>
  <c r="A1259" i="35"/>
  <c r="A1258" i="35"/>
  <c r="A1257" i="35"/>
  <c r="A1256" i="35"/>
  <c r="A1255" i="35"/>
  <c r="A1254" i="35"/>
  <c r="A1253" i="35"/>
  <c r="A1252" i="35"/>
  <c r="A1251" i="35"/>
  <c r="A1250" i="35"/>
  <c r="A1249" i="35"/>
  <c r="A1248" i="35"/>
  <c r="A1247" i="35"/>
  <c r="A1246" i="35"/>
  <c r="A1245" i="35"/>
  <c r="A1244" i="35"/>
  <c r="A1243" i="35"/>
  <c r="A1242" i="35"/>
  <c r="A1241" i="35"/>
  <c r="A1240" i="35"/>
  <c r="A1239" i="35"/>
  <c r="A1238" i="35"/>
  <c r="A1237" i="35"/>
  <c r="A1236" i="35"/>
  <c r="A1235" i="35"/>
  <c r="A1234" i="35"/>
  <c r="A1233" i="35"/>
  <c r="A1232" i="35"/>
  <c r="A1231" i="35"/>
  <c r="A1230" i="35"/>
  <c r="A1229" i="35"/>
  <c r="A1228" i="35"/>
  <c r="A1227" i="35"/>
  <c r="A1226" i="35"/>
  <c r="A1225" i="35"/>
  <c r="A1224" i="35"/>
  <c r="A1223" i="35"/>
  <c r="A1222" i="35"/>
  <c r="A1221" i="35"/>
  <c r="A1220" i="35"/>
  <c r="A1219" i="35"/>
  <c r="A1218" i="35"/>
  <c r="A1217" i="35"/>
  <c r="A1216" i="35"/>
  <c r="A1215" i="35"/>
  <c r="A1214" i="35"/>
  <c r="A1213" i="35"/>
  <c r="A1212" i="35"/>
  <c r="A1211" i="35"/>
  <c r="A1210" i="35"/>
  <c r="A1209" i="35"/>
  <c r="A1208" i="35"/>
  <c r="A1207" i="35"/>
  <c r="A1206" i="35"/>
  <c r="A1205" i="35"/>
  <c r="A1204" i="35"/>
  <c r="A1203" i="35"/>
  <c r="A1202" i="35"/>
  <c r="A1201" i="35"/>
  <c r="A1200" i="35"/>
  <c r="A1199" i="35"/>
  <c r="A1198" i="35"/>
  <c r="A1197" i="35"/>
  <c r="A1196" i="35"/>
  <c r="A1195" i="35"/>
  <c r="A1194" i="35"/>
  <c r="A1193" i="35"/>
  <c r="A1192" i="35"/>
  <c r="A1191" i="35"/>
  <c r="A1190" i="35"/>
  <c r="A1189" i="35"/>
  <c r="A1188" i="35"/>
  <c r="A1187" i="35"/>
  <c r="A1186" i="35"/>
  <c r="A1185" i="35"/>
  <c r="A1184" i="35"/>
  <c r="A1183" i="35"/>
  <c r="A1182" i="35"/>
  <c r="A1181" i="35"/>
  <c r="A1180" i="35"/>
  <c r="A1179" i="35"/>
  <c r="A1178" i="35"/>
  <c r="A1177" i="35"/>
  <c r="A1176" i="35"/>
  <c r="A1175" i="35"/>
  <c r="A1174" i="35"/>
  <c r="A1173" i="35"/>
  <c r="A1172" i="35"/>
  <c r="A1171" i="35"/>
  <c r="A1170" i="35"/>
  <c r="A1169" i="35"/>
  <c r="A1168" i="35"/>
  <c r="A1167" i="35"/>
  <c r="A1166" i="35"/>
  <c r="A1165" i="35"/>
  <c r="A1164" i="35"/>
  <c r="A1163" i="35"/>
  <c r="A1162" i="35"/>
  <c r="A1161" i="35"/>
  <c r="A1160" i="35"/>
  <c r="A1159" i="35"/>
  <c r="A1158" i="35"/>
  <c r="A1157" i="35"/>
  <c r="A1156" i="35"/>
  <c r="A1155" i="35"/>
  <c r="A1154" i="35"/>
  <c r="A1153" i="35"/>
  <c r="A1152" i="35"/>
  <c r="A1151" i="35"/>
  <c r="A1150" i="35"/>
  <c r="A1149" i="35"/>
  <c r="A1148" i="35"/>
  <c r="A1147" i="35"/>
  <c r="A1146" i="35"/>
  <c r="A1145" i="35"/>
  <c r="A1144" i="35"/>
  <c r="A1143" i="35"/>
  <c r="A1142" i="35"/>
  <c r="A1141" i="35"/>
  <c r="A1140" i="35"/>
  <c r="A1139" i="35"/>
  <c r="A1138" i="35"/>
  <c r="A1137" i="35"/>
  <c r="A1136" i="35"/>
  <c r="A1135" i="35"/>
  <c r="A1134" i="35"/>
  <c r="A1133" i="35"/>
  <c r="A1132" i="35"/>
  <c r="A1131" i="35"/>
  <c r="A1130" i="35"/>
  <c r="A1129" i="35"/>
  <c r="A1128" i="35"/>
  <c r="A1127" i="35"/>
  <c r="A1126" i="35"/>
  <c r="A1125" i="35"/>
  <c r="A1124" i="35"/>
  <c r="A1123" i="35"/>
  <c r="A1122" i="35"/>
  <c r="A1121" i="35"/>
  <c r="A1120" i="35"/>
  <c r="A1119" i="35"/>
  <c r="A1118" i="35"/>
  <c r="A1117" i="35"/>
  <c r="A1116" i="35"/>
  <c r="A1115" i="35"/>
  <c r="A1114" i="35"/>
  <c r="A1113" i="35"/>
  <c r="A1112" i="35"/>
  <c r="A1111" i="35"/>
  <c r="A1110" i="35"/>
  <c r="A1109" i="35"/>
  <c r="A1108" i="35"/>
  <c r="A1107" i="35"/>
  <c r="A1106" i="35"/>
  <c r="A1105" i="35"/>
  <c r="A1104" i="35"/>
  <c r="A1103" i="35"/>
  <c r="A1102" i="35"/>
  <c r="A1101" i="35"/>
  <c r="A1100" i="35"/>
  <c r="A1099" i="35"/>
  <c r="A1098" i="35"/>
  <c r="A1097" i="35"/>
  <c r="A1096" i="35"/>
  <c r="A1095" i="35"/>
  <c r="A1094" i="35"/>
  <c r="A1093" i="35"/>
  <c r="A1092" i="35"/>
  <c r="A1091" i="35"/>
  <c r="A1090" i="35"/>
  <c r="A1089" i="35"/>
  <c r="A1088" i="35"/>
  <c r="A1087" i="35"/>
  <c r="A1086" i="35"/>
  <c r="A1085" i="35"/>
  <c r="A1084" i="35"/>
  <c r="A1083" i="35"/>
  <c r="A1082" i="35"/>
  <c r="A1081" i="35"/>
  <c r="A1080" i="35"/>
  <c r="A1079" i="35"/>
  <c r="A1078" i="35"/>
  <c r="A1077" i="35"/>
  <c r="A1076" i="35"/>
  <c r="A1075" i="35"/>
  <c r="A1074" i="35"/>
  <c r="A1073" i="35"/>
  <c r="A1072" i="35"/>
  <c r="A1071" i="35"/>
  <c r="A1070" i="35"/>
  <c r="A1069" i="35"/>
  <c r="A1068" i="35"/>
  <c r="A1067" i="35"/>
  <c r="A1066" i="35"/>
  <c r="A1065" i="35"/>
  <c r="A1064" i="35"/>
  <c r="A1063" i="35"/>
  <c r="A1062" i="35"/>
  <c r="A1061" i="35"/>
  <c r="A1060" i="35"/>
  <c r="A1059" i="35"/>
  <c r="A1058" i="35"/>
  <c r="A1057" i="35"/>
  <c r="A1056" i="35"/>
  <c r="A1055" i="35"/>
  <c r="A1054" i="35"/>
  <c r="A1053" i="35"/>
  <c r="A1052" i="35"/>
  <c r="A1051" i="35"/>
  <c r="A1050" i="35"/>
  <c r="A1049" i="35"/>
  <c r="A1048" i="35"/>
  <c r="A1047" i="35"/>
  <c r="A1046" i="35"/>
  <c r="A1045" i="35"/>
  <c r="A1044" i="35"/>
  <c r="A1043" i="35"/>
  <c r="A1042" i="35"/>
  <c r="A1041" i="35"/>
  <c r="A1040" i="35"/>
  <c r="A1039" i="35"/>
  <c r="A1038" i="35"/>
  <c r="A1037" i="35"/>
  <c r="A1036" i="35"/>
  <c r="A1035" i="35"/>
  <c r="A1034" i="35"/>
  <c r="A1033" i="35"/>
  <c r="A1032" i="35"/>
  <c r="A1031" i="35"/>
  <c r="A1030" i="35"/>
  <c r="A1029" i="35"/>
  <c r="A1028" i="35"/>
  <c r="A1027" i="35"/>
  <c r="A1026" i="35"/>
  <c r="A1025" i="35"/>
  <c r="A1024" i="35"/>
  <c r="A1023" i="35"/>
  <c r="A1022" i="35"/>
  <c r="A1021" i="35"/>
  <c r="A1020" i="35"/>
  <c r="A1019" i="35"/>
  <c r="A1018" i="35"/>
  <c r="A1017" i="35"/>
  <c r="A1016" i="35"/>
  <c r="A1015" i="35"/>
  <c r="A1014" i="35"/>
  <c r="A1013" i="35"/>
  <c r="A1012" i="35"/>
  <c r="A1011" i="35"/>
  <c r="A1010" i="35"/>
  <c r="A1009" i="35"/>
  <c r="A1008" i="35"/>
  <c r="A1007" i="35"/>
  <c r="A1006" i="35"/>
  <c r="A1005" i="35"/>
  <c r="A1004" i="35"/>
  <c r="A1003" i="35"/>
  <c r="A1002" i="35"/>
  <c r="A1001" i="35"/>
  <c r="A1000" i="35"/>
  <c r="A999" i="35"/>
  <c r="A998" i="35"/>
  <c r="A997" i="35"/>
  <c r="A996" i="35"/>
  <c r="A995" i="35"/>
  <c r="A994" i="35"/>
  <c r="A993" i="35"/>
  <c r="A992" i="35"/>
  <c r="A991" i="35"/>
  <c r="A990" i="35"/>
  <c r="A989" i="35"/>
  <c r="A988" i="35"/>
  <c r="A987" i="35"/>
  <c r="A986" i="35"/>
  <c r="A985" i="35"/>
  <c r="A984" i="35"/>
  <c r="A983" i="35"/>
  <c r="A982" i="35"/>
  <c r="A981" i="35"/>
  <c r="A980" i="35"/>
  <c r="A979" i="35"/>
  <c r="A978" i="35"/>
  <c r="A977" i="35"/>
  <c r="A976" i="35"/>
  <c r="A975" i="35"/>
  <c r="A974" i="35"/>
  <c r="A973" i="35"/>
  <c r="A972" i="35"/>
  <c r="A971" i="35"/>
  <c r="A970" i="35"/>
  <c r="A969" i="35"/>
  <c r="A968" i="35"/>
  <c r="A967" i="35"/>
  <c r="A966" i="35"/>
  <c r="A965" i="35"/>
  <c r="A964" i="35"/>
  <c r="A963" i="35"/>
  <c r="A962" i="35"/>
  <c r="A961" i="35"/>
  <c r="A960" i="35"/>
  <c r="A959" i="35"/>
  <c r="A958" i="35"/>
  <c r="A957" i="35"/>
  <c r="A956" i="35"/>
  <c r="A955" i="35"/>
  <c r="A954" i="35"/>
  <c r="A953" i="35"/>
  <c r="A952" i="35"/>
  <c r="A951" i="35"/>
  <c r="A950" i="35"/>
  <c r="A949" i="35"/>
  <c r="A948" i="35"/>
  <c r="A947" i="35"/>
  <c r="A946" i="35"/>
  <c r="A945" i="35"/>
  <c r="A944" i="35"/>
  <c r="A943" i="35"/>
  <c r="A942" i="35"/>
  <c r="A941" i="35"/>
  <c r="A940" i="35"/>
  <c r="A939" i="35"/>
  <c r="A938" i="35"/>
  <c r="A937" i="35"/>
  <c r="A936" i="35"/>
  <c r="A935" i="35"/>
  <c r="A934" i="35"/>
  <c r="A933" i="35"/>
  <c r="A932" i="35"/>
  <c r="A931" i="35"/>
  <c r="A930" i="35"/>
  <c r="A929" i="35"/>
  <c r="A928" i="35"/>
  <c r="A927" i="35"/>
  <c r="A926" i="35"/>
  <c r="A925" i="35"/>
  <c r="A924" i="35"/>
  <c r="A923" i="35"/>
  <c r="A922" i="35"/>
  <c r="A921" i="35"/>
  <c r="A920" i="35"/>
  <c r="A919" i="35"/>
  <c r="A918" i="35"/>
  <c r="A917" i="35"/>
  <c r="A916" i="35"/>
  <c r="A915" i="35"/>
  <c r="A914" i="35"/>
  <c r="A913" i="35"/>
  <c r="A912" i="35"/>
  <c r="A911" i="35"/>
  <c r="A910" i="35"/>
  <c r="A909" i="35"/>
  <c r="A908" i="35"/>
  <c r="A907" i="35"/>
  <c r="A906" i="35"/>
  <c r="A905" i="35"/>
  <c r="A904" i="35"/>
  <c r="A903" i="35"/>
  <c r="A902" i="35"/>
  <c r="A901" i="35"/>
  <c r="A900" i="35"/>
  <c r="A899" i="35"/>
  <c r="A898" i="35"/>
  <c r="A897" i="35"/>
  <c r="A896" i="35"/>
  <c r="A895" i="35"/>
  <c r="A894" i="35"/>
  <c r="A893" i="35"/>
  <c r="A892" i="35"/>
  <c r="A891" i="35"/>
  <c r="A890" i="35"/>
  <c r="A889" i="35"/>
  <c r="A888" i="35"/>
  <c r="A887" i="35"/>
  <c r="A886" i="35"/>
  <c r="A885" i="35"/>
  <c r="A884" i="35"/>
  <c r="A883" i="35"/>
  <c r="A882" i="35"/>
  <c r="A881" i="35"/>
  <c r="A880" i="35"/>
  <c r="A879" i="35"/>
  <c r="A878" i="35"/>
  <c r="A877" i="35"/>
  <c r="A876" i="35"/>
  <c r="A875" i="35"/>
  <c r="A874" i="35"/>
  <c r="A873" i="35"/>
  <c r="A872" i="35"/>
  <c r="A871" i="35"/>
  <c r="A870" i="35"/>
  <c r="A869" i="35"/>
  <c r="A868" i="35"/>
  <c r="A867" i="35"/>
  <c r="A866" i="35"/>
  <c r="A865" i="35"/>
  <c r="A864" i="35"/>
  <c r="A863" i="35"/>
  <c r="A862" i="35"/>
  <c r="A861" i="35"/>
  <c r="A860" i="35"/>
  <c r="A859" i="35"/>
  <c r="A858" i="35"/>
  <c r="A857" i="35"/>
  <c r="A856" i="35"/>
  <c r="A855" i="35"/>
  <c r="A854" i="35"/>
  <c r="A853" i="35"/>
  <c r="A852" i="35"/>
  <c r="A851" i="35"/>
  <c r="A850" i="35"/>
  <c r="A849" i="35"/>
  <c r="A848" i="35"/>
  <c r="A847" i="35"/>
  <c r="A846" i="35"/>
  <c r="A845" i="35"/>
  <c r="A844" i="35"/>
  <c r="A843" i="35"/>
  <c r="A842" i="35"/>
  <c r="A841" i="35"/>
  <c r="A840" i="35"/>
  <c r="A839" i="35"/>
  <c r="A838" i="35"/>
  <c r="A837" i="35"/>
  <c r="A836" i="35"/>
  <c r="A835" i="35"/>
  <c r="A834" i="35"/>
  <c r="A833" i="35"/>
  <c r="A832" i="35"/>
  <c r="A831" i="35"/>
  <c r="A830" i="35"/>
  <c r="A829" i="35"/>
  <c r="A828" i="35"/>
  <c r="A827" i="35"/>
  <c r="A826" i="35"/>
  <c r="A825" i="35"/>
  <c r="A824" i="35"/>
  <c r="A823" i="35"/>
  <c r="A822" i="35"/>
  <c r="A821" i="35"/>
  <c r="A820" i="35"/>
  <c r="A819" i="35"/>
  <c r="A818" i="35"/>
  <c r="A817" i="35"/>
  <c r="A816" i="35"/>
  <c r="A815" i="35"/>
  <c r="A814" i="35"/>
  <c r="A813" i="35"/>
  <c r="A812" i="35"/>
  <c r="A811" i="35"/>
  <c r="A810" i="35"/>
  <c r="A809" i="35"/>
  <c r="A808" i="35"/>
  <c r="A807" i="35"/>
  <c r="A806" i="35"/>
  <c r="A805" i="35"/>
  <c r="A804" i="35"/>
  <c r="A803" i="35"/>
  <c r="A802" i="35"/>
  <c r="A801" i="35"/>
  <c r="A800" i="35"/>
  <c r="A799" i="35"/>
  <c r="A798" i="35"/>
  <c r="A797" i="35"/>
  <c r="A796" i="35"/>
  <c r="A795" i="35"/>
  <c r="A794" i="35"/>
  <c r="A793" i="35"/>
  <c r="A792" i="35"/>
  <c r="A791" i="35"/>
  <c r="A790" i="35"/>
  <c r="A789" i="35"/>
  <c r="A788" i="35"/>
  <c r="A787" i="35"/>
  <c r="A786" i="35"/>
  <c r="A785" i="35"/>
  <c r="A784" i="35"/>
  <c r="A783" i="35"/>
  <c r="A782" i="35"/>
  <c r="A781" i="35"/>
  <c r="A780" i="35"/>
  <c r="A779" i="35"/>
  <c r="A778" i="35"/>
  <c r="A777" i="35"/>
  <c r="A776" i="35"/>
  <c r="A775" i="35"/>
  <c r="A774" i="35"/>
  <c r="A773" i="35"/>
  <c r="A772" i="35"/>
  <c r="A771" i="35"/>
  <c r="A770" i="35"/>
  <c r="A769" i="35"/>
  <c r="A768" i="35"/>
  <c r="A767" i="35"/>
  <c r="A766" i="35"/>
  <c r="A765" i="35"/>
  <c r="A764" i="35"/>
  <c r="A763" i="35"/>
  <c r="A762" i="35"/>
  <c r="A761" i="35"/>
  <c r="A760" i="35"/>
  <c r="A759" i="35"/>
  <c r="A758" i="35"/>
  <c r="A757" i="35"/>
  <c r="A756" i="35"/>
  <c r="A755" i="35"/>
  <c r="A754" i="35"/>
  <c r="A753" i="35"/>
  <c r="A752" i="35"/>
  <c r="A751" i="35"/>
  <c r="A750" i="35"/>
  <c r="A749" i="35"/>
  <c r="A748" i="35"/>
  <c r="A747" i="35"/>
  <c r="A746" i="35"/>
  <c r="A745" i="35"/>
  <c r="A744" i="35"/>
  <c r="A743" i="35"/>
  <c r="A742" i="35"/>
  <c r="A741" i="35"/>
  <c r="A740" i="35"/>
  <c r="A739" i="35"/>
  <c r="A738" i="35"/>
  <c r="A737" i="35"/>
  <c r="A736" i="35"/>
  <c r="A735" i="35"/>
  <c r="A734" i="35"/>
  <c r="A733" i="35"/>
  <c r="A732" i="35"/>
  <c r="A731" i="35"/>
  <c r="A730" i="35"/>
  <c r="A729" i="35"/>
  <c r="A728" i="35"/>
  <c r="A727" i="35"/>
  <c r="A726" i="35"/>
  <c r="A725" i="35"/>
  <c r="A724" i="35"/>
  <c r="A723" i="35"/>
  <c r="A722" i="35"/>
  <c r="A721" i="35"/>
  <c r="A720" i="35"/>
  <c r="A719" i="35"/>
  <c r="A718" i="35"/>
  <c r="A717" i="35"/>
  <c r="A716" i="35"/>
  <c r="A715" i="35"/>
  <c r="A714" i="35"/>
  <c r="A713" i="35"/>
  <c r="A712" i="35"/>
  <c r="A711" i="35"/>
  <c r="A710" i="35"/>
  <c r="A709" i="35"/>
  <c r="A708" i="35"/>
  <c r="A707" i="35"/>
  <c r="A706" i="35"/>
  <c r="A705" i="35"/>
  <c r="A704" i="35"/>
  <c r="A703" i="35"/>
  <c r="A702" i="35"/>
  <c r="A701" i="35"/>
  <c r="A700" i="35"/>
  <c r="A699" i="35"/>
  <c r="A698" i="35"/>
  <c r="A697" i="35"/>
  <c r="A696" i="35"/>
  <c r="A695" i="35"/>
  <c r="A694" i="35"/>
  <c r="A693" i="35"/>
  <c r="A692" i="35"/>
  <c r="A691" i="35"/>
  <c r="A690" i="35"/>
  <c r="A689" i="35"/>
  <c r="A688" i="35"/>
  <c r="A687" i="35"/>
  <c r="A686" i="35"/>
  <c r="A685" i="35"/>
  <c r="A684" i="35"/>
  <c r="A683" i="35"/>
  <c r="A682" i="35"/>
  <c r="A681" i="35"/>
  <c r="A680" i="35"/>
  <c r="A679" i="35"/>
  <c r="A678" i="35"/>
  <c r="A677" i="35"/>
  <c r="A676" i="35"/>
  <c r="A675" i="35"/>
  <c r="A674" i="35"/>
  <c r="A673" i="35"/>
  <c r="A672" i="35"/>
  <c r="A671" i="35"/>
  <c r="A670" i="35"/>
  <c r="A669" i="35"/>
  <c r="A668" i="35"/>
  <c r="A667" i="35"/>
  <c r="A666" i="35"/>
  <c r="A665" i="35"/>
  <c r="A664" i="35"/>
  <c r="A663" i="35"/>
  <c r="A662" i="35"/>
  <c r="A661" i="35"/>
  <c r="A660" i="35"/>
  <c r="A659" i="35"/>
  <c r="A658" i="35"/>
  <c r="A657" i="35"/>
  <c r="A656" i="35"/>
  <c r="A655" i="35"/>
  <c r="A654" i="35"/>
  <c r="A653" i="35"/>
  <c r="A652" i="35"/>
  <c r="A651" i="35"/>
  <c r="A650" i="35"/>
  <c r="A649" i="35"/>
  <c r="A648" i="35"/>
  <c r="A647" i="35"/>
  <c r="A646" i="35"/>
  <c r="A645" i="35"/>
  <c r="A644" i="35"/>
  <c r="A643" i="35"/>
  <c r="A642" i="35"/>
  <c r="A641" i="35"/>
  <c r="A640" i="35"/>
  <c r="A639" i="35"/>
  <c r="A638" i="35"/>
  <c r="A637" i="35"/>
  <c r="A636" i="35"/>
  <c r="A635" i="35"/>
  <c r="A634" i="35"/>
  <c r="A633" i="35"/>
  <c r="A632" i="35"/>
  <c r="A631" i="35"/>
  <c r="A630" i="35"/>
  <c r="A629" i="35"/>
  <c r="A628" i="35"/>
  <c r="A627" i="35"/>
  <c r="A626" i="35"/>
  <c r="A625" i="35"/>
  <c r="A624" i="35"/>
  <c r="A623" i="35"/>
  <c r="A622" i="35"/>
  <c r="A621" i="35"/>
  <c r="A620" i="35"/>
  <c r="A619" i="35"/>
  <c r="A618" i="35"/>
  <c r="A617" i="35"/>
  <c r="A616" i="35"/>
  <c r="A615" i="35"/>
  <c r="A614" i="35"/>
  <c r="A613" i="35"/>
  <c r="A612" i="35"/>
  <c r="A611" i="35"/>
  <c r="A610" i="35"/>
  <c r="A609" i="35"/>
  <c r="A608" i="35"/>
  <c r="A607" i="35"/>
  <c r="A606" i="35"/>
  <c r="A605" i="35"/>
  <c r="A604" i="35"/>
  <c r="A603" i="35"/>
  <c r="A602" i="35"/>
  <c r="A601" i="35"/>
  <c r="A600" i="35"/>
  <c r="A599" i="35"/>
  <c r="A598" i="35"/>
  <c r="A597" i="35"/>
  <c r="A596" i="35"/>
  <c r="A595" i="35"/>
  <c r="A594" i="35"/>
  <c r="A593" i="35"/>
  <c r="A592" i="35"/>
  <c r="A591" i="35"/>
  <c r="A590" i="35"/>
  <c r="A589" i="35"/>
  <c r="A588" i="35"/>
  <c r="A587" i="35"/>
  <c r="A586" i="35"/>
  <c r="A585" i="35"/>
  <c r="A584" i="35"/>
  <c r="A583" i="35"/>
  <c r="A582" i="35"/>
  <c r="A581" i="35"/>
  <c r="A580" i="35"/>
  <c r="A579" i="35"/>
  <c r="A578" i="35"/>
  <c r="A577" i="35"/>
  <c r="A576" i="35"/>
  <c r="A575" i="35"/>
  <c r="A574" i="35"/>
  <c r="A573" i="35"/>
  <c r="A572" i="35"/>
  <c r="A571" i="35"/>
  <c r="A570" i="35"/>
  <c r="A569" i="35"/>
  <c r="A568" i="35"/>
  <c r="A567" i="35"/>
  <c r="A566" i="35"/>
  <c r="A565" i="35"/>
  <c r="A564" i="35"/>
  <c r="A563" i="35"/>
  <c r="A562" i="35"/>
  <c r="A561" i="35"/>
  <c r="A560" i="35"/>
  <c r="A559" i="35"/>
  <c r="A558" i="35"/>
  <c r="A557" i="35"/>
  <c r="A556" i="35"/>
  <c r="A555" i="35"/>
  <c r="A554" i="35"/>
  <c r="A553" i="35"/>
  <c r="A552" i="35"/>
  <c r="A551" i="35"/>
  <c r="A550" i="35"/>
  <c r="A549" i="35"/>
  <c r="A548" i="35"/>
  <c r="A547" i="35"/>
  <c r="A546" i="35"/>
  <c r="A545" i="35"/>
  <c r="A544" i="35"/>
  <c r="A543" i="35"/>
  <c r="A542" i="35"/>
  <c r="A541" i="35"/>
  <c r="A540" i="35"/>
  <c r="A539" i="35"/>
  <c r="A538" i="35"/>
  <c r="A537" i="35"/>
  <c r="A536" i="35"/>
  <c r="A535" i="35"/>
  <c r="A534" i="35"/>
  <c r="A533" i="35"/>
  <c r="A532" i="35"/>
  <c r="A531" i="35"/>
  <c r="A530" i="35"/>
  <c r="A529" i="35"/>
  <c r="A528" i="35"/>
  <c r="A527" i="35"/>
  <c r="A526" i="35"/>
  <c r="A525" i="35"/>
  <c r="A524" i="35"/>
  <c r="A523" i="35"/>
  <c r="A522" i="35"/>
  <c r="A521" i="35"/>
  <c r="A520" i="35"/>
  <c r="A519" i="35"/>
  <c r="A518" i="35"/>
  <c r="A517" i="35"/>
  <c r="A516" i="35"/>
  <c r="A515" i="35"/>
  <c r="A514" i="35"/>
  <c r="A513" i="35"/>
  <c r="A512" i="35"/>
  <c r="A511" i="35"/>
  <c r="A510" i="35"/>
  <c r="A509" i="35"/>
  <c r="A508" i="35"/>
  <c r="A507" i="35"/>
  <c r="A506" i="35"/>
  <c r="A505" i="35"/>
  <c r="A504" i="35"/>
  <c r="A503" i="35"/>
  <c r="A502" i="35"/>
  <c r="A501" i="35"/>
  <c r="A500" i="35"/>
  <c r="A499" i="35"/>
  <c r="A498" i="35"/>
  <c r="A497" i="35"/>
  <c r="A496" i="35"/>
  <c r="A495" i="35"/>
  <c r="A494" i="35"/>
  <c r="A493" i="35"/>
  <c r="A492" i="35"/>
  <c r="A491" i="35"/>
  <c r="A490" i="35"/>
  <c r="A489" i="35"/>
  <c r="A488" i="35"/>
  <c r="A487" i="35"/>
  <c r="A486" i="35"/>
  <c r="A485" i="35"/>
  <c r="A484" i="35"/>
  <c r="A483" i="35"/>
  <c r="A482" i="35"/>
  <c r="A481" i="35"/>
  <c r="A480" i="35"/>
  <c r="A479" i="35"/>
  <c r="A478" i="35"/>
  <c r="A477" i="35"/>
  <c r="A476" i="35"/>
  <c r="A475" i="35"/>
  <c r="A474" i="35"/>
  <c r="A473" i="35"/>
  <c r="A472" i="35"/>
  <c r="A471" i="35"/>
  <c r="A470" i="35"/>
  <c r="A469" i="35"/>
  <c r="A468" i="35"/>
  <c r="A467" i="35"/>
  <c r="A466" i="35"/>
  <c r="A465" i="35"/>
  <c r="A464" i="35"/>
  <c r="A463" i="35"/>
  <c r="A462" i="35"/>
  <c r="A461" i="35"/>
  <c r="A460" i="35"/>
  <c r="A459" i="35"/>
  <c r="A458" i="35"/>
  <c r="A457" i="35"/>
  <c r="A456" i="35"/>
  <c r="A455" i="35"/>
  <c r="A454" i="35"/>
  <c r="A453" i="35"/>
  <c r="A452" i="35"/>
  <c r="A451" i="35"/>
  <c r="A450" i="35"/>
  <c r="A449" i="35"/>
  <c r="A448" i="35"/>
  <c r="A447" i="35"/>
  <c r="A446" i="35"/>
  <c r="A445" i="35"/>
  <c r="A444" i="35"/>
  <c r="A443" i="35"/>
  <c r="A442" i="35"/>
  <c r="A441" i="35"/>
  <c r="A440" i="35"/>
  <c r="A439" i="35"/>
  <c r="A438" i="35"/>
  <c r="A437" i="35"/>
  <c r="A436" i="35"/>
  <c r="A435" i="35"/>
  <c r="A434" i="35"/>
  <c r="A433" i="35"/>
  <c r="A432" i="35"/>
  <c r="A431" i="35"/>
  <c r="A430" i="35"/>
  <c r="A429" i="35"/>
  <c r="A428" i="35"/>
  <c r="A427" i="35"/>
  <c r="A426" i="35"/>
  <c r="A425" i="35"/>
  <c r="A424" i="35"/>
  <c r="A423" i="35"/>
  <c r="A422" i="35"/>
  <c r="A421" i="35"/>
  <c r="A420" i="35"/>
  <c r="A419" i="35"/>
  <c r="A418" i="35"/>
  <c r="A417" i="35"/>
  <c r="A416" i="35"/>
  <c r="A415" i="35"/>
  <c r="A414" i="35"/>
  <c r="A413" i="35"/>
  <c r="A412" i="35"/>
  <c r="A411" i="35"/>
  <c r="A410" i="35"/>
  <c r="A409" i="35"/>
  <c r="A408" i="35"/>
  <c r="A407" i="35"/>
  <c r="A406" i="35"/>
  <c r="A405" i="35"/>
  <c r="A404" i="35"/>
  <c r="A403" i="35"/>
  <c r="A402" i="35"/>
  <c r="A401" i="35"/>
  <c r="A400" i="35"/>
  <c r="A399" i="35"/>
  <c r="A398" i="35"/>
  <c r="A397" i="35"/>
  <c r="A396" i="35"/>
  <c r="A395" i="35"/>
  <c r="A394" i="35"/>
  <c r="A393" i="35"/>
  <c r="A392" i="35"/>
  <c r="A391" i="35"/>
  <c r="A390" i="35"/>
  <c r="A389" i="35"/>
  <c r="A388" i="35"/>
  <c r="A387" i="35"/>
  <c r="A386" i="35"/>
  <c r="A385" i="35"/>
  <c r="A384" i="35"/>
  <c r="A383" i="35"/>
  <c r="A382" i="35"/>
  <c r="A381" i="35"/>
  <c r="A380" i="35"/>
  <c r="A379" i="35"/>
  <c r="A378" i="35"/>
  <c r="A377" i="35"/>
  <c r="A376" i="35"/>
  <c r="A375" i="35"/>
  <c r="A374" i="35"/>
  <c r="A373" i="35"/>
  <c r="A372" i="35"/>
  <c r="A371" i="35"/>
  <c r="A370" i="35"/>
  <c r="A369" i="35"/>
  <c r="A368" i="35"/>
  <c r="A367" i="35"/>
  <c r="A366" i="35"/>
  <c r="A365" i="35"/>
  <c r="A364" i="35"/>
  <c r="A363" i="35"/>
  <c r="A362" i="35"/>
  <c r="A361" i="35"/>
  <c r="A360" i="35"/>
  <c r="A359" i="35"/>
  <c r="A358" i="35"/>
  <c r="A357" i="35"/>
  <c r="A356" i="35"/>
  <c r="A355" i="35"/>
  <c r="A354" i="35"/>
  <c r="A353" i="35"/>
  <c r="A352" i="35"/>
  <c r="A351" i="35"/>
  <c r="A350" i="35"/>
  <c r="A349" i="35"/>
  <c r="A348" i="35"/>
  <c r="A347" i="35"/>
  <c r="A346" i="35"/>
  <c r="A345" i="35"/>
  <c r="A344" i="35"/>
  <c r="A343" i="35"/>
  <c r="A342" i="35"/>
  <c r="A341" i="35"/>
  <c r="A340" i="35"/>
  <c r="A339" i="35"/>
  <c r="A338" i="35"/>
  <c r="A337" i="35"/>
  <c r="A336" i="35"/>
  <c r="A335" i="35"/>
  <c r="A334" i="35"/>
  <c r="A333" i="35"/>
  <c r="A332" i="35"/>
  <c r="A331" i="35"/>
  <c r="A330" i="35"/>
  <c r="A329" i="35"/>
  <c r="A328" i="35"/>
  <c r="A327" i="35"/>
  <c r="A326" i="35"/>
  <c r="A325" i="35"/>
  <c r="A324" i="35"/>
  <c r="A323" i="35"/>
  <c r="A322" i="35"/>
  <c r="A321" i="35"/>
  <c r="A320" i="35"/>
  <c r="A319" i="35"/>
  <c r="A318" i="35"/>
  <c r="A317" i="35"/>
  <c r="A316" i="35"/>
  <c r="A315" i="35"/>
  <c r="A314" i="35"/>
  <c r="A313" i="35"/>
  <c r="A312" i="35"/>
  <c r="A311" i="35"/>
  <c r="A310" i="35"/>
  <c r="A309" i="35"/>
  <c r="A308" i="35"/>
  <c r="A307" i="35"/>
  <c r="A306" i="35"/>
  <c r="A305" i="35"/>
  <c r="A304" i="35"/>
  <c r="A303" i="35"/>
  <c r="A302" i="35"/>
  <c r="A301" i="35"/>
  <c r="A300" i="35"/>
  <c r="A299" i="35"/>
  <c r="A298" i="35"/>
  <c r="A297" i="35"/>
  <c r="A296" i="35"/>
  <c r="A295" i="35"/>
  <c r="A294" i="35"/>
  <c r="A293" i="35"/>
  <c r="A292" i="35"/>
  <c r="A291" i="35"/>
  <c r="A290" i="35"/>
  <c r="A289" i="35"/>
  <c r="A288" i="35"/>
  <c r="A287" i="35"/>
  <c r="A286" i="35"/>
  <c r="A285" i="35"/>
  <c r="A284" i="35"/>
  <c r="A283" i="35"/>
  <c r="A282" i="35"/>
  <c r="A281" i="35"/>
  <c r="A280" i="35"/>
  <c r="A279" i="35"/>
  <c r="A278" i="35"/>
  <c r="A277" i="35"/>
  <c r="A276" i="35"/>
  <c r="A275" i="35"/>
  <c r="A274" i="35"/>
  <c r="A273" i="35"/>
  <c r="A272" i="35"/>
  <c r="A271" i="35"/>
  <c r="A270" i="35"/>
  <c r="A269" i="35"/>
  <c r="A268" i="35"/>
  <c r="A267" i="35"/>
  <c r="A266" i="35"/>
  <c r="A265" i="35"/>
  <c r="A264" i="35"/>
  <c r="A263" i="35"/>
  <c r="A262" i="35"/>
  <c r="A261" i="35"/>
  <c r="A260" i="35"/>
  <c r="A259" i="35"/>
  <c r="A258" i="35"/>
  <c r="A257" i="35"/>
  <c r="A256" i="35"/>
  <c r="A255" i="35"/>
  <c r="A254" i="35"/>
  <c r="A253" i="35"/>
  <c r="A252" i="35"/>
  <c r="A251" i="35"/>
  <c r="A250" i="35"/>
  <c r="A249" i="35"/>
  <c r="A248" i="35"/>
  <c r="A247" i="35"/>
  <c r="A246" i="35"/>
  <c r="A245" i="35"/>
  <c r="A244" i="35"/>
  <c r="A243" i="35"/>
  <c r="A242" i="35"/>
  <c r="A241" i="35"/>
  <c r="A240" i="35"/>
  <c r="A239" i="35"/>
  <c r="A238" i="35"/>
  <c r="A237" i="35"/>
  <c r="A236" i="35"/>
  <c r="A235" i="35"/>
  <c r="A234" i="35"/>
  <c r="A233" i="35"/>
  <c r="A232" i="35"/>
  <c r="A231" i="35"/>
  <c r="A230" i="35"/>
  <c r="A229" i="35"/>
  <c r="A228" i="35"/>
  <c r="A227" i="35"/>
  <c r="A226" i="35"/>
  <c r="A225" i="35"/>
  <c r="A224" i="35"/>
  <c r="A223" i="35"/>
  <c r="A222" i="35"/>
  <c r="A221" i="35"/>
  <c r="A220" i="35"/>
  <c r="A219" i="35"/>
  <c r="A218" i="35"/>
  <c r="A217" i="35"/>
  <c r="A216" i="35"/>
  <c r="A215" i="35"/>
  <c r="A214" i="35"/>
  <c r="A213" i="35"/>
  <c r="A212" i="35"/>
  <c r="A211" i="35"/>
  <c r="A210" i="35"/>
  <c r="A209" i="35"/>
  <c r="A208" i="35"/>
  <c r="A207" i="35"/>
  <c r="A206" i="35"/>
  <c r="A205" i="35"/>
  <c r="A204" i="35"/>
  <c r="A203" i="35"/>
  <c r="A202" i="35"/>
  <c r="A201" i="35"/>
  <c r="A200" i="35"/>
  <c r="A199" i="35"/>
  <c r="A198" i="35"/>
  <c r="A197" i="35"/>
  <c r="A196" i="35"/>
  <c r="A195" i="35"/>
  <c r="A194" i="35"/>
  <c r="A193" i="35"/>
  <c r="A192" i="35"/>
  <c r="A191" i="35"/>
  <c r="A190" i="35"/>
  <c r="A189" i="35"/>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A159" i="35"/>
  <c r="A158" i="35"/>
  <c r="A157" i="35"/>
  <c r="A156" i="35"/>
  <c r="A155" i="35"/>
  <c r="A154" i="35"/>
  <c r="A153" i="35"/>
  <c r="A152" i="35"/>
  <c r="A151" i="35"/>
  <c r="A150" i="35"/>
  <c r="A149" i="35"/>
  <c r="A148" i="35"/>
  <c r="A147" i="35"/>
  <c r="A146" i="35"/>
  <c r="A145" i="35"/>
  <c r="A144" i="35"/>
  <c r="A143" i="35"/>
  <c r="A142" i="35"/>
  <c r="A141" i="35"/>
  <c r="A140" i="35"/>
  <c r="A139" i="35"/>
  <c r="A138" i="35"/>
  <c r="A137" i="35"/>
  <c r="A136" i="35"/>
  <c r="A135" i="35"/>
  <c r="A134" i="35"/>
  <c r="A133" i="35"/>
  <c r="A132" i="35"/>
  <c r="A131" i="35"/>
  <c r="A130" i="35"/>
  <c r="A129" i="35"/>
  <c r="A128" i="35"/>
  <c r="A127" i="35"/>
  <c r="A126" i="35"/>
  <c r="A125" i="35"/>
  <c r="A124" i="35"/>
  <c r="A123" i="35"/>
  <c r="A122" i="35"/>
  <c r="A121" i="35"/>
  <c r="A120" i="35"/>
  <c r="A119" i="35"/>
  <c r="A118" i="35"/>
  <c r="A117" i="35"/>
  <c r="A116" i="35"/>
  <c r="A115" i="35"/>
  <c r="A114" i="35"/>
  <c r="A113" i="35"/>
  <c r="A112" i="35"/>
  <c r="A111" i="35"/>
  <c r="A110" i="35"/>
  <c r="A109" i="35"/>
  <c r="A108" i="35"/>
  <c r="A107" i="35"/>
  <c r="A106" i="35"/>
  <c r="A105" i="35"/>
  <c r="A104" i="35"/>
  <c r="A103" i="35"/>
  <c r="A102" i="35"/>
  <c r="A101" i="35"/>
  <c r="A100" i="35"/>
  <c r="A99" i="35"/>
  <c r="A98" i="35"/>
  <c r="A97" i="35"/>
  <c r="A96" i="35"/>
  <c r="A95" i="35"/>
  <c r="A94" i="35"/>
  <c r="A93" i="35"/>
  <c r="A92" i="35"/>
  <c r="A91" i="35"/>
  <c r="A90" i="35"/>
  <c r="A89" i="35"/>
  <c r="A88" i="35"/>
  <c r="A87" i="35"/>
  <c r="A86" i="35"/>
  <c r="A85" i="35"/>
  <c r="A84" i="35"/>
  <c r="A83" i="35"/>
  <c r="A82" i="35"/>
  <c r="A81" i="35"/>
  <c r="A80" i="35"/>
  <c r="A79" i="35"/>
  <c r="A78" i="35"/>
  <c r="A77" i="35"/>
  <c r="A76" i="35"/>
  <c r="A75" i="35"/>
  <c r="A74" i="35"/>
  <c r="A73" i="35"/>
  <c r="A72" i="35"/>
  <c r="A71" i="35"/>
  <c r="A70" i="35"/>
  <c r="A69" i="35"/>
  <c r="A68" i="35"/>
  <c r="A67" i="35"/>
  <c r="A66" i="35"/>
  <c r="A65" i="35"/>
  <c r="A64" i="35"/>
  <c r="A63" i="35"/>
  <c r="A62" i="35"/>
  <c r="A61" i="35"/>
  <c r="A60" i="35"/>
  <c r="A59" i="35"/>
  <c r="A58" i="35"/>
  <c r="A57" i="35"/>
  <c r="A56" i="35"/>
  <c r="A55" i="35"/>
  <c r="A54" i="35"/>
  <c r="A53" i="35"/>
  <c r="A52" i="35"/>
  <c r="A51" i="35"/>
  <c r="A50" i="35"/>
  <c r="A49" i="35"/>
  <c r="A48" i="35"/>
  <c r="A47" i="35"/>
  <c r="A46" i="35"/>
  <c r="A45" i="35"/>
  <c r="A44" i="35"/>
  <c r="A43" i="35"/>
  <c r="A42" i="35"/>
  <c r="A41" i="35"/>
  <c r="A40" i="35"/>
  <c r="A39" i="35"/>
  <c r="A38" i="35"/>
  <c r="A37" i="35"/>
  <c r="A36" i="35"/>
  <c r="A35" i="35"/>
  <c r="A34" i="35"/>
  <c r="A33" i="35"/>
  <c r="A32" i="35"/>
  <c r="A31" i="35"/>
  <c r="A30" i="35"/>
  <c r="A29" i="35"/>
  <c r="A28" i="35"/>
  <c r="A27" i="35"/>
  <c r="A26" i="35"/>
  <c r="A25" i="35"/>
  <c r="A24" i="35"/>
  <c r="A23" i="35"/>
  <c r="A22" i="35"/>
  <c r="A21" i="35"/>
  <c r="A20" i="35"/>
  <c r="A19" i="35"/>
  <c r="A18" i="35"/>
  <c r="A17" i="35"/>
  <c r="A16" i="35"/>
  <c r="A15" i="35"/>
  <c r="A14" i="35"/>
  <c r="A13" i="35"/>
  <c r="A12" i="35"/>
  <c r="A11" i="35"/>
  <c r="A10" i="35"/>
  <c r="A9" i="35"/>
  <c r="A8" i="35"/>
  <c r="A7" i="35"/>
  <c r="A6" i="35"/>
  <c r="A5" i="35"/>
  <c r="A4" i="35"/>
  <c r="A3" i="35"/>
  <c r="A4" i="34"/>
  <c r="A5" i="34"/>
  <c r="A6" i="34"/>
  <c r="A7" i="34"/>
  <c r="A8" i="34"/>
  <c r="A9" i="34"/>
  <c r="A10" i="34"/>
  <c r="A11" i="34"/>
  <c r="A12" i="34"/>
  <c r="A13" i="34"/>
  <c r="A14" i="34"/>
  <c r="A15" i="34"/>
  <c r="A16" i="34"/>
  <c r="A17" i="34"/>
  <c r="A18" i="34"/>
  <c r="A19" i="34"/>
  <c r="A20" i="34"/>
  <c r="A21" i="34"/>
  <c r="A22" i="34"/>
  <c r="A23" i="34"/>
  <c r="A24" i="34"/>
  <c r="A25" i="34"/>
  <c r="A26" i="34"/>
  <c r="A27" i="34"/>
  <c r="A28" i="34"/>
  <c r="A29" i="34"/>
  <c r="A30" i="34"/>
  <c r="A31" i="34"/>
  <c r="A32" i="34"/>
  <c r="A33" i="34"/>
  <c r="A34" i="34"/>
  <c r="A35" i="34"/>
  <c r="A36" i="34"/>
  <c r="A37" i="34"/>
  <c r="A38" i="34"/>
  <c r="A39" i="34"/>
  <c r="A40" i="34"/>
  <c r="A41" i="34"/>
  <c r="A42" i="34"/>
  <c r="A43" i="34"/>
  <c r="A44" i="34"/>
  <c r="A45" i="34"/>
  <c r="A46" i="34"/>
  <c r="A47" i="34"/>
  <c r="A48" i="34"/>
  <c r="A49" i="34"/>
  <c r="A50" i="34"/>
  <c r="A51" i="34"/>
  <c r="A52" i="34"/>
  <c r="A53" i="34"/>
  <c r="A54" i="34"/>
  <c r="A55" i="34"/>
  <c r="A56" i="34"/>
  <c r="A57" i="34"/>
  <c r="A58" i="34"/>
  <c r="A59" i="34"/>
  <c r="A60" i="34"/>
  <c r="A61" i="34"/>
  <c r="A62" i="34"/>
  <c r="A63" i="34"/>
  <c r="A64" i="34"/>
  <c r="A65" i="34"/>
  <c r="A66" i="34"/>
  <c r="A67" i="34"/>
  <c r="A68" i="34"/>
  <c r="A69" i="34"/>
  <c r="A70" i="34"/>
  <c r="A71" i="34"/>
  <c r="A72" i="34"/>
  <c r="A73" i="34"/>
  <c r="A74" i="34"/>
  <c r="A75" i="34"/>
  <c r="A76" i="34"/>
  <c r="A77" i="34"/>
  <c r="A78" i="34"/>
  <c r="A79" i="34"/>
  <c r="A80" i="34"/>
  <c r="A81" i="34"/>
  <c r="A82" i="34"/>
  <c r="A83" i="34"/>
  <c r="A84" i="34"/>
  <c r="A85" i="34"/>
  <c r="A86" i="34"/>
  <c r="A87" i="34"/>
  <c r="A88" i="34"/>
  <c r="A89" i="34"/>
  <c r="A90" i="34"/>
  <c r="A91" i="34"/>
  <c r="A92" i="34"/>
  <c r="A93" i="34"/>
  <c r="A94" i="34"/>
  <c r="A95" i="34"/>
  <c r="A96" i="34"/>
  <c r="A97" i="34"/>
  <c r="A98" i="34"/>
  <c r="A99" i="34"/>
  <c r="A100" i="34"/>
  <c r="A101" i="34"/>
  <c r="A102" i="34"/>
  <c r="A103" i="34"/>
  <c r="A104" i="34"/>
  <c r="A105" i="34"/>
  <c r="A106" i="34"/>
  <c r="A107" i="34"/>
  <c r="A108" i="34"/>
  <c r="A109" i="34"/>
  <c r="A110" i="34"/>
  <c r="A111" i="34"/>
  <c r="A112" i="34"/>
  <c r="A113" i="34"/>
  <c r="A114" i="34"/>
  <c r="A115" i="34"/>
  <c r="A116" i="34"/>
  <c r="A117" i="34"/>
  <c r="A118" i="34"/>
  <c r="A119" i="34"/>
  <c r="A120" i="34"/>
  <c r="A121" i="34"/>
  <c r="A122" i="34"/>
  <c r="A123" i="34"/>
  <c r="A124" i="34"/>
  <c r="A125" i="34"/>
  <c r="A126" i="34"/>
  <c r="A127" i="34"/>
  <c r="A128" i="34"/>
  <c r="A129" i="34"/>
  <c r="A130" i="34"/>
  <c r="A131" i="34"/>
  <c r="A132" i="34"/>
  <c r="A133" i="34"/>
  <c r="A134" i="34"/>
  <c r="A135" i="34"/>
  <c r="A136" i="34"/>
  <c r="A137" i="34"/>
  <c r="A138" i="34"/>
  <c r="A139" i="34"/>
  <c r="A140" i="34"/>
  <c r="A141" i="34"/>
  <c r="A142" i="34"/>
  <c r="A143" i="34"/>
  <c r="A144" i="34"/>
  <c r="A145" i="34"/>
  <c r="A146" i="34"/>
  <c r="A147" i="34"/>
  <c r="A148" i="34"/>
  <c r="A149" i="34"/>
  <c r="A150" i="34"/>
  <c r="A151" i="34"/>
  <c r="A152" i="34"/>
  <c r="A153" i="34"/>
  <c r="A154" i="34"/>
  <c r="A155" i="34"/>
  <c r="A156" i="34"/>
  <c r="A157" i="34"/>
  <c r="A158" i="34"/>
  <c r="A159" i="34"/>
  <c r="A160" i="34"/>
  <c r="A161" i="34"/>
  <c r="A162" i="34"/>
  <c r="A163" i="34"/>
  <c r="A164" i="34"/>
  <c r="A165" i="34"/>
  <c r="A166" i="34"/>
  <c r="A167" i="34"/>
  <c r="A168" i="34"/>
  <c r="A169" i="34"/>
  <c r="A170" i="34"/>
  <c r="A171" i="34"/>
  <c r="A172" i="34"/>
  <c r="A173" i="34"/>
  <c r="A174" i="34"/>
  <c r="A175" i="34"/>
  <c r="A176" i="34"/>
  <c r="A177" i="34"/>
  <c r="A178" i="34"/>
  <c r="A179" i="34"/>
  <c r="A180" i="34"/>
  <c r="A181" i="34"/>
  <c r="A182" i="34"/>
  <c r="A183" i="34"/>
  <c r="A184" i="34"/>
  <c r="A185" i="34"/>
  <c r="A186" i="34"/>
  <c r="A187" i="34"/>
  <c r="A188" i="34"/>
  <c r="A189" i="34"/>
  <c r="A190" i="34"/>
  <c r="A191" i="34"/>
  <c r="A192" i="34"/>
  <c r="A193" i="34"/>
  <c r="A194" i="34"/>
  <c r="A195" i="34"/>
  <c r="A196" i="34"/>
  <c r="A197" i="34"/>
  <c r="A198" i="34"/>
  <c r="A199" i="34"/>
  <c r="A200" i="34"/>
  <c r="A201" i="34"/>
  <c r="A202" i="34"/>
  <c r="A203" i="34"/>
  <c r="A204" i="34"/>
  <c r="A205" i="34"/>
  <c r="A206" i="34"/>
  <c r="A207" i="34"/>
  <c r="A208" i="34"/>
  <c r="A209" i="34"/>
  <c r="A210" i="34"/>
  <c r="A211" i="34"/>
  <c r="A212" i="34"/>
  <c r="A213" i="34"/>
  <c r="A214" i="34"/>
  <c r="A215" i="34"/>
  <c r="A216" i="34"/>
  <c r="A217" i="34"/>
  <c r="A218" i="34"/>
  <c r="A219" i="34"/>
  <c r="A220" i="34"/>
  <c r="A221" i="34"/>
  <c r="A222" i="34"/>
  <c r="A223" i="34"/>
  <c r="A224" i="34"/>
  <c r="A225" i="34"/>
  <c r="A226" i="34"/>
  <c r="A227" i="34"/>
  <c r="A228" i="34"/>
  <c r="A229" i="34"/>
  <c r="A230" i="34"/>
  <c r="A231" i="34"/>
  <c r="A232" i="34"/>
  <c r="A233" i="34"/>
  <c r="A234" i="34"/>
  <c r="A235" i="34"/>
  <c r="A236" i="34"/>
  <c r="A237" i="34"/>
  <c r="A238" i="34"/>
  <c r="A239" i="34"/>
  <c r="A240" i="34"/>
  <c r="A241" i="34"/>
  <c r="A242" i="34"/>
  <c r="A243" i="34"/>
  <c r="A244" i="34"/>
  <c r="A245" i="34"/>
  <c r="A246" i="34"/>
  <c r="A247" i="34"/>
  <c r="A248" i="34"/>
  <c r="A249" i="34"/>
  <c r="A250" i="34"/>
  <c r="A251" i="34"/>
  <c r="A252" i="34"/>
  <c r="A253" i="34"/>
  <c r="A254" i="34"/>
  <c r="A255" i="34"/>
  <c r="A256" i="34"/>
  <c r="A257" i="34"/>
  <c r="A258" i="34"/>
  <c r="A259" i="34"/>
  <c r="A260" i="34"/>
  <c r="A261" i="34"/>
  <c r="A262" i="34"/>
  <c r="A263" i="34"/>
  <c r="A264" i="34"/>
  <c r="A265" i="34"/>
  <c r="A266" i="34"/>
  <c r="A267" i="34"/>
  <c r="A268" i="34"/>
  <c r="A269" i="34"/>
  <c r="A270" i="34"/>
  <c r="A271" i="34"/>
  <c r="A272" i="34"/>
  <c r="A273" i="34"/>
  <c r="A274" i="34"/>
  <c r="A275" i="34"/>
  <c r="A276" i="34"/>
  <c r="A277" i="34"/>
  <c r="A278" i="34"/>
  <c r="A279" i="34"/>
  <c r="A280" i="34"/>
  <c r="A281" i="34"/>
  <c r="A282" i="34"/>
  <c r="A283" i="34"/>
  <c r="A284" i="34"/>
  <c r="A285" i="34"/>
  <c r="A286" i="34"/>
  <c r="A287" i="34"/>
  <c r="A288" i="34"/>
  <c r="A289" i="34"/>
  <c r="A290" i="34"/>
  <c r="A291" i="34"/>
  <c r="A292" i="34"/>
  <c r="A293" i="34"/>
  <c r="A294" i="34"/>
  <c r="A295" i="34"/>
  <c r="A296" i="34"/>
  <c r="A297" i="34"/>
  <c r="A298" i="34"/>
  <c r="A299" i="34"/>
  <c r="A300" i="34"/>
  <c r="A301" i="34"/>
  <c r="A302" i="34"/>
  <c r="A303" i="34"/>
  <c r="A304" i="34"/>
  <c r="A305" i="34"/>
  <c r="A306" i="34"/>
  <c r="A307" i="34"/>
  <c r="A308" i="34"/>
  <c r="A309" i="34"/>
  <c r="A310" i="34"/>
  <c r="A311" i="34"/>
  <c r="A312" i="34"/>
  <c r="A313" i="34"/>
  <c r="A314" i="34"/>
  <c r="A315" i="34"/>
  <c r="A316" i="34"/>
  <c r="A317" i="34"/>
  <c r="A318" i="34"/>
  <c r="A319" i="34"/>
  <c r="A320" i="34"/>
  <c r="A321" i="34"/>
  <c r="A322" i="34"/>
  <c r="A323" i="34"/>
  <c r="A324" i="34"/>
  <c r="A325" i="34"/>
  <c r="A326" i="34"/>
  <c r="A327" i="34"/>
  <c r="A328" i="34"/>
  <c r="A329" i="34"/>
  <c r="A330" i="34"/>
  <c r="A331" i="34"/>
  <c r="A332" i="34"/>
  <c r="A333" i="34"/>
  <c r="A334" i="34"/>
  <c r="A335" i="34"/>
  <c r="A336" i="34"/>
  <c r="A337" i="34"/>
  <c r="A338" i="34"/>
  <c r="A339" i="34"/>
  <c r="A340" i="34"/>
  <c r="A341" i="34"/>
  <c r="A342" i="34"/>
  <c r="A343" i="34"/>
  <c r="A344" i="34"/>
  <c r="A345" i="34"/>
  <c r="A346" i="34"/>
  <c r="A347" i="34"/>
  <c r="A348" i="34"/>
  <c r="A349" i="34"/>
  <c r="A350" i="34"/>
  <c r="A351" i="34"/>
  <c r="A352" i="34"/>
  <c r="A353" i="34"/>
  <c r="A354" i="34"/>
  <c r="A355" i="34"/>
  <c r="A356" i="34"/>
  <c r="A357" i="34"/>
  <c r="A358" i="34"/>
  <c r="A359" i="34"/>
  <c r="A360" i="34"/>
  <c r="A361" i="34"/>
  <c r="A362" i="34"/>
  <c r="A363" i="34"/>
  <c r="A364" i="34"/>
  <c r="A365" i="34"/>
  <c r="A366" i="34"/>
  <c r="A367" i="34"/>
  <c r="A368" i="34"/>
  <c r="A369" i="34"/>
  <c r="A370" i="34"/>
  <c r="A371" i="34"/>
  <c r="A372" i="34"/>
  <c r="A373" i="34"/>
  <c r="A374" i="34"/>
  <c r="A375" i="34"/>
  <c r="A376" i="34"/>
  <c r="A377" i="34"/>
  <c r="A378" i="34"/>
  <c r="A379" i="34"/>
  <c r="A380" i="34"/>
  <c r="A381" i="34"/>
  <c r="A382" i="34"/>
  <c r="A383" i="34"/>
  <c r="A384" i="34"/>
  <c r="A385" i="34"/>
  <c r="A386" i="34"/>
  <c r="A387" i="34"/>
  <c r="A388" i="34"/>
  <c r="A389" i="34"/>
  <c r="A390" i="34"/>
  <c r="A391" i="34"/>
  <c r="A392" i="34"/>
  <c r="A393" i="34"/>
  <c r="A394" i="34"/>
  <c r="A395" i="34"/>
  <c r="A396" i="34"/>
  <c r="A397" i="34"/>
  <c r="A398" i="34"/>
  <c r="A399" i="34"/>
  <c r="A400" i="34"/>
  <c r="A401" i="34"/>
  <c r="A402" i="34"/>
  <c r="A403" i="34"/>
  <c r="A404" i="34"/>
  <c r="A405" i="34"/>
  <c r="A406" i="34"/>
  <c r="A407" i="34"/>
  <c r="A408" i="34"/>
  <c r="A409" i="34"/>
  <c r="A410" i="34"/>
  <c r="A411" i="34"/>
  <c r="A412" i="34"/>
  <c r="A413" i="34"/>
  <c r="A414" i="34"/>
  <c r="A415" i="34"/>
  <c r="A416" i="34"/>
  <c r="A417" i="34"/>
  <c r="A418" i="34"/>
  <c r="A419" i="34"/>
  <c r="A420" i="34"/>
  <c r="A421" i="34"/>
  <c r="A422" i="34"/>
  <c r="A423" i="34"/>
  <c r="A424" i="34"/>
  <c r="A425" i="34"/>
  <c r="A426" i="34"/>
  <c r="A427" i="34"/>
  <c r="A428" i="34"/>
  <c r="A429" i="34"/>
  <c r="A430" i="34"/>
  <c r="A431" i="34"/>
  <c r="A432" i="34"/>
  <c r="A433" i="34"/>
  <c r="A434" i="34"/>
  <c r="A435" i="34"/>
  <c r="A436" i="34"/>
  <c r="A437" i="34"/>
  <c r="A438" i="34"/>
  <c r="A439" i="34"/>
  <c r="A440" i="34"/>
  <c r="A441" i="34"/>
  <c r="A442" i="34"/>
  <c r="A443" i="34"/>
  <c r="A444" i="34"/>
  <c r="A445" i="34"/>
  <c r="A446" i="34"/>
  <c r="A447" i="34"/>
  <c r="A448" i="34"/>
  <c r="A449" i="34"/>
  <c r="A450" i="34"/>
  <c r="A451" i="34"/>
  <c r="A452" i="34"/>
  <c r="A453" i="34"/>
  <c r="A454" i="34"/>
  <c r="A455" i="34"/>
  <c r="A456" i="34"/>
  <c r="A457" i="34"/>
  <c r="A458" i="34"/>
  <c r="A459" i="34"/>
  <c r="A460" i="34"/>
  <c r="A461" i="34"/>
  <c r="A462" i="34"/>
  <c r="A463" i="34"/>
  <c r="A464" i="34"/>
  <c r="A465" i="34"/>
  <c r="A466" i="34"/>
  <c r="A467" i="34"/>
  <c r="A468" i="34"/>
  <c r="A469" i="34"/>
  <c r="A470" i="34"/>
  <c r="A471" i="34"/>
  <c r="A472" i="34"/>
  <c r="A473" i="34"/>
  <c r="A474" i="34"/>
  <c r="A475" i="34"/>
  <c r="A476" i="34"/>
  <c r="A477" i="34"/>
  <c r="A478" i="34"/>
  <c r="A479" i="34"/>
  <c r="A480" i="34"/>
  <c r="A481" i="34"/>
  <c r="A482" i="34"/>
  <c r="A483" i="34"/>
  <c r="A484" i="34"/>
  <c r="A485" i="34"/>
  <c r="A486" i="34"/>
  <c r="A487" i="34"/>
  <c r="A488" i="34"/>
  <c r="A489" i="34"/>
  <c r="A490" i="34"/>
  <c r="A491" i="34"/>
  <c r="A492" i="34"/>
  <c r="A493" i="34"/>
  <c r="A494" i="34"/>
  <c r="A495" i="34"/>
  <c r="A496" i="34"/>
  <c r="A497" i="34"/>
  <c r="A498" i="34"/>
  <c r="A499" i="34"/>
  <c r="A500" i="34"/>
  <c r="A501" i="34"/>
  <c r="A502" i="34"/>
  <c r="A503" i="34"/>
  <c r="A504" i="34"/>
  <c r="A505" i="34"/>
  <c r="A506" i="34"/>
  <c r="A507" i="34"/>
  <c r="A508" i="34"/>
  <c r="A509" i="34"/>
  <c r="A510" i="34"/>
  <c r="A511" i="34"/>
  <c r="A512" i="34"/>
  <c r="A513" i="34"/>
  <c r="A514" i="34"/>
  <c r="A515" i="34"/>
  <c r="A516" i="34"/>
  <c r="A517" i="34"/>
  <c r="A518" i="34"/>
  <c r="A519" i="34"/>
  <c r="A520" i="34"/>
  <c r="A521" i="34"/>
  <c r="A522" i="34"/>
  <c r="A523" i="34"/>
  <c r="A524" i="34"/>
  <c r="A525" i="34"/>
  <c r="A526" i="34"/>
  <c r="A527" i="34"/>
  <c r="A528" i="34"/>
  <c r="A529" i="34"/>
  <c r="A530" i="34"/>
  <c r="A531" i="34"/>
  <c r="A532" i="34"/>
  <c r="A533" i="34"/>
  <c r="A534" i="34"/>
  <c r="A535" i="34"/>
  <c r="A536" i="34"/>
  <c r="A537" i="34"/>
  <c r="A538" i="34"/>
  <c r="A539" i="34"/>
  <c r="A540" i="34"/>
  <c r="A541" i="34"/>
  <c r="A542" i="34"/>
  <c r="A543" i="34"/>
  <c r="A544" i="34"/>
  <c r="A545" i="34"/>
  <c r="A546" i="34"/>
  <c r="A547" i="34"/>
  <c r="A548" i="34"/>
  <c r="A549" i="34"/>
  <c r="A550" i="34"/>
  <c r="A551" i="34"/>
  <c r="A552" i="34"/>
  <c r="A553" i="34"/>
  <c r="A554" i="34"/>
  <c r="A555" i="34"/>
  <c r="A556" i="34"/>
  <c r="A557" i="34"/>
  <c r="A558" i="34"/>
  <c r="A559" i="34"/>
  <c r="A560" i="34"/>
  <c r="A561" i="34"/>
  <c r="A562" i="34"/>
  <c r="A563" i="34"/>
  <c r="A564" i="34"/>
  <c r="A565" i="34"/>
  <c r="A566" i="34"/>
  <c r="A567" i="34"/>
  <c r="A568" i="34"/>
  <c r="A569" i="34"/>
  <c r="A570" i="34"/>
  <c r="A571" i="34"/>
  <c r="A572" i="34"/>
  <c r="A573" i="34"/>
  <c r="A574" i="34"/>
  <c r="A575" i="34"/>
  <c r="A576" i="34"/>
  <c r="A577" i="34"/>
  <c r="A578" i="34"/>
  <c r="A579" i="34"/>
  <c r="A580" i="34"/>
  <c r="A581" i="34"/>
  <c r="A582" i="34"/>
  <c r="A583" i="34"/>
  <c r="A584" i="34"/>
  <c r="A585" i="34"/>
  <c r="A586" i="34"/>
  <c r="A587" i="34"/>
  <c r="A588" i="34"/>
  <c r="A589" i="34"/>
  <c r="A590" i="34"/>
  <c r="A591" i="34"/>
  <c r="A592" i="34"/>
  <c r="A593" i="34"/>
  <c r="A594" i="34"/>
  <c r="A595" i="34"/>
  <c r="A596" i="34"/>
  <c r="A597" i="34"/>
  <c r="A598" i="34"/>
  <c r="A599" i="34"/>
  <c r="A600" i="34"/>
  <c r="A601" i="34"/>
  <c r="A602" i="34"/>
  <c r="A603" i="34"/>
  <c r="A604" i="34"/>
  <c r="A605" i="34"/>
  <c r="A606" i="34"/>
  <c r="A607" i="34"/>
  <c r="A608" i="34"/>
  <c r="A609" i="34"/>
  <c r="A610" i="34"/>
  <c r="A611" i="34"/>
  <c r="A612" i="34"/>
  <c r="A613" i="34"/>
  <c r="A614" i="34"/>
  <c r="A615" i="34"/>
  <c r="A616" i="34"/>
  <c r="A617" i="34"/>
  <c r="A618" i="34"/>
  <c r="A619" i="34"/>
  <c r="A620" i="34"/>
  <c r="A621" i="34"/>
  <c r="A622" i="34"/>
  <c r="A623" i="34"/>
  <c r="A624" i="34"/>
  <c r="A625" i="34"/>
  <c r="A626" i="34"/>
  <c r="A627" i="34"/>
  <c r="A628" i="34"/>
  <c r="A629" i="34"/>
  <c r="A630" i="34"/>
  <c r="A631" i="34"/>
  <c r="A632" i="34"/>
  <c r="A633" i="34"/>
  <c r="A634" i="34"/>
  <c r="A635" i="34"/>
  <c r="A636" i="34"/>
  <c r="A637" i="34"/>
  <c r="A638" i="34"/>
  <c r="A639" i="34"/>
  <c r="A640" i="34"/>
  <c r="A641" i="34"/>
  <c r="A642" i="34"/>
  <c r="A643" i="34"/>
  <c r="A644" i="34"/>
  <c r="A645" i="34"/>
  <c r="A646" i="34"/>
  <c r="A647" i="34"/>
  <c r="A648" i="34"/>
  <c r="A649" i="34"/>
  <c r="A650" i="34"/>
  <c r="A651" i="34"/>
  <c r="A652" i="34"/>
  <c r="A653" i="34"/>
  <c r="A654" i="34"/>
  <c r="A655" i="34"/>
  <c r="A656" i="34"/>
  <c r="A657" i="34"/>
  <c r="A658" i="34"/>
  <c r="A659" i="34"/>
  <c r="A660" i="34"/>
  <c r="A661" i="34"/>
  <c r="A662" i="34"/>
  <c r="A663" i="34"/>
  <c r="A664" i="34"/>
  <c r="A665" i="34"/>
  <c r="A666" i="34"/>
  <c r="A667" i="34"/>
  <c r="A668" i="34"/>
  <c r="A669" i="34"/>
  <c r="A670" i="34"/>
  <c r="A671" i="34"/>
  <c r="A672" i="34"/>
  <c r="A673" i="34"/>
  <c r="A674" i="34"/>
  <c r="A675" i="34"/>
  <c r="A676" i="34"/>
  <c r="A677" i="34"/>
  <c r="A678" i="34"/>
  <c r="A679" i="34"/>
  <c r="A680" i="34"/>
  <c r="A681" i="34"/>
  <c r="A682" i="34"/>
  <c r="A683" i="34"/>
  <c r="A684" i="34"/>
  <c r="A685" i="34"/>
  <c r="A686" i="34"/>
  <c r="A687" i="34"/>
  <c r="A688" i="34"/>
  <c r="A689" i="34"/>
  <c r="A690" i="34"/>
  <c r="A691" i="34"/>
  <c r="A692" i="34"/>
  <c r="A693" i="34"/>
  <c r="A694" i="34"/>
  <c r="A695" i="34"/>
  <c r="A696" i="34"/>
  <c r="A697" i="34"/>
  <c r="A698" i="34"/>
  <c r="A699" i="34"/>
  <c r="A700" i="34"/>
  <c r="A701" i="34"/>
  <c r="A702" i="34"/>
  <c r="A703" i="34"/>
  <c r="A704" i="34"/>
  <c r="A705" i="34"/>
  <c r="A706" i="34"/>
  <c r="A707" i="34"/>
  <c r="A708" i="34"/>
  <c r="A709" i="34"/>
  <c r="A710" i="34"/>
  <c r="A711" i="34"/>
  <c r="A712" i="34"/>
  <c r="A713" i="34"/>
  <c r="A714" i="34"/>
  <c r="A715" i="34"/>
  <c r="A716" i="34"/>
  <c r="A717" i="34"/>
  <c r="A718" i="34"/>
  <c r="A719" i="34"/>
  <c r="A720" i="34"/>
  <c r="A721" i="34"/>
  <c r="A722" i="34"/>
  <c r="A723" i="34"/>
  <c r="A724" i="34"/>
  <c r="A725" i="34"/>
  <c r="A726" i="34"/>
  <c r="A727" i="34"/>
  <c r="A728" i="34"/>
  <c r="A729" i="34"/>
  <c r="A730" i="34"/>
  <c r="A731" i="34"/>
  <c r="A732" i="34"/>
  <c r="A733" i="34"/>
  <c r="A734" i="34"/>
  <c r="A735" i="34"/>
  <c r="A736" i="34"/>
  <c r="A737" i="34"/>
  <c r="A738" i="34"/>
  <c r="A739" i="34"/>
  <c r="A740" i="34"/>
  <c r="A741" i="34"/>
  <c r="A742" i="34"/>
  <c r="A743" i="34"/>
  <c r="A744" i="34"/>
  <c r="A745" i="34"/>
  <c r="A746" i="34"/>
  <c r="A747" i="34"/>
  <c r="A748" i="34"/>
  <c r="A749" i="34"/>
  <c r="A750" i="34"/>
  <c r="A751" i="34"/>
  <c r="A752" i="34"/>
  <c r="A753" i="34"/>
  <c r="A754" i="34"/>
  <c r="A755" i="34"/>
  <c r="A756" i="34"/>
  <c r="A757" i="34"/>
  <c r="A758" i="34"/>
  <c r="A759" i="34"/>
  <c r="A760" i="34"/>
  <c r="A761" i="34"/>
  <c r="A762" i="34"/>
  <c r="A763" i="34"/>
  <c r="A764" i="34"/>
  <c r="A765" i="34"/>
  <c r="A766" i="34"/>
  <c r="A767" i="34"/>
  <c r="A768" i="34"/>
  <c r="A769" i="34"/>
  <c r="A770" i="34"/>
  <c r="A771" i="34"/>
  <c r="A772" i="34"/>
  <c r="A773" i="34"/>
  <c r="A774" i="34"/>
  <c r="A775" i="34"/>
  <c r="A776" i="34"/>
  <c r="A777" i="34"/>
  <c r="A778" i="34"/>
  <c r="A779" i="34"/>
  <c r="A780" i="34"/>
  <c r="A781" i="34"/>
  <c r="A782" i="34"/>
  <c r="A783" i="34"/>
  <c r="A784" i="34"/>
  <c r="A785" i="34"/>
  <c r="A786" i="34"/>
  <c r="A787" i="34"/>
  <c r="A788" i="34"/>
  <c r="A789" i="34"/>
  <c r="A790" i="34"/>
  <c r="A791" i="34"/>
  <c r="A792" i="34"/>
  <c r="A793" i="34"/>
  <c r="A794" i="34"/>
  <c r="A795" i="34"/>
  <c r="A796" i="34"/>
  <c r="A797" i="34"/>
  <c r="A798" i="34"/>
  <c r="A799" i="34"/>
  <c r="A800" i="34"/>
  <c r="A801" i="34"/>
  <c r="A802" i="34"/>
  <c r="A803" i="34"/>
  <c r="A804" i="34"/>
  <c r="A805" i="34"/>
  <c r="A806" i="34"/>
  <c r="A807" i="34"/>
  <c r="A808" i="34"/>
  <c r="A809" i="34"/>
  <c r="A810" i="34"/>
  <c r="A811" i="34"/>
  <c r="A812" i="34"/>
  <c r="A813" i="34"/>
  <c r="A814" i="34"/>
  <c r="A815" i="34"/>
  <c r="A816" i="34"/>
  <c r="A817" i="34"/>
  <c r="A818" i="34"/>
  <c r="A819" i="34"/>
  <c r="A820" i="34"/>
  <c r="A821" i="34"/>
  <c r="A822" i="34"/>
  <c r="A823" i="34"/>
  <c r="A824" i="34"/>
  <c r="A825" i="34"/>
  <c r="A826" i="34"/>
  <c r="A827" i="34"/>
  <c r="A828" i="34"/>
  <c r="A829" i="34"/>
  <c r="A830" i="34"/>
  <c r="A831" i="34"/>
  <c r="A832" i="34"/>
  <c r="A833" i="34"/>
  <c r="A834" i="34"/>
  <c r="A835" i="34"/>
  <c r="A836" i="34"/>
  <c r="A837" i="34"/>
  <c r="A838" i="34"/>
  <c r="A839" i="34"/>
  <c r="A840" i="34"/>
  <c r="A841" i="34"/>
  <c r="A842" i="34"/>
  <c r="A843" i="34"/>
  <c r="A844" i="34"/>
  <c r="A845" i="34"/>
  <c r="A846" i="34"/>
  <c r="A847" i="34"/>
  <c r="A848" i="34"/>
  <c r="A849" i="34"/>
  <c r="A850" i="34"/>
  <c r="A851" i="34"/>
  <c r="A852" i="34"/>
  <c r="A853" i="34"/>
  <c r="A854" i="34"/>
  <c r="A855" i="34"/>
  <c r="A856" i="34"/>
  <c r="A857" i="34"/>
  <c r="A858" i="34"/>
  <c r="A859" i="34"/>
  <c r="A860" i="34"/>
  <c r="A861" i="34"/>
  <c r="A862" i="34"/>
  <c r="A863" i="34"/>
  <c r="A864" i="34"/>
  <c r="A865" i="34"/>
  <c r="A866" i="34"/>
  <c r="A867" i="34"/>
  <c r="A868" i="34"/>
  <c r="A869" i="34"/>
  <c r="A870" i="34"/>
  <c r="A871" i="34"/>
  <c r="A872" i="34"/>
  <c r="A873" i="34"/>
  <c r="A874" i="34"/>
  <c r="A875" i="34"/>
  <c r="A876" i="34"/>
  <c r="A877" i="34"/>
  <c r="A878" i="34"/>
  <c r="A879" i="34"/>
  <c r="A880" i="34"/>
  <c r="A881" i="34"/>
  <c r="A882" i="34"/>
  <c r="A883" i="34"/>
  <c r="A884" i="34"/>
  <c r="A885" i="34"/>
  <c r="A886" i="34"/>
  <c r="A887" i="34"/>
  <c r="A888" i="34"/>
  <c r="A889" i="34"/>
  <c r="A890" i="34"/>
  <c r="A891" i="34"/>
  <c r="A892" i="34"/>
  <c r="A893" i="34"/>
  <c r="A894" i="34"/>
  <c r="A895" i="34"/>
  <c r="A896" i="34"/>
  <c r="A897" i="34"/>
  <c r="A898" i="34"/>
  <c r="A899" i="34"/>
  <c r="A900" i="34"/>
  <c r="A901" i="34"/>
  <c r="A902" i="34"/>
  <c r="A903" i="34"/>
  <c r="A904" i="34"/>
  <c r="A905" i="34"/>
  <c r="A906" i="34"/>
  <c r="A907" i="34"/>
  <c r="A908" i="34"/>
  <c r="A909" i="34"/>
  <c r="A910" i="34"/>
  <c r="A911" i="34"/>
  <c r="A912" i="34"/>
  <c r="A913" i="34"/>
  <c r="A914" i="34"/>
  <c r="A915" i="34"/>
  <c r="A916" i="34"/>
  <c r="A917" i="34"/>
  <c r="A918" i="34"/>
  <c r="A919" i="34"/>
  <c r="A920" i="34"/>
  <c r="A921" i="34"/>
  <c r="A922" i="34"/>
  <c r="A923" i="34"/>
  <c r="A924" i="34"/>
  <c r="A925" i="34"/>
  <c r="A926" i="34"/>
  <c r="A927" i="34"/>
  <c r="A928" i="34"/>
  <c r="A929" i="34"/>
  <c r="A930" i="34"/>
  <c r="A931" i="34"/>
  <c r="A932" i="34"/>
  <c r="A933" i="34"/>
  <c r="A934" i="34"/>
  <c r="A935" i="34"/>
  <c r="A936" i="34"/>
  <c r="A937" i="34"/>
  <c r="A938" i="34"/>
  <c r="A939" i="34"/>
  <c r="A940" i="34"/>
  <c r="A941" i="34"/>
  <c r="A942" i="34"/>
  <c r="A943" i="34"/>
  <c r="A944" i="34"/>
  <c r="A945" i="34"/>
  <c r="A946" i="34"/>
  <c r="A947" i="34"/>
  <c r="A948" i="34"/>
  <c r="A949" i="34"/>
  <c r="A950" i="34"/>
  <c r="A951" i="34"/>
  <c r="A952" i="34"/>
  <c r="A953" i="34"/>
  <c r="A954" i="34"/>
  <c r="A955" i="34"/>
  <c r="A956" i="34"/>
  <c r="A957" i="34"/>
  <c r="A958" i="34"/>
  <c r="A959" i="34"/>
  <c r="A960" i="34"/>
  <c r="A961" i="34"/>
  <c r="A962" i="34"/>
  <c r="A963" i="34"/>
  <c r="A964" i="34"/>
  <c r="A965" i="34"/>
  <c r="A966" i="34"/>
  <c r="A967" i="34"/>
  <c r="A968" i="34"/>
  <c r="A969" i="34"/>
  <c r="A970" i="34"/>
  <c r="A971" i="34"/>
  <c r="A972" i="34"/>
  <c r="A973" i="34"/>
  <c r="A974" i="34"/>
  <c r="A975" i="34"/>
  <c r="A976" i="34"/>
  <c r="A977" i="34"/>
  <c r="A978" i="34"/>
  <c r="A979" i="34"/>
  <c r="A980" i="34"/>
  <c r="A981" i="34"/>
  <c r="A982" i="34"/>
  <c r="A983" i="34"/>
  <c r="A984" i="34"/>
  <c r="A985" i="34"/>
  <c r="A986" i="34"/>
  <c r="A987" i="34"/>
  <c r="A988" i="34"/>
  <c r="A989" i="34"/>
  <c r="A990" i="34"/>
  <c r="A991" i="34"/>
  <c r="A992" i="34"/>
  <c r="A993" i="34"/>
  <c r="A994" i="34"/>
  <c r="A995" i="34"/>
  <c r="A996" i="34"/>
  <c r="A997" i="34"/>
  <c r="A998" i="34"/>
  <c r="A999" i="34"/>
  <c r="A1000" i="34"/>
  <c r="A1001" i="34"/>
  <c r="A1002" i="34"/>
  <c r="A1003" i="34"/>
  <c r="A1004" i="34"/>
  <c r="A1005" i="34"/>
  <c r="A1006" i="34"/>
  <c r="A1007" i="34"/>
  <c r="A1008" i="34"/>
  <c r="A1009" i="34"/>
  <c r="A1010" i="34"/>
  <c r="A1011" i="34"/>
  <c r="A1012" i="34"/>
  <c r="A1013" i="34"/>
  <c r="A1014" i="34"/>
  <c r="A1015" i="34"/>
  <c r="A1016" i="34"/>
  <c r="A1017" i="34"/>
  <c r="A1018" i="34"/>
  <c r="A1019" i="34"/>
  <c r="A1020" i="34"/>
  <c r="A1021" i="34"/>
  <c r="A1022" i="34"/>
  <c r="A1023" i="34"/>
  <c r="A1024" i="34"/>
  <c r="A1025" i="34"/>
  <c r="A1026" i="34"/>
  <c r="A1027" i="34"/>
  <c r="A1028" i="34"/>
  <c r="A1029" i="34"/>
  <c r="A1030" i="34"/>
  <c r="A1031" i="34"/>
  <c r="A1032" i="34"/>
  <c r="A1033" i="34"/>
  <c r="A1034" i="34"/>
  <c r="A1035" i="34"/>
  <c r="A1036" i="34"/>
  <c r="A1037" i="34"/>
  <c r="A1038" i="34"/>
  <c r="A1039" i="34"/>
  <c r="A1040" i="34"/>
  <c r="A1041" i="34"/>
  <c r="A1042" i="34"/>
  <c r="A1043" i="34"/>
  <c r="A1044" i="34"/>
  <c r="A1045" i="34"/>
  <c r="A1046" i="34"/>
  <c r="A1047" i="34"/>
  <c r="A1048" i="34"/>
  <c r="A1049" i="34"/>
  <c r="A1050" i="34"/>
  <c r="A1051" i="34"/>
  <c r="A1052" i="34"/>
  <c r="A1053" i="34"/>
  <c r="A1054" i="34"/>
  <c r="A1055" i="34"/>
  <c r="A1056" i="34"/>
  <c r="A1057" i="34"/>
  <c r="A1058" i="34"/>
  <c r="A1059" i="34"/>
  <c r="A1060" i="34"/>
  <c r="A1061" i="34"/>
  <c r="A1062" i="34"/>
  <c r="A1063" i="34"/>
  <c r="A1064" i="34"/>
  <c r="A1065" i="34"/>
  <c r="A1066" i="34"/>
  <c r="A1067" i="34"/>
  <c r="A1068" i="34"/>
  <c r="A1069" i="34"/>
  <c r="A1070" i="34"/>
  <c r="A1071" i="34"/>
  <c r="A1072" i="34"/>
  <c r="A1073" i="34"/>
  <c r="A1074" i="34"/>
  <c r="A1075" i="34"/>
  <c r="A1076" i="34"/>
  <c r="A1077" i="34"/>
  <c r="A1078" i="34"/>
  <c r="A1079" i="34"/>
  <c r="A1080" i="34"/>
  <c r="A1081" i="34"/>
  <c r="A1082" i="34"/>
  <c r="A1083" i="34"/>
  <c r="A1084" i="34"/>
  <c r="A1085" i="34"/>
  <c r="A1086" i="34"/>
  <c r="A1087" i="34"/>
  <c r="A1088" i="34"/>
  <c r="A1089" i="34"/>
  <c r="A1090" i="34"/>
  <c r="A1091" i="34"/>
  <c r="A1092" i="34"/>
  <c r="A1093" i="34"/>
  <c r="A1094" i="34"/>
  <c r="A1095" i="34"/>
  <c r="A1096" i="34"/>
  <c r="A1097" i="34"/>
  <c r="A1098" i="34"/>
  <c r="A1099" i="34"/>
  <c r="A1100" i="34"/>
  <c r="A1101" i="34"/>
  <c r="A1102" i="34"/>
  <c r="A1103" i="34"/>
  <c r="A1104" i="34"/>
  <c r="A1105" i="34"/>
  <c r="A1106" i="34"/>
  <c r="A1107" i="34"/>
  <c r="A1108" i="34"/>
  <c r="A1109" i="34"/>
  <c r="A1110" i="34"/>
  <c r="A1111" i="34"/>
  <c r="A1112" i="34"/>
  <c r="A1113" i="34"/>
  <c r="A1114" i="34"/>
  <c r="A1115" i="34"/>
  <c r="A1116" i="34"/>
  <c r="A1117" i="34"/>
  <c r="A1118" i="34"/>
  <c r="A1119" i="34"/>
  <c r="A1120" i="34"/>
  <c r="A1121" i="34"/>
  <c r="A1122" i="34"/>
  <c r="A1123" i="34"/>
  <c r="A1124" i="34"/>
  <c r="A1125" i="34"/>
  <c r="A1126" i="34"/>
  <c r="A1127" i="34"/>
  <c r="A1128" i="34"/>
  <c r="A1129" i="34"/>
  <c r="A1130" i="34"/>
  <c r="A1131" i="34"/>
  <c r="A1132" i="34"/>
  <c r="A1133" i="34"/>
  <c r="A1134" i="34"/>
  <c r="A1135" i="34"/>
  <c r="A1136" i="34"/>
  <c r="A1137" i="34"/>
  <c r="A1138" i="34"/>
  <c r="A1139" i="34"/>
  <c r="A1140" i="34"/>
  <c r="A1141" i="34"/>
  <c r="A1142" i="34"/>
  <c r="A1143" i="34"/>
  <c r="A1144" i="34"/>
  <c r="A1145" i="34"/>
  <c r="A1146" i="34"/>
  <c r="A1147" i="34"/>
  <c r="A1148" i="34"/>
  <c r="A1149" i="34"/>
  <c r="A1150" i="34"/>
  <c r="A1151" i="34"/>
  <c r="A1152" i="34"/>
  <c r="A1153" i="34"/>
  <c r="A1154" i="34"/>
  <c r="A1155" i="34"/>
  <c r="A1156" i="34"/>
  <c r="A1157" i="34"/>
  <c r="A1158" i="34"/>
  <c r="A1159" i="34"/>
  <c r="A1160" i="34"/>
  <c r="A1161" i="34"/>
  <c r="A1162" i="34"/>
  <c r="A1163" i="34"/>
  <c r="A1164" i="34"/>
  <c r="A1165" i="34"/>
  <c r="A1166" i="34"/>
  <c r="A1167" i="34"/>
  <c r="A1168" i="34"/>
  <c r="A1169" i="34"/>
  <c r="A1170" i="34"/>
  <c r="A1171" i="34"/>
  <c r="A1172" i="34"/>
  <c r="A1173" i="34"/>
  <c r="A1174" i="34"/>
  <c r="A1175" i="34"/>
  <c r="A1176" i="34"/>
  <c r="A1177" i="34"/>
  <c r="A1178" i="34"/>
  <c r="A1179" i="34"/>
  <c r="A1180" i="34"/>
  <c r="A1181" i="34"/>
  <c r="A1182" i="34"/>
  <c r="A1183" i="34"/>
  <c r="A1184" i="34"/>
  <c r="A1185" i="34"/>
  <c r="A1186" i="34"/>
  <c r="A1187" i="34"/>
  <c r="A1188" i="34"/>
  <c r="A1189" i="34"/>
  <c r="A1190" i="34"/>
  <c r="A1191" i="34"/>
  <c r="A1192" i="34"/>
  <c r="A1193" i="34"/>
  <c r="A1194" i="34"/>
  <c r="A1195" i="34"/>
  <c r="A1196" i="34"/>
  <c r="A1197" i="34"/>
  <c r="A1198" i="34"/>
  <c r="A1199" i="34"/>
  <c r="A1200" i="34"/>
  <c r="A1201" i="34"/>
  <c r="A1202" i="34"/>
  <c r="A1203" i="34"/>
  <c r="A1204" i="34"/>
  <c r="A1205" i="34"/>
  <c r="A1206" i="34"/>
  <c r="A1207" i="34"/>
  <c r="A1208" i="34"/>
  <c r="A1209" i="34"/>
  <c r="A1210" i="34"/>
  <c r="A1211" i="34"/>
  <c r="A1212" i="34"/>
  <c r="A1213" i="34"/>
  <c r="A1214" i="34"/>
  <c r="A1215" i="34"/>
  <c r="A1216" i="34"/>
  <c r="A1217" i="34"/>
  <c r="A1218" i="34"/>
  <c r="A1219" i="34"/>
  <c r="A1220" i="34"/>
  <c r="A1221" i="34"/>
  <c r="A1222" i="34"/>
  <c r="A1223" i="34"/>
  <c r="A1224" i="34"/>
  <c r="A1225" i="34"/>
  <c r="A1226" i="34"/>
  <c r="A1227" i="34"/>
  <c r="A1228" i="34"/>
  <c r="A1229" i="34"/>
  <c r="A1230" i="34"/>
  <c r="A1231" i="34"/>
  <c r="A1232" i="34"/>
  <c r="A1233" i="34"/>
  <c r="A1234" i="34"/>
  <c r="A1235" i="34"/>
  <c r="A1236" i="34"/>
  <c r="A1237" i="34"/>
  <c r="A1238" i="34"/>
  <c r="A1239" i="34"/>
  <c r="A1240" i="34"/>
  <c r="A1241" i="34"/>
  <c r="A1242" i="34"/>
  <c r="A1243" i="34"/>
  <c r="A1244" i="34"/>
  <c r="A1245" i="34"/>
  <c r="A1246" i="34"/>
  <c r="A1247" i="34"/>
  <c r="A1248" i="34"/>
  <c r="A1249" i="34"/>
  <c r="A1250" i="34"/>
  <c r="A1251" i="34"/>
  <c r="A1252" i="34"/>
  <c r="A1253" i="34"/>
  <c r="A1254" i="34"/>
  <c r="A1255" i="34"/>
  <c r="A1256" i="34"/>
  <c r="A1257" i="34"/>
  <c r="A1258" i="34"/>
  <c r="A1259" i="34"/>
  <c r="A1260" i="34"/>
  <c r="A1261" i="34"/>
  <c r="A1262" i="34"/>
  <c r="A1263" i="34"/>
  <c r="A1264" i="34"/>
  <c r="A1265" i="34"/>
  <c r="A1266" i="34"/>
  <c r="A1267" i="34"/>
  <c r="A1268" i="34"/>
  <c r="A1269" i="34"/>
  <c r="A1270" i="34"/>
  <c r="A1271" i="34"/>
  <c r="A1272" i="34"/>
  <c r="A1273" i="34"/>
  <c r="A1274" i="34"/>
  <c r="A1275" i="34"/>
  <c r="A1276" i="34"/>
  <c r="A1277" i="34"/>
  <c r="A1278" i="34"/>
  <c r="A1279" i="34"/>
  <c r="A1280" i="34"/>
  <c r="A1281" i="34"/>
  <c r="A1282" i="34"/>
  <c r="A1283" i="34"/>
  <c r="A1284" i="34"/>
  <c r="A1285" i="34"/>
  <c r="A1286" i="34"/>
  <c r="A1287" i="34"/>
  <c r="A1288" i="34"/>
  <c r="A1289" i="34"/>
  <c r="A1290" i="34"/>
  <c r="A1291" i="34"/>
  <c r="A1292" i="34"/>
  <c r="A1293" i="34"/>
  <c r="A1294" i="34"/>
  <c r="A1295" i="34"/>
  <c r="A1296" i="34"/>
  <c r="A1297" i="34"/>
  <c r="A1298" i="34"/>
  <c r="A1299" i="34"/>
  <c r="A1300" i="34"/>
  <c r="A1301" i="34"/>
  <c r="A1302" i="34"/>
  <c r="A1303" i="34"/>
  <c r="A1304" i="34"/>
  <c r="A1305" i="34"/>
  <c r="A1306" i="34"/>
  <c r="A1307" i="34"/>
  <c r="A1308" i="34"/>
  <c r="A1309" i="34"/>
  <c r="A1310" i="34"/>
  <c r="A1311" i="34"/>
  <c r="A1312" i="34"/>
  <c r="A1313" i="34"/>
  <c r="A1314" i="34"/>
  <c r="A1315" i="34"/>
  <c r="A1316" i="34"/>
  <c r="A1317" i="34"/>
  <c r="A1318" i="34"/>
  <c r="A1319" i="34"/>
  <c r="A1320" i="34"/>
  <c r="A1321" i="34"/>
  <c r="A1322" i="34"/>
  <c r="A1323" i="34"/>
  <c r="A1324" i="34"/>
  <c r="A1325" i="34"/>
  <c r="A1326" i="34"/>
  <c r="A1327" i="34"/>
  <c r="A1328" i="34"/>
  <c r="A1329" i="34"/>
  <c r="A1330" i="34"/>
  <c r="A1331" i="34"/>
  <c r="A1332" i="34"/>
  <c r="A1333" i="34"/>
  <c r="A1334" i="34"/>
  <c r="A1335" i="34"/>
  <c r="A1336" i="34"/>
  <c r="A1337" i="34"/>
  <c r="A1338" i="34"/>
  <c r="A1339" i="34"/>
  <c r="A1340" i="34"/>
  <c r="A1341" i="34"/>
  <c r="A1342" i="34"/>
  <c r="A1343" i="34"/>
  <c r="A1344" i="34"/>
  <c r="A1345" i="34"/>
  <c r="A1346" i="34"/>
  <c r="A1347" i="34"/>
  <c r="A1348" i="34"/>
  <c r="A1349" i="34"/>
  <c r="A1350" i="34"/>
  <c r="A1351" i="34"/>
  <c r="A1352" i="34"/>
  <c r="A1353" i="34"/>
  <c r="A1354" i="34"/>
  <c r="A1355" i="34"/>
  <c r="A1356" i="34"/>
  <c r="A1357" i="34"/>
  <c r="A1358" i="34"/>
  <c r="A1359" i="34"/>
  <c r="A1360" i="34"/>
  <c r="A1361" i="34"/>
  <c r="A1362" i="34"/>
  <c r="A1363" i="34"/>
  <c r="A1364" i="34"/>
  <c r="A1365" i="34"/>
  <c r="A1366" i="34"/>
  <c r="A1367" i="34"/>
  <c r="A1368" i="34"/>
  <c r="A1369" i="34"/>
  <c r="A1370" i="34"/>
  <c r="A1371" i="34"/>
  <c r="A1372" i="34"/>
  <c r="A1373" i="34"/>
  <c r="A1374" i="34"/>
  <c r="A1375" i="34"/>
  <c r="A1376" i="34"/>
  <c r="A1377" i="34"/>
  <c r="A1378" i="34"/>
  <c r="A1379" i="34"/>
  <c r="A1380" i="34"/>
  <c r="A1381" i="34"/>
  <c r="A1382" i="34"/>
  <c r="A1383" i="34"/>
  <c r="A1384" i="34"/>
  <c r="A1385" i="34"/>
  <c r="A1386" i="34"/>
  <c r="A1387" i="34"/>
  <c r="A1388" i="34"/>
  <c r="A1389" i="34"/>
  <c r="A1390" i="34"/>
  <c r="A1391" i="34"/>
  <c r="A1392" i="34"/>
  <c r="A1393" i="34"/>
  <c r="A1394" i="34"/>
  <c r="A1395" i="34"/>
  <c r="A1396" i="34"/>
  <c r="A1397" i="34"/>
  <c r="A1398" i="34"/>
  <c r="A1399" i="34"/>
  <c r="A1400" i="34"/>
  <c r="A1401" i="34"/>
  <c r="A1402" i="34"/>
  <c r="A1403" i="34"/>
  <c r="A1404" i="34"/>
  <c r="A1405" i="34"/>
  <c r="A1406" i="34"/>
  <c r="A1407" i="34"/>
  <c r="A1408" i="34"/>
  <c r="A1409" i="34"/>
  <c r="A1410" i="34"/>
  <c r="A1411" i="34"/>
  <c r="A1412" i="34"/>
  <c r="A1413" i="34"/>
  <c r="A1414" i="34"/>
  <c r="A1415" i="34"/>
  <c r="A1416" i="34"/>
  <c r="A1417" i="34"/>
  <c r="A1418" i="34"/>
  <c r="A1419" i="34"/>
  <c r="A1420" i="34"/>
  <c r="A1421" i="34"/>
  <c r="A1422" i="34"/>
  <c r="A1423" i="34"/>
  <c r="A1424" i="34"/>
  <c r="A1425" i="34"/>
  <c r="A1426" i="34"/>
  <c r="A1427" i="34"/>
  <c r="A1428" i="34"/>
  <c r="A1429" i="34"/>
  <c r="A1430" i="34"/>
  <c r="A1431" i="34"/>
  <c r="A1432" i="34"/>
  <c r="A1433" i="34"/>
  <c r="A1434" i="34"/>
  <c r="A1435" i="34"/>
  <c r="A1436" i="34"/>
  <c r="A1437" i="34"/>
  <c r="A1438" i="34"/>
  <c r="A1439" i="34"/>
  <c r="A1440" i="34"/>
  <c r="A1441" i="34"/>
  <c r="A1442" i="34"/>
  <c r="A1443" i="34"/>
  <c r="A1444" i="34"/>
  <c r="A1445" i="34"/>
  <c r="A1446" i="34"/>
  <c r="A1447" i="34"/>
  <c r="A1448" i="34"/>
  <c r="A1449" i="34"/>
  <c r="A1450" i="34"/>
  <c r="A1451" i="34"/>
  <c r="A1452" i="34"/>
  <c r="A1453" i="34"/>
  <c r="A1454" i="34"/>
  <c r="A1455" i="34"/>
  <c r="A1456" i="34"/>
  <c r="A1457" i="34"/>
  <c r="A1458" i="34"/>
  <c r="A1459" i="34"/>
  <c r="A1460" i="34"/>
  <c r="A1461" i="34"/>
  <c r="A1462" i="34"/>
  <c r="A1463" i="34"/>
  <c r="A1464" i="34"/>
  <c r="A1465" i="34"/>
  <c r="A1466" i="34"/>
  <c r="A1467" i="34"/>
  <c r="A1468" i="34"/>
  <c r="A1469" i="34"/>
  <c r="A1470" i="34"/>
  <c r="A1471" i="34"/>
  <c r="A1472" i="34"/>
  <c r="A1473" i="34"/>
  <c r="A1474" i="34"/>
  <c r="A1475" i="34"/>
  <c r="A1476" i="34"/>
  <c r="A1477" i="34"/>
  <c r="A1478" i="34"/>
  <c r="A1479" i="34"/>
  <c r="A1480" i="34"/>
  <c r="A1481" i="34"/>
  <c r="A1482" i="34"/>
  <c r="A1483" i="34"/>
  <c r="A1484" i="34"/>
  <c r="A1485" i="34"/>
  <c r="A1486" i="34"/>
  <c r="A1487" i="34"/>
  <c r="A1488" i="34"/>
  <c r="A1489" i="34"/>
  <c r="A1490" i="34"/>
  <c r="A1491" i="34"/>
  <c r="A1492" i="34"/>
  <c r="A1493" i="34"/>
  <c r="A1494" i="34"/>
  <c r="A1495" i="34"/>
  <c r="A1496" i="34"/>
  <c r="A1497" i="34"/>
  <c r="A1498" i="34"/>
  <c r="A1499" i="34"/>
  <c r="A1500" i="34"/>
  <c r="A3" i="34"/>
  <c r="Q19" i="24" l="1"/>
  <c r="A118" i="49" l="1"/>
  <c r="A117" i="49"/>
  <c r="A116" i="49"/>
  <c r="A115" i="49"/>
  <c r="A114" i="49"/>
  <c r="A113" i="49"/>
  <c r="A112" i="49"/>
  <c r="A111" i="49"/>
  <c r="D89" i="49"/>
  <c r="D87" i="49"/>
  <c r="D86" i="49"/>
  <c r="Q119" i="52" l="1"/>
  <c r="D29" i="52" s="1"/>
  <c r="V11" i="24"/>
  <c r="D16" i="49"/>
  <c r="D85" i="49"/>
  <c r="D88" i="49"/>
  <c r="E1" i="49" l="1"/>
  <c r="G35" i="52"/>
  <c r="G29" i="52"/>
  <c r="G33" i="52"/>
  <c r="G31" i="52"/>
  <c r="B81" i="52"/>
  <c r="B74" i="52"/>
  <c r="Q120" i="52"/>
  <c r="D107" i="49"/>
  <c r="D25" i="49"/>
  <c r="D24" i="49"/>
  <c r="D20" i="49"/>
  <c r="D21" i="49"/>
  <c r="D19" i="49"/>
  <c r="D13" i="49"/>
  <c r="D8" i="49"/>
  <c r="D12" i="49"/>
  <c r="D14" i="49"/>
  <c r="D11" i="49"/>
  <c r="D6" i="49"/>
  <c r="B15" i="49"/>
  <c r="D7" i="49"/>
  <c r="D5" i="49"/>
  <c r="B9" i="49"/>
  <c r="C15" i="49"/>
  <c r="D10" i="49"/>
  <c r="D4" i="49"/>
  <c r="C50" i="49"/>
  <c r="C35" i="49"/>
  <c r="C63" i="49"/>
  <c r="C75" i="49"/>
  <c r="C98" i="49"/>
  <c r="C26" i="49"/>
  <c r="C22" i="49"/>
  <c r="B97" i="52" l="1"/>
  <c r="B26" i="49"/>
  <c r="D26" i="49" s="1"/>
  <c r="B22" i="49"/>
  <c r="D22" i="49" s="1"/>
  <c r="D23" i="49"/>
  <c r="D15" i="49"/>
  <c r="D9" i="49"/>
  <c r="B107" i="52" l="1"/>
  <c r="B105" i="52"/>
  <c r="B99" i="52"/>
  <c r="B101" i="52"/>
  <c r="B103" i="52"/>
  <c r="B95" i="52"/>
  <c r="AC150" i="52"/>
  <c r="N72" i="52"/>
  <c r="D9" i="43"/>
  <c r="D29" i="43"/>
  <c r="D28" i="43"/>
  <c r="D27" i="43"/>
  <c r="D26" i="43"/>
  <c r="D25" i="43"/>
  <c r="D24" i="43"/>
  <c r="D23" i="43"/>
  <c r="D22" i="43"/>
  <c r="D21" i="43"/>
  <c r="D20" i="43"/>
  <c r="D19" i="43"/>
  <c r="D18" i="43"/>
  <c r="D17" i="43"/>
  <c r="D16" i="43"/>
  <c r="D15" i="43"/>
  <c r="D14" i="43"/>
  <c r="D13" i="43"/>
  <c r="D12" i="43"/>
  <c r="D11" i="43"/>
  <c r="D10" i="43"/>
  <c r="D6" i="43"/>
  <c r="D5" i="43"/>
  <c r="D4" i="43"/>
  <c r="D3" i="43" l="1"/>
  <c r="D7" i="43" s="1"/>
  <c r="E9" i="43" s="1"/>
  <c r="E24" i="43" l="1"/>
  <c r="E18" i="43"/>
  <c r="E27" i="43"/>
  <c r="E12" i="43"/>
  <c r="E28" i="43"/>
  <c r="E21" i="43"/>
  <c r="E29" i="43"/>
  <c r="E22" i="43"/>
  <c r="E15" i="43"/>
  <c r="E23" i="43"/>
  <c r="E16" i="43"/>
  <c r="E19" i="43"/>
  <c r="E17" i="43"/>
  <c r="E10" i="43"/>
  <c r="E26" i="43"/>
  <c r="E13" i="43"/>
  <c r="E11" i="43"/>
  <c r="E25" i="43"/>
  <c r="E20" i="43"/>
  <c r="E14" i="43"/>
  <c r="B53" i="52" l="1"/>
  <c r="B54" i="52"/>
  <c r="O20" i="24"/>
  <c r="Q22" i="24" l="1"/>
  <c r="O19" i="24"/>
  <c r="D105" i="49" l="1"/>
  <c r="D104" i="49"/>
  <c r="D106" i="49"/>
  <c r="D103" i="49"/>
  <c r="E35" i="26"/>
  <c r="V21" i="24"/>
  <c r="U20" i="24"/>
  <c r="U14" i="24"/>
  <c r="S4" i="1" s="1"/>
  <c r="D35" i="26"/>
  <c r="V10" i="24"/>
  <c r="V8" i="24"/>
  <c r="AW8" i="32" l="1"/>
  <c r="AW9" i="32" s="1"/>
  <c r="AW10" i="32" s="1"/>
  <c r="C3" i="49"/>
  <c r="C100" i="49" s="1"/>
  <c r="V29" i="24"/>
  <c r="V27" i="24"/>
  <c r="U17" i="24"/>
  <c r="U15" i="24"/>
  <c r="AV3" i="63" s="1"/>
  <c r="V33" i="24"/>
  <c r="V28" i="24"/>
  <c r="V44" i="24"/>
  <c r="V39" i="24"/>
  <c r="V38" i="24"/>
  <c r="V43" i="24"/>
  <c r="V37" i="24"/>
  <c r="V42" i="24"/>
  <c r="V36" i="24"/>
  <c r="V41" i="24"/>
  <c r="V35" i="24"/>
  <c r="V40" i="24"/>
  <c r="V34" i="24"/>
  <c r="V22" i="24"/>
  <c r="Z46" i="24" s="1"/>
  <c r="Y57" i="24" l="1"/>
  <c r="AA46" i="24"/>
  <c r="C84" i="49"/>
  <c r="C92" i="49"/>
  <c r="C71" i="49"/>
  <c r="C77" i="49"/>
  <c r="C52" i="49"/>
  <c r="C65" i="49"/>
  <c r="C18" i="49"/>
  <c r="C37" i="49"/>
  <c r="AW7" i="32"/>
  <c r="U18" i="24"/>
  <c r="S33" i="1"/>
  <c r="V24" i="24"/>
  <c r="V25" i="24"/>
  <c r="S14" i="72" s="1"/>
  <c r="V23" i="24"/>
  <c r="C56" i="24"/>
  <c r="D54" i="24" s="1"/>
  <c r="C55" i="24"/>
  <c r="C123" i="52" l="1"/>
  <c r="J3" i="72"/>
  <c r="C3" i="52" s="1"/>
  <c r="AA58" i="24"/>
  <c r="AA59" i="24" s="1"/>
  <c r="Z58" i="24"/>
  <c r="Z59" i="24" s="1"/>
  <c r="Y58" i="24"/>
  <c r="Y59" i="24" s="1"/>
  <c r="B1" i="49"/>
  <c r="C2" i="65"/>
  <c r="Y36" i="24"/>
  <c r="AA36" i="24" s="1"/>
  <c r="AA37" i="24"/>
  <c r="S31" i="1"/>
  <c r="V26" i="24"/>
  <c r="D53" i="24"/>
  <c r="D52" i="24"/>
  <c r="U3" i="66" l="1"/>
  <c r="AA35" i="24"/>
  <c r="E56" i="24"/>
  <c r="Q20" i="24"/>
  <c r="O29" i="24"/>
  <c r="P29" i="24" s="1"/>
  <c r="O35" i="24"/>
  <c r="Q35" i="24"/>
  <c r="AA40" i="24" l="1"/>
  <c r="U26" i="26"/>
  <c r="U25" i="26"/>
  <c r="U24" i="26"/>
  <c r="U23" i="26"/>
  <c r="D25" i="24"/>
  <c r="C14" i="1" l="1"/>
  <c r="D94" i="49" l="1"/>
  <c r="B47" i="52"/>
  <c r="Q49" i="24"/>
  <c r="Q40" i="24" l="1"/>
  <c r="O36" i="24"/>
  <c r="Q36" i="24"/>
  <c r="P32" i="24"/>
  <c r="O40" i="24" l="1"/>
  <c r="B40" i="26" l="1"/>
  <c r="B41" i="26" s="1"/>
  <c r="L38" i="24" l="1"/>
  <c r="L32" i="24"/>
  <c r="L27" i="24"/>
  <c r="L19" i="24"/>
  <c r="L21" i="24"/>
  <c r="L15" i="24"/>
  <c r="E3" i="26" l="1"/>
  <c r="C3" i="26"/>
  <c r="L11" i="24"/>
  <c r="D34" i="26" l="1"/>
  <c r="E33" i="26" s="1"/>
  <c r="C2" i="26"/>
  <c r="E2" i="26"/>
  <c r="C36" i="26"/>
  <c r="B35" i="26"/>
  <c r="C35" i="26"/>
  <c r="O26" i="24"/>
  <c r="Q26" i="24" s="1"/>
  <c r="Q23" i="24"/>
  <c r="D33" i="26" l="1"/>
  <c r="J54" i="24"/>
  <c r="J45" i="24"/>
  <c r="O30" i="24" l="1"/>
  <c r="D24" i="24"/>
  <c r="D26" i="24"/>
  <c r="D27" i="24"/>
  <c r="D50" i="24" l="1"/>
  <c r="C48" i="24"/>
  <c r="D47" i="24" s="1"/>
  <c r="C38" i="24"/>
  <c r="C29" i="24"/>
  <c r="C15" i="24"/>
  <c r="D28" i="24" l="1"/>
  <c r="D17" i="24"/>
  <c r="D11" i="24"/>
  <c r="D13" i="24"/>
  <c r="D6" i="24"/>
  <c r="D8" i="24"/>
  <c r="D22" i="24"/>
  <c r="D20" i="24"/>
  <c r="D19" i="24"/>
  <c r="D23" i="24"/>
  <c r="D51" i="24"/>
  <c r="E55" i="24" s="1"/>
  <c r="E49" i="24" s="1"/>
  <c r="D21" i="24"/>
  <c r="D18" i="24"/>
  <c r="D10" i="24"/>
  <c r="D14" i="24"/>
  <c r="D37" i="24"/>
  <c r="D36" i="24"/>
  <c r="D43" i="24"/>
  <c r="D42" i="24"/>
  <c r="D35" i="24"/>
  <c r="D34" i="24"/>
  <c r="D46" i="24"/>
  <c r="D44" i="24"/>
  <c r="D31" i="24"/>
  <c r="D33" i="24"/>
  <c r="D41" i="24"/>
  <c r="D45" i="24"/>
  <c r="D9" i="24"/>
  <c r="D12" i="24"/>
  <c r="D7" i="24"/>
  <c r="E29" i="24" l="1"/>
  <c r="E16" i="24" s="1"/>
  <c r="E15" i="24"/>
  <c r="E5" i="24" s="1"/>
  <c r="E38" i="24"/>
  <c r="E30" i="24" s="1"/>
  <c r="E48" i="24"/>
  <c r="E39" i="24" s="1"/>
  <c r="L42" i="24" l="1"/>
  <c r="L43" i="24"/>
  <c r="L44" i="24"/>
  <c r="L45" i="24"/>
  <c r="L46" i="24"/>
  <c r="L47" i="24"/>
  <c r="L48" i="24"/>
  <c r="L49" i="24"/>
  <c r="L50" i="24"/>
  <c r="L51" i="24"/>
  <c r="L52" i="24"/>
  <c r="L53" i="24" l="1"/>
  <c r="L54" i="24"/>
  <c r="L55" i="24" s="1"/>
  <c r="L41" i="24"/>
  <c r="D49" i="49" l="1"/>
  <c r="AJ8" i="65" l="1"/>
  <c r="L8" i="1" l="1"/>
  <c r="K9" i="1" s="1"/>
  <c r="AM5" i="65"/>
  <c r="N18" i="1" s="1"/>
  <c r="D29" i="49"/>
  <c r="B25" i="52" l="1"/>
  <c r="B27" i="52"/>
  <c r="D81" i="49" l="1"/>
  <c r="D45" i="49" l="1"/>
  <c r="D46" i="49"/>
  <c r="D47" i="49"/>
  <c r="D48" i="49" l="1"/>
  <c r="D39" i="49" l="1"/>
  <c r="D40" i="49"/>
  <c r="D41" i="49"/>
  <c r="D44" i="49"/>
  <c r="D43" i="49"/>
  <c r="N69" i="52"/>
  <c r="D69" i="49"/>
  <c r="B11" i="52" l="1"/>
  <c r="D33" i="49"/>
  <c r="D34" i="49"/>
  <c r="D32" i="49"/>
  <c r="D101" i="49"/>
  <c r="D31" i="49"/>
  <c r="D30" i="49"/>
  <c r="D42" i="49"/>
  <c r="D68" i="49"/>
  <c r="B68" i="52"/>
  <c r="D67" i="49"/>
  <c r="B66" i="52"/>
  <c r="D102" i="49"/>
  <c r="D62" i="49"/>
  <c r="B23" i="52"/>
  <c r="D66" i="49"/>
  <c r="B64" i="52"/>
  <c r="D74" i="49"/>
  <c r="D73" i="49"/>
  <c r="D61" i="49"/>
  <c r="B22" i="52"/>
  <c r="D53" i="49"/>
  <c r="N66" i="52"/>
  <c r="D57" i="49"/>
  <c r="N70" i="52"/>
  <c r="D58" i="49"/>
  <c r="N67" i="52"/>
  <c r="D60" i="49"/>
  <c r="N68" i="52"/>
  <c r="D59" i="49"/>
  <c r="D55" i="49"/>
  <c r="N64" i="52"/>
  <c r="D56" i="49"/>
  <c r="N65" i="52"/>
  <c r="N63" i="52"/>
  <c r="D80" i="49"/>
  <c r="D79" i="49"/>
  <c r="B45" i="52"/>
  <c r="B48" i="52"/>
  <c r="B46" i="52"/>
  <c r="B18" i="52" l="1"/>
  <c r="B17" i="52"/>
  <c r="B16" i="52"/>
  <c r="B20" i="52"/>
  <c r="B19" i="52"/>
  <c r="E13" i="52"/>
  <c r="G66" i="24"/>
  <c r="G65" i="24"/>
  <c r="G64" i="24"/>
  <c r="G69" i="24"/>
  <c r="G63" i="24"/>
  <c r="G68" i="24"/>
  <c r="G62" i="24"/>
  <c r="G67" i="24"/>
  <c r="G58" i="24"/>
  <c r="G59" i="24"/>
  <c r="G54" i="24"/>
  <c r="G51" i="24"/>
  <c r="G52" i="24"/>
  <c r="G53" i="24"/>
  <c r="G50" i="24"/>
  <c r="G14" i="24"/>
  <c r="G12" i="24"/>
  <c r="G13" i="24"/>
  <c r="G10" i="24"/>
  <c r="G11" i="24"/>
  <c r="G8" i="24"/>
  <c r="G9" i="24"/>
  <c r="B9" i="52"/>
  <c r="B35" i="49"/>
  <c r="D35" i="49" s="1"/>
  <c r="B50" i="49"/>
  <c r="D50" i="49" s="1"/>
  <c r="D38" i="49"/>
  <c r="D78" i="49"/>
  <c r="B75" i="49"/>
  <c r="D75" i="49" s="1"/>
  <c r="D72" i="49"/>
  <c r="E12" i="52"/>
  <c r="D82" i="49"/>
  <c r="B15" i="52"/>
  <c r="B63" i="49"/>
  <c r="D63" i="49" s="1"/>
  <c r="D54" i="49"/>
  <c r="D96" i="49"/>
  <c r="D97" i="49"/>
  <c r="D95" i="49"/>
  <c r="Q8" i="1"/>
  <c r="B5" i="52" l="1"/>
  <c r="B7" i="52"/>
  <c r="G60" i="24"/>
  <c r="G7" i="24"/>
  <c r="G6" i="24"/>
  <c r="D9" i="52"/>
  <c r="S21" i="1"/>
  <c r="B98" i="49"/>
  <c r="D98" i="49" s="1"/>
  <c r="D93" i="49"/>
  <c r="G18" i="1" l="1"/>
  <c r="J27" i="1"/>
  <c r="B52" i="52" l="1"/>
  <c r="B51" i="52"/>
</calcChain>
</file>

<file path=xl/sharedStrings.xml><?xml version="1.0" encoding="utf-8"?>
<sst xmlns="http://schemas.openxmlformats.org/spreadsheetml/2006/main" count="2156" uniqueCount="1024">
  <si>
    <t>JANVIER</t>
  </si>
  <si>
    <t>INSPECTIONS</t>
  </si>
  <si>
    <t>PROGRAMMEE</t>
  </si>
  <si>
    <t>NON PROGRAMMEE</t>
  </si>
  <si>
    <t>INTERVENTIONS</t>
  </si>
  <si>
    <t>BAL</t>
  </si>
  <si>
    <t>INFRA</t>
  </si>
  <si>
    <t>ETATS &amp; PLANS D'URG.</t>
  </si>
  <si>
    <t>VEILLE</t>
  </si>
  <si>
    <t>ALERTE</t>
  </si>
  <si>
    <t>ACCIDENT</t>
  </si>
  <si>
    <t>DECLENCHEMENT PU</t>
  </si>
  <si>
    <t>NOTIFICATION SGS</t>
  </si>
  <si>
    <t>FOD</t>
  </si>
  <si>
    <t>FOD AERO</t>
  </si>
  <si>
    <t>FOD PERIL ANIMALIER</t>
  </si>
  <si>
    <t>DIVERS</t>
  </si>
  <si>
    <t>ESSAIS MOTEURS</t>
  </si>
  <si>
    <t>BALISE DE DETRESSE</t>
  </si>
  <si>
    <t>MESURE GLISSANCE</t>
  </si>
  <si>
    <t>FRET</t>
  </si>
  <si>
    <t>CONVOYAGES</t>
  </si>
  <si>
    <t>CODES INSPECTIONS NON PROGRAMMEES</t>
  </si>
  <si>
    <t>SUSPICION BIRD STRIKE</t>
  </si>
  <si>
    <t>BIRD STRIKE AVERE</t>
  </si>
  <si>
    <t>ACCELERATION / ARRET</t>
  </si>
  <si>
    <t>ETAT DE VEILLE</t>
  </si>
  <si>
    <t>ETAT D'ALERTE</t>
  </si>
  <si>
    <t>ETAT D'ACCIDENT</t>
  </si>
  <si>
    <t>SUITE INTERVENTION INFRA/BAL</t>
  </si>
  <si>
    <t>SUITE TRAVAUX</t>
  </si>
  <si>
    <t>AUTRE</t>
  </si>
  <si>
    <t>SB</t>
  </si>
  <si>
    <t>BA</t>
  </si>
  <si>
    <t>AA</t>
  </si>
  <si>
    <t>EV</t>
  </si>
  <si>
    <t>EA</t>
  </si>
  <si>
    <t>EC</t>
  </si>
  <si>
    <t>IN</t>
  </si>
  <si>
    <t>TV</t>
  </si>
  <si>
    <t>DI</t>
  </si>
  <si>
    <t>TOTAUX</t>
  </si>
  <si>
    <t>CODE F</t>
  </si>
  <si>
    <t>REPOSITIONNEMENT</t>
  </si>
  <si>
    <t>FEVRIER</t>
  </si>
  <si>
    <t>MARS</t>
  </si>
  <si>
    <t>AVRIL</t>
  </si>
  <si>
    <t>MAI</t>
  </si>
  <si>
    <t>JUIN</t>
  </si>
  <si>
    <t>JUILLET</t>
  </si>
  <si>
    <t>AOUT</t>
  </si>
  <si>
    <t>SEPTEMBRE</t>
  </si>
  <si>
    <t>OCTOBRE</t>
  </si>
  <si>
    <t>NOVEMBRE</t>
  </si>
  <si>
    <t>DECEMBRE</t>
  </si>
  <si>
    <t>AIRE DE TRAFIC</t>
  </si>
  <si>
    <t>ASSISTANT CONCERNE</t>
  </si>
  <si>
    <t>AVP</t>
  </si>
  <si>
    <t>APR</t>
  </si>
  <si>
    <t>SFS</t>
  </si>
  <si>
    <t>SEA</t>
  </si>
  <si>
    <t>MZS</t>
  </si>
  <si>
    <t>GEH</t>
  </si>
  <si>
    <t>POUBELLE SAUVAGE</t>
  </si>
  <si>
    <t>MATERIEL NON RANGE</t>
  </si>
  <si>
    <t>MATERIEL ACA ABIME/END.</t>
  </si>
  <si>
    <t>PASSERELLE N.RANGEE</t>
  </si>
  <si>
    <t>MAUVAIS POSITIONNEMENT AV.</t>
  </si>
  <si>
    <t>S</t>
  </si>
  <si>
    <t>T</t>
  </si>
  <si>
    <t>A</t>
  </si>
  <si>
    <t>MAA</t>
  </si>
  <si>
    <t>Pluie / Orage</t>
  </si>
  <si>
    <t>Vent fort</t>
  </si>
  <si>
    <t>Autres</t>
  </si>
  <si>
    <t>FAT</t>
  </si>
  <si>
    <t>NOTAM</t>
  </si>
  <si>
    <t>MODIFICATION AIP</t>
  </si>
  <si>
    <t>SUP AIP</t>
  </si>
  <si>
    <t>CARBURANT</t>
  </si>
  <si>
    <t>LITRAGE FIOUL</t>
  </si>
  <si>
    <t>MONTANT FIOUL</t>
  </si>
  <si>
    <t>LITRAGE GAZOLE</t>
  </si>
  <si>
    <t>MONTANT GAZOLE</t>
  </si>
  <si>
    <t>LITRAGE SP95</t>
  </si>
  <si>
    <t>MONTANT SP95</t>
  </si>
  <si>
    <t>STATION DE LAVAGE</t>
  </si>
  <si>
    <t>ASPIRATEUR</t>
  </si>
  <si>
    <t>MONTANT ASPIRATEUR</t>
  </si>
  <si>
    <t xml:space="preserve">LAVAGE </t>
  </si>
  <si>
    <t>MONTANT LAVAGE</t>
  </si>
  <si>
    <t>STATS</t>
  </si>
  <si>
    <t>AFR</t>
  </si>
  <si>
    <t>COUP DE MER</t>
  </si>
  <si>
    <t>PLUIE/ORAGE</t>
  </si>
  <si>
    <t>VENT FORT</t>
  </si>
  <si>
    <t>INSPECTIONS NON PROGRAMMEES</t>
  </si>
  <si>
    <t>ETATS</t>
  </si>
  <si>
    <t>TOTAL</t>
  </si>
  <si>
    <t>ESSIG RAOUL</t>
  </si>
  <si>
    <t>-  -  -  -  -  -</t>
  </si>
  <si>
    <t>ASSISTANTS</t>
  </si>
  <si>
    <t>COMPAGNIE</t>
  </si>
  <si>
    <t>APPAREIL</t>
  </si>
  <si>
    <t>IMMAT</t>
  </si>
  <si>
    <t>TYPE</t>
  </si>
  <si>
    <t>HORAIRES</t>
  </si>
  <si>
    <t>COMPAGNIES</t>
  </si>
  <si>
    <t>EASYJET</t>
  </si>
  <si>
    <t>TUNISAIR</t>
  </si>
  <si>
    <t>KLM</t>
  </si>
  <si>
    <t>ROYAL AIR MAROC</t>
  </si>
  <si>
    <t>AIR CORSICA</t>
  </si>
  <si>
    <t>TAP Portugal</t>
  </si>
  <si>
    <t>LUFTHANSA</t>
  </si>
  <si>
    <t>SWISS</t>
  </si>
  <si>
    <t>AUSTRIAN</t>
  </si>
  <si>
    <t>AEGEAN</t>
  </si>
  <si>
    <t>SAS</t>
  </si>
  <si>
    <t>EUROWINGS</t>
  </si>
  <si>
    <t>AIR CANADA</t>
  </si>
  <si>
    <t>AIR TRANSAT</t>
  </si>
  <si>
    <t>AIR CHINA</t>
  </si>
  <si>
    <t>UNITED</t>
  </si>
  <si>
    <t>DELTA</t>
  </si>
  <si>
    <t>EMIRATES</t>
  </si>
  <si>
    <t>QATAR AIRWAYS</t>
  </si>
  <si>
    <t>AER LINGUS</t>
  </si>
  <si>
    <t>JET2</t>
  </si>
  <si>
    <t>AIR BALTIC</t>
  </si>
  <si>
    <t>AIR ALGERIE</t>
  </si>
  <si>
    <t>AIR SERBIA</t>
  </si>
  <si>
    <t>AIR MOLDOVA</t>
  </si>
  <si>
    <t>BRITISH AIRWAYS</t>
  </si>
  <si>
    <t>BLUE AIR</t>
  </si>
  <si>
    <t>SMARTWINGS</t>
  </si>
  <si>
    <t>EL AL</t>
  </si>
  <si>
    <t>IBERIA</t>
  </si>
  <si>
    <t>IBERIA EXPRESS</t>
  </si>
  <si>
    <t>FINNAIR</t>
  </si>
  <si>
    <t>GULF AIR</t>
  </si>
  <si>
    <t>MEA</t>
  </si>
  <si>
    <t>LOT</t>
  </si>
  <si>
    <t>LUXAIR</t>
  </si>
  <si>
    <t>NORWEGIAN</t>
  </si>
  <si>
    <t>RYANAIR</t>
  </si>
  <si>
    <t>SKYUP</t>
  </si>
  <si>
    <t>WIZZAIR</t>
  </si>
  <si>
    <t>VUELING</t>
  </si>
  <si>
    <t>VOLOTEA</t>
  </si>
  <si>
    <t>TAROM</t>
  </si>
  <si>
    <t>AEE</t>
  </si>
  <si>
    <t>CCM</t>
  </si>
  <si>
    <t>BAW</t>
  </si>
  <si>
    <t>EZY</t>
  </si>
  <si>
    <t>UAE</t>
  </si>
  <si>
    <t>IBE</t>
  </si>
  <si>
    <t>DLH</t>
  </si>
  <si>
    <t>QTR</t>
  </si>
  <si>
    <t>RAM</t>
  </si>
  <si>
    <t>WZZ</t>
  </si>
  <si>
    <t>TVF</t>
  </si>
  <si>
    <t>TAP</t>
  </si>
  <si>
    <t>RYR</t>
  </si>
  <si>
    <t>(depuis le 1er Janvier - état au JOUR J)</t>
  </si>
  <si>
    <t>%</t>
  </si>
  <si>
    <t>DEMANDE CLIENT</t>
  </si>
  <si>
    <t>PANNE OU ANNULATION</t>
  </si>
  <si>
    <t>TRANCHES</t>
  </si>
  <si>
    <t>-30 MIN</t>
  </si>
  <si>
    <t>+ 1H</t>
  </si>
  <si>
    <t>GECO ASSOCIES</t>
  </si>
  <si>
    <t>ENTREE</t>
  </si>
  <si>
    <t>SORTIE</t>
  </si>
  <si>
    <t>MVT</t>
  </si>
  <si>
    <t>TRAVAUX</t>
  </si>
  <si>
    <t>GENERALE</t>
  </si>
  <si>
    <t>COMMER.</t>
  </si>
  <si>
    <t>AVIATION</t>
  </si>
  <si>
    <t>MARSHALLING</t>
  </si>
  <si>
    <t>Neige</t>
  </si>
  <si>
    <t>Coup de Mer</t>
  </si>
  <si>
    <t>TOT</t>
  </si>
  <si>
    <t>NEIGE</t>
  </si>
  <si>
    <t>SGS</t>
  </si>
  <si>
    <t>+ 30 MIN</t>
  </si>
  <si>
    <t>MOIS</t>
  </si>
  <si>
    <t>CONVOYAGES VEHICULES</t>
  </si>
  <si>
    <t>BTI</t>
  </si>
  <si>
    <t>THY</t>
  </si>
  <si>
    <t>SBI</t>
  </si>
  <si>
    <t>BEL</t>
  </si>
  <si>
    <t>SWR</t>
  </si>
  <si>
    <t>EIN</t>
  </si>
  <si>
    <t>DAH</t>
  </si>
  <si>
    <t>ACA</t>
  </si>
  <si>
    <t>CCA</t>
  </si>
  <si>
    <t>MLD</t>
  </si>
  <si>
    <t>ASL</t>
  </si>
  <si>
    <t>TSC</t>
  </si>
  <si>
    <t>AUA</t>
  </si>
  <si>
    <t>BMS</t>
  </si>
  <si>
    <t>DAL</t>
  </si>
  <si>
    <t>ELY</t>
  </si>
  <si>
    <t>EWG</t>
  </si>
  <si>
    <t>FIN</t>
  </si>
  <si>
    <t>GFA</t>
  </si>
  <si>
    <t>IBS</t>
  </si>
  <si>
    <t>EXS</t>
  </si>
  <si>
    <t>LGL</t>
  </si>
  <si>
    <t>NAX</t>
  </si>
  <si>
    <t>SQP</t>
  </si>
  <si>
    <t>TVP</t>
  </si>
  <si>
    <t>ROT</t>
  </si>
  <si>
    <t>TRA</t>
  </si>
  <si>
    <t>TAR</t>
  </si>
  <si>
    <t>UAL</t>
  </si>
  <si>
    <t>VOE</t>
  </si>
  <si>
    <t>VLG</t>
  </si>
  <si>
    <t>AZH</t>
  </si>
  <si>
    <t>DATES</t>
  </si>
  <si>
    <t>S7 -  SIBERIAN</t>
  </si>
  <si>
    <t>DIMINUTIF</t>
  </si>
  <si>
    <t>BOEING 737-500</t>
  </si>
  <si>
    <t>BOEING 737-600</t>
  </si>
  <si>
    <t>BOEING 737-700</t>
  </si>
  <si>
    <t>BOEING 737-800</t>
  </si>
  <si>
    <t>BOEING 737 MAX 10</t>
  </si>
  <si>
    <t>BOEING 767-300</t>
  </si>
  <si>
    <t>BOEING 767-400</t>
  </si>
  <si>
    <t>BOEING 767-200</t>
  </si>
  <si>
    <t>EMBRAER E145</t>
  </si>
  <si>
    <t>EMBRAER E170</t>
  </si>
  <si>
    <t>EMBRAER E190</t>
  </si>
  <si>
    <t>E145</t>
  </si>
  <si>
    <t>E70</t>
  </si>
  <si>
    <t>E90</t>
  </si>
  <si>
    <t>275</t>
  </si>
  <si>
    <t>290</t>
  </si>
  <si>
    <t>295</t>
  </si>
  <si>
    <t>E170</t>
  </si>
  <si>
    <t>E175</t>
  </si>
  <si>
    <t>E190</t>
  </si>
  <si>
    <t>E195</t>
  </si>
  <si>
    <t>E275</t>
  </si>
  <si>
    <t>E290</t>
  </si>
  <si>
    <t>E295</t>
  </si>
  <si>
    <t>DASH 8 - 400</t>
  </si>
  <si>
    <t>DH4</t>
  </si>
  <si>
    <t>DHC8</t>
  </si>
  <si>
    <t>REGIONAL JET CRJ-900</t>
  </si>
  <si>
    <t>REGIONAL JET CRJ-1000</t>
  </si>
  <si>
    <t>CR2</t>
  </si>
  <si>
    <t>CRJ7</t>
  </si>
  <si>
    <t>CR9</t>
  </si>
  <si>
    <t>CRK</t>
  </si>
  <si>
    <t>CRJ2</t>
  </si>
  <si>
    <t>CRJ9</t>
  </si>
  <si>
    <t>CRJX</t>
  </si>
  <si>
    <t>AIRBUS A220-100</t>
  </si>
  <si>
    <t>AIRBUS A220-300</t>
  </si>
  <si>
    <t>BCS1</t>
  </si>
  <si>
    <t>BCS3</t>
  </si>
  <si>
    <t>221</t>
  </si>
  <si>
    <t>223</t>
  </si>
  <si>
    <t>BOEING 737-300</t>
  </si>
  <si>
    <t>BOEING 737-400</t>
  </si>
  <si>
    <t>BOEING 737-900</t>
  </si>
  <si>
    <t>BOEING B737 MAX 7</t>
  </si>
  <si>
    <t>BOEING B737 MAX 8</t>
  </si>
  <si>
    <t>BOEING B737 MAX 9</t>
  </si>
  <si>
    <t>BOEING 757-200</t>
  </si>
  <si>
    <t>BOEING 757-300</t>
  </si>
  <si>
    <t>BOEING 777-200</t>
  </si>
  <si>
    <t>BOEING 777-300</t>
  </si>
  <si>
    <t>BOEING B777-300 ER</t>
  </si>
  <si>
    <t>BOEING 777-200 LR</t>
  </si>
  <si>
    <t>733</t>
  </si>
  <si>
    <t>734</t>
  </si>
  <si>
    <t>735</t>
  </si>
  <si>
    <t>736</t>
  </si>
  <si>
    <t>737</t>
  </si>
  <si>
    <t>738</t>
  </si>
  <si>
    <t>739</t>
  </si>
  <si>
    <t>B37M</t>
  </si>
  <si>
    <t>B38M</t>
  </si>
  <si>
    <t>B39M</t>
  </si>
  <si>
    <t>B3XM</t>
  </si>
  <si>
    <t>753</t>
  </si>
  <si>
    <t>764</t>
  </si>
  <si>
    <t>763</t>
  </si>
  <si>
    <t>773</t>
  </si>
  <si>
    <t>77W</t>
  </si>
  <si>
    <t>B77L</t>
  </si>
  <si>
    <t>788</t>
  </si>
  <si>
    <t>789</t>
  </si>
  <si>
    <t>B737</t>
  </si>
  <si>
    <t>ATR 42-500</t>
  </si>
  <si>
    <t>ATR 72-500</t>
  </si>
  <si>
    <t>ATR 72-600</t>
  </si>
  <si>
    <t>AT5</t>
  </si>
  <si>
    <t>AT7</t>
  </si>
  <si>
    <t>AT72</t>
  </si>
  <si>
    <t>AT76</t>
  </si>
  <si>
    <t>AT42</t>
  </si>
  <si>
    <t>AIRBUS A310-300</t>
  </si>
  <si>
    <t>AIRBUS A318</t>
  </si>
  <si>
    <t>AIRBUS 319 NEO</t>
  </si>
  <si>
    <t>AIRBUS 319</t>
  </si>
  <si>
    <t>AIRBUS A320 NEO</t>
  </si>
  <si>
    <t>AIRBUS A320-200</t>
  </si>
  <si>
    <t>AIRBUS A321 NEO</t>
  </si>
  <si>
    <t>AIRBUS A321</t>
  </si>
  <si>
    <t>AIRBUS A330-200</t>
  </si>
  <si>
    <t>AIRBUS A330-800 NEO</t>
  </si>
  <si>
    <t>AIRBUS A330-900 NEO</t>
  </si>
  <si>
    <t>AIRBUS A330-300</t>
  </si>
  <si>
    <t>AIRBUS A350-1000</t>
  </si>
  <si>
    <t>AIRBUS A350-800</t>
  </si>
  <si>
    <t>AIRBUS A350-900</t>
  </si>
  <si>
    <t>AIRBUS A380</t>
  </si>
  <si>
    <t>313</t>
  </si>
  <si>
    <t>318</t>
  </si>
  <si>
    <t>319N</t>
  </si>
  <si>
    <t>A319</t>
  </si>
  <si>
    <t>320N</t>
  </si>
  <si>
    <t>321N</t>
  </si>
  <si>
    <t>321S</t>
  </si>
  <si>
    <t>332</t>
  </si>
  <si>
    <t>338</t>
  </si>
  <si>
    <t>339</t>
  </si>
  <si>
    <t>333</t>
  </si>
  <si>
    <t>351</t>
  </si>
  <si>
    <t>358</t>
  </si>
  <si>
    <t>359</t>
  </si>
  <si>
    <t>380</t>
  </si>
  <si>
    <t>A310</t>
  </si>
  <si>
    <t>A318</t>
  </si>
  <si>
    <t>A320</t>
  </si>
  <si>
    <t>A321</t>
  </si>
  <si>
    <t>A380</t>
  </si>
  <si>
    <t>EMBRAER E190 E2</t>
  </si>
  <si>
    <t>EMBRAER E175 E2</t>
  </si>
  <si>
    <t>EMBRAER E195 E2</t>
  </si>
  <si>
    <t>EMBRAER E195</t>
  </si>
  <si>
    <t>EMBRAER E175</t>
  </si>
  <si>
    <t>REGIONAL JET CRJ-200</t>
  </si>
  <si>
    <t>REGIONAL JET CRJ-700</t>
  </si>
  <si>
    <t>ATR 42-600</t>
  </si>
  <si>
    <t>AT46</t>
  </si>
  <si>
    <t>E75</t>
  </si>
  <si>
    <t>E95</t>
  </si>
  <si>
    <t>AUTRES</t>
  </si>
  <si>
    <t>DETAILS</t>
  </si>
  <si>
    <t>JOUR J</t>
  </si>
  <si>
    <t>PREPARATION DU POSTE</t>
  </si>
  <si>
    <t>Inspection du poste avion</t>
  </si>
  <si>
    <t>Passerelle position parking</t>
  </si>
  <si>
    <t>ZEC Dégagée</t>
  </si>
  <si>
    <t>Placeur à l'arrivée</t>
  </si>
  <si>
    <t>Utilisation mire de guidage</t>
  </si>
  <si>
    <t>Câble 400 Hz enroulé</t>
  </si>
  <si>
    <t>Feux anti collisions éteints</t>
  </si>
  <si>
    <t>Cales mises en place</t>
  </si>
  <si>
    <t>AVITAILLEMENT</t>
  </si>
  <si>
    <t>Entrée camion dégagée</t>
  </si>
  <si>
    <t>à droite</t>
  </si>
  <si>
    <t>à gauche (sous l'aile)</t>
  </si>
  <si>
    <t>Dégagement avitailleur ok</t>
  </si>
  <si>
    <t>Périmètre de SI respecté</t>
  </si>
  <si>
    <t>CIRCULATION VEHIC.</t>
  </si>
  <si>
    <t xml:space="preserve">Chariots à bagage vrac /Nbre :      </t>
  </si>
  <si>
    <t>Loader</t>
  </si>
  <si>
    <t>Catering</t>
  </si>
  <si>
    <t>Circulation sous partie mobile passerelle</t>
  </si>
  <si>
    <t xml:space="preserve">Conteneurs à bagage / Nbre :      </t>
  </si>
  <si>
    <t>DEB/EMB</t>
  </si>
  <si>
    <t>Cheminement WIWO</t>
  </si>
  <si>
    <t>Contrôle téléphone éteint</t>
  </si>
  <si>
    <t>Contrôle cigarette</t>
  </si>
  <si>
    <t>Verrouillage/déverouillage portillon</t>
  </si>
  <si>
    <t>MANŒUVRE PASS/DEP</t>
  </si>
  <si>
    <t>MANŒUVRE PASS/ARR</t>
  </si>
  <si>
    <t>Cable 400 Hz enroulé</t>
  </si>
  <si>
    <t>ZEC dégagée</t>
  </si>
  <si>
    <t>Repoussage conforme</t>
  </si>
  <si>
    <t>N/A</t>
  </si>
  <si>
    <t>OUI</t>
  </si>
  <si>
    <t>NON</t>
  </si>
  <si>
    <t>CONVOYAGES AERONEFS</t>
  </si>
  <si>
    <t>PLAGE 1</t>
  </si>
  <si>
    <t>PLAGE 2</t>
  </si>
  <si>
    <t>PLAGE 5</t>
  </si>
  <si>
    <t>PLAGE 6</t>
  </si>
  <si>
    <t>PLAGE 7</t>
  </si>
  <si>
    <t>PERIL AN.</t>
  </si>
  <si>
    <t>NOMS COP</t>
  </si>
  <si>
    <t>BARRE LIONEL</t>
  </si>
  <si>
    <t>Examens Permis T</t>
  </si>
  <si>
    <t>FO Initiales Permis T</t>
  </si>
  <si>
    <t>FO Initiales Permis M</t>
  </si>
  <si>
    <t>FO Recyclages Permis M</t>
  </si>
  <si>
    <t>FO Permis C</t>
  </si>
  <si>
    <t>HLI</t>
  </si>
  <si>
    <t>MCR</t>
  </si>
  <si>
    <t>MCM</t>
  </si>
  <si>
    <t>N/I</t>
  </si>
  <si>
    <t>GECO n</t>
  </si>
  <si>
    <t>CASE 1</t>
  </si>
  <si>
    <t>CASE 2</t>
  </si>
  <si>
    <t>CASE 3</t>
  </si>
  <si>
    <t>CASE 4</t>
  </si>
  <si>
    <t>CASE 5</t>
  </si>
  <si>
    <t>CASE 6</t>
  </si>
  <si>
    <t>CASE 7</t>
  </si>
  <si>
    <t>CASE 8</t>
  </si>
  <si>
    <t>CASE 9</t>
  </si>
  <si>
    <t>CASE 10</t>
  </si>
  <si>
    <t>CASE 11</t>
  </si>
  <si>
    <t>CASE 12</t>
  </si>
  <si>
    <t>INP</t>
  </si>
  <si>
    <t>DEVERSEMENTS</t>
  </si>
  <si>
    <t>CASES</t>
  </si>
  <si>
    <t>JOUR</t>
  </si>
  <si>
    <t>X</t>
  </si>
  <si>
    <t>CALES NON RANGEES</t>
  </si>
  <si>
    <t>-30MIN</t>
  </si>
  <si>
    <t>+30MIN</t>
  </si>
  <si>
    <t>CIE</t>
  </si>
  <si>
    <t>APP</t>
  </si>
  <si>
    <t>BRUSSELS AIRLINES</t>
  </si>
  <si>
    <t>TURKISH AIRLINES</t>
  </si>
  <si>
    <t>SURVEILLANCE TOUCHEE</t>
  </si>
  <si>
    <t>CONTROLES</t>
  </si>
  <si>
    <t>54C</t>
  </si>
  <si>
    <t>52C</t>
  </si>
  <si>
    <t>50C</t>
  </si>
  <si>
    <t>46C</t>
  </si>
  <si>
    <t>40C</t>
  </si>
  <si>
    <t>40A</t>
  </si>
  <si>
    <t>14C</t>
  </si>
  <si>
    <t>14A</t>
  </si>
  <si>
    <t>WIWO</t>
  </si>
  <si>
    <t>LARGE</t>
  </si>
  <si>
    <t>54A</t>
  </si>
  <si>
    <t>54B</t>
  </si>
  <si>
    <t>52A</t>
  </si>
  <si>
    <t>52B</t>
  </si>
  <si>
    <t>50A</t>
  </si>
  <si>
    <t>50B</t>
  </si>
  <si>
    <t>48A</t>
  </si>
  <si>
    <t>48C</t>
  </si>
  <si>
    <t>46A</t>
  </si>
  <si>
    <t>46B</t>
  </si>
  <si>
    <t>40B</t>
  </si>
  <si>
    <t>14B</t>
  </si>
  <si>
    <t>12C</t>
  </si>
  <si>
    <t>12A</t>
  </si>
  <si>
    <t>12B</t>
  </si>
  <si>
    <t>10C</t>
  </si>
  <si>
    <t>10A</t>
  </si>
  <si>
    <t>10B</t>
  </si>
  <si>
    <t>8A</t>
  </si>
  <si>
    <t>8C</t>
  </si>
  <si>
    <t>48B</t>
  </si>
  <si>
    <t>BOEING 787-8</t>
  </si>
  <si>
    <t>BOEING 787-9</t>
  </si>
  <si>
    <t>DK23</t>
  </si>
  <si>
    <t>DCT</t>
  </si>
  <si>
    <t>PAN</t>
  </si>
  <si>
    <t>REP</t>
  </si>
  <si>
    <t>SKU</t>
  </si>
  <si>
    <t>TVX</t>
  </si>
  <si>
    <t>BALLOY MICHAEL</t>
  </si>
  <si>
    <t>BISEX:</t>
  </si>
  <si>
    <t>CONTACT</t>
  </si>
  <si>
    <t>POSTES AVIONS</t>
  </si>
  <si>
    <t>COP</t>
  </si>
  <si>
    <t>ACF</t>
  </si>
  <si>
    <t>+1H</t>
  </si>
  <si>
    <t>GECO</t>
  </si>
  <si>
    <t>MDE</t>
  </si>
  <si>
    <t>Entrée</t>
  </si>
  <si>
    <t>Sortie</t>
  </si>
  <si>
    <t>M</t>
  </si>
  <si>
    <t>HEURE</t>
  </si>
  <si>
    <t>PKG</t>
  </si>
  <si>
    <t>COM :</t>
  </si>
  <si>
    <t>→ GEN :</t>
  </si>
  <si>
    <t>B733</t>
  </si>
  <si>
    <t>B734</t>
  </si>
  <si>
    <t>B735</t>
  </si>
  <si>
    <t>B736</t>
  </si>
  <si>
    <t>B738</t>
  </si>
  <si>
    <t>B739</t>
  </si>
  <si>
    <t>B752</t>
  </si>
  <si>
    <t>B753</t>
  </si>
  <si>
    <t>B764</t>
  </si>
  <si>
    <t>B762</t>
  </si>
  <si>
    <t>B763</t>
  </si>
  <si>
    <t>B772</t>
  </si>
  <si>
    <t>B773</t>
  </si>
  <si>
    <t>B77W</t>
  </si>
  <si>
    <t>B788</t>
  </si>
  <si>
    <t>B789</t>
  </si>
  <si>
    <t>A338</t>
  </si>
  <si>
    <t>A339</t>
  </si>
  <si>
    <t>A333</t>
  </si>
  <si>
    <t>A351</t>
  </si>
  <si>
    <t>A358</t>
  </si>
  <si>
    <t>A359</t>
  </si>
  <si>
    <t>A332</t>
  </si>
  <si>
    <t>51A</t>
  </si>
  <si>
    <t>51B</t>
  </si>
  <si>
    <t>51C</t>
  </si>
  <si>
    <t>53A</t>
  </si>
  <si>
    <t>53B</t>
  </si>
  <si>
    <t>53C</t>
  </si>
  <si>
    <t>58C</t>
  </si>
  <si>
    <t>58B</t>
  </si>
  <si>
    <t>58A</t>
  </si>
  <si>
    <t>56C</t>
  </si>
  <si>
    <t>56L</t>
  </si>
  <si>
    <t>56B</t>
  </si>
  <si>
    <t>56A</t>
  </si>
  <si>
    <t>6A</t>
  </si>
  <si>
    <t>6B</t>
  </si>
  <si>
    <t>6C</t>
  </si>
  <si>
    <t>28A</t>
  </si>
  <si>
    <t>26R</t>
  </si>
  <si>
    <t>26A</t>
  </si>
  <si>
    <t>24D</t>
  </si>
  <si>
    <t>24C</t>
  </si>
  <si>
    <t>24A</t>
  </si>
  <si>
    <t>COMPTEUR</t>
  </si>
  <si>
    <t>MOD</t>
  </si>
  <si>
    <t>LISTINDEX CIE</t>
  </si>
  <si>
    <t>LISTINDEX APP</t>
  </si>
  <si>
    <t>ENTRY IMM</t>
  </si>
  <si>
    <t>ENTRY TRIG CIE</t>
  </si>
  <si>
    <t>ENTRY TRIG APP</t>
  </si>
  <si>
    <t>TRIG CIE MATCH</t>
  </si>
  <si>
    <t>TRIG APP MATCH</t>
  </si>
  <si>
    <t>HANDLING</t>
  </si>
  <si>
    <t>CORRECT HANDLING</t>
  </si>
  <si>
    <t>EY TRIG CIE MATCH</t>
  </si>
  <si>
    <t>EY TRIG APP MATCH</t>
  </si>
  <si>
    <t>IMM APP MATCH</t>
  </si>
  <si>
    <t>04R-22L</t>
  </si>
  <si>
    <t>04L-22R</t>
  </si>
  <si>
    <t>B</t>
  </si>
  <si>
    <t>C</t>
  </si>
  <si>
    <t>D</t>
  </si>
  <si>
    <t>F</t>
  </si>
  <si>
    <t>G</t>
  </si>
  <si>
    <t>W</t>
  </si>
  <si>
    <t>V</t>
  </si>
  <si>
    <t>Y</t>
  </si>
  <si>
    <t>A1</t>
  </si>
  <si>
    <t>A2</t>
  </si>
  <si>
    <t>A3</t>
  </si>
  <si>
    <t>B1</t>
  </si>
  <si>
    <t>B2</t>
  </si>
  <si>
    <t>B3</t>
  </si>
  <si>
    <t>C1</t>
  </si>
  <si>
    <t>C2</t>
  </si>
  <si>
    <t>F1</t>
  </si>
  <si>
    <t>G1</t>
  </si>
  <si>
    <t>G2</t>
  </si>
  <si>
    <t>H1</t>
  </si>
  <si>
    <t>H2</t>
  </si>
  <si>
    <t>H3</t>
  </si>
  <si>
    <t>J1</t>
  </si>
  <si>
    <t>EB</t>
  </si>
  <si>
    <t>EF</t>
  </si>
  <si>
    <t>EY</t>
  </si>
  <si>
    <t>DZ MIKE</t>
  </si>
  <si>
    <t>INFRASTRUCTURES</t>
  </si>
  <si>
    <t>LEGENDE ST</t>
  </si>
  <si>
    <t>ACT MOD</t>
  </si>
  <si>
    <t>MODIF ASS CR</t>
  </si>
  <si>
    <t>ITA AIRWAYS</t>
  </si>
  <si>
    <t>ITY</t>
  </si>
  <si>
    <t>CONTRÔLE DATE SURVEILLANCE</t>
  </si>
  <si>
    <t>CTL</t>
  </si>
  <si>
    <t>TRANS_DATA</t>
  </si>
  <si>
    <t>LI</t>
  </si>
  <si>
    <t>CORRESPONDANCE TRI/LI</t>
  </si>
  <si>
    <t>SERVICES FACTURES</t>
  </si>
  <si>
    <t>ASSISTANCE ROULAGE GROS PORTEUR</t>
  </si>
  <si>
    <t>ENLEVEMENT POUBELLE SAUVAGE</t>
  </si>
  <si>
    <t>SURVEILLANCE MATERIEL SUR AIRE DE TRAFIC</t>
  </si>
  <si>
    <t>TOT1</t>
  </si>
  <si>
    <t>TOT2</t>
  </si>
  <si>
    <t>MOIS M</t>
  </si>
  <si>
    <t>ANNEE A</t>
  </si>
  <si>
    <t>DATE HEURE</t>
  </si>
  <si>
    <t>HRE</t>
  </si>
  <si>
    <t>MOIS M TT</t>
  </si>
  <si>
    <t>BISEX</t>
  </si>
  <si>
    <t>FIN DE MOIS</t>
  </si>
  <si>
    <t>MOIS M XX</t>
  </si>
  <si>
    <t>CHECKs</t>
  </si>
  <si>
    <t>CTL D_MENSUELLES AFFICHAGE MOIS</t>
  </si>
  <si>
    <t>CONVOYAGE GROS P.</t>
  </si>
  <si>
    <t>PASSERELLLE</t>
  </si>
  <si>
    <t>PASSERELLE HORS ZONE DE GARAGE</t>
  </si>
  <si>
    <t>SURVEILLANCE AT</t>
  </si>
  <si>
    <t>FAITS MARQUANTS</t>
  </si>
  <si>
    <t>ACTIVATIONS MODES</t>
  </si>
  <si>
    <t>SP</t>
  </si>
  <si>
    <t>TRACTAGES</t>
  </si>
  <si>
    <t>BOUET RICHARD</t>
  </si>
  <si>
    <t>MECHADIER CONSTANCE</t>
  </si>
  <si>
    <t>A.COMMERCIALE</t>
  </si>
  <si>
    <t>A.GENERALE</t>
  </si>
  <si>
    <t>T.HELICOPTERE</t>
  </si>
  <si>
    <t>MODIFICATION D.ESCALE</t>
  </si>
  <si>
    <t>DEPART KILO 23H/6H</t>
  </si>
  <si>
    <t>SATURATION POSTE 1K</t>
  </si>
  <si>
    <t>INP IMP</t>
  </si>
  <si>
    <t>TOT INP</t>
  </si>
  <si>
    <t>FACTURATIONS</t>
  </si>
  <si>
    <t>TOTAUX PAR OCC.</t>
  </si>
  <si>
    <t>TOTAUX PAR ASS.</t>
  </si>
  <si>
    <t>LOG</t>
  </si>
  <si>
    <t>OPS</t>
  </si>
  <si>
    <t>ETD</t>
  </si>
  <si>
    <t>ETIHAD</t>
  </si>
  <si>
    <t>WIDEROE</t>
  </si>
  <si>
    <t>LA COMPAGNIE</t>
  </si>
  <si>
    <t>CONDOR</t>
  </si>
  <si>
    <t>WIF</t>
  </si>
  <si>
    <t>CFG</t>
  </si>
  <si>
    <t>DJT</t>
  </si>
  <si>
    <t>NOM</t>
  </si>
  <si>
    <t>TRIG</t>
  </si>
  <si>
    <t>HDG</t>
  </si>
  <si>
    <t>MODELE</t>
  </si>
  <si>
    <t>MODELES AVIONS</t>
  </si>
  <si>
    <t>MIEDZINSKA MATYLDA</t>
  </si>
  <si>
    <t>ICELANDAIR</t>
  </si>
  <si>
    <t>ICE</t>
  </si>
  <si>
    <t>ARR COP</t>
  </si>
  <si>
    <t>LAST DAY</t>
  </si>
  <si>
    <t>Variation</t>
  </si>
  <si>
    <t>Autorisation T</t>
  </si>
  <si>
    <t>Autorisation M</t>
  </si>
  <si>
    <t>Autorisation C</t>
  </si>
  <si>
    <t>Formation Formateurs "T"</t>
  </si>
  <si>
    <t>Redevances T</t>
  </si>
  <si>
    <t>Redevances M</t>
  </si>
  <si>
    <t>Redevances C</t>
  </si>
  <si>
    <t>STATION CARBURANT</t>
  </si>
  <si>
    <t>Litrage FIOUL</t>
  </si>
  <si>
    <t>Litrage GAZOLE</t>
  </si>
  <si>
    <t>Litrage SP 95</t>
  </si>
  <si>
    <t>Total Litrage</t>
  </si>
  <si>
    <t>Recettes FIOUL</t>
  </si>
  <si>
    <t>Recettes GAZOLE</t>
  </si>
  <si>
    <t>Recettes SP 95</t>
  </si>
  <si>
    <t>Total recettes</t>
  </si>
  <si>
    <t>Total</t>
  </si>
  <si>
    <t>Modification durée escale</t>
  </si>
  <si>
    <t>Repositionnement</t>
  </si>
  <si>
    <t>Travaux</t>
  </si>
  <si>
    <t>Déclenchement plan urgence</t>
  </si>
  <si>
    <t>Intervention INFRA</t>
  </si>
  <si>
    <t>Notification SGS</t>
  </si>
  <si>
    <t>SUIVI MRR ACTIFS</t>
  </si>
  <si>
    <t>GRUES/BATEAUX ACTIFS</t>
  </si>
  <si>
    <t>DATE</t>
  </si>
  <si>
    <t>ANNEES</t>
  </si>
  <si>
    <t>PLAGE 3+4</t>
  </si>
  <si>
    <t>C RELEVEES</t>
  </si>
  <si>
    <t>NC RELEVEES</t>
  </si>
  <si>
    <t>ITEMS CONTROLES</t>
  </si>
  <si>
    <t>TOT SURVEILLANCES</t>
  </si>
  <si>
    <t>Essais Moteurs</t>
  </si>
  <si>
    <t>Passerelle</t>
  </si>
  <si>
    <t>Surveillance Aire de Trafic</t>
  </si>
  <si>
    <t>Marshalling</t>
  </si>
  <si>
    <t>Poubelle sauvage</t>
  </si>
  <si>
    <t>Autre</t>
  </si>
  <si>
    <t>Mise à jour AIP / SUP AIP</t>
  </si>
  <si>
    <t>GRUES/BATEAUX actifs</t>
  </si>
  <si>
    <t>NOTAM publiés</t>
  </si>
  <si>
    <t>Dossier de suivi MRR actifs</t>
  </si>
  <si>
    <t>Intervention/travaux actifs</t>
  </si>
  <si>
    <t>Intervention Autre</t>
  </si>
  <si>
    <t>Intervention BALISAGE</t>
  </si>
  <si>
    <t>Inspection non programmée</t>
  </si>
  <si>
    <t>AIRE DE MOUVEMENT</t>
  </si>
  <si>
    <t>Fod péril Animalier</t>
  </si>
  <si>
    <t>FOD Aéro</t>
  </si>
  <si>
    <t>FOD Divers</t>
  </si>
  <si>
    <t>Accident</t>
  </si>
  <si>
    <t>Alerte</t>
  </si>
  <si>
    <t>Veille</t>
  </si>
  <si>
    <t>ETAT ET PLAN D'URGENCE</t>
  </si>
  <si>
    <t>Convoyage véhicule/camions</t>
  </si>
  <si>
    <t>Panne ou Annulation</t>
  </si>
  <si>
    <t>Saturation poste 1K</t>
  </si>
  <si>
    <t>Départ Kilo 23h/06h</t>
  </si>
  <si>
    <t>Demande client</t>
  </si>
  <si>
    <t>Code F</t>
  </si>
  <si>
    <t>CONVOYAGE</t>
  </si>
  <si>
    <t>Non identifié</t>
  </si>
  <si>
    <t>Azur Hélicoptère</t>
  </si>
  <si>
    <t>Héli Air Monaco</t>
  </si>
  <si>
    <t>Monacair</t>
  </si>
  <si>
    <t>Aviapartner</t>
  </si>
  <si>
    <t>Air France</t>
  </si>
  <si>
    <t>AIRE DE TRAFIC - DYSFONCTIONNEMENTS ASSISTANTS</t>
  </si>
  <si>
    <t>Mauvais positionnement aéronefs</t>
  </si>
  <si>
    <t>Passerelle non rangée</t>
  </si>
  <si>
    <t>Matériel ACA abimé</t>
  </si>
  <si>
    <t>Matériel non rangé</t>
  </si>
  <si>
    <t>Poubelles sauvage</t>
  </si>
  <si>
    <t>Cales non rangées</t>
  </si>
  <si>
    <t>AIRE DE TRAFIC - DYSFONCTIONNEMENTS</t>
  </si>
  <si>
    <t>Total redevances € HT (Payants uniquement)</t>
  </si>
  <si>
    <t>Redevances PNA</t>
  </si>
  <si>
    <t>Total autorisations délivrées (gratuits et payants)</t>
  </si>
  <si>
    <t>Autorisation PNA</t>
  </si>
  <si>
    <t xml:space="preserve">AUTORISATIONS CIRCULATION </t>
  </si>
  <si>
    <t>Indicateurs des Opérations Pistes</t>
  </si>
  <si>
    <t>FACTURATION/REVENUS</t>
  </si>
  <si>
    <t>Convoyage/Tractages</t>
  </si>
  <si>
    <t>Station de lavage</t>
  </si>
  <si>
    <t>Permis M Délivrés</t>
  </si>
  <si>
    <t>Permis T Délivrés</t>
  </si>
  <si>
    <t>Permis C Délivrés</t>
  </si>
  <si>
    <t>Permis PNA Délivrés</t>
  </si>
  <si>
    <t>Revenus générés par le service</t>
  </si>
  <si>
    <t>NI</t>
  </si>
  <si>
    <t>ASS</t>
  </si>
  <si>
    <t>LEDENT OLIVIER</t>
  </si>
  <si>
    <t>DECOUX ANTHONY</t>
  </si>
  <si>
    <t>Essais moteurs</t>
  </si>
  <si>
    <t>états des saisies</t>
  </si>
  <si>
    <t>SAISIE J</t>
  </si>
  <si>
    <t>PERMIS</t>
  </si>
  <si>
    <t>ETATS DES SAISIES</t>
  </si>
  <si>
    <t>CARB</t>
  </si>
  <si>
    <t>PLANNING</t>
  </si>
  <si>
    <t>FLYONE</t>
  </si>
  <si>
    <t>FIA</t>
  </si>
  <si>
    <t>CR</t>
  </si>
  <si>
    <t>MLG</t>
  </si>
  <si>
    <t>ARCHIVAGE</t>
  </si>
  <si>
    <t>ETATS CR + ARCHIVAGE</t>
  </si>
  <si>
    <t>CR_F1</t>
  </si>
  <si>
    <t>CR_F2</t>
  </si>
  <si>
    <t>CR_F3</t>
  </si>
  <si>
    <t>CR_F4</t>
  </si>
  <si>
    <t>CR_F5</t>
  </si>
  <si>
    <t>CR_F6</t>
  </si>
  <si>
    <t>CR_F7</t>
  </si>
  <si>
    <t>CR_F8</t>
  </si>
  <si>
    <t>CR_CL</t>
  </si>
  <si>
    <t>CR_ETV</t>
  </si>
  <si>
    <t>CR_ETA</t>
  </si>
  <si>
    <t>CR_ETC</t>
  </si>
  <si>
    <t>CR_SGS</t>
  </si>
  <si>
    <t>CR_FNA</t>
  </si>
  <si>
    <t>CR_FOA</t>
  </si>
  <si>
    <t>CR_FPA</t>
  </si>
  <si>
    <t>CR_INFRA</t>
  </si>
  <si>
    <t>CR_BAL</t>
  </si>
  <si>
    <t>CR_EMT</t>
  </si>
  <si>
    <t>CR_FRET</t>
  </si>
  <si>
    <t>CR_TOTR</t>
  </si>
  <si>
    <t>CR_DEVS</t>
  </si>
  <si>
    <t>CR_DEVP</t>
  </si>
  <si>
    <t>CR_CDF</t>
  </si>
  <si>
    <t>CR_DCT</t>
  </si>
  <si>
    <t>CR_DK</t>
  </si>
  <si>
    <t>CR_MDE</t>
  </si>
  <si>
    <t>CR_REP</t>
  </si>
  <si>
    <t>CR_AOG</t>
  </si>
  <si>
    <t>CR_SAT</t>
  </si>
  <si>
    <t>CR_TVX</t>
  </si>
  <si>
    <t>CR_TOTST</t>
  </si>
  <si>
    <t>CR_STNC</t>
  </si>
  <si>
    <t>CR_NEI</t>
  </si>
  <si>
    <t>CR_PLUIE</t>
  </si>
  <si>
    <t>CR_VF</t>
  </si>
  <si>
    <t>CR_CDM</t>
  </si>
  <si>
    <t>CR_FATA</t>
  </si>
  <si>
    <t>CR_FATT</t>
  </si>
  <si>
    <t>CR_NOTA</t>
  </si>
  <si>
    <t>CR_NOTT</t>
  </si>
  <si>
    <t>CR_MRRA</t>
  </si>
  <si>
    <t>CR_MRRT</t>
  </si>
  <si>
    <t>CR_GRUA</t>
  </si>
  <si>
    <t>CR_GRUT</t>
  </si>
  <si>
    <t>CR_PERT</t>
  </si>
  <si>
    <t>CR_PERTT</t>
  </si>
  <si>
    <t>CR_PERM</t>
  </si>
  <si>
    <t>CR_PERMT</t>
  </si>
  <si>
    <t>CR_PERC</t>
  </si>
  <si>
    <t>CR_PERCT</t>
  </si>
  <si>
    <t>CR_PERP</t>
  </si>
  <si>
    <t>CR_PERPT</t>
  </si>
  <si>
    <t>CR_PERH</t>
  </si>
  <si>
    <t>ANNEE /MOIS</t>
  </si>
  <si>
    <t>PERMIS M INITIAL</t>
  </si>
  <si>
    <t>PERMIS M RECYCLAGE</t>
  </si>
  <si>
    <t>EXAMEN PERMIS T</t>
  </si>
  <si>
    <t>FO/EXAM PERMIS C</t>
  </si>
  <si>
    <t>FO/EXAM PERMIS PNA</t>
  </si>
  <si>
    <t>FORMATION T + EXAM</t>
  </si>
  <si>
    <t>FORMATEUR PERMIS</t>
  </si>
  <si>
    <t>Autorisation P</t>
  </si>
  <si>
    <t>Redevances P</t>
  </si>
  <si>
    <t>Taux Horaire</t>
  </si>
  <si>
    <t>Aire de trafic</t>
  </si>
  <si>
    <t>Permis</t>
  </si>
  <si>
    <t>PERMIS M</t>
  </si>
  <si>
    <t>PERMIS T</t>
  </si>
  <si>
    <t>PERMIS C</t>
  </si>
  <si>
    <t>PERMIS PNA</t>
  </si>
  <si>
    <t>MOIS M-1</t>
  </si>
  <si>
    <t>ARCH ST</t>
  </si>
  <si>
    <t>CHECK</t>
  </si>
  <si>
    <t>Surveillances touchées par assistant</t>
  </si>
  <si>
    <t>CHAMPS</t>
  </si>
  <si>
    <t>CK</t>
  </si>
  <si>
    <t>LOG DATA_CHECK</t>
  </si>
  <si>
    <t>VERIF</t>
  </si>
  <si>
    <t>CK_JOUR</t>
  </si>
  <si>
    <t>CK_CHECK</t>
  </si>
  <si>
    <t>CK_CHECK_OP</t>
  </si>
  <si>
    <t>LAST DAY M1</t>
  </si>
  <si>
    <t>CK_LAST</t>
  </si>
  <si>
    <t>CONVOYAGES 2</t>
  </si>
  <si>
    <t>AG</t>
  </si>
  <si>
    <t>AC</t>
  </si>
  <si>
    <t>Les véhicules ne peuvent pénétrer dans le périmêtre de sécurité d'un aéronef uniquement après arrêt
complet et extinction des feux anticolision. Ils marquent un temps d'arrêt avant d'entrer dans la ZEC, ils continuent au pas sous la responsabilité d'un agent du transporteur aérien ou de son représentant.</t>
  </si>
  <si>
    <t>Les véhicules ne doivent pas circuler ni stationner sous la partie mobile des passerelles télescopiques,
 que celles-ci soient en mouvement ou pas, sauf pour les véhicules de maintenance des passerelles se rendant sur leurs emplacements de stationnement et pour les pétroliers accédant aux réservoirs situés dans l'aile gauche de l'A380 sur le poste 54B.</t>
  </si>
  <si>
    <t>PAGE</t>
  </si>
  <si>
    <t>POINT DE REGLEMENT</t>
  </si>
  <si>
    <t>La ligne blanche matérialise la limite entre l'aire de trafic et l'aire de manœuvre. Elle ne doit jamais être franchie, sauf dans des cas et situations particulières ( cf support pédagogique pour la préparation et l'obtention de l'autorisation de conduite sur l'aire de trafic "T".</t>
  </si>
  <si>
    <t>rouquier</t>
  </si>
  <si>
    <t>↘</t>
  </si>
  <si>
    <t>↗</t>
  </si>
  <si>
    <t>=</t>
  </si>
  <si>
    <t>KMS</t>
  </si>
  <si>
    <t>BOETTI MAGALI</t>
  </si>
  <si>
    <t>OCC</t>
  </si>
  <si>
    <t>Les véhicules et engins utilisés lors des opérations d'escale ne doivent pas faire obstacle aux dégaments d'urgence des véhicules d'avitaillement carburant en stationnant sur les damiers blancs.</t>
  </si>
  <si>
    <t>FÉVRIER</t>
  </si>
  <si>
    <t>AOÛT</t>
  </si>
  <si>
    <t>DÉCEMBRE</t>
  </si>
  <si>
    <t>ARR</t>
  </si>
  <si>
    <t>DEP</t>
  </si>
  <si>
    <t>TAN NAME</t>
  </si>
  <si>
    <t>STAN NAME</t>
  </si>
  <si>
    <t>ALZ</t>
  </si>
  <si>
    <t>XXX</t>
  </si>
  <si>
    <t>Menzies Aviation</t>
  </si>
  <si>
    <t>Aviapartner Ex</t>
  </si>
  <si>
    <t>Signature FS</t>
  </si>
  <si>
    <t>Héli Sécurité</t>
  </si>
  <si>
    <t>Non Identifié</t>
  </si>
  <si>
    <t>→</t>
  </si>
  <si>
    <t xml:space="preserve"> OPERATIONS EN PISTE - DETP-BUODC</t>
  </si>
  <si>
    <t>menu</t>
  </si>
  <si>
    <t>depuis le 01/01</t>
  </si>
  <si>
    <t>DC/GOPS</t>
  </si>
  <si>
    <t>Alyzia</t>
  </si>
  <si>
    <t>DCG</t>
  </si>
  <si>
    <t>ARCH ANN</t>
  </si>
  <si>
    <t>Les véhicules et engins immobilisés autour d'un aéronef ne doivent en aucun cas géner les évolutions
d'un aéronef en cours de manœuvre sur un poste voisin.</t>
  </si>
  <si>
    <t>Temps consacré (heures)</t>
  </si>
  <si>
    <t>SURVEILLANCES TOUCHEES</t>
  </si>
  <si>
    <t>ST PAR MOIS</t>
  </si>
  <si>
    <t>depuis le 1er Janvier</t>
  </si>
  <si>
    <t>NON IDENTIFIE</t>
  </si>
  <si>
    <t>SAUDIA</t>
  </si>
  <si>
    <t>ISRAIR</t>
  </si>
  <si>
    <t>ARKIA</t>
  </si>
  <si>
    <t>AIR ARABIA</t>
  </si>
  <si>
    <t>SVA</t>
  </si>
  <si>
    <t>AIZ</t>
  </si>
  <si>
    <t>ISR</t>
  </si>
  <si>
    <t>ABY</t>
  </si>
  <si>
    <t>16C</t>
  </si>
  <si>
    <t>18A</t>
  </si>
  <si>
    <t>18C</t>
  </si>
  <si>
    <t>KAC</t>
  </si>
  <si>
    <t>16A</t>
  </si>
  <si>
    <t>GILLES VALENTIN</t>
  </si>
  <si>
    <t>Respect de la ZEC active ( dégagée de tout véhicules avant arrêt complet et feux anti-colission off )</t>
  </si>
  <si>
    <t>Avant l'arrivée de l'avion, l'assistant en escale doit vérifier sur la Zone d'Evolution Contrôlée (ZEC) les points suivants :
- la surface de la ZEC n'est pas contaminée
- la passerelle téléscopique si présente est rétractée et placée sur son emplacement d'attente ou son pré positionnement (cercle vert au sol)
- la ZEC est libre de tout véhicule, engin ou personne</t>
  </si>
  <si>
    <t>Un placeur d'un assistant agréé et autorisé, doit être impérativement présent sur le poste de stationnement avant l'arrivée de l'aéronef, même lorsque le poste est équipé d'une mire de guidage.</t>
  </si>
  <si>
    <t>L'avion doit être placé le plus précisement possible sur la barre d'arrêt matérialisée au sol. Ces dernières sont spécifique à chaque type d'avion.</t>
  </si>
  <si>
    <t>Placement et respect de la barre d'arrêt correspondante.</t>
  </si>
  <si>
    <t>Présence obligatoire d'un placeur (marshaller).</t>
  </si>
  <si>
    <t>Vérification du poste avant arrivée (ZEC dégagée).</t>
  </si>
  <si>
    <t>Respect de la limite aire de trafic/aire de manœuvre.</t>
  </si>
  <si>
    <t>Respect du dégagement pétrolier.</t>
  </si>
  <si>
    <t>Placement des cales et cônes de signalisation.</t>
  </si>
  <si>
    <t>L'assistant en escale doit placer des cales sur les trains d'atterissage ainsi que des cônes de signalisation à environ 1 mètre de chaque extrémité d'aile et devant chaque moteur.</t>
  </si>
  <si>
    <t>PASTORINO LUCAS</t>
  </si>
  <si>
    <t>kms parcourus depuis le 1er Janvier sur les pistes</t>
  </si>
  <si>
    <t>GEORGIAN</t>
  </si>
  <si>
    <t>TGZ</t>
  </si>
  <si>
    <t>A-1</t>
  </si>
  <si>
    <t>Avant l'arrivée d'un aéronef, les véhicules, engins et matériels de piste doivent être maintenus sur les emplacement de garage attribués ou d'attente (zébras blancs) et ne peuvent en aucun cas être placés à l'interieur du périmètre de sécurité de l'aéronef ou sur les zones de dégagement des pétroliers (damiers blancs)</t>
  </si>
  <si>
    <t>Respect des zones de garage et d'attente apparaux avant l'arrivée de l'aéronef - ZEC dégagée de tout véhicule</t>
  </si>
  <si>
    <t>KUWAIT AIRWAYS</t>
  </si>
  <si>
    <t>AMERICAN AIRLINES</t>
  </si>
  <si>
    <t>AAL</t>
  </si>
  <si>
    <t>Compte Rendu 
de journée</t>
  </si>
  <si>
    <t>Inspection(s) non programmée(s):</t>
  </si>
  <si>
    <t>Convoyage(s) aéronef :</t>
  </si>
  <si>
    <t>Etat(s)</t>
  </si>
  <si>
    <t>Convoyage(s) véhicule :</t>
  </si>
  <si>
    <t>de veille :</t>
  </si>
  <si>
    <t>d'alerte :</t>
  </si>
  <si>
    <t>d'accident :</t>
  </si>
  <si>
    <t>Essai(s) moteurs :</t>
  </si>
  <si>
    <t>Déversement(s) :</t>
  </si>
  <si>
    <t xml:space="preserve">SGS rédigée(s) : </t>
  </si>
  <si>
    <t>Surveillance touchée effectuée :</t>
  </si>
  <si>
    <t>Facturation(s) :</t>
  </si>
  <si>
    <t>Inter FRET :</t>
  </si>
  <si>
    <t>Commentaires :</t>
  </si>
  <si>
    <t>16B</t>
  </si>
  <si>
    <t>UNIVERSAL AIR</t>
  </si>
  <si>
    <t>UVL</t>
  </si>
  <si>
    <t>PASTORINO</t>
  </si>
  <si>
    <t>TWINJET</t>
  </si>
  <si>
    <t>TJT</t>
  </si>
  <si>
    <t>BEECHCRAFT 1900D</t>
  </si>
  <si>
    <t>BEH</t>
  </si>
  <si>
    <t>PEGASUS</t>
  </si>
  <si>
    <t>PGT</t>
  </si>
  <si>
    <t>FHZUJ</t>
  </si>
  <si>
    <t>FGMZC</t>
  </si>
  <si>
    <t>ledent</t>
  </si>
  <si>
    <t>OHLXK</t>
  </si>
  <si>
    <t>gilles</t>
  </si>
  <si>
    <t>SXNEL</t>
  </si>
  <si>
    <t>essig</t>
  </si>
  <si>
    <t>9HWZD</t>
  </si>
  <si>
    <t>balloy</t>
  </si>
  <si>
    <t>YRFIC</t>
  </si>
  <si>
    <t>decoux</t>
  </si>
  <si>
    <t>TSIMY</t>
  </si>
  <si>
    <t>ECNOR</t>
  </si>
  <si>
    <t>STATION CARBURANT &amp; LAVAGE</t>
  </si>
  <si>
    <t>TOTAUX SAISON ÉTÉ</t>
  </si>
  <si>
    <t>Version CR</t>
  </si>
  <si>
    <t>Occurrence majoritaire :</t>
  </si>
  <si>
    <t>Réalisation : V.Rouquier</t>
  </si>
  <si>
    <t>INDICATEURS OPS</t>
  </si>
  <si>
    <t>04</t>
  </si>
  <si>
    <t>SAISON ÉTÉ IATA</t>
  </si>
  <si>
    <t>MONTANTS EN €</t>
  </si>
  <si>
    <t>T-A</t>
  </si>
  <si>
    <t>SE-SE</t>
  </si>
  <si>
    <t>LEGENDE</t>
  </si>
  <si>
    <t>TAUX ÉTÉ A SUR TOTAUX A</t>
  </si>
  <si>
    <t>TABLEAU DE BORD STATISTIQUE</t>
  </si>
  <si>
    <t>Permis T Recyclage Délivrés</t>
  </si>
  <si>
    <t>T N-1</t>
  </si>
  <si>
    <t>T A-1</t>
  </si>
  <si>
    <t>REVENUS SERVICE</t>
  </si>
  <si>
    <t>ALTN DATE</t>
  </si>
  <si>
    <t>ST PAR HDG</t>
  </si>
  <si>
    <t>NON CONFORMITES</t>
  </si>
  <si>
    <t>3+4</t>
  </si>
  <si>
    <t>Plages</t>
  </si>
  <si>
    <t>MOYENNE</t>
  </si>
  <si>
    <t>NC Moy. / ST</t>
  </si>
  <si>
    <t>MOYENNE TOT</t>
  </si>
  <si>
    <t>N-1</t>
  </si>
  <si>
    <t>N-2</t>
  </si>
  <si>
    <t>N/S</t>
  </si>
  <si>
    <t>NB: Cette donnée n'est pas stockée - suivi non disponible</t>
  </si>
  <si>
    <t>Total*</t>
  </si>
  <si>
    <t>* Inclus les revenus Permis - Station Carburant/Lavage non inclus</t>
  </si>
  <si>
    <t>ANIMAWINGS</t>
  </si>
  <si>
    <t>AWG</t>
  </si>
  <si>
    <t>AMELIA</t>
  </si>
  <si>
    <t>AIA</t>
  </si>
  <si>
    <t>CHALAIR</t>
  </si>
  <si>
    <t>CLG</t>
  </si>
  <si>
    <t>PRIX PRESTATIONS</t>
  </si>
  <si>
    <t>ETS</t>
  </si>
  <si>
    <t>JOUR_J</t>
  </si>
  <si>
    <t>JOUR_X</t>
  </si>
  <si>
    <t>MOIS_CR</t>
  </si>
  <si>
    <t>MOIS_X</t>
  </si>
  <si>
    <t>barre</t>
  </si>
  <si>
    <t>D_JOUR_X</t>
  </si>
  <si>
    <t>D_MOIS_X</t>
  </si>
  <si>
    <t>ADRESSAGE USERFORMS TRA ET S_FAC</t>
  </si>
  <si>
    <t>020125 - Etat de Veille EZY - Odeur suspecte - SGS 002</t>
  </si>
  <si>
    <t>230125 - Déversement case 4 Loader AVP 14B - SGS 010</t>
  </si>
  <si>
    <t>210125 - Etat d'alerte TAR996 - SGS 008</t>
  </si>
  <si>
    <t>PAGE 1</t>
  </si>
  <si>
    <t>PAGE 2</t>
  </si>
  <si>
    <t>PAGE 3</t>
  </si>
  <si>
    <t>EDITION</t>
  </si>
  <si>
    <t>DU CR</t>
  </si>
  <si>
    <t>FGTAY</t>
  </si>
  <si>
    <t>FHZUR</t>
  </si>
  <si>
    <t>TRANSAVIA HL</t>
  </si>
  <si>
    <t>TRANSAVIA FR</t>
  </si>
  <si>
    <t>DECEMBRE A-1</t>
  </si>
  <si>
    <t>23/02/2025</t>
  </si>
  <si>
    <t>NR</t>
  </si>
  <si>
    <t>SYNTHESE SURVEILLANCES TOUCHEES</t>
  </si>
  <si>
    <t>CNRGR</t>
  </si>
  <si>
    <t>OELWN</t>
  </si>
  <si>
    <t>0044,0039</t>
  </si>
  <si>
    <t>0004</t>
  </si>
  <si>
    <t>0051</t>
  </si>
  <si>
    <t>EVOLUTION TOTAUX A/TOTAUX A-1
( pourcentage d'évolution entre le total de l'année en cours et le total de l'année précédente )</t>
  </si>
  <si>
    <t>EVOLUTION ÉTÉ A-1/ÉTÉ A
( poucentage d'évolution entre la saison été de l'année précédente et de celle en cours )</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</si>
</sst>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0\ &quot;€&quot;"/>
    <numFmt numFmtId="165" formatCode="#,##0.0\ &quot;€&quot;"/>
    <numFmt numFmtId="166" formatCode="\-yy"/>
    <numFmt numFmtId="167" formatCode="0.0"/>
    <numFmt numFmtId="168" formatCode="[$-40C]mmmmm;@"/>
    <numFmt numFmtId="169" formatCode="#,##0\ &quot;€&quot;"/>
    <numFmt numFmtId="170" formatCode="#,##0.00\ &quot;€&quot;;[Red]#,##0.00\ &quot;€&quot;"/>
    <numFmt numFmtId="171" formatCode="mmmm"/>
    <numFmt numFmtId="172" formatCode="#,##0\ _€"/>
  </numFmts>
  <fonts count="74" x14ac:knownFonts="1">
    <font>
      <sz val="11"/>
      <color theme="1"/>
      <name val="Calibri"/>
      <family val="2"/>
      <scheme val="minor"/>
    </font>
    <font>
      <b/>
      <sz val="11"/>
      <color theme="1"/>
      <name val="Calibri"/>
      <family val="2"/>
      <scheme val="minor"/>
    </font>
    <font>
      <b/>
      <sz val="22"/>
      <color theme="1"/>
      <name val="Calibri"/>
      <family val="2"/>
      <scheme val="minor"/>
    </font>
    <font>
      <sz val="11"/>
      <name val="Calibri"/>
      <family val="2"/>
      <scheme val="minor"/>
    </font>
    <font>
      <sz val="10"/>
      <color theme="1"/>
      <name val="Calibri"/>
      <family val="2"/>
      <scheme val="minor"/>
    </font>
    <font>
      <sz val="8"/>
      <color theme="1"/>
      <name val="Calibri"/>
      <family val="2"/>
      <scheme val="minor"/>
    </font>
    <font>
      <b/>
      <sz val="11"/>
      <name val="Calibri"/>
      <family val="2"/>
      <scheme val="minor"/>
    </font>
    <font>
      <b/>
      <sz val="18"/>
      <color theme="1"/>
      <name val="Calibri"/>
      <family val="2"/>
      <scheme val="minor"/>
    </font>
    <font>
      <i/>
      <sz val="9"/>
      <color theme="1"/>
      <name val="Calibri"/>
      <family val="2"/>
      <scheme val="minor"/>
    </font>
    <font>
      <sz val="11"/>
      <color rgb="FF000000"/>
      <name val="Calibri"/>
      <family val="2"/>
    </font>
    <font>
      <b/>
      <sz val="10"/>
      <color theme="1"/>
      <name val="Calibri"/>
      <family val="2"/>
      <scheme val="minor"/>
    </font>
    <font>
      <b/>
      <sz val="11"/>
      <color rgb="FF000000"/>
      <name val="Calibri"/>
      <family val="2"/>
    </font>
    <font>
      <i/>
      <sz val="11"/>
      <color theme="1"/>
      <name val="Calibri"/>
      <family val="2"/>
      <scheme val="minor"/>
    </font>
    <font>
      <b/>
      <sz val="12"/>
      <color theme="0"/>
      <name val="Calibri"/>
      <family val="2"/>
      <scheme val="minor"/>
    </font>
    <font>
      <sz val="11"/>
      <color theme="0"/>
      <name val="Calibri"/>
      <family val="2"/>
      <scheme val="minor"/>
    </font>
    <font>
      <i/>
      <sz val="8"/>
      <color theme="1"/>
      <name val="Calibri"/>
      <family val="2"/>
      <scheme val="minor"/>
    </font>
    <font>
      <b/>
      <sz val="11"/>
      <color theme="0"/>
      <name val="Calibri"/>
      <family val="2"/>
      <scheme val="minor"/>
    </font>
    <font>
      <b/>
      <sz val="11"/>
      <color rgb="FFFF0000"/>
      <name val="Calibri"/>
      <family val="2"/>
      <scheme val="minor"/>
    </font>
    <font>
      <b/>
      <sz val="16"/>
      <color theme="1"/>
      <name val="Calibri"/>
      <family val="2"/>
      <scheme val="minor"/>
    </font>
    <font>
      <sz val="9"/>
      <color theme="1"/>
      <name val="Calibri"/>
      <family val="2"/>
      <scheme val="minor"/>
    </font>
    <font>
      <i/>
      <sz val="10"/>
      <color theme="1"/>
      <name val="Calibri"/>
      <family val="2"/>
      <scheme val="minor"/>
    </font>
    <font>
      <sz val="9"/>
      <color theme="1"/>
      <name val="Calibri"/>
      <family val="2"/>
    </font>
    <font>
      <b/>
      <u/>
      <sz val="11"/>
      <color theme="1"/>
      <name val="Calibri"/>
      <family val="2"/>
      <scheme val="minor"/>
    </font>
    <font>
      <b/>
      <sz val="24"/>
      <color theme="1"/>
      <name val="Calibri"/>
      <family val="2"/>
      <scheme val="minor"/>
    </font>
    <font>
      <b/>
      <sz val="11"/>
      <color theme="1"/>
      <name val="Calibri"/>
      <family val="2"/>
    </font>
    <font>
      <b/>
      <sz val="18"/>
      <color theme="1"/>
      <name val="Calibri"/>
      <family val="2"/>
    </font>
    <font>
      <b/>
      <sz val="14"/>
      <color theme="1"/>
      <name val="Calibri"/>
      <family val="2"/>
      <scheme val="minor"/>
    </font>
    <font>
      <sz val="14"/>
      <color theme="1"/>
      <name val="Calibri"/>
      <family val="2"/>
      <scheme val="minor"/>
    </font>
    <font>
      <u/>
      <sz val="11"/>
      <color theme="10"/>
      <name val="Calibri"/>
      <family val="2"/>
      <scheme val="minor"/>
    </font>
    <font>
      <i/>
      <u/>
      <sz val="10"/>
      <color theme="1"/>
      <name val="Calibri"/>
      <family val="2"/>
      <scheme val="minor"/>
    </font>
    <font>
      <sz val="11"/>
      <color rgb="FFFF0000"/>
      <name val="Calibri"/>
      <family val="2"/>
      <scheme val="minor"/>
    </font>
    <font>
      <b/>
      <sz val="9"/>
      <color theme="1"/>
      <name val="Calibri"/>
      <family val="2"/>
      <scheme val="minor"/>
    </font>
    <font>
      <sz val="11"/>
      <color theme="1"/>
      <name val="Calibri"/>
      <family val="2"/>
      <scheme val="minor"/>
    </font>
    <font>
      <sz val="18"/>
      <color theme="3"/>
      <name val="Calibri Light"/>
      <family val="2"/>
      <scheme val="major"/>
    </font>
    <font>
      <b/>
      <sz val="13"/>
      <color theme="3"/>
      <name val="Calibri"/>
      <family val="2"/>
      <scheme val="minor"/>
    </font>
    <font>
      <b/>
      <sz val="11"/>
      <color theme="3"/>
      <name val="Calibri"/>
      <family val="2"/>
      <scheme val="minor"/>
    </font>
    <font>
      <sz val="12"/>
      <name val="Calibri Light"/>
      <family val="2"/>
      <scheme val="major"/>
    </font>
    <font>
      <sz val="11"/>
      <color theme="1"/>
      <name val="Calibri Light"/>
      <family val="2"/>
      <scheme val="major"/>
    </font>
    <font>
      <b/>
      <sz val="14"/>
      <color theme="0"/>
      <name val="Calibri"/>
      <family val="2"/>
    </font>
    <font>
      <b/>
      <sz val="14"/>
      <color theme="0"/>
      <name val="Calibri"/>
      <family val="2"/>
      <scheme val="minor"/>
    </font>
    <font>
      <b/>
      <sz val="10"/>
      <color theme="0"/>
      <name val="Calibri"/>
      <family val="2"/>
      <scheme val="minor"/>
    </font>
    <font>
      <sz val="12"/>
      <color theme="0"/>
      <name val="Calibri Light"/>
      <family val="2"/>
      <scheme val="major"/>
    </font>
    <font>
      <sz val="10"/>
      <name val="Arial"/>
      <family val="2"/>
    </font>
    <font>
      <sz val="10"/>
      <name val="Verdana"/>
      <family val="2"/>
    </font>
    <font>
      <b/>
      <sz val="10"/>
      <name val="Verdana"/>
      <family val="2"/>
    </font>
    <font>
      <sz val="8"/>
      <name val="Verdana"/>
      <family val="2"/>
    </font>
    <font>
      <sz val="11"/>
      <color theme="0"/>
      <name val="Calibri Light"/>
      <family val="2"/>
      <scheme val="major"/>
    </font>
    <font>
      <u/>
      <sz val="10"/>
      <color theme="10"/>
      <name val="Calibri"/>
      <family val="2"/>
      <scheme val="minor"/>
    </font>
    <font>
      <b/>
      <sz val="20"/>
      <color theme="1"/>
      <name val="Calibri"/>
      <family val="2"/>
      <scheme val="minor"/>
    </font>
    <font>
      <b/>
      <sz val="12"/>
      <color theme="1"/>
      <name val="Calibri"/>
      <family val="2"/>
      <scheme val="minor"/>
    </font>
    <font>
      <sz val="22"/>
      <color theme="1"/>
      <name val="Calibri"/>
      <family val="2"/>
      <scheme val="minor"/>
    </font>
    <font>
      <b/>
      <sz val="16"/>
      <color theme="0"/>
      <name val="Calibri"/>
      <family val="2"/>
      <scheme val="minor"/>
    </font>
    <font>
      <b/>
      <sz val="20"/>
      <color theme="0"/>
      <name val="Calibri"/>
      <family val="2"/>
      <scheme val="minor"/>
    </font>
    <font>
      <b/>
      <sz val="18"/>
      <color theme="0"/>
      <name val="Calibri"/>
      <family val="2"/>
      <scheme val="minor"/>
    </font>
    <font>
      <sz val="12"/>
      <color theme="1"/>
      <name val="Calibri"/>
      <family val="2"/>
      <scheme val="minor"/>
    </font>
    <font>
      <sz val="16"/>
      <color theme="1"/>
      <name val="Calibri"/>
      <family val="2"/>
      <scheme val="minor"/>
    </font>
    <font>
      <b/>
      <sz val="14"/>
      <name val="Calibri"/>
      <family val="2"/>
      <scheme val="minor"/>
    </font>
    <font>
      <sz val="14"/>
      <color theme="0"/>
      <name val="Calibri"/>
      <family val="2"/>
      <scheme val="minor"/>
    </font>
    <font>
      <b/>
      <sz val="20"/>
      <color rgb="FF92D050"/>
      <name val="Calibri"/>
      <family val="2"/>
    </font>
    <font>
      <b/>
      <sz val="20"/>
      <color rgb="FFFF0000"/>
      <name val="Calibri"/>
      <family val="2"/>
    </font>
    <font>
      <b/>
      <sz val="9"/>
      <color theme="0"/>
      <name val="Calibri"/>
      <family val="2"/>
      <scheme val="minor"/>
    </font>
    <font>
      <b/>
      <i/>
      <sz val="11"/>
      <color theme="1"/>
      <name val="Calibri"/>
      <family val="2"/>
      <scheme val="minor"/>
    </font>
    <font>
      <i/>
      <sz val="10"/>
      <color theme="1"/>
      <name val="Times New Roman"/>
      <family val="1"/>
    </font>
    <font>
      <b/>
      <sz val="12"/>
      <name val="Calibri"/>
      <family val="2"/>
      <scheme val="minor"/>
    </font>
    <font>
      <b/>
      <sz val="11"/>
      <color theme="4" tint="-0.249977111117893"/>
      <name val="Calibri"/>
      <family val="2"/>
      <scheme val="minor"/>
    </font>
    <font>
      <u/>
      <sz val="10"/>
      <color theme="1"/>
      <name val="Calibri"/>
      <family val="2"/>
      <scheme val="minor"/>
    </font>
    <font>
      <b/>
      <u/>
      <sz val="9"/>
      <color theme="1"/>
      <name val="Calibri"/>
      <family val="2"/>
      <scheme val="minor"/>
    </font>
    <font>
      <sz val="8"/>
      <color theme="1"/>
      <name val="Tahoma"/>
      <family val="2"/>
    </font>
    <font>
      <b/>
      <u/>
      <sz val="36"/>
      <color theme="1"/>
      <name val="Carlito"/>
      <family val="2"/>
    </font>
    <font>
      <b/>
      <sz val="13"/>
      <color theme="1"/>
      <name val="Calibri"/>
      <family val="2"/>
      <scheme val="minor"/>
    </font>
    <font>
      <sz val="12"/>
      <color theme="1"/>
      <name val="Calibri Light"/>
      <family val="2"/>
      <scheme val="major"/>
    </font>
    <font>
      <sz val="18"/>
      <color theme="1"/>
      <name val="Calibri"/>
      <family val="2"/>
      <scheme val="minor"/>
    </font>
    <font>
      <b/>
      <sz val="48"/>
      <color theme="1"/>
      <name val="Calibri"/>
      <family val="2"/>
      <scheme val="minor"/>
    </font>
    <font>
      <b/>
      <sz val="26"/>
      <name val="Calibri"/>
      <family val="2"/>
      <scheme val="minor"/>
    </font>
  </fonts>
  <fills count="45">
    <fill>
      <patternFill patternType="none"/>
    </fill>
    <fill>
      <patternFill patternType="gray125"/>
    </fill>
    <fill>
      <patternFill patternType="solid">
        <fgColor theme="4" tint="0.39997558519241921"/>
        <bgColor indexed="64"/>
      </patternFill>
    </fill>
    <fill>
      <patternFill patternType="darkUp">
        <bgColor theme="2" tint="-9.9978637043366805E-2"/>
      </patternFill>
    </fill>
    <fill>
      <patternFill patternType="solid">
        <fgColor rgb="FFFFC000"/>
        <bgColor indexed="64"/>
      </patternFill>
    </fill>
    <fill>
      <patternFill patternType="solid">
        <fgColor rgb="FF92D050"/>
        <bgColor indexed="64"/>
      </patternFill>
    </fill>
    <fill>
      <patternFill patternType="darkUp"/>
    </fill>
    <fill>
      <patternFill patternType="solid">
        <fgColor rgb="FF00B0F0"/>
        <bgColor indexed="64"/>
      </patternFill>
    </fill>
    <fill>
      <patternFill patternType="solid">
        <fgColor theme="0"/>
        <bgColor indexed="64"/>
      </patternFill>
    </fill>
    <fill>
      <patternFill patternType="solid">
        <fgColor indexed="65"/>
        <bgColor indexed="64"/>
      </patternFill>
    </fill>
    <fill>
      <patternFill patternType="solid">
        <fgColor theme="1"/>
        <bgColor indexed="64"/>
      </patternFill>
    </fill>
    <fill>
      <patternFill patternType="solid">
        <fgColor theme="4"/>
        <bgColor indexed="64"/>
      </patternFill>
    </fill>
    <fill>
      <patternFill patternType="darkDown"/>
    </fill>
    <fill>
      <patternFill patternType="solid">
        <fgColor theme="0" tint="-4.9989318521683403E-2"/>
        <bgColor indexed="64"/>
      </patternFill>
    </fill>
    <fill>
      <patternFill patternType="solid">
        <fgColor theme="7"/>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lightDown"/>
    </fill>
    <fill>
      <patternFill patternType="solid">
        <fgColor theme="3" tint="0.59999389629810485"/>
        <bgColor indexed="64"/>
      </patternFill>
    </fill>
    <fill>
      <patternFill patternType="darkHorizontal"/>
    </fill>
    <fill>
      <patternFill patternType="solid">
        <fgColor theme="0" tint="-0.249977111117893"/>
        <bgColor indexed="64"/>
      </patternFill>
    </fill>
    <fill>
      <patternFill patternType="darkUp">
        <bgColor theme="0" tint="-4.9989318521683403E-2"/>
      </patternFill>
    </fill>
    <fill>
      <patternFill patternType="solid">
        <fgColor theme="4" tint="0.59999389629810485"/>
        <bgColor indexed="64"/>
      </patternFill>
    </fill>
    <fill>
      <patternFill patternType="lightDown">
        <bgColor theme="0" tint="-4.9989318521683403E-2"/>
      </patternFill>
    </fill>
    <fill>
      <patternFill patternType="solid">
        <fgColor theme="4" tint="0.79998168889431442"/>
        <bgColor indexed="65"/>
      </patternFill>
    </fill>
    <fill>
      <patternFill patternType="solid">
        <fgColor theme="4" tint="0.59999389629810485"/>
        <bgColor indexed="65"/>
      </patternFill>
    </fill>
    <fill>
      <patternFill patternType="lightHorizontal"/>
    </fill>
    <fill>
      <patternFill patternType="solid">
        <fgColor rgb="FF0070C0"/>
        <bgColor indexed="64"/>
      </patternFill>
    </fill>
    <fill>
      <patternFill patternType="solid">
        <fgColor theme="5"/>
        <bgColor indexed="64"/>
      </patternFill>
    </fill>
    <fill>
      <patternFill patternType="lightHorizontal">
        <bgColor rgb="FF00B0F0"/>
      </patternFill>
    </fill>
    <fill>
      <patternFill patternType="lightHorizontal">
        <bgColor rgb="FF92D050"/>
      </patternFill>
    </fill>
    <fill>
      <patternFill patternType="solid">
        <fgColor theme="9"/>
        <bgColor indexed="64"/>
      </patternFill>
    </fill>
    <fill>
      <patternFill patternType="solid">
        <fgColor theme="9" tint="0.59999389629810485"/>
        <bgColor indexed="64"/>
      </patternFill>
    </fill>
    <fill>
      <patternFill patternType="lightDown">
        <bgColor theme="4" tint="0.59999389629810485"/>
      </patternFill>
    </fill>
    <fill>
      <patternFill patternType="solid">
        <fgColor theme="8" tint="0.59999389629810485"/>
        <bgColor indexed="64"/>
      </patternFill>
    </fill>
    <fill>
      <patternFill patternType="solid">
        <fgColor theme="0" tint="-0.34998626667073579"/>
        <bgColor indexed="64"/>
      </patternFill>
    </fill>
    <fill>
      <patternFill patternType="darkUp">
        <bgColor theme="9" tint="0.59999389629810485"/>
      </patternFill>
    </fill>
    <fill>
      <patternFill patternType="darkUp">
        <bgColor theme="0"/>
      </patternFill>
    </fill>
    <fill>
      <patternFill patternType="darkGrid"/>
    </fill>
    <fill>
      <patternFill patternType="darkGrid">
        <bgColor rgb="FF00B0F0"/>
      </patternFill>
    </fill>
    <fill>
      <patternFill patternType="darkGrid">
        <bgColor rgb="FFFFC000"/>
      </patternFill>
    </fill>
    <fill>
      <patternFill patternType="darkGrid">
        <bgColor rgb="FF92D050"/>
      </patternFill>
    </fill>
    <fill>
      <patternFill patternType="lightDown">
        <bgColor theme="0"/>
      </patternFill>
    </fill>
  </fills>
  <borders count="5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right style="thin">
        <color indexed="64"/>
      </right>
      <top/>
      <bottom/>
      <diagonal/>
    </border>
    <border>
      <left/>
      <right/>
      <top style="thin">
        <color indexed="64"/>
      </top>
      <bottom style="thin">
        <color indexed="64"/>
      </bottom>
      <diagonal/>
    </border>
    <border>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double">
        <color indexed="64"/>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thin">
        <color indexed="64"/>
      </right>
      <top/>
      <bottom style="medium">
        <color indexed="64"/>
      </bottom>
      <diagonal/>
    </border>
    <border>
      <left/>
      <right style="thin">
        <color indexed="64"/>
      </right>
      <top style="medium">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top/>
      <bottom style="thick">
        <color theme="4" tint="0.499984740745262"/>
      </bottom>
      <diagonal/>
    </border>
    <border>
      <left/>
      <right/>
      <top/>
      <bottom style="medium">
        <color theme="4" tint="0.39997558519241921"/>
      </bottom>
      <diagonal/>
    </border>
    <border>
      <left/>
      <right/>
      <top/>
      <bottom style="double">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double">
        <color indexed="64"/>
      </bottom>
      <diagonal/>
    </border>
    <border>
      <left/>
      <right style="medium">
        <color indexed="64"/>
      </right>
      <top/>
      <bottom style="double">
        <color indexed="64"/>
      </bottom>
      <diagonal/>
    </border>
    <border>
      <left style="thin">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style="double">
        <color indexed="64"/>
      </bottom>
      <diagonal/>
    </border>
    <border>
      <left style="thin">
        <color indexed="64"/>
      </left>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s>
  <cellStyleXfs count="8">
    <xf numFmtId="0" fontId="0" fillId="0" borderId="0"/>
    <xf numFmtId="0" fontId="28" fillId="0" borderId="0" applyNumberFormat="0" applyFill="0" applyBorder="0" applyAlignment="0" applyProtection="0"/>
    <xf numFmtId="0" fontId="33" fillId="0" borderId="0" applyNumberFormat="0" applyFill="0" applyBorder="0" applyAlignment="0" applyProtection="0"/>
    <xf numFmtId="0" fontId="34" fillId="0" borderId="33" applyNumberFormat="0" applyFill="0" applyAlignment="0" applyProtection="0"/>
    <xf numFmtId="0" fontId="35" fillId="0" borderId="34" applyNumberFormat="0" applyFill="0" applyAlignment="0" applyProtection="0"/>
    <xf numFmtId="0" fontId="32" fillId="26" borderId="0" applyNumberFormat="0" applyBorder="0" applyAlignment="0" applyProtection="0"/>
    <xf numFmtId="0" fontId="32" fillId="27" borderId="0" applyNumberFormat="0" applyBorder="0" applyAlignment="0" applyProtection="0"/>
    <xf numFmtId="0" fontId="42" fillId="0" borderId="0"/>
  </cellStyleXfs>
  <cellXfs count="1053">
    <xf numFmtId="0" fontId="0" fillId="0" borderId="0" xfId="0"/>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1" fillId="0" borderId="6"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0" fillId="6" borderId="0" xfId="0" applyFill="1"/>
    <xf numFmtId="0" fontId="0" fillId="6" borderId="0" xfId="0" applyFill="1" applyAlignment="1">
      <alignment horizontal="center" vertical="center"/>
    </xf>
    <xf numFmtId="0" fontId="0" fillId="3" borderId="5" xfId="0" applyFill="1" applyBorder="1"/>
    <xf numFmtId="0" fontId="0" fillId="3" borderId="6" xfId="0" applyFill="1" applyBorder="1"/>
    <xf numFmtId="0" fontId="0" fillId="8" borderId="3" xfId="0" applyFill="1" applyBorder="1"/>
    <xf numFmtId="0" fontId="0" fillId="8" borderId="4" xfId="0" applyFill="1" applyBorder="1"/>
    <xf numFmtId="0" fontId="0" fillId="8" borderId="5" xfId="0" applyFill="1" applyBorder="1"/>
    <xf numFmtId="0" fontId="0" fillId="8" borderId="0" xfId="0" applyFill="1"/>
    <xf numFmtId="0" fontId="0" fillId="8" borderId="6" xfId="0" applyFill="1" applyBorder="1"/>
    <xf numFmtId="0" fontId="0" fillId="8" borderId="7" xfId="0" applyFill="1" applyBorder="1"/>
    <xf numFmtId="0" fontId="0" fillId="8" borderId="8" xfId="0" applyFill="1" applyBorder="1"/>
    <xf numFmtId="0" fontId="0" fillId="8" borderId="15" xfId="0" applyFill="1" applyBorder="1"/>
    <xf numFmtId="0" fontId="1" fillId="0" borderId="0" xfId="0" applyFont="1" applyAlignment="1">
      <alignment horizontal="center" vertical="center"/>
    </xf>
    <xf numFmtId="0" fontId="0" fillId="8" borderId="17" xfId="0" applyFill="1" applyBorder="1"/>
    <xf numFmtId="0" fontId="1" fillId="8" borderId="18" xfId="0" applyFont="1" applyFill="1" applyBorder="1" applyAlignment="1">
      <alignment horizontal="center" vertical="center"/>
    </xf>
    <xf numFmtId="0" fontId="1" fillId="8" borderId="15" xfId="0" applyFont="1" applyFill="1" applyBorder="1"/>
    <xf numFmtId="0" fontId="0" fillId="8" borderId="17" xfId="0" applyFill="1" applyBorder="1" applyAlignment="1">
      <alignment horizontal="center"/>
    </xf>
    <xf numFmtId="0" fontId="0" fillId="0" borderId="0" xfId="0" applyAlignment="1">
      <alignment horizontal="right"/>
    </xf>
    <xf numFmtId="0" fontId="0" fillId="0" borderId="0" xfId="0" applyAlignment="1">
      <alignment horizontal="center"/>
    </xf>
    <xf numFmtId="0" fontId="13" fillId="10" borderId="17" xfId="0" quotePrefix="1" applyFont="1" applyFill="1" applyBorder="1"/>
    <xf numFmtId="0" fontId="1" fillId="8" borderId="15" xfId="0" applyFont="1" applyFill="1" applyBorder="1" applyAlignment="1">
      <alignment horizontal="center" vertical="center"/>
    </xf>
    <xf numFmtId="0" fontId="1" fillId="0" borderId="0" xfId="0" applyFont="1" applyAlignment="1">
      <alignment horizontal="center"/>
    </xf>
    <xf numFmtId="0" fontId="0" fillId="12" borderId="0" xfId="0" applyFill="1"/>
    <xf numFmtId="0" fontId="0" fillId="0" borderId="0" xfId="0" applyAlignment="1">
      <alignment horizontal="center" vertical="center"/>
    </xf>
    <xf numFmtId="0" fontId="0" fillId="8" borderId="21" xfId="0" applyFill="1" applyBorder="1" applyAlignment="1">
      <alignment horizontal="center"/>
    </xf>
    <xf numFmtId="0" fontId="0" fillId="0" borderId="20" xfId="0" applyBorder="1" applyAlignment="1">
      <alignment horizontal="center"/>
    </xf>
    <xf numFmtId="0" fontId="0" fillId="0" borderId="5" xfId="0" applyBorder="1" applyAlignment="1">
      <alignment horizontal="center" vertical="center"/>
    </xf>
    <xf numFmtId="0" fontId="0" fillId="0" borderId="6" xfId="0" quotePrefix="1" applyBorder="1" applyAlignment="1">
      <alignment horizontal="center"/>
    </xf>
    <xf numFmtId="0" fontId="0" fillId="0" borderId="24" xfId="0" quotePrefix="1" applyBorder="1" applyAlignment="1">
      <alignment horizontal="center"/>
    </xf>
    <xf numFmtId="0" fontId="0" fillId="0" borderId="20" xfId="0" quotePrefix="1" applyBorder="1" applyAlignment="1">
      <alignment horizontal="center"/>
    </xf>
    <xf numFmtId="0" fontId="0" fillId="0" borderId="22" xfId="0" applyBorder="1"/>
    <xf numFmtId="0" fontId="0" fillId="0" borderId="12" xfId="0" applyBorder="1" applyAlignment="1">
      <alignment horizontal="center"/>
    </xf>
    <xf numFmtId="0" fontId="0" fillId="0" borderId="14" xfId="0" applyBorder="1" applyAlignment="1">
      <alignment horizontal="center"/>
    </xf>
    <xf numFmtId="0" fontId="0" fillId="0" borderId="7" xfId="0" applyBorder="1"/>
    <xf numFmtId="0" fontId="0" fillId="0" borderId="14" xfId="0" applyBorder="1"/>
    <xf numFmtId="0" fontId="1" fillId="0" borderId="0" xfId="0" applyFont="1" applyAlignment="1">
      <alignment vertical="center"/>
    </xf>
    <xf numFmtId="0" fontId="0" fillId="0" borderId="5" xfId="0" applyBorder="1"/>
    <xf numFmtId="0" fontId="0" fillId="13" borderId="3" xfId="0" applyFill="1" applyBorder="1"/>
    <xf numFmtId="0" fontId="0" fillId="13" borderId="0" xfId="0" applyFill="1"/>
    <xf numFmtId="0" fontId="0" fillId="13" borderId="8" xfId="0" applyFill="1" applyBorder="1"/>
    <xf numFmtId="0" fontId="0" fillId="6" borderId="2" xfId="0" applyFill="1" applyBorder="1"/>
    <xf numFmtId="0" fontId="0" fillId="6" borderId="3" xfId="0" applyFill="1" applyBorder="1"/>
    <xf numFmtId="0" fontId="0" fillId="6" borderId="4" xfId="0" applyFill="1" applyBorder="1"/>
    <xf numFmtId="0" fontId="0" fillId="5" borderId="1" xfId="0" applyFill="1" applyBorder="1" applyAlignment="1">
      <alignment horizontal="center"/>
    </xf>
    <xf numFmtId="0" fontId="0" fillId="9" borderId="0" xfId="0" applyFill="1" applyAlignment="1">
      <alignment horizontal="center"/>
    </xf>
    <xf numFmtId="0" fontId="0" fillId="8" borderId="15" xfId="0" applyFill="1"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3" xfId="0" applyBorder="1" applyAlignment="1">
      <alignment horizontal="center"/>
    </xf>
    <xf numFmtId="0" fontId="0" fillId="6" borderId="0" xfId="0" applyFill="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22" xfId="0" applyBorder="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0" fillId="6" borderId="5" xfId="0" applyFill="1" applyBorder="1"/>
    <xf numFmtId="0" fontId="0" fillId="6" borderId="6" xfId="0" applyFill="1" applyBorder="1"/>
    <xf numFmtId="0" fontId="0" fillId="0" borderId="2" xfId="0" applyBorder="1"/>
    <xf numFmtId="0" fontId="0" fillId="0" borderId="1" xfId="0" applyBorder="1" applyAlignment="1">
      <alignment horizontal="center"/>
    </xf>
    <xf numFmtId="0" fontId="0" fillId="0" borderId="13" xfId="0" applyBorder="1" applyAlignment="1">
      <alignment horizontal="center"/>
    </xf>
    <xf numFmtId="0" fontId="1" fillId="0" borderId="11" xfId="0" applyFont="1" applyBorder="1" applyAlignment="1">
      <alignment horizontal="center"/>
    </xf>
    <xf numFmtId="0" fontId="0" fillId="0" borderId="5" xfId="0" applyBorder="1" applyAlignment="1">
      <alignment horizontal="center"/>
    </xf>
    <xf numFmtId="0" fontId="1" fillId="0" borderId="8" xfId="0" applyFont="1" applyBorder="1" applyAlignment="1">
      <alignment horizontal="center"/>
    </xf>
    <xf numFmtId="0" fontId="0" fillId="0" borderId="6" xfId="0" applyBorder="1" applyAlignment="1">
      <alignment horizontal="center"/>
    </xf>
    <xf numFmtId="0" fontId="1" fillId="0" borderId="3" xfId="0" applyFont="1" applyBorder="1" applyAlignment="1">
      <alignment horizontal="center"/>
    </xf>
    <xf numFmtId="0" fontId="0" fillId="0" borderId="10" xfId="0" applyBorder="1"/>
    <xf numFmtId="0" fontId="21" fillId="8" borderId="15" xfId="0" applyFont="1" applyFill="1" applyBorder="1" applyAlignment="1">
      <alignment horizontal="right"/>
    </xf>
    <xf numFmtId="0" fontId="1" fillId="0" borderId="10" xfId="0" applyFont="1" applyBorder="1"/>
    <xf numFmtId="0" fontId="0" fillId="12" borderId="3" xfId="0" applyFill="1" applyBorder="1"/>
    <xf numFmtId="0" fontId="0" fillId="12" borderId="5" xfId="0" applyFill="1" applyBorder="1"/>
    <xf numFmtId="0" fontId="0" fillId="3" borderId="0" xfId="0" applyFill="1"/>
    <xf numFmtId="0" fontId="0" fillId="15" borderId="12" xfId="0" applyFill="1" applyBorder="1" applyAlignment="1">
      <alignment horizontal="center"/>
    </xf>
    <xf numFmtId="0" fontId="0" fillId="4" borderId="14" xfId="0" applyFill="1" applyBorder="1" applyAlignment="1">
      <alignment horizontal="center"/>
    </xf>
    <xf numFmtId="0" fontId="0" fillId="7" borderId="0" xfId="0" applyFill="1" applyAlignment="1">
      <alignment horizontal="center"/>
    </xf>
    <xf numFmtId="0" fontId="0" fillId="12" borderId="2" xfId="0" applyFill="1" applyBorder="1"/>
    <xf numFmtId="0" fontId="0" fillId="12" borderId="4" xfId="0" applyFill="1" applyBorder="1"/>
    <xf numFmtId="0" fontId="0" fillId="12" borderId="7" xfId="0" applyFill="1" applyBorder="1"/>
    <xf numFmtId="0" fontId="0" fillId="12" borderId="9" xfId="0" applyFill="1" applyBorder="1"/>
    <xf numFmtId="0" fontId="14" fillId="0" borderId="0" xfId="0" applyFont="1" applyAlignment="1">
      <alignment horizontal="center"/>
    </xf>
    <xf numFmtId="0" fontId="0" fillId="12" borderId="8" xfId="0" applyFill="1" applyBorder="1"/>
    <xf numFmtId="0" fontId="1" fillId="6" borderId="5" xfId="0" applyFont="1" applyFill="1" applyBorder="1"/>
    <xf numFmtId="0" fontId="22" fillId="0" borderId="6" xfId="0" applyFont="1" applyBorder="1" applyAlignment="1">
      <alignment horizontal="center"/>
    </xf>
    <xf numFmtId="0" fontId="0" fillId="6" borderId="7" xfId="0" applyFill="1" applyBorder="1"/>
    <xf numFmtId="0" fontId="0" fillId="12" borderId="6" xfId="0" applyFill="1" applyBorder="1"/>
    <xf numFmtId="0" fontId="1" fillId="0" borderId="1" xfId="0" applyFont="1" applyBorder="1" applyAlignment="1">
      <alignment horizontal="center"/>
    </xf>
    <xf numFmtId="0" fontId="0" fillId="0" borderId="0" xfId="0" quotePrefix="1" applyAlignment="1">
      <alignment horizontal="center"/>
    </xf>
    <xf numFmtId="0" fontId="0" fillId="0" borderId="13" xfId="0" applyBorder="1"/>
    <xf numFmtId="0" fontId="0" fillId="12" borderId="12" xfId="0" applyFill="1" applyBorder="1"/>
    <xf numFmtId="0" fontId="0" fillId="12" borderId="13" xfId="0" applyFill="1" applyBorder="1"/>
    <xf numFmtId="0" fontId="1" fillId="5" borderId="6" xfId="0" applyFont="1" applyFill="1" applyBorder="1" applyAlignment="1">
      <alignment horizontal="center"/>
    </xf>
    <xf numFmtId="0" fontId="1" fillId="16" borderId="6" xfId="0" applyFont="1" applyFill="1" applyBorder="1" applyAlignment="1">
      <alignment horizontal="center"/>
    </xf>
    <xf numFmtId="0" fontId="1" fillId="0" borderId="5" xfId="0" quotePrefix="1" applyFont="1" applyBorder="1" applyAlignment="1">
      <alignment horizontal="center"/>
    </xf>
    <xf numFmtId="0" fontId="1" fillId="0" borderId="0" xfId="0" applyFont="1"/>
    <xf numFmtId="0" fontId="1" fillId="0" borderId="1" xfId="0" applyFont="1" applyBorder="1" applyAlignment="1">
      <alignment horizontal="center" vertical="center"/>
    </xf>
    <xf numFmtId="0" fontId="1" fillId="0" borderId="5" xfId="0" applyFont="1" applyBorder="1" applyAlignment="1">
      <alignment horizontal="center"/>
    </xf>
    <xf numFmtId="0" fontId="1" fillId="0" borderId="12" xfId="0" applyFont="1" applyBorder="1" applyAlignment="1">
      <alignment horizontal="center" vertical="center"/>
    </xf>
    <xf numFmtId="0" fontId="0" fillId="12" borderId="13" xfId="0" applyFill="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1" fillId="0" borderId="9" xfId="0" applyFont="1" applyBorder="1" applyAlignment="1">
      <alignment horizontal="center" vertical="center"/>
    </xf>
    <xf numFmtId="0" fontId="0" fillId="0" borderId="10" xfId="0" applyBorder="1" applyAlignment="1">
      <alignment horizontal="center" vertical="center"/>
    </xf>
    <xf numFmtId="0" fontId="1" fillId="0" borderId="3" xfId="0" applyFont="1" applyBorder="1" applyAlignment="1">
      <alignment horizontal="center" vertical="center"/>
    </xf>
    <xf numFmtId="0" fontId="1" fillId="0" borderId="8" xfId="0" applyFont="1" applyBorder="1" applyAlignment="1">
      <alignment horizontal="center" vertical="center"/>
    </xf>
    <xf numFmtId="0" fontId="1" fillId="0" borderId="22" xfId="0" applyFont="1" applyBorder="1" applyAlignment="1">
      <alignment horizontal="center"/>
    </xf>
    <xf numFmtId="0" fontId="1" fillId="0" borderId="7" xfId="0" applyFont="1" applyBorder="1" applyAlignment="1">
      <alignment horizontal="center"/>
    </xf>
    <xf numFmtId="0" fontId="1" fillId="0" borderId="2" xfId="0" applyFont="1" applyBorder="1" applyAlignment="1">
      <alignment horizontal="center"/>
    </xf>
    <xf numFmtId="0" fontId="0" fillId="4" borderId="1" xfId="0" applyFill="1" applyBorder="1" applyAlignment="1">
      <alignment horizontal="center"/>
    </xf>
    <xf numFmtId="168" fontId="1" fillId="0" borderId="11" xfId="0" applyNumberFormat="1" applyFont="1" applyBorder="1" applyAlignment="1">
      <alignment horizontal="center"/>
    </xf>
    <xf numFmtId="0" fontId="0" fillId="19" borderId="0" xfId="0" applyFill="1"/>
    <xf numFmtId="0" fontId="25" fillId="0" borderId="3" xfId="0" applyFont="1" applyBorder="1" applyAlignment="1">
      <alignment vertical="center"/>
    </xf>
    <xf numFmtId="0" fontId="24" fillId="20" borderId="1" xfId="0" applyFont="1" applyFill="1" applyBorder="1" applyAlignment="1">
      <alignment horizontal="center" vertical="center"/>
    </xf>
    <xf numFmtId="0" fontId="0" fillId="7" borderId="1" xfId="0" applyFill="1" applyBorder="1" applyAlignment="1">
      <alignment horizontal="center"/>
    </xf>
    <xf numFmtId="0" fontId="0" fillId="2" borderId="1" xfId="0" applyFill="1" applyBorder="1" applyAlignment="1">
      <alignment horizontal="center"/>
    </xf>
    <xf numFmtId="0" fontId="1" fillId="18" borderId="1" xfId="0" applyFont="1" applyFill="1" applyBorder="1" applyAlignment="1">
      <alignment horizontal="center" vertical="center"/>
    </xf>
    <xf numFmtId="0" fontId="0" fillId="0" borderId="2" xfId="0" applyBorder="1" applyAlignment="1">
      <alignment horizontal="center" vertical="center"/>
    </xf>
    <xf numFmtId="0" fontId="0" fillId="0" borderId="7" xfId="0" applyBorder="1" applyAlignment="1">
      <alignment horizontal="center" vertical="center"/>
    </xf>
    <xf numFmtId="1" fontId="0" fillId="8" borderId="15" xfId="0" applyNumberFormat="1" applyFill="1" applyBorder="1" applyAlignment="1">
      <alignment horizontal="right"/>
    </xf>
    <xf numFmtId="0" fontId="0" fillId="0" borderId="30" xfId="0" applyBorder="1" applyAlignment="1">
      <alignment horizontal="center"/>
    </xf>
    <xf numFmtId="0" fontId="0" fillId="4" borderId="31" xfId="0" applyFill="1" applyBorder="1" applyAlignment="1">
      <alignment horizontal="center"/>
    </xf>
    <xf numFmtId="0" fontId="0" fillId="4" borderId="32" xfId="0" applyFill="1" applyBorder="1" applyAlignment="1">
      <alignment horizontal="center"/>
    </xf>
    <xf numFmtId="0" fontId="1" fillId="0" borderId="1" xfId="0" applyFont="1" applyBorder="1"/>
    <xf numFmtId="0" fontId="30" fillId="0" borderId="4" xfId="0" applyFont="1" applyBorder="1" applyAlignment="1">
      <alignment horizontal="center"/>
    </xf>
    <xf numFmtId="0" fontId="30" fillId="0" borderId="6" xfId="0" applyFont="1" applyBorder="1" applyAlignment="1">
      <alignment horizontal="center"/>
    </xf>
    <xf numFmtId="0" fontId="30" fillId="0" borderId="9" xfId="0" applyFont="1" applyBorder="1" applyAlignment="1">
      <alignment horizontal="center"/>
    </xf>
    <xf numFmtId="0" fontId="0" fillId="12" borderId="11" xfId="0" applyFill="1" applyBorder="1"/>
    <xf numFmtId="0" fontId="0" fillId="7" borderId="3" xfId="0" applyFill="1" applyBorder="1" applyAlignment="1">
      <alignment horizontal="center"/>
    </xf>
    <xf numFmtId="0" fontId="30" fillId="12" borderId="5" xfId="0" applyFont="1" applyFill="1" applyBorder="1" applyAlignment="1">
      <alignment horizontal="center"/>
    </xf>
    <xf numFmtId="0" fontId="30" fillId="0" borderId="12" xfId="0" applyFont="1" applyBorder="1" applyAlignment="1">
      <alignment horizontal="center"/>
    </xf>
    <xf numFmtId="0" fontId="30" fillId="0" borderId="13" xfId="0" applyFont="1" applyBorder="1" applyAlignment="1">
      <alignment horizontal="center"/>
    </xf>
    <xf numFmtId="0" fontId="30" fillId="0" borderId="14" xfId="0" applyFont="1" applyBorder="1" applyAlignment="1">
      <alignment horizontal="center"/>
    </xf>
    <xf numFmtId="0" fontId="0" fillId="9" borderId="14" xfId="0" applyFill="1" applyBorder="1" applyAlignment="1">
      <alignment horizontal="center"/>
    </xf>
    <xf numFmtId="0" fontId="0" fillId="9" borderId="1" xfId="0" applyFill="1" applyBorder="1" applyAlignment="1">
      <alignment horizontal="center"/>
    </xf>
    <xf numFmtId="0" fontId="0" fillId="4" borderId="0" xfId="0" applyFill="1" applyAlignment="1">
      <alignment horizontal="center"/>
    </xf>
    <xf numFmtId="0" fontId="0" fillId="21" borderId="0" xfId="0" applyFill="1"/>
    <xf numFmtId="0" fontId="1" fillId="15" borderId="0" xfId="0" applyFont="1" applyFill="1" applyAlignment="1">
      <alignment horizontal="center"/>
    </xf>
    <xf numFmtId="0" fontId="1" fillId="4" borderId="0" xfId="0" applyFont="1" applyFill="1" applyAlignment="1">
      <alignment horizontal="center"/>
    </xf>
    <xf numFmtId="0" fontId="0" fillId="22" borderId="0" xfId="0" applyFill="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8" xfId="0" applyBorder="1" applyAlignment="1">
      <alignment horizontal="center" vertical="center"/>
    </xf>
    <xf numFmtId="0" fontId="1" fillId="15" borderId="12" xfId="0" applyFont="1" applyFill="1" applyBorder="1" applyAlignment="1">
      <alignment horizontal="center"/>
    </xf>
    <xf numFmtId="0" fontId="14" fillId="0" borderId="0" xfId="0" applyFont="1"/>
    <xf numFmtId="0" fontId="1" fillId="0" borderId="5" xfId="0" applyFont="1" applyBorder="1" applyAlignment="1">
      <alignment horizontal="center" vertical="center"/>
    </xf>
    <xf numFmtId="0" fontId="0" fillId="18" borderId="0" xfId="0" applyFill="1" applyAlignment="1">
      <alignment horizontal="center"/>
    </xf>
    <xf numFmtId="0" fontId="1" fillId="22" borderId="0" xfId="0" applyFont="1" applyFill="1" applyAlignment="1">
      <alignment horizontal="center"/>
    </xf>
    <xf numFmtId="0" fontId="0" fillId="5" borderId="0" xfId="0" applyFill="1" applyAlignment="1">
      <alignment horizontal="center"/>
    </xf>
    <xf numFmtId="0" fontId="0" fillId="15" borderId="0" xfId="0" applyFill="1" applyAlignment="1">
      <alignment horizontal="center"/>
    </xf>
    <xf numFmtId="0" fontId="0" fillId="0" borderId="29" xfId="0" applyBorder="1" applyAlignment="1">
      <alignment horizontal="center"/>
    </xf>
    <xf numFmtId="14" fontId="0" fillId="0" borderId="1" xfId="0" applyNumberFormat="1" applyBorder="1" applyAlignment="1">
      <alignment horizontal="center"/>
    </xf>
    <xf numFmtId="0" fontId="4" fillId="0" borderId="1" xfId="0" applyFont="1" applyBorder="1" applyAlignment="1">
      <alignment horizontal="center"/>
    </xf>
    <xf numFmtId="0" fontId="30" fillId="5" borderId="1" xfId="0" applyFont="1" applyFill="1" applyBorder="1" applyAlignment="1">
      <alignment horizontal="center"/>
    </xf>
    <xf numFmtId="0" fontId="0" fillId="5" borderId="12" xfId="0" applyFill="1" applyBorder="1" applyAlignment="1">
      <alignment horizontal="center"/>
    </xf>
    <xf numFmtId="0" fontId="30" fillId="4" borderId="1" xfId="0" applyFont="1" applyFill="1" applyBorder="1" applyAlignment="1">
      <alignment horizontal="center"/>
    </xf>
    <xf numFmtId="0" fontId="1" fillId="0" borderId="29" xfId="0" applyFont="1" applyBorder="1" applyAlignment="1">
      <alignment horizontal="center"/>
    </xf>
    <xf numFmtId="0" fontId="0" fillId="23" borderId="0" xfId="0" applyFill="1"/>
    <xf numFmtId="0" fontId="0" fillId="13" borderId="0" xfId="0" applyFill="1" applyAlignment="1">
      <alignment horizontal="center"/>
    </xf>
    <xf numFmtId="0" fontId="1" fillId="5" borderId="0" xfId="0" applyFont="1" applyFill="1" applyAlignment="1">
      <alignment horizontal="center"/>
    </xf>
    <xf numFmtId="0" fontId="0" fillId="12" borderId="10" xfId="0" applyFill="1" applyBorder="1"/>
    <xf numFmtId="0" fontId="14" fillId="0" borderId="6" xfId="0" applyFont="1" applyBorder="1"/>
    <xf numFmtId="0" fontId="0" fillId="12" borderId="14" xfId="0" applyFill="1" applyBorder="1"/>
    <xf numFmtId="0" fontId="0" fillId="3" borderId="2" xfId="0" applyFill="1" applyBorder="1"/>
    <xf numFmtId="0" fontId="0" fillId="3" borderId="4" xfId="0" applyFill="1" applyBorder="1"/>
    <xf numFmtId="0" fontId="0" fillId="3" borderId="7" xfId="0" applyFill="1" applyBorder="1"/>
    <xf numFmtId="0" fontId="0" fillId="3" borderId="9" xfId="0" applyFill="1" applyBorder="1"/>
    <xf numFmtId="0" fontId="0" fillId="7" borderId="0" xfId="0" applyFill="1"/>
    <xf numFmtId="0" fontId="0" fillId="23" borderId="0" xfId="0" applyFill="1" applyAlignment="1">
      <alignment horizontal="center"/>
    </xf>
    <xf numFmtId="0" fontId="0" fillId="25" borderId="0" xfId="0" applyFill="1"/>
    <xf numFmtId="0" fontId="1" fillId="0" borderId="10" xfId="0" applyFont="1" applyBorder="1" applyAlignment="1">
      <alignment horizontal="center"/>
    </xf>
    <xf numFmtId="0" fontId="0" fillId="0" borderId="22" xfId="0" applyBorder="1" applyAlignment="1">
      <alignment horizontal="center" vertical="center"/>
    </xf>
    <xf numFmtId="0" fontId="0" fillId="0" borderId="11" xfId="0" applyBorder="1" applyAlignment="1">
      <alignment horizontal="center" vertical="center"/>
    </xf>
    <xf numFmtId="0" fontId="1" fillId="0" borderId="2" xfId="0" applyFont="1" applyBorder="1" applyAlignment="1">
      <alignment horizontal="center" vertical="center"/>
    </xf>
    <xf numFmtId="0" fontId="0" fillId="19" borderId="3" xfId="0" applyFill="1" applyBorder="1"/>
    <xf numFmtId="0" fontId="0" fillId="19" borderId="4" xfId="0" applyFill="1" applyBorder="1"/>
    <xf numFmtId="0" fontId="1" fillId="4" borderId="6" xfId="0" applyFont="1" applyFill="1" applyBorder="1" applyAlignment="1">
      <alignment horizontal="center"/>
    </xf>
    <xf numFmtId="0" fontId="0" fillId="17" borderId="5" xfId="0" applyFill="1" applyBorder="1" applyAlignment="1">
      <alignment horizontal="center"/>
    </xf>
    <xf numFmtId="0" fontId="0" fillId="17" borderId="0" xfId="0" applyFill="1" applyAlignment="1">
      <alignment horizontal="center"/>
    </xf>
    <xf numFmtId="0" fontId="0" fillId="17" borderId="6" xfId="0" applyFill="1" applyBorder="1" applyAlignment="1">
      <alignment horizontal="center"/>
    </xf>
    <xf numFmtId="0" fontId="12" fillId="8" borderId="5" xfId="0" applyFont="1" applyFill="1" applyBorder="1" applyAlignment="1">
      <alignment horizontal="center"/>
    </xf>
    <xf numFmtId="0" fontId="12" fillId="8" borderId="0" xfId="0" applyFont="1" applyFill="1" applyAlignment="1">
      <alignment horizontal="center"/>
    </xf>
    <xf numFmtId="0" fontId="12" fillId="8" borderId="6" xfId="0" applyFont="1" applyFill="1" applyBorder="1" applyAlignment="1">
      <alignment horizontal="center"/>
    </xf>
    <xf numFmtId="0" fontId="1" fillId="7" borderId="0" xfId="0" applyFont="1" applyFill="1" applyAlignment="1">
      <alignment horizontal="center"/>
    </xf>
    <xf numFmtId="0" fontId="0" fillId="16" borderId="13" xfId="0" applyFill="1" applyBorder="1" applyAlignment="1">
      <alignment horizontal="center"/>
    </xf>
    <xf numFmtId="0" fontId="0" fillId="15" borderId="1" xfId="0" applyFill="1" applyBorder="1" applyAlignment="1">
      <alignment horizontal="center"/>
    </xf>
    <xf numFmtId="20" fontId="0" fillId="22" borderId="0" xfId="0" applyNumberFormat="1" applyFill="1" applyAlignment="1">
      <alignment horizontal="center"/>
    </xf>
    <xf numFmtId="0" fontId="3" fillId="0" borderId="0" xfId="0" applyFont="1" applyAlignment="1">
      <alignment horizontal="center"/>
    </xf>
    <xf numFmtId="0" fontId="36" fillId="0" borderId="0" xfId="0" applyFont="1"/>
    <xf numFmtId="0" fontId="36" fillId="0" borderId="0" xfId="0" applyFont="1" applyAlignment="1">
      <alignment horizontal="center" vertical="center"/>
    </xf>
    <xf numFmtId="0" fontId="36" fillId="0" borderId="0" xfId="0" applyFont="1" applyAlignment="1">
      <alignment horizontal="left"/>
    </xf>
    <xf numFmtId="0" fontId="34" fillId="0" borderId="0" xfId="3" applyFill="1" applyBorder="1" applyAlignment="1">
      <alignment horizontal="center" vertical="center"/>
    </xf>
    <xf numFmtId="0" fontId="34" fillId="0" borderId="0" xfId="3" applyBorder="1" applyAlignment="1">
      <alignment horizontal="center" vertical="center"/>
    </xf>
    <xf numFmtId="0" fontId="34" fillId="0" borderId="0" xfId="3" applyBorder="1" applyAlignment="1">
      <alignment horizontal="left" vertical="center"/>
    </xf>
    <xf numFmtId="0" fontId="37" fillId="0" borderId="0" xfId="0" applyFont="1"/>
    <xf numFmtId="0" fontId="37" fillId="0" borderId="0" xfId="0" applyFont="1" applyAlignment="1">
      <alignment vertical="center"/>
    </xf>
    <xf numFmtId="0" fontId="0" fillId="17" borderId="7" xfId="0" applyFill="1" applyBorder="1" applyAlignment="1">
      <alignment horizontal="center"/>
    </xf>
    <xf numFmtId="0" fontId="0" fillId="17" borderId="8" xfId="0" applyFill="1" applyBorder="1" applyAlignment="1">
      <alignment horizontal="center"/>
    </xf>
    <xf numFmtId="0" fontId="0" fillId="17" borderId="9" xfId="0" applyFill="1" applyBorder="1" applyAlignment="1">
      <alignment horizontal="center"/>
    </xf>
    <xf numFmtId="0" fontId="0" fillId="0" borderId="12" xfId="0" applyBorder="1"/>
    <xf numFmtId="0" fontId="1" fillId="7" borderId="7" xfId="0" applyFont="1" applyFill="1" applyBorder="1" applyAlignment="1">
      <alignment horizontal="center"/>
    </xf>
    <xf numFmtId="0" fontId="1" fillId="7" borderId="9" xfId="0" applyFont="1" applyFill="1" applyBorder="1" applyAlignment="1">
      <alignment horizontal="center"/>
    </xf>
    <xf numFmtId="0" fontId="1" fillId="7" borderId="8" xfId="0" applyFont="1" applyFill="1" applyBorder="1" applyAlignment="1">
      <alignment horizontal="center"/>
    </xf>
    <xf numFmtId="1" fontId="0" fillId="0" borderId="0" xfId="0" applyNumberFormat="1"/>
    <xf numFmtId="0" fontId="0" fillId="8" borderId="2" xfId="0" applyFill="1" applyBorder="1" applyAlignment="1">
      <alignment horizontal="center"/>
    </xf>
    <xf numFmtId="0" fontId="0" fillId="8" borderId="3" xfId="0" applyFill="1" applyBorder="1" applyAlignment="1">
      <alignment horizontal="center"/>
    </xf>
    <xf numFmtId="0" fontId="0" fillId="8" borderId="4" xfId="0" applyFill="1" applyBorder="1" applyAlignment="1">
      <alignment horizontal="center"/>
    </xf>
    <xf numFmtId="0" fontId="1" fillId="4" borderId="5" xfId="0" applyFont="1" applyFill="1" applyBorder="1" applyAlignment="1">
      <alignment horizontal="center"/>
    </xf>
    <xf numFmtId="0" fontId="0" fillId="4" borderId="0" xfId="0" applyFill="1"/>
    <xf numFmtId="0" fontId="1" fillId="5" borderId="5" xfId="0" applyFont="1" applyFill="1" applyBorder="1" applyAlignment="1">
      <alignment horizontal="center"/>
    </xf>
    <xf numFmtId="0" fontId="0" fillId="5" borderId="0" xfId="0" applyFill="1"/>
    <xf numFmtId="0" fontId="0" fillId="7" borderId="8" xfId="0" applyFill="1" applyBorder="1"/>
    <xf numFmtId="0" fontId="1" fillId="7" borderId="6" xfId="0" applyFont="1" applyFill="1" applyBorder="1" applyAlignment="1">
      <alignment horizontal="center"/>
    </xf>
    <xf numFmtId="167" fontId="1" fillId="0" borderId="0" xfId="0" applyNumberFormat="1" applyFont="1" applyAlignment="1">
      <alignment horizontal="center"/>
    </xf>
    <xf numFmtId="167" fontId="0" fillId="0" borderId="4" xfId="0" applyNumberFormat="1" applyBorder="1" applyAlignment="1">
      <alignment horizontal="center"/>
    </xf>
    <xf numFmtId="167" fontId="0" fillId="0" borderId="9" xfId="0" applyNumberFormat="1" applyBorder="1" applyAlignment="1">
      <alignment horizontal="center"/>
    </xf>
    <xf numFmtId="165" fontId="0" fillId="0" borderId="6" xfId="0" applyNumberFormat="1" applyBorder="1" applyAlignment="1">
      <alignment horizontal="center"/>
    </xf>
    <xf numFmtId="167" fontId="0" fillId="0" borderId="6" xfId="0" applyNumberFormat="1" applyBorder="1" applyAlignment="1">
      <alignment horizontal="center"/>
    </xf>
    <xf numFmtId="0" fontId="41" fillId="0" borderId="0" xfId="0" applyFont="1"/>
    <xf numFmtId="165" fontId="0" fillId="0" borderId="5" xfId="0" applyNumberFormat="1" applyBorder="1" applyAlignment="1">
      <alignment horizontal="center"/>
    </xf>
    <xf numFmtId="165" fontId="0" fillId="0" borderId="0" xfId="0" applyNumberFormat="1" applyAlignment="1">
      <alignment horizontal="center"/>
    </xf>
    <xf numFmtId="0" fontId="1" fillId="8" borderId="17" xfId="0" applyFont="1" applyFill="1" applyBorder="1"/>
    <xf numFmtId="1" fontId="0" fillId="8" borderId="15" xfId="0" applyNumberFormat="1" applyFill="1" applyBorder="1"/>
    <xf numFmtId="1" fontId="0" fillId="8" borderId="17" xfId="0" applyNumberFormat="1" applyFill="1" applyBorder="1"/>
    <xf numFmtId="0" fontId="1" fillId="8" borderId="15" xfId="0" applyFont="1" applyFill="1" applyBorder="1" applyAlignment="1">
      <alignment horizontal="right"/>
    </xf>
    <xf numFmtId="0" fontId="1" fillId="8" borderId="17" xfId="0" applyFont="1" applyFill="1" applyBorder="1" applyAlignment="1">
      <alignment horizontal="right"/>
    </xf>
    <xf numFmtId="0" fontId="46" fillId="0" borderId="0" xfId="0" applyFont="1" applyAlignment="1">
      <alignment vertical="center"/>
    </xf>
    <xf numFmtId="0" fontId="0" fillId="15" borderId="6" xfId="0" applyFill="1" applyBorder="1" applyAlignment="1">
      <alignment horizontal="center"/>
    </xf>
    <xf numFmtId="0" fontId="0" fillId="28" borderId="12" xfId="0" applyFill="1" applyBorder="1"/>
    <xf numFmtId="0" fontId="0" fillId="28" borderId="13" xfId="0" applyFill="1" applyBorder="1"/>
    <xf numFmtId="0" fontId="0" fillId="28" borderId="14" xfId="0" applyFill="1" applyBorder="1"/>
    <xf numFmtId="0" fontId="1" fillId="15" borderId="10" xfId="0" applyFont="1" applyFill="1" applyBorder="1" applyAlignment="1">
      <alignment horizontal="center"/>
    </xf>
    <xf numFmtId="0" fontId="30" fillId="4" borderId="22" xfId="0" applyFont="1" applyFill="1" applyBorder="1" applyAlignment="1">
      <alignment horizontal="center"/>
    </xf>
    <xf numFmtId="0" fontId="1" fillId="0" borderId="19" xfId="0" applyFont="1" applyBorder="1" applyAlignment="1">
      <alignment horizontal="center"/>
    </xf>
    <xf numFmtId="0" fontId="0" fillId="0" borderId="0" xfId="0" applyAlignment="1">
      <alignment wrapText="1"/>
    </xf>
    <xf numFmtId="0" fontId="0" fillId="7" borderId="4" xfId="0" applyFill="1" applyBorder="1" applyAlignment="1">
      <alignment horizontal="center"/>
    </xf>
    <xf numFmtId="0" fontId="0" fillId="7" borderId="20" xfId="0" applyFill="1" applyBorder="1" applyAlignment="1">
      <alignment horizontal="center"/>
    </xf>
    <xf numFmtId="0" fontId="0" fillId="4" borderId="9" xfId="0" applyFill="1" applyBorder="1" applyAlignment="1">
      <alignment horizontal="center"/>
    </xf>
    <xf numFmtId="0" fontId="0" fillId="7" borderId="6" xfId="0" applyFill="1" applyBorder="1" applyAlignment="1">
      <alignment horizontal="center"/>
    </xf>
    <xf numFmtId="0" fontId="0" fillId="12" borderId="1" xfId="0" applyFill="1" applyBorder="1"/>
    <xf numFmtId="0" fontId="0" fillId="13" borderId="8" xfId="0" applyFill="1" applyBorder="1" applyAlignment="1">
      <alignment horizontal="center"/>
    </xf>
    <xf numFmtId="0" fontId="0" fillId="13" borderId="3" xfId="0" applyFill="1" applyBorder="1" applyAlignment="1">
      <alignment horizontal="center"/>
    </xf>
    <xf numFmtId="0" fontId="48" fillId="0" borderId="0" xfId="0" applyFont="1" applyAlignment="1">
      <alignment horizontal="center"/>
    </xf>
    <xf numFmtId="1" fontId="26" fillId="4" borderId="0" xfId="0" applyNumberFormat="1" applyFont="1" applyFill="1" applyAlignment="1">
      <alignment horizontal="center"/>
    </xf>
    <xf numFmtId="0" fontId="26" fillId="0" borderId="0" xfId="0" applyFont="1" applyAlignment="1">
      <alignment horizontal="center"/>
    </xf>
    <xf numFmtId="0" fontId="26" fillId="13" borderId="0" xfId="0" applyFont="1" applyFill="1" applyAlignment="1">
      <alignment horizontal="center"/>
    </xf>
    <xf numFmtId="0" fontId="1" fillId="13" borderId="0" xfId="0" applyFont="1" applyFill="1" applyAlignment="1">
      <alignment horizontal="center" vertical="center"/>
    </xf>
    <xf numFmtId="0" fontId="26" fillId="0" borderId="0" xfId="0" applyFont="1" applyAlignment="1">
      <alignment horizontal="center" vertical="center"/>
    </xf>
    <xf numFmtId="0" fontId="39" fillId="7" borderId="0" xfId="0" applyFont="1" applyFill="1" applyAlignment="1">
      <alignment horizontal="center" vertical="center"/>
    </xf>
    <xf numFmtId="1" fontId="39" fillId="7" borderId="0" xfId="0" applyNumberFormat="1" applyFont="1" applyFill="1" applyAlignment="1">
      <alignment horizontal="center" vertical="center"/>
    </xf>
    <xf numFmtId="0" fontId="49" fillId="13" borderId="0" xfId="0" applyFont="1" applyFill="1" applyAlignment="1">
      <alignment horizontal="center" vertical="center"/>
    </xf>
    <xf numFmtId="0" fontId="50" fillId="13" borderId="0" xfId="0" applyFont="1" applyFill="1" applyAlignment="1">
      <alignment horizontal="center" vertical="center"/>
    </xf>
    <xf numFmtId="0" fontId="48" fillId="8" borderId="0" xfId="0" applyFont="1" applyFill="1" applyAlignment="1">
      <alignment horizontal="center" vertical="center"/>
    </xf>
    <xf numFmtId="0" fontId="2" fillId="8" borderId="0" xfId="0" applyFont="1" applyFill="1" applyAlignment="1">
      <alignment horizontal="center" vertical="center"/>
    </xf>
    <xf numFmtId="0" fontId="18" fillId="0" borderId="0" xfId="0" applyFont="1" applyAlignment="1">
      <alignment horizontal="center" vertical="center"/>
    </xf>
    <xf numFmtId="0" fontId="18" fillId="15" borderId="0" xfId="0" applyFont="1" applyFill="1" applyAlignment="1">
      <alignment horizontal="center" vertical="center"/>
    </xf>
    <xf numFmtId="0" fontId="18" fillId="5" borderId="0" xfId="0" applyFont="1" applyFill="1" applyAlignment="1">
      <alignment horizontal="center" vertical="center"/>
    </xf>
    <xf numFmtId="0" fontId="18" fillId="30" borderId="0" xfId="0" applyFont="1" applyFill="1" applyAlignment="1">
      <alignment horizontal="center" vertical="center"/>
    </xf>
    <xf numFmtId="0" fontId="18" fillId="16" borderId="0" xfId="0" applyFont="1" applyFill="1" applyAlignment="1">
      <alignment horizontal="center" vertical="center"/>
    </xf>
    <xf numFmtId="0" fontId="18" fillId="29" borderId="0" xfId="0" applyFont="1" applyFill="1" applyAlignment="1">
      <alignment horizontal="center" vertical="center"/>
    </xf>
    <xf numFmtId="0" fontId="51" fillId="29" borderId="0" xfId="0" applyFont="1" applyFill="1" applyAlignment="1">
      <alignment horizontal="center" vertical="center"/>
    </xf>
    <xf numFmtId="0" fontId="48" fillId="15" borderId="0" xfId="0" applyFont="1" applyFill="1" applyAlignment="1">
      <alignment horizontal="center" vertical="center"/>
    </xf>
    <xf numFmtId="0" fontId="52" fillId="5" borderId="0" xfId="0" applyFont="1" applyFill="1" applyAlignment="1">
      <alignment horizontal="center" vertical="center"/>
    </xf>
    <xf numFmtId="0" fontId="52" fillId="0" borderId="0" xfId="0" applyFont="1" applyAlignment="1">
      <alignment horizontal="center" vertical="center"/>
    </xf>
    <xf numFmtId="0" fontId="52" fillId="16" borderId="0" xfId="0" applyFont="1" applyFill="1" applyAlignment="1">
      <alignment horizontal="center" vertical="center"/>
    </xf>
    <xf numFmtId="0" fontId="52" fillId="29" borderId="0" xfId="0" applyFont="1" applyFill="1" applyAlignment="1">
      <alignment horizontal="center" vertical="center"/>
    </xf>
    <xf numFmtId="0" fontId="26" fillId="8" borderId="0" xfId="0" applyFont="1" applyFill="1" applyAlignment="1">
      <alignment horizontal="center" vertical="center"/>
    </xf>
    <xf numFmtId="0" fontId="10" fillId="8" borderId="0" xfId="0" applyFont="1" applyFill="1" applyAlignment="1">
      <alignment horizontal="center" vertical="center"/>
    </xf>
    <xf numFmtId="0" fontId="10" fillId="8" borderId="0" xfId="0" applyFont="1" applyFill="1" applyAlignment="1">
      <alignment horizontal="right" vertical="center"/>
    </xf>
    <xf numFmtId="0" fontId="53" fillId="4" borderId="0" xfId="0" applyFont="1" applyFill="1" applyAlignment="1">
      <alignment horizontal="center"/>
    </xf>
    <xf numFmtId="0" fontId="18" fillId="4" borderId="0" xfId="0" applyFont="1" applyFill="1" applyAlignment="1">
      <alignment horizontal="center" vertical="center"/>
    </xf>
    <xf numFmtId="0" fontId="53" fillId="4" borderId="0" xfId="0" applyFont="1" applyFill="1" applyAlignment="1">
      <alignment horizontal="center" vertical="center"/>
    </xf>
    <xf numFmtId="0" fontId="10" fillId="8" borderId="0" xfId="0" applyFont="1" applyFill="1" applyAlignment="1">
      <alignment horizontal="left" vertical="center"/>
    </xf>
    <xf numFmtId="0" fontId="56" fillId="15" borderId="0" xfId="0" applyFont="1" applyFill="1" applyAlignment="1">
      <alignment horizontal="center" vertical="center"/>
    </xf>
    <xf numFmtId="0" fontId="26" fillId="4" borderId="0" xfId="0" applyFont="1" applyFill="1" applyAlignment="1">
      <alignment horizontal="center" vertical="center"/>
    </xf>
    <xf numFmtId="0" fontId="26" fillId="16" borderId="0" xfId="0" applyFont="1" applyFill="1" applyAlignment="1">
      <alignment horizontal="center" vertical="center"/>
    </xf>
    <xf numFmtId="169" fontId="39" fillId="7" borderId="0" xfId="0" applyNumberFormat="1" applyFont="1" applyFill="1" applyAlignment="1">
      <alignment horizontal="center" vertical="center"/>
    </xf>
    <xf numFmtId="0" fontId="48" fillId="0" borderId="0" xfId="0" applyFont="1" applyAlignment="1">
      <alignment horizontal="center" vertical="center"/>
    </xf>
    <xf numFmtId="0" fontId="58" fillId="0" borderId="0" xfId="0" applyFont="1" applyAlignment="1">
      <alignment horizontal="center" vertical="center"/>
    </xf>
    <xf numFmtId="0" fontId="59" fillId="0" borderId="0" xfId="0" applyFont="1" applyAlignment="1">
      <alignment horizontal="center" vertical="center"/>
    </xf>
    <xf numFmtId="0" fontId="39" fillId="29" borderId="0" xfId="0" applyFont="1" applyFill="1" applyAlignment="1">
      <alignment horizontal="center"/>
    </xf>
    <xf numFmtId="0" fontId="40" fillId="29" borderId="0" xfId="0" applyFont="1" applyFill="1" applyAlignment="1">
      <alignment horizontal="right" vertical="top"/>
    </xf>
    <xf numFmtId="0" fontId="55" fillId="8" borderId="0" xfId="0" applyFont="1" applyFill="1" applyAlignment="1">
      <alignment horizontal="center" vertical="center"/>
    </xf>
    <xf numFmtId="0" fontId="18" fillId="8" borderId="0" xfId="0" applyFont="1" applyFill="1" applyAlignment="1">
      <alignment horizontal="center" vertical="center"/>
    </xf>
    <xf numFmtId="0" fontId="60" fillId="31" borderId="0" xfId="0" applyFont="1" applyFill="1" applyAlignment="1">
      <alignment horizontal="center" vertical="center"/>
    </xf>
    <xf numFmtId="0" fontId="16" fillId="7" borderId="0" xfId="0" applyFont="1" applyFill="1"/>
    <xf numFmtId="20" fontId="0" fillId="0" borderId="0" xfId="0" applyNumberFormat="1" applyAlignment="1">
      <alignment horizontal="center"/>
    </xf>
    <xf numFmtId="0" fontId="16" fillId="7" borderId="0" xfId="0" applyFont="1" applyFill="1" applyAlignment="1">
      <alignment horizontal="center"/>
    </xf>
    <xf numFmtId="0" fontId="0" fillId="4" borderId="2" xfId="0" applyFill="1" applyBorder="1" applyAlignment="1">
      <alignment horizontal="center"/>
    </xf>
    <xf numFmtId="0" fontId="7" fillId="0" borderId="0" xfId="0" applyFont="1" applyAlignment="1">
      <alignment vertical="center"/>
    </xf>
    <xf numFmtId="14" fontId="0" fillId="0" borderId="0" xfId="0" applyNumberFormat="1" applyAlignment="1">
      <alignment horizontal="center"/>
    </xf>
    <xf numFmtId="20" fontId="0" fillId="0" borderId="3" xfId="0" applyNumberFormat="1" applyBorder="1" applyAlignment="1">
      <alignment horizontal="center"/>
    </xf>
    <xf numFmtId="0" fontId="47" fillId="8" borderId="6" xfId="1" applyFont="1" applyFill="1" applyBorder="1" applyAlignment="1">
      <alignment horizontal="center"/>
    </xf>
    <xf numFmtId="0" fontId="0" fillId="8" borderId="9" xfId="0" applyFill="1" applyBorder="1"/>
    <xf numFmtId="0" fontId="0" fillId="7" borderId="13" xfId="0" applyFill="1" applyBorder="1" applyAlignment="1">
      <alignment horizontal="center"/>
    </xf>
    <xf numFmtId="0" fontId="0" fillId="6" borderId="13" xfId="0" applyFill="1" applyBorder="1" applyAlignment="1">
      <alignment horizontal="center"/>
    </xf>
    <xf numFmtId="0" fontId="0" fillId="5" borderId="13" xfId="0" applyFill="1" applyBorder="1" applyAlignment="1">
      <alignment horizontal="center"/>
    </xf>
    <xf numFmtId="0" fontId="0" fillId="8" borderId="27" xfId="0" applyFill="1" applyBorder="1" applyAlignment="1">
      <alignment horizontal="center"/>
    </xf>
    <xf numFmtId="0" fontId="1" fillId="0" borderId="7" xfId="0" applyFont="1" applyBorder="1" applyAlignment="1">
      <alignment horizontal="center" vertical="center"/>
    </xf>
    <xf numFmtId="0" fontId="1" fillId="8" borderId="17" xfId="0" applyFont="1" applyFill="1" applyBorder="1" applyAlignment="1">
      <alignment horizontal="center" vertical="center"/>
    </xf>
    <xf numFmtId="0" fontId="0" fillId="15" borderId="22" xfId="0" applyFill="1" applyBorder="1"/>
    <xf numFmtId="0" fontId="0" fillId="15" borderId="11" xfId="0" applyFill="1" applyBorder="1"/>
    <xf numFmtId="0" fontId="0" fillId="15" borderId="1" xfId="0" applyFill="1" applyBorder="1"/>
    <xf numFmtId="14" fontId="14" fillId="0" borderId="5" xfId="0" applyNumberFormat="1" applyFont="1" applyBorder="1"/>
    <xf numFmtId="1" fontId="13" fillId="10" borderId="17" xfId="0" quotePrefix="1" applyNumberFormat="1" applyFont="1" applyFill="1" applyBorder="1" applyAlignment="1">
      <alignment horizontal="center"/>
    </xf>
    <xf numFmtId="0" fontId="0" fillId="9" borderId="12" xfId="0" applyFill="1" applyBorder="1" applyAlignment="1">
      <alignment horizontal="center"/>
    </xf>
    <xf numFmtId="0" fontId="7" fillId="0" borderId="0" xfId="0" applyFont="1" applyAlignment="1">
      <alignment vertical="center" textRotation="255"/>
    </xf>
    <xf numFmtId="0" fontId="0" fillId="0" borderId="4" xfId="0" quotePrefix="1" applyBorder="1" applyAlignment="1">
      <alignment horizontal="center"/>
    </xf>
    <xf numFmtId="0" fontId="7" fillId="0" borderId="13" xfId="0" applyFont="1" applyBorder="1" applyAlignment="1">
      <alignment vertical="center" textRotation="255"/>
    </xf>
    <xf numFmtId="0" fontId="7" fillId="0" borderId="14" xfId="0" applyFont="1" applyBorder="1" applyAlignment="1">
      <alignment vertical="center" textRotation="255"/>
    </xf>
    <xf numFmtId="0" fontId="49" fillId="0" borderId="13" xfId="0" applyFont="1" applyBorder="1" applyAlignment="1">
      <alignment horizontal="center" vertical="center"/>
    </xf>
    <xf numFmtId="0" fontId="0" fillId="0" borderId="5" xfId="0" applyBorder="1" applyAlignment="1">
      <alignment vertical="center" textRotation="255"/>
    </xf>
    <xf numFmtId="0" fontId="0" fillId="0" borderId="8" xfId="0" quotePrefix="1" applyBorder="1" applyAlignment="1">
      <alignment horizontal="center"/>
    </xf>
    <xf numFmtId="0" fontId="0" fillId="0" borderId="9" xfId="0" quotePrefix="1" applyBorder="1" applyAlignment="1">
      <alignment horizontal="center"/>
    </xf>
    <xf numFmtId="0" fontId="26" fillId="15" borderId="8" xfId="0" applyFont="1" applyFill="1" applyBorder="1" applyAlignment="1">
      <alignment horizontal="center" vertical="center"/>
    </xf>
    <xf numFmtId="0" fontId="49" fillId="15" borderId="3" xfId="0" applyFont="1" applyFill="1" applyBorder="1" applyAlignment="1">
      <alignment horizontal="center" vertical="center"/>
    </xf>
    <xf numFmtId="0" fontId="49" fillId="15" borderId="0" xfId="0" applyFont="1" applyFill="1" applyAlignment="1">
      <alignment horizontal="center" vertical="center"/>
    </xf>
    <xf numFmtId="0" fontId="49" fillId="15" borderId="35" xfId="0" applyFont="1" applyFill="1" applyBorder="1" applyAlignment="1">
      <alignment horizontal="center" vertical="center"/>
    </xf>
    <xf numFmtId="20" fontId="0" fillId="0" borderId="0" xfId="0" applyNumberFormat="1" applyAlignment="1">
      <alignment horizontal="center" vertical="center"/>
    </xf>
    <xf numFmtId="0" fontId="1" fillId="0" borderId="4" xfId="0" applyFont="1" applyBorder="1" applyAlignment="1">
      <alignment horizontal="center"/>
    </xf>
    <xf numFmtId="0" fontId="62" fillId="0" borderId="0" xfId="0" applyFont="1" applyAlignment="1">
      <alignment vertical="center"/>
    </xf>
    <xf numFmtId="167" fontId="53" fillId="4" borderId="0" xfId="0" applyNumberFormat="1" applyFont="1" applyFill="1" applyAlignment="1">
      <alignment horizontal="center" vertical="center"/>
    </xf>
    <xf numFmtId="0" fontId="49" fillId="0" borderId="0" xfId="0" applyFont="1" applyAlignment="1">
      <alignment horizontal="center" vertical="center"/>
    </xf>
    <xf numFmtId="0" fontId="54" fillId="0" borderId="0" xfId="0" applyFont="1"/>
    <xf numFmtId="0" fontId="63" fillId="15" borderId="0" xfId="0" applyFont="1" applyFill="1" applyAlignment="1">
      <alignment horizontal="center" vertical="center"/>
    </xf>
    <xf numFmtId="0" fontId="49" fillId="4" borderId="0" xfId="0" applyFont="1" applyFill="1" applyAlignment="1">
      <alignment horizontal="center" vertical="center"/>
    </xf>
    <xf numFmtId="0" fontId="49" fillId="16" borderId="0" xfId="0" applyFont="1" applyFill="1" applyAlignment="1">
      <alignment horizontal="center" vertical="center"/>
    </xf>
    <xf numFmtId="0" fontId="60" fillId="10" borderId="17" xfId="0" quotePrefix="1" applyFont="1" applyFill="1" applyBorder="1" applyAlignment="1">
      <alignment vertical="center"/>
    </xf>
    <xf numFmtId="167" fontId="57" fillId="29" borderId="0" xfId="0" applyNumberFormat="1" applyFont="1" applyFill="1" applyAlignment="1">
      <alignment horizontal="center" vertical="center"/>
    </xf>
    <xf numFmtId="0" fontId="2" fillId="13" borderId="0" xfId="0" applyFont="1" applyFill="1" applyAlignment="1">
      <alignment horizontal="center"/>
    </xf>
    <xf numFmtId="167" fontId="0" fillId="0" borderId="0" xfId="0" applyNumberFormat="1"/>
    <xf numFmtId="0" fontId="51" fillId="4" borderId="0" xfId="0" applyFont="1" applyFill="1" applyAlignment="1">
      <alignment horizontal="center" vertical="center"/>
    </xf>
    <xf numFmtId="169" fontId="26" fillId="15" borderId="0" xfId="0" applyNumberFormat="1" applyFont="1" applyFill="1" applyAlignment="1">
      <alignment horizontal="center" vertical="center"/>
    </xf>
    <xf numFmtId="1" fontId="18" fillId="8" borderId="0" xfId="0" applyNumberFormat="1" applyFont="1" applyFill="1" applyAlignment="1">
      <alignment horizontal="center" vertical="center"/>
    </xf>
    <xf numFmtId="0" fontId="49" fillId="0" borderId="5" xfId="0" applyFont="1" applyBorder="1" applyAlignment="1">
      <alignment horizontal="center" vertical="center"/>
    </xf>
    <xf numFmtId="0" fontId="49" fillId="0" borderId="7" xfId="0" applyFont="1" applyBorder="1" applyAlignment="1">
      <alignment horizontal="center" vertical="center"/>
    </xf>
    <xf numFmtId="0" fontId="1" fillId="0" borderId="9" xfId="0" applyFont="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60" fillId="32" borderId="0" xfId="0" applyFont="1" applyFill="1" applyAlignment="1">
      <alignment horizontal="center" vertical="center"/>
    </xf>
    <xf numFmtId="0" fontId="0" fillId="15" borderId="0" xfId="0" applyFill="1"/>
    <xf numFmtId="0" fontId="1" fillId="15" borderId="0" xfId="0" applyFont="1" applyFill="1" applyAlignment="1">
      <alignment horizontal="center" vertical="center"/>
    </xf>
    <xf numFmtId="0" fontId="0" fillId="0" borderId="40" xfId="0" applyBorder="1"/>
    <xf numFmtId="0" fontId="16" fillId="0" borderId="17" xfId="0" applyFont="1" applyBorder="1" applyAlignment="1">
      <alignment horizontal="center" vertical="center"/>
    </xf>
    <xf numFmtId="0" fontId="0" fillId="0" borderId="17" xfId="0" applyBorder="1"/>
    <xf numFmtId="0" fontId="0" fillId="0" borderId="41" xfId="0" applyBorder="1"/>
    <xf numFmtId="0" fontId="0" fillId="8" borderId="0" xfId="0" applyFill="1" applyAlignment="1">
      <alignment vertical="center"/>
    </xf>
    <xf numFmtId="0" fontId="0" fillId="8" borderId="42" xfId="0" applyFill="1" applyBorder="1"/>
    <xf numFmtId="0" fontId="0" fillId="8" borderId="35" xfId="0" applyFill="1" applyBorder="1"/>
    <xf numFmtId="0" fontId="0" fillId="8" borderId="43" xfId="0" applyFill="1" applyBorder="1"/>
    <xf numFmtId="0" fontId="6" fillId="6" borderId="13" xfId="0" applyFont="1" applyFill="1" applyBorder="1" applyAlignment="1">
      <alignment horizontal="center"/>
    </xf>
    <xf numFmtId="0" fontId="1" fillId="8" borderId="15" xfId="0" applyFont="1" applyFill="1" applyBorder="1" applyAlignment="1">
      <alignment horizontal="center"/>
    </xf>
    <xf numFmtId="0" fontId="1" fillId="8" borderId="17" xfId="0" applyFont="1" applyFill="1" applyBorder="1" applyAlignment="1">
      <alignment horizontal="center"/>
    </xf>
    <xf numFmtId="0" fontId="6" fillId="6" borderId="0" xfId="0" applyFont="1" applyFill="1" applyAlignment="1">
      <alignment horizontal="center"/>
    </xf>
    <xf numFmtId="17" fontId="23" fillId="0" borderId="0" xfId="0" applyNumberFormat="1" applyFont="1" applyAlignment="1">
      <alignment vertical="center"/>
    </xf>
    <xf numFmtId="0" fontId="23" fillId="0" borderId="0" xfId="0" applyFont="1" applyAlignment="1">
      <alignment vertical="center"/>
    </xf>
    <xf numFmtId="0" fontId="6" fillId="0" borderId="0" xfId="0" applyFont="1" applyAlignment="1">
      <alignment horizontal="center"/>
    </xf>
    <xf numFmtId="0" fontId="0" fillId="7" borderId="13" xfId="0" applyFill="1" applyBorder="1"/>
    <xf numFmtId="0" fontId="0" fillId="13" borderId="13" xfId="0" applyFill="1" applyBorder="1" applyAlignment="1">
      <alignment horizontal="center"/>
    </xf>
    <xf numFmtId="0" fontId="0" fillId="23" borderId="13" xfId="0" applyFill="1" applyBorder="1" applyAlignment="1">
      <alignment horizontal="center"/>
    </xf>
    <xf numFmtId="0" fontId="0" fillId="13" borderId="14" xfId="0" applyFill="1" applyBorder="1" applyAlignment="1">
      <alignment horizontal="center"/>
    </xf>
    <xf numFmtId="0" fontId="0" fillId="13" borderId="12" xfId="0" applyFill="1" applyBorder="1" applyAlignment="1">
      <alignment horizontal="center"/>
    </xf>
    <xf numFmtId="0" fontId="1" fillId="33" borderId="13" xfId="0" applyFont="1" applyFill="1" applyBorder="1" applyAlignment="1">
      <alignment horizontal="center"/>
    </xf>
    <xf numFmtId="0" fontId="1" fillId="8" borderId="18" xfId="0" applyFont="1" applyFill="1" applyBorder="1" applyAlignment="1">
      <alignment horizontal="center"/>
    </xf>
    <xf numFmtId="0" fontId="0" fillId="8" borderId="5" xfId="0" applyFill="1" applyBorder="1" applyAlignment="1">
      <alignment vertical="top"/>
    </xf>
    <xf numFmtId="0" fontId="40" fillId="8" borderId="5" xfId="0" applyFont="1" applyFill="1" applyBorder="1" applyAlignment="1">
      <alignment vertical="top" wrapText="1"/>
    </xf>
    <xf numFmtId="0" fontId="30" fillId="8" borderId="0" xfId="0" applyFont="1" applyFill="1"/>
    <xf numFmtId="0" fontId="0" fillId="8" borderId="16" xfId="0" applyFill="1" applyBorder="1"/>
    <xf numFmtId="0" fontId="5" fillId="8" borderId="0" xfId="0" applyFont="1" applyFill="1" applyAlignment="1">
      <alignment horizontal="center"/>
    </xf>
    <xf numFmtId="0" fontId="10" fillId="8" borderId="0" xfId="0" applyFont="1" applyFill="1"/>
    <xf numFmtId="0" fontId="40" fillId="8" borderId="0" xfId="0" applyFont="1" applyFill="1" applyAlignment="1">
      <alignment horizontal="left"/>
    </xf>
    <xf numFmtId="0" fontId="40" fillId="8" borderId="0" xfId="0" applyFont="1" applyFill="1" applyAlignment="1">
      <alignment horizontal="center"/>
    </xf>
    <xf numFmtId="0" fontId="14" fillId="8" borderId="0" xfId="0" applyFont="1" applyFill="1" applyAlignment="1">
      <alignment horizontal="center"/>
    </xf>
    <xf numFmtId="0" fontId="14" fillId="8" borderId="0" xfId="0" applyFont="1" applyFill="1"/>
    <xf numFmtId="0" fontId="0" fillId="8" borderId="0" xfId="0" applyFill="1" applyAlignment="1">
      <alignment vertical="top"/>
    </xf>
    <xf numFmtId="0" fontId="40" fillId="8" borderId="0" xfId="0" applyFont="1" applyFill="1" applyAlignment="1">
      <alignment vertical="top" wrapText="1"/>
    </xf>
    <xf numFmtId="0" fontId="19" fillId="8" borderId="0" xfId="0" applyFont="1" applyFill="1"/>
    <xf numFmtId="0" fontId="19" fillId="8" borderId="0" xfId="0" applyFont="1" applyFill="1" applyAlignment="1">
      <alignment horizontal="right"/>
    </xf>
    <xf numFmtId="0" fontId="61" fillId="8" borderId="0" xfId="0" applyFont="1" applyFill="1" applyAlignment="1">
      <alignment horizontal="center"/>
    </xf>
    <xf numFmtId="0" fontId="8" fillId="8" borderId="0" xfId="0" applyFont="1" applyFill="1" applyAlignment="1">
      <alignment vertical="top"/>
    </xf>
    <xf numFmtId="0" fontId="1" fillId="8" borderId="0" xfId="0" applyFont="1" applyFill="1" applyAlignment="1">
      <alignment horizontal="center"/>
    </xf>
    <xf numFmtId="0" fontId="0" fillId="8" borderId="0" xfId="0" applyFill="1" applyAlignment="1">
      <alignment horizontal="center"/>
    </xf>
    <xf numFmtId="0" fontId="1" fillId="8" borderId="0" xfId="0" applyFont="1" applyFill="1"/>
    <xf numFmtId="0" fontId="1" fillId="8" borderId="0" xfId="0" applyFont="1" applyFill="1" applyAlignment="1">
      <alignment horizontal="center" vertical="center"/>
    </xf>
    <xf numFmtId="1" fontId="0" fillId="8" borderId="0" xfId="0" applyNumberFormat="1" applyFill="1" applyAlignment="1">
      <alignment horizontal="right"/>
    </xf>
    <xf numFmtId="0" fontId="1" fillId="8" borderId="0" xfId="0" applyFont="1" applyFill="1" applyAlignment="1">
      <alignment horizontal="right"/>
    </xf>
    <xf numFmtId="1" fontId="0" fillId="8" borderId="0" xfId="0" applyNumberFormat="1" applyFill="1"/>
    <xf numFmtId="0" fontId="15" fillId="8" borderId="0" xfId="0" applyFont="1" applyFill="1"/>
    <xf numFmtId="0" fontId="24" fillId="8" borderId="0" xfId="0" applyFont="1" applyFill="1" applyAlignment="1">
      <alignment horizontal="right"/>
    </xf>
    <xf numFmtId="0" fontId="7" fillId="8" borderId="0" xfId="0" applyFont="1" applyFill="1" applyAlignment="1">
      <alignment vertical="center"/>
    </xf>
    <xf numFmtId="0" fontId="18" fillId="8" borderId="0" xfId="0" applyFont="1" applyFill="1" applyAlignment="1">
      <alignment vertical="center" textRotation="255"/>
    </xf>
    <xf numFmtId="165" fontId="6" fillId="17" borderId="11" xfId="0" applyNumberFormat="1" applyFont="1" applyFill="1" applyBorder="1" applyAlignment="1">
      <alignment horizontal="center"/>
    </xf>
    <xf numFmtId="165" fontId="1" fillId="17" borderId="11" xfId="0" applyNumberFormat="1" applyFont="1" applyFill="1" applyBorder="1" applyAlignment="1">
      <alignment horizontal="center"/>
    </xf>
    <xf numFmtId="0" fontId="16" fillId="0" borderId="0" xfId="0" applyFont="1" applyAlignment="1">
      <alignment vertical="center" textRotation="180"/>
    </xf>
    <xf numFmtId="0" fontId="0" fillId="8" borderId="28" xfId="0" applyFill="1" applyBorder="1"/>
    <xf numFmtId="0" fontId="1" fillId="8" borderId="0" xfId="0" quotePrefix="1" applyFont="1" applyFill="1" applyAlignment="1">
      <alignment horizontal="right" textRotation="180"/>
    </xf>
    <xf numFmtId="0" fontId="1" fillId="8" borderId="6" xfId="0" applyFont="1" applyFill="1" applyBorder="1" applyAlignment="1">
      <alignment horizontal="left" textRotation="90"/>
    </xf>
    <xf numFmtId="0" fontId="0" fillId="8" borderId="13" xfId="0" applyFill="1" applyBorder="1"/>
    <xf numFmtId="0" fontId="10" fillId="8" borderId="0" xfId="0" applyFont="1" applyFill="1" applyAlignment="1">
      <alignment horizontal="right"/>
    </xf>
    <xf numFmtId="0" fontId="14" fillId="8" borderId="0" xfId="0" applyFont="1" applyFill="1" applyAlignment="1">
      <alignment horizontal="center" vertical="center"/>
    </xf>
    <xf numFmtId="0" fontId="0" fillId="34" borderId="0" xfId="0" applyFill="1" applyAlignment="1">
      <alignment horizontal="center"/>
    </xf>
    <xf numFmtId="17" fontId="23" fillId="35" borderId="0" xfId="0" applyNumberFormat="1" applyFont="1" applyFill="1" applyAlignment="1">
      <alignment horizontal="center" vertical="center"/>
    </xf>
    <xf numFmtId="17" fontId="23" fillId="35" borderId="5" xfId="0" applyNumberFormat="1" applyFont="1" applyFill="1" applyBorder="1" applyAlignment="1">
      <alignment horizontal="center" vertical="center"/>
    </xf>
    <xf numFmtId="17" fontId="23" fillId="35" borderId="6" xfId="0" applyNumberFormat="1" applyFont="1" applyFill="1" applyBorder="1" applyAlignment="1">
      <alignment horizontal="center" vertical="center"/>
    </xf>
    <xf numFmtId="0" fontId="1" fillId="33" borderId="12" xfId="0" applyFont="1" applyFill="1" applyBorder="1" applyAlignment="1">
      <alignment horizontal="center"/>
    </xf>
    <xf numFmtId="0" fontId="1" fillId="33" borderId="14" xfId="0" applyFont="1" applyFill="1" applyBorder="1" applyAlignment="1">
      <alignment horizontal="center"/>
    </xf>
    <xf numFmtId="0" fontId="0" fillId="34" borderId="3" xfId="0" applyFill="1" applyBorder="1"/>
    <xf numFmtId="0" fontId="0" fillId="34" borderId="0" xfId="0" applyFill="1"/>
    <xf numFmtId="0" fontId="0" fillId="34" borderId="8" xfId="0" applyFill="1" applyBorder="1"/>
    <xf numFmtId="0" fontId="0" fillId="34" borderId="3" xfId="0" applyFill="1" applyBorder="1" applyAlignment="1">
      <alignment horizontal="center"/>
    </xf>
    <xf numFmtId="0" fontId="0" fillId="34" borderId="8" xfId="0" applyFill="1" applyBorder="1" applyAlignment="1">
      <alignment horizontal="center"/>
    </xf>
    <xf numFmtId="0" fontId="0" fillId="6" borderId="6" xfId="0" applyFill="1" applyBorder="1" applyAlignment="1">
      <alignment horizontal="center"/>
    </xf>
    <xf numFmtId="0" fontId="1" fillId="33" borderId="4" xfId="0" applyFont="1" applyFill="1" applyBorder="1" applyAlignment="1">
      <alignment horizontal="center"/>
    </xf>
    <xf numFmtId="0" fontId="1" fillId="33" borderId="6" xfId="0" applyFont="1" applyFill="1" applyBorder="1" applyAlignment="1">
      <alignment horizontal="center"/>
    </xf>
    <xf numFmtId="0" fontId="1" fillId="33" borderId="9" xfId="0" applyFont="1" applyFill="1" applyBorder="1" applyAlignment="1">
      <alignment horizontal="center"/>
    </xf>
    <xf numFmtId="0" fontId="0" fillId="0" borderId="9" xfId="0" applyBorder="1" applyAlignment="1">
      <alignment horizontal="center" vertical="center"/>
    </xf>
    <xf numFmtId="0" fontId="0" fillId="0" borderId="12" xfId="0" applyBorder="1" applyAlignment="1">
      <alignment horizontal="center" vertical="center"/>
    </xf>
    <xf numFmtId="0" fontId="30" fillId="7" borderId="3" xfId="0" applyFont="1" applyFill="1" applyBorder="1"/>
    <xf numFmtId="0" fontId="30" fillId="7" borderId="12" xfId="0" applyFont="1" applyFill="1" applyBorder="1"/>
    <xf numFmtId="0" fontId="17" fillId="7" borderId="12" xfId="0" applyFont="1" applyFill="1" applyBorder="1" applyAlignment="1">
      <alignment horizontal="center"/>
    </xf>
    <xf numFmtId="0" fontId="1" fillId="7" borderId="13" xfId="0" applyFont="1" applyFill="1" applyBorder="1" applyAlignment="1">
      <alignment horizontal="center"/>
    </xf>
    <xf numFmtId="0" fontId="0" fillId="34" borderId="0" xfId="0" applyFill="1" applyAlignment="1">
      <alignment horizontal="center" vertical="center"/>
    </xf>
    <xf numFmtId="0" fontId="22" fillId="0" borderId="9" xfId="0" applyFont="1" applyBorder="1" applyAlignment="1">
      <alignment horizontal="center"/>
    </xf>
    <xf numFmtId="0" fontId="1" fillId="17" borderId="10" xfId="0" applyFont="1" applyFill="1" applyBorder="1" applyAlignment="1">
      <alignment horizontal="center"/>
    </xf>
    <xf numFmtId="0" fontId="1" fillId="22" borderId="22" xfId="0" applyFont="1" applyFill="1" applyBorder="1" applyAlignment="1">
      <alignment horizontal="center"/>
    </xf>
    <xf numFmtId="0" fontId="1" fillId="37" borderId="11" xfId="0" applyFont="1" applyFill="1" applyBorder="1" applyAlignment="1">
      <alignment horizontal="center"/>
    </xf>
    <xf numFmtId="0" fontId="0" fillId="6" borderId="8" xfId="0" applyFill="1" applyBorder="1"/>
    <xf numFmtId="0" fontId="0" fillId="6" borderId="9" xfId="0" applyFill="1" applyBorder="1"/>
    <xf numFmtId="0" fontId="0" fillId="3" borderId="0" xfId="0" applyFill="1" applyAlignment="1">
      <alignment horizontal="center" vertical="center"/>
    </xf>
    <xf numFmtId="0" fontId="6" fillId="6" borderId="0" xfId="0" applyFont="1" applyFill="1" applyAlignment="1">
      <alignment horizontal="center" vertical="center"/>
    </xf>
    <xf numFmtId="165" fontId="0" fillId="34" borderId="0" xfId="0" applyNumberFormat="1" applyFill="1" applyAlignment="1">
      <alignment horizontal="center"/>
    </xf>
    <xf numFmtId="0" fontId="0" fillId="13" borderId="7" xfId="0" applyFill="1" applyBorder="1" applyAlignment="1">
      <alignment horizontal="center" vertical="center"/>
    </xf>
    <xf numFmtId="0" fontId="0" fillId="13" borderId="8" xfId="0" applyFill="1" applyBorder="1" applyAlignment="1">
      <alignment horizontal="center" vertical="center"/>
    </xf>
    <xf numFmtId="0" fontId="0" fillId="34" borderId="3" xfId="0" applyFill="1" applyBorder="1" applyAlignment="1">
      <alignment horizontal="center" vertical="center"/>
    </xf>
    <xf numFmtId="0" fontId="0" fillId="34" borderId="8" xfId="0" applyFill="1" applyBorder="1" applyAlignment="1">
      <alignment horizontal="center" vertical="center"/>
    </xf>
    <xf numFmtId="2" fontId="0" fillId="0" borderId="0" xfId="0" applyNumberFormat="1" applyAlignment="1">
      <alignment horizontal="center"/>
    </xf>
    <xf numFmtId="0" fontId="0" fillId="38" borderId="0" xfId="0" applyFill="1" applyAlignment="1">
      <alignment horizontal="center"/>
    </xf>
    <xf numFmtId="164" fontId="0" fillId="34" borderId="0" xfId="0" applyNumberFormat="1" applyFill="1" applyAlignment="1">
      <alignment horizontal="center"/>
    </xf>
    <xf numFmtId="164" fontId="0" fillId="34" borderId="8" xfId="0" applyNumberFormat="1" applyFill="1" applyBorder="1" applyAlignment="1">
      <alignment horizontal="center"/>
    </xf>
    <xf numFmtId="164" fontId="0" fillId="0" borderId="8" xfId="0" applyNumberFormat="1" applyBorder="1" applyAlignment="1">
      <alignment horizontal="center"/>
    </xf>
    <xf numFmtId="169" fontId="0" fillId="0" borderId="13" xfId="0" applyNumberFormat="1" applyBorder="1" applyAlignment="1">
      <alignment horizontal="center"/>
    </xf>
    <xf numFmtId="0" fontId="0" fillId="6" borderId="5" xfId="0" applyFill="1" applyBorder="1" applyAlignment="1">
      <alignment horizontal="center" vertical="center"/>
    </xf>
    <xf numFmtId="0" fontId="1" fillId="37" borderId="0" xfId="0" applyFont="1" applyFill="1" applyAlignment="1">
      <alignment horizontal="center"/>
    </xf>
    <xf numFmtId="0" fontId="1" fillId="37" borderId="1" xfId="0" applyFont="1" applyFill="1" applyBorder="1" applyAlignment="1">
      <alignment horizontal="center"/>
    </xf>
    <xf numFmtId="0" fontId="0" fillId="8" borderId="13" xfId="0" applyFill="1" applyBorder="1" applyAlignment="1">
      <alignment horizontal="center"/>
    </xf>
    <xf numFmtId="0" fontId="0" fillId="8" borderId="14" xfId="0" applyFill="1" applyBorder="1" applyAlignment="1">
      <alignment horizontal="center"/>
    </xf>
    <xf numFmtId="17" fontId="1" fillId="0" borderId="1" xfId="0" applyNumberFormat="1" applyFont="1" applyBorder="1" applyAlignment="1">
      <alignment horizontal="center"/>
    </xf>
    <xf numFmtId="0" fontId="0" fillId="0" borderId="1" xfId="0" applyBorder="1" applyAlignment="1">
      <alignment horizontal="center" vertical="center"/>
    </xf>
    <xf numFmtId="169" fontId="0" fillId="0" borderId="0" xfId="0" applyNumberFormat="1" applyAlignment="1">
      <alignment horizontal="center"/>
    </xf>
    <xf numFmtId="169" fontId="0" fillId="34" borderId="0" xfId="0" applyNumberFormat="1" applyFill="1" applyAlignment="1">
      <alignment horizontal="center"/>
    </xf>
    <xf numFmtId="169" fontId="0" fillId="0" borderId="12" xfId="0" applyNumberFormat="1" applyBorder="1" applyAlignment="1">
      <alignment horizontal="center"/>
    </xf>
    <xf numFmtId="169" fontId="1" fillId="33" borderId="4" xfId="0" applyNumberFormat="1" applyFont="1" applyFill="1" applyBorder="1" applyAlignment="1">
      <alignment horizontal="center"/>
    </xf>
    <xf numFmtId="169" fontId="1" fillId="33" borderId="6" xfId="0" applyNumberFormat="1" applyFont="1" applyFill="1" applyBorder="1" applyAlignment="1">
      <alignment horizontal="center"/>
    </xf>
    <xf numFmtId="169" fontId="0" fillId="0" borderId="14" xfId="0" applyNumberFormat="1" applyBorder="1" applyAlignment="1">
      <alignment horizontal="center"/>
    </xf>
    <xf numFmtId="169" fontId="1" fillId="33" borderId="9" xfId="0" applyNumberFormat="1" applyFont="1" applyFill="1" applyBorder="1" applyAlignment="1">
      <alignment horizontal="center"/>
    </xf>
    <xf numFmtId="172" fontId="0" fillId="0" borderId="0" xfId="0" applyNumberFormat="1" applyAlignment="1">
      <alignment horizontal="center" vertical="center"/>
    </xf>
    <xf numFmtId="172" fontId="0" fillId="34" borderId="0" xfId="0" applyNumberFormat="1" applyFill="1" applyAlignment="1">
      <alignment horizontal="center" vertical="center"/>
    </xf>
    <xf numFmtId="172" fontId="0" fillId="0" borderId="13" xfId="0" applyNumberFormat="1" applyBorder="1" applyAlignment="1">
      <alignment horizontal="center"/>
    </xf>
    <xf numFmtId="172" fontId="1" fillId="33" borderId="13" xfId="0" applyNumberFormat="1" applyFont="1" applyFill="1" applyBorder="1" applyAlignment="1">
      <alignment horizontal="center"/>
    </xf>
    <xf numFmtId="169" fontId="0" fillId="13" borderId="0" xfId="0" applyNumberFormat="1" applyFill="1" applyAlignment="1">
      <alignment horizontal="center" vertical="center"/>
    </xf>
    <xf numFmtId="169" fontId="0" fillId="13" borderId="1" xfId="0" applyNumberFormat="1" applyFill="1" applyBorder="1" applyAlignment="1">
      <alignment horizontal="center"/>
    </xf>
    <xf numFmtId="169" fontId="1" fillId="33" borderId="1" xfId="0" applyNumberFormat="1" applyFont="1" applyFill="1" applyBorder="1" applyAlignment="1">
      <alignment horizontal="center"/>
    </xf>
    <xf numFmtId="0" fontId="49" fillId="0" borderId="12" xfId="0" applyFont="1" applyBorder="1" applyAlignment="1">
      <alignment horizontal="center" vertical="center"/>
    </xf>
    <xf numFmtId="0" fontId="0" fillId="0" borderId="2" xfId="0" applyBorder="1" applyAlignment="1">
      <alignment vertical="center" textRotation="255"/>
    </xf>
    <xf numFmtId="0" fontId="49" fillId="0" borderId="14" xfId="0" applyFont="1" applyBorder="1" applyAlignment="1">
      <alignment horizontal="center" vertical="center"/>
    </xf>
    <xf numFmtId="0" fontId="0" fillId="0" borderId="7" xfId="0" applyBorder="1" applyAlignment="1">
      <alignment vertical="center" textRotation="255"/>
    </xf>
    <xf numFmtId="0" fontId="20" fillId="8" borderId="0" xfId="0" applyFont="1" applyFill="1" applyAlignment="1">
      <alignment horizontal="center"/>
    </xf>
    <xf numFmtId="0" fontId="12" fillId="8" borderId="37" xfId="0" applyFont="1" applyFill="1" applyBorder="1" applyAlignment="1">
      <alignment horizontal="center"/>
    </xf>
    <xf numFmtId="0" fontId="12" fillId="8" borderId="50" xfId="0" applyFont="1" applyFill="1" applyBorder="1" applyAlignment="1">
      <alignment horizontal="center"/>
    </xf>
    <xf numFmtId="0" fontId="37" fillId="0" borderId="0" xfId="0" applyFont="1" applyAlignment="1">
      <alignment horizontal="center" vertical="center"/>
    </xf>
    <xf numFmtId="0" fontId="69" fillId="0" borderId="0" xfId="3" applyFont="1" applyBorder="1" applyAlignment="1">
      <alignment horizontal="center" vertical="center"/>
    </xf>
    <xf numFmtId="0" fontId="69" fillId="0" borderId="0" xfId="3" applyFont="1" applyFill="1" applyBorder="1" applyAlignment="1">
      <alignment horizontal="center" vertical="center"/>
    </xf>
    <xf numFmtId="0" fontId="1" fillId="0" borderId="29" xfId="4" applyFont="1" applyBorder="1" applyAlignment="1">
      <alignment horizontal="left" vertical="center"/>
    </xf>
    <xf numFmtId="1" fontId="32" fillId="22" borderId="29" xfId="6" applyNumberFormat="1" applyFill="1" applyBorder="1" applyAlignment="1">
      <alignment horizontal="center" vertical="center"/>
    </xf>
    <xf numFmtId="1" fontId="32" fillId="17" borderId="29" xfId="5" applyNumberFormat="1" applyFill="1" applyBorder="1" applyAlignment="1">
      <alignment horizontal="center" vertical="center"/>
    </xf>
    <xf numFmtId="9" fontId="32" fillId="0" borderId="29" xfId="4" applyNumberFormat="1" applyFont="1" applyFill="1" applyBorder="1" applyAlignment="1">
      <alignment horizontal="center" vertical="center"/>
    </xf>
    <xf numFmtId="0" fontId="49" fillId="0" borderId="29" xfId="4" applyFont="1" applyBorder="1" applyAlignment="1">
      <alignment horizontal="center" vertical="center"/>
    </xf>
    <xf numFmtId="0" fontId="1" fillId="0" borderId="51" xfId="4" applyFont="1" applyBorder="1" applyAlignment="1">
      <alignment horizontal="left" vertical="center"/>
    </xf>
    <xf numFmtId="1" fontId="32" fillId="22" borderId="51" xfId="6" applyNumberFormat="1" applyFill="1" applyBorder="1" applyAlignment="1">
      <alignment horizontal="center" vertical="center"/>
    </xf>
    <xf numFmtId="1" fontId="32" fillId="17" borderId="51" xfId="5" applyNumberFormat="1" applyFill="1" applyBorder="1" applyAlignment="1">
      <alignment horizontal="center" vertical="center"/>
    </xf>
    <xf numFmtId="9" fontId="32" fillId="0" borderId="51" xfId="4" applyNumberFormat="1" applyFont="1" applyFill="1" applyBorder="1" applyAlignment="1">
      <alignment horizontal="center" vertical="center"/>
    </xf>
    <xf numFmtId="0" fontId="49" fillId="0" borderId="10" xfId="4" applyFont="1" applyBorder="1" applyAlignment="1">
      <alignment horizontal="center" vertical="center"/>
    </xf>
    <xf numFmtId="9" fontId="32" fillId="0" borderId="11" xfId="4" applyNumberFormat="1" applyFont="1" applyFill="1" applyBorder="1" applyAlignment="1">
      <alignment horizontal="center" vertical="center"/>
    </xf>
    <xf numFmtId="1" fontId="1" fillId="22" borderId="22" xfId="6" applyNumberFormat="1" applyFont="1" applyFill="1" applyBorder="1" applyAlignment="1">
      <alignment horizontal="center" vertical="center"/>
    </xf>
    <xf numFmtId="1" fontId="1" fillId="17" borderId="22" xfId="5" applyNumberFormat="1" applyFont="1" applyFill="1" applyBorder="1" applyAlignment="1">
      <alignment horizontal="center" vertical="center"/>
    </xf>
    <xf numFmtId="0" fontId="70" fillId="0" borderId="0" xfId="0" applyFont="1" applyAlignment="1">
      <alignment horizontal="left"/>
    </xf>
    <xf numFmtId="0" fontId="70" fillId="0" borderId="0" xfId="0" applyFont="1" applyAlignment="1">
      <alignment horizontal="center" vertical="center"/>
    </xf>
    <xf numFmtId="170" fontId="70" fillId="0" borderId="0" xfId="0" applyNumberFormat="1" applyFont="1" applyAlignment="1">
      <alignment horizontal="center" vertical="center"/>
    </xf>
    <xf numFmtId="0" fontId="1" fillId="0" borderId="52" xfId="4" applyFont="1" applyBorder="1" applyAlignment="1">
      <alignment horizontal="left" vertical="center"/>
    </xf>
    <xf numFmtId="1" fontId="32" fillId="22" borderId="52" xfId="6" applyNumberFormat="1" applyFill="1" applyBorder="1" applyAlignment="1">
      <alignment horizontal="center" vertical="center"/>
    </xf>
    <xf numFmtId="1" fontId="32" fillId="17" borderId="52" xfId="5" applyNumberFormat="1" applyFill="1" applyBorder="1" applyAlignment="1">
      <alignment horizontal="center" vertical="center"/>
    </xf>
    <xf numFmtId="9" fontId="32" fillId="0" borderId="52" xfId="4" applyNumberFormat="1" applyFont="1" applyFill="1" applyBorder="1" applyAlignment="1">
      <alignment horizontal="center" vertical="center"/>
    </xf>
    <xf numFmtId="0" fontId="49" fillId="0" borderId="53" xfId="4" applyFont="1" applyBorder="1" applyAlignment="1">
      <alignment horizontal="center" vertical="center"/>
    </xf>
    <xf numFmtId="1" fontId="1" fillId="22" borderId="54" xfId="6" applyNumberFormat="1" applyFont="1" applyFill="1" applyBorder="1" applyAlignment="1">
      <alignment horizontal="center" vertical="center"/>
    </xf>
    <xf numFmtId="1" fontId="1" fillId="17" borderId="54" xfId="5" applyNumberFormat="1" applyFont="1" applyFill="1" applyBorder="1" applyAlignment="1">
      <alignment horizontal="center" vertical="center"/>
    </xf>
    <xf numFmtId="9" fontId="32" fillId="0" borderId="55" xfId="4" applyNumberFormat="1" applyFont="1" applyFill="1" applyBorder="1" applyAlignment="1">
      <alignment horizontal="center" vertical="center"/>
    </xf>
    <xf numFmtId="169" fontId="1" fillId="22" borderId="54" xfId="6" applyNumberFormat="1" applyFont="1" applyFill="1" applyBorder="1" applyAlignment="1">
      <alignment horizontal="center" vertical="center"/>
    </xf>
    <xf numFmtId="169" fontId="1" fillId="17" borderId="54" xfId="5" applyNumberFormat="1" applyFont="1" applyFill="1" applyBorder="1" applyAlignment="1">
      <alignment horizontal="center" vertical="center"/>
    </xf>
    <xf numFmtId="0" fontId="69" fillId="17" borderId="0" xfId="3" applyFont="1" applyFill="1" applyBorder="1" applyAlignment="1">
      <alignment horizontal="left" vertical="center"/>
    </xf>
    <xf numFmtId="0" fontId="7" fillId="17" borderId="35" xfId="2" applyFont="1" applyFill="1" applyBorder="1" applyAlignment="1">
      <alignment horizontal="center" vertical="center"/>
    </xf>
    <xf numFmtId="1" fontId="0" fillId="17" borderId="29" xfId="5" applyNumberFormat="1" applyFont="1" applyFill="1" applyBorder="1" applyAlignment="1">
      <alignment horizontal="center" vertical="center"/>
    </xf>
    <xf numFmtId="1" fontId="32" fillId="37" borderId="29" xfId="6" applyNumberFormat="1" applyFill="1" applyBorder="1" applyAlignment="1">
      <alignment horizontal="center" vertical="center"/>
    </xf>
    <xf numFmtId="1" fontId="32" fillId="37" borderId="51" xfId="6" applyNumberFormat="1" applyFill="1" applyBorder="1" applyAlignment="1">
      <alignment horizontal="center" vertical="center"/>
    </xf>
    <xf numFmtId="1" fontId="1" fillId="37" borderId="54" xfId="6" applyNumberFormat="1" applyFont="1" applyFill="1" applyBorder="1" applyAlignment="1">
      <alignment horizontal="center" vertical="center"/>
    </xf>
    <xf numFmtId="0" fontId="1" fillId="0" borderId="29" xfId="4" applyFont="1" applyFill="1" applyBorder="1" applyAlignment="1">
      <alignment horizontal="left" vertical="center"/>
    </xf>
    <xf numFmtId="169" fontId="32" fillId="37" borderId="29" xfId="6" applyNumberFormat="1" applyFill="1" applyBorder="1" applyAlignment="1">
      <alignment horizontal="center" vertical="center"/>
    </xf>
    <xf numFmtId="169" fontId="32" fillId="17" borderId="29" xfId="5" applyNumberFormat="1" applyFill="1" applyBorder="1" applyAlignment="1">
      <alignment horizontal="center" vertical="center"/>
    </xf>
    <xf numFmtId="17" fontId="0" fillId="0" borderId="0" xfId="0" applyNumberFormat="1"/>
    <xf numFmtId="0" fontId="3" fillId="9" borderId="13" xfId="0" applyFont="1" applyFill="1" applyBorder="1" applyAlignment="1">
      <alignment horizontal="center"/>
    </xf>
    <xf numFmtId="0" fontId="1" fillId="0" borderId="23" xfId="0" applyFont="1" applyBorder="1" applyAlignment="1">
      <alignment horizontal="center" vertical="center"/>
    </xf>
    <xf numFmtId="0" fontId="1" fillId="0" borderId="19" xfId="0" applyFont="1" applyBorder="1" applyAlignment="1">
      <alignment horizontal="center" vertical="center"/>
    </xf>
    <xf numFmtId="0" fontId="1" fillId="15" borderId="4" xfId="0" applyFont="1" applyFill="1" applyBorder="1" applyAlignment="1">
      <alignment horizontal="center"/>
    </xf>
    <xf numFmtId="0" fontId="16" fillId="8" borderId="35" xfId="0" applyFont="1" applyFill="1" applyBorder="1" applyAlignment="1">
      <alignment horizontal="center"/>
    </xf>
    <xf numFmtId="0" fontId="6" fillId="17" borderId="1" xfId="0" applyFont="1" applyFill="1" applyBorder="1" applyAlignment="1">
      <alignment horizontal="center"/>
    </xf>
    <xf numFmtId="167" fontId="0" fillId="0" borderId="0" xfId="0" applyNumberFormat="1" applyAlignment="1">
      <alignment horizontal="center"/>
    </xf>
    <xf numFmtId="167" fontId="0" fillId="0" borderId="0" xfId="0" applyNumberFormat="1" applyAlignment="1">
      <alignment horizontal="center" vertical="center"/>
    </xf>
    <xf numFmtId="0" fontId="1" fillId="6" borderId="5" xfId="0" applyFont="1" applyFill="1" applyBorder="1" applyAlignment="1">
      <alignment horizontal="center"/>
    </xf>
    <xf numFmtId="0" fontId="17" fillId="6" borderId="6" xfId="0" applyFont="1" applyFill="1" applyBorder="1" applyAlignment="1">
      <alignment horizontal="center"/>
    </xf>
    <xf numFmtId="0" fontId="17" fillId="0" borderId="9" xfId="0" applyFont="1" applyBorder="1" applyAlignment="1">
      <alignment horizontal="center"/>
    </xf>
    <xf numFmtId="0" fontId="1" fillId="15" borderId="2" xfId="0" applyFont="1" applyFill="1" applyBorder="1" applyAlignment="1">
      <alignment horizontal="center"/>
    </xf>
    <xf numFmtId="0" fontId="17" fillId="15" borderId="4" xfId="0" applyFont="1" applyFill="1" applyBorder="1" applyAlignment="1">
      <alignment horizontal="center"/>
    </xf>
    <xf numFmtId="0" fontId="0" fillId="15" borderId="3" xfId="0" applyFill="1" applyBorder="1" applyAlignment="1">
      <alignment horizontal="center"/>
    </xf>
    <xf numFmtId="0" fontId="0" fillId="39" borderId="0" xfId="0" applyFill="1"/>
    <xf numFmtId="0" fontId="0" fillId="39" borderId="0" xfId="0" applyFill="1" applyAlignment="1">
      <alignment horizontal="center"/>
    </xf>
    <xf numFmtId="0" fontId="0" fillId="8" borderId="12" xfId="0" applyFill="1" applyBorder="1" applyAlignment="1">
      <alignment horizontal="center"/>
    </xf>
    <xf numFmtId="0" fontId="0" fillId="8" borderId="1" xfId="0" applyFill="1" applyBorder="1" applyAlignment="1">
      <alignment horizontal="center"/>
    </xf>
    <xf numFmtId="0" fontId="6" fillId="15" borderId="8" xfId="0" applyFont="1" applyFill="1" applyBorder="1" applyAlignment="1">
      <alignment horizontal="center"/>
    </xf>
    <xf numFmtId="0" fontId="1" fillId="6" borderId="0" xfId="0" applyFont="1" applyFill="1"/>
    <xf numFmtId="0" fontId="1" fillId="37" borderId="14" xfId="0" applyFont="1" applyFill="1" applyBorder="1" applyAlignment="1">
      <alignment horizontal="center"/>
    </xf>
    <xf numFmtId="1" fontId="0" fillId="15" borderId="0" xfId="0" applyNumberFormat="1" applyFill="1" applyAlignment="1">
      <alignment horizontal="center"/>
    </xf>
    <xf numFmtId="0" fontId="0" fillId="17" borderId="0" xfId="0" applyFill="1"/>
    <xf numFmtId="1" fontId="0" fillId="15" borderId="0" xfId="0" applyNumberFormat="1" applyFill="1" applyAlignment="1">
      <alignment horizontal="center" vertical="center"/>
    </xf>
    <xf numFmtId="2" fontId="0" fillId="9" borderId="36" xfId="0" applyNumberFormat="1" applyFill="1" applyBorder="1" applyAlignment="1">
      <alignment horizontal="center"/>
    </xf>
    <xf numFmtId="0" fontId="31" fillId="0" borderId="7" xfId="0" applyFont="1" applyBorder="1" applyAlignment="1">
      <alignment horizontal="center" vertical="center"/>
    </xf>
    <xf numFmtId="0" fontId="0" fillId="0" borderId="0" xfId="0"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0" borderId="8" xfId="0" applyBorder="1" applyAlignment="1">
      <alignment horizontal="center" vertical="center"/>
    </xf>
    <xf numFmtId="0" fontId="0" fillId="0" borderId="8" xfId="0" applyBorder="1" applyAlignment="1">
      <alignment horizontal="center"/>
    </xf>
    <xf numFmtId="0" fontId="0" fillId="15" borderId="0" xfId="0" applyFill="1" applyAlignment="1">
      <alignment horizontal="center"/>
    </xf>
    <xf numFmtId="0" fontId="1" fillId="0" borderId="0" xfId="0" applyFont="1" applyAlignment="1">
      <alignment horizontal="center"/>
    </xf>
    <xf numFmtId="0" fontId="1" fillId="0" borderId="0" xfId="0" applyFont="1" applyBorder="1" applyAlignment="1">
      <alignment horizontal="center"/>
    </xf>
    <xf numFmtId="0" fontId="0" fillId="15" borderId="0" xfId="0" applyFill="1" applyBorder="1" applyAlignment="1">
      <alignment horizontal="center"/>
    </xf>
    <xf numFmtId="0" fontId="0" fillId="0" borderId="0" xfId="0" applyBorder="1"/>
    <xf numFmtId="0" fontId="0" fillId="15" borderId="0" xfId="0" applyFill="1" applyBorder="1"/>
    <xf numFmtId="0" fontId="0" fillId="0" borderId="0" xfId="0" applyFill="1"/>
    <xf numFmtId="167" fontId="49" fillId="0" borderId="29" xfId="0" applyNumberFormat="1" applyFont="1" applyFill="1" applyBorder="1" applyAlignment="1">
      <alignment horizontal="center" vertical="center"/>
    </xf>
    <xf numFmtId="1" fontId="0" fillId="0" borderId="5" xfId="0" applyNumberFormat="1" applyBorder="1" applyAlignment="1">
      <alignment horizontal="center" vertical="center"/>
    </xf>
    <xf numFmtId="1" fontId="0" fillId="0" borderId="0" xfId="0" quotePrefix="1" applyNumberFormat="1"/>
    <xf numFmtId="1" fontId="0" fillId="0" borderId="2" xfId="0" applyNumberFormat="1" applyBorder="1" applyAlignment="1">
      <alignment horizontal="center"/>
    </xf>
    <xf numFmtId="1" fontId="0" fillId="0" borderId="5" xfId="0" applyNumberFormat="1" applyBorder="1" applyAlignment="1">
      <alignment horizontal="center"/>
    </xf>
    <xf numFmtId="1" fontId="1" fillId="0" borderId="5" xfId="0" applyNumberFormat="1" applyFont="1" applyBorder="1" applyAlignment="1">
      <alignment horizontal="center" vertical="center"/>
    </xf>
    <xf numFmtId="1" fontId="0" fillId="0" borderId="5" xfId="0" quotePrefix="1" applyNumberFormat="1" applyBorder="1" applyAlignment="1">
      <alignment horizontal="center"/>
    </xf>
    <xf numFmtId="1" fontId="0" fillId="0" borderId="5" xfId="0" applyNumberFormat="1" applyBorder="1"/>
    <xf numFmtId="1" fontId="0" fillId="0" borderId="7" xfId="0" quotePrefix="1" applyNumberFormat="1" applyBorder="1" applyAlignment="1">
      <alignment horizontal="center"/>
    </xf>
    <xf numFmtId="0" fontId="0" fillId="0" borderId="0" xfId="0" applyBorder="1" applyAlignment="1">
      <alignment horizontal="center" vertical="center"/>
    </xf>
    <xf numFmtId="14" fontId="0" fillId="0" borderId="0" xfId="0" applyNumberFormat="1" applyBorder="1" applyAlignment="1">
      <alignment horizontal="center" vertical="center"/>
    </xf>
    <xf numFmtId="0" fontId="19" fillId="0" borderId="0" xfId="0" applyFont="1" applyBorder="1" applyAlignment="1">
      <alignment horizontal="center" vertical="center"/>
    </xf>
    <xf numFmtId="20" fontId="0" fillId="0" borderId="0" xfId="0" applyNumberFormat="1" applyBorder="1" applyAlignment="1">
      <alignment horizontal="center" vertical="center"/>
    </xf>
    <xf numFmtId="0" fontId="0" fillId="0" borderId="0" xfId="0" applyBorder="1" applyAlignment="1">
      <alignment horizontal="center"/>
    </xf>
    <xf numFmtId="14" fontId="0" fillId="0" borderId="8" xfId="0" applyNumberFormat="1" applyBorder="1" applyAlignment="1">
      <alignment horizontal="center" vertical="center"/>
    </xf>
    <xf numFmtId="20" fontId="0" fillId="0" borderId="8" xfId="0" applyNumberFormat="1" applyBorder="1" applyAlignment="1">
      <alignment horizontal="center" vertical="center"/>
    </xf>
    <xf numFmtId="0" fontId="0" fillId="17" borderId="1" xfId="0" applyFill="1" applyBorder="1" applyAlignment="1">
      <alignment horizontal="center"/>
    </xf>
    <xf numFmtId="0" fontId="0" fillId="17" borderId="10" xfId="0" applyFill="1" applyBorder="1" applyAlignment="1">
      <alignment horizontal="center"/>
    </xf>
    <xf numFmtId="0" fontId="0" fillId="17" borderId="22" xfId="0" applyFill="1" applyBorder="1" applyAlignment="1">
      <alignment horizontal="center"/>
    </xf>
    <xf numFmtId="0" fontId="0" fillId="17" borderId="11" xfId="0" applyFill="1" applyBorder="1" applyAlignment="1">
      <alignment horizontal="center"/>
    </xf>
    <xf numFmtId="0" fontId="1" fillId="40" borderId="5" xfId="0" applyFont="1" applyFill="1" applyBorder="1" applyAlignment="1">
      <alignment horizontal="center"/>
    </xf>
    <xf numFmtId="0" fontId="0" fillId="41" borderId="0" xfId="0" applyFill="1" applyAlignment="1">
      <alignment horizontal="center"/>
    </xf>
    <xf numFmtId="0" fontId="30" fillId="40" borderId="12" xfId="0" applyFont="1" applyFill="1" applyBorder="1" applyAlignment="1">
      <alignment horizontal="center"/>
    </xf>
    <xf numFmtId="0" fontId="30" fillId="40" borderId="6" xfId="0" applyFont="1" applyFill="1" applyBorder="1" applyAlignment="1">
      <alignment horizontal="center"/>
    </xf>
    <xf numFmtId="0" fontId="0" fillId="40" borderId="13" xfId="0" applyFill="1" applyBorder="1" applyAlignment="1">
      <alignment horizontal="center" vertical="center"/>
    </xf>
    <xf numFmtId="0" fontId="30" fillId="40" borderId="13" xfId="0" applyFont="1" applyFill="1" applyBorder="1" applyAlignment="1">
      <alignment horizontal="center"/>
    </xf>
    <xf numFmtId="0" fontId="30" fillId="40" borderId="14" xfId="0" applyFont="1" applyFill="1" applyBorder="1" applyAlignment="1">
      <alignment horizontal="center"/>
    </xf>
    <xf numFmtId="0" fontId="0" fillId="40" borderId="23" xfId="0" applyFill="1" applyBorder="1" applyAlignment="1">
      <alignment horizontal="center"/>
    </xf>
    <xf numFmtId="0" fontId="0" fillId="42" borderId="18" xfId="0" applyFill="1" applyBorder="1" applyAlignment="1">
      <alignment horizontal="center"/>
    </xf>
    <xf numFmtId="0" fontId="30" fillId="40" borderId="5" xfId="0" applyFont="1" applyFill="1" applyBorder="1" applyAlignment="1">
      <alignment horizontal="center"/>
    </xf>
    <xf numFmtId="0" fontId="30" fillId="42" borderId="1" xfId="0" applyFont="1" applyFill="1" applyBorder="1" applyAlignment="1">
      <alignment horizontal="center"/>
    </xf>
    <xf numFmtId="0" fontId="0" fillId="40" borderId="3" xfId="0" applyFill="1" applyBorder="1"/>
    <xf numFmtId="0" fontId="0" fillId="40" borderId="4" xfId="0" applyFill="1" applyBorder="1"/>
    <xf numFmtId="0" fontId="0" fillId="40" borderId="5" xfId="0" applyFill="1" applyBorder="1"/>
    <xf numFmtId="0" fontId="0" fillId="40" borderId="0" xfId="0" applyFill="1"/>
    <xf numFmtId="0" fontId="30" fillId="43" borderId="1" xfId="0" applyFont="1" applyFill="1" applyBorder="1" applyAlignment="1">
      <alignment horizontal="center"/>
    </xf>
    <xf numFmtId="0" fontId="0" fillId="40" borderId="8" xfId="0" applyFill="1" applyBorder="1"/>
    <xf numFmtId="0" fontId="0" fillId="40" borderId="9" xfId="0" applyFill="1" applyBorder="1"/>
    <xf numFmtId="0" fontId="0" fillId="40" borderId="13" xfId="0" applyFill="1" applyBorder="1" applyAlignment="1">
      <alignment horizontal="center"/>
    </xf>
    <xf numFmtId="0" fontId="0" fillId="40" borderId="6" xfId="0" applyFill="1" applyBorder="1" applyAlignment="1">
      <alignment horizontal="center"/>
    </xf>
    <xf numFmtId="0" fontId="0" fillId="40" borderId="30" xfId="0" applyFill="1" applyBorder="1" applyAlignment="1">
      <alignment horizontal="center"/>
    </xf>
    <xf numFmtId="0" fontId="0" fillId="42" borderId="32" xfId="0" applyFill="1" applyBorder="1" applyAlignment="1">
      <alignment horizontal="center"/>
    </xf>
    <xf numFmtId="0" fontId="0" fillId="0" borderId="0" xfId="0" applyAlignment="1">
      <alignment horizontal="center"/>
    </xf>
    <xf numFmtId="0" fontId="0" fillId="15" borderId="0" xfId="0" applyFill="1" applyAlignment="1">
      <alignment horizontal="center"/>
    </xf>
    <xf numFmtId="0" fontId="0" fillId="13" borderId="0" xfId="0" applyFill="1" applyBorder="1" applyAlignment="1">
      <alignment horizontal="center"/>
    </xf>
    <xf numFmtId="167" fontId="54" fillId="0" borderId="0" xfId="0" applyNumberFormat="1" applyFont="1" applyBorder="1" applyAlignment="1">
      <alignment vertical="center"/>
    </xf>
    <xf numFmtId="167" fontId="54" fillId="0" borderId="1" xfId="0" applyNumberFormat="1" applyFont="1" applyBorder="1" applyAlignment="1">
      <alignment vertical="center"/>
    </xf>
    <xf numFmtId="167" fontId="0" fillId="6" borderId="0" xfId="0" applyNumberFormat="1" applyFill="1"/>
    <xf numFmtId="167" fontId="1" fillId="17" borderId="10" xfId="0" applyNumberFormat="1" applyFont="1" applyFill="1" applyBorder="1" applyAlignment="1">
      <alignment horizontal="center"/>
    </xf>
    <xf numFmtId="167" fontId="1" fillId="22" borderId="22" xfId="0" applyNumberFormat="1" applyFont="1" applyFill="1" applyBorder="1" applyAlignment="1">
      <alignment horizontal="center"/>
    </xf>
    <xf numFmtId="167" fontId="1" fillId="37" borderId="11" xfId="0" applyNumberFormat="1" applyFont="1" applyFill="1" applyBorder="1" applyAlignment="1">
      <alignment horizontal="center"/>
    </xf>
    <xf numFmtId="167" fontId="0" fillId="0" borderId="6" xfId="0" applyNumberFormat="1" applyBorder="1" applyAlignment="1">
      <alignment horizontal="center" vertical="center"/>
    </xf>
    <xf numFmtId="167" fontId="0" fillId="0" borderId="8" xfId="0" applyNumberFormat="1" applyBorder="1" applyAlignment="1">
      <alignment horizontal="center" vertical="center"/>
    </xf>
    <xf numFmtId="167" fontId="0" fillId="0" borderId="9" xfId="0" applyNumberFormat="1" applyBorder="1" applyAlignment="1">
      <alignment horizontal="center" vertical="center"/>
    </xf>
    <xf numFmtId="167" fontId="0" fillId="0" borderId="3" xfId="0" applyNumberFormat="1" applyBorder="1" applyAlignment="1">
      <alignment horizontal="center" vertical="center"/>
    </xf>
    <xf numFmtId="167" fontId="0" fillId="0" borderId="4" xfId="0" applyNumberFormat="1" applyBorder="1" applyAlignment="1">
      <alignment horizontal="center" vertical="center"/>
    </xf>
    <xf numFmtId="167" fontId="0" fillId="6" borderId="6" xfId="0" applyNumberFormat="1" applyFill="1" applyBorder="1"/>
    <xf numFmtId="167" fontId="0" fillId="6" borderId="0" xfId="0" applyNumberFormat="1" applyFill="1" applyAlignment="1">
      <alignment horizontal="center"/>
    </xf>
    <xf numFmtId="167" fontId="0" fillId="6" borderId="6" xfId="0" applyNumberFormat="1" applyFill="1" applyBorder="1" applyAlignment="1">
      <alignment horizontal="center"/>
    </xf>
    <xf numFmtId="167" fontId="0" fillId="23" borderId="0" xfId="0" applyNumberFormat="1" applyFill="1" applyAlignment="1">
      <alignment horizontal="center" vertical="center"/>
    </xf>
    <xf numFmtId="167" fontId="0" fillId="6" borderId="0" xfId="0" applyNumberFormat="1" applyFill="1" applyAlignment="1">
      <alignment horizontal="center" vertical="center"/>
    </xf>
    <xf numFmtId="167" fontId="0" fillId="6" borderId="6" xfId="0" applyNumberFormat="1" applyFill="1" applyBorder="1" applyAlignment="1">
      <alignment horizontal="center" vertical="center"/>
    </xf>
    <xf numFmtId="20" fontId="1" fillId="0" borderId="0" xfId="0" applyNumberFormat="1" applyFont="1" applyAlignment="1">
      <alignment horizontal="center" vertical="center"/>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1" fillId="0" borderId="12" xfId="0" applyFont="1" applyBorder="1" applyAlignment="1">
      <alignment horizontal="center" vertical="center"/>
    </xf>
    <xf numFmtId="0" fontId="1" fillId="0" borderId="14" xfId="0" applyFont="1" applyBorder="1" applyAlignment="1">
      <alignment horizontal="center" vertical="center"/>
    </xf>
    <xf numFmtId="0" fontId="6" fillId="6" borderId="0" xfId="0" applyFont="1" applyFill="1" applyAlignment="1">
      <alignment horizontal="center"/>
    </xf>
    <xf numFmtId="0" fontId="0" fillId="0" borderId="13" xfId="0" applyBorder="1" applyAlignment="1">
      <alignment horizontal="center" vertical="center"/>
    </xf>
    <xf numFmtId="0" fontId="0" fillId="0" borderId="0" xfId="0" applyBorder="1" applyAlignment="1">
      <alignment horizontal="center"/>
    </xf>
    <xf numFmtId="0" fontId="0" fillId="13" borderId="0" xfId="0" applyNumberFormat="1" applyFill="1" applyAlignment="1">
      <alignment horizontal="center"/>
    </xf>
    <xf numFmtId="0" fontId="0" fillId="0" borderId="0" xfId="0" applyNumberFormat="1" applyAlignment="1">
      <alignment horizontal="center"/>
    </xf>
    <xf numFmtId="0" fontId="0" fillId="0" borderId="0" xfId="0" quotePrefix="1" applyNumberFormat="1" applyAlignment="1">
      <alignment horizontal="center"/>
    </xf>
    <xf numFmtId="0" fontId="0" fillId="13" borderId="0" xfId="0" quotePrefix="1" applyNumberFormat="1" applyFill="1" applyAlignment="1">
      <alignment horizontal="center"/>
    </xf>
    <xf numFmtId="169" fontId="0" fillId="13" borderId="14" xfId="0" applyNumberFormat="1" applyFill="1" applyBorder="1" applyAlignment="1">
      <alignment horizontal="center"/>
    </xf>
    <xf numFmtId="169" fontId="1" fillId="33" borderId="14" xfId="0" applyNumberFormat="1" applyFont="1" applyFill="1" applyBorder="1" applyAlignment="1">
      <alignment horizontal="center"/>
    </xf>
    <xf numFmtId="169" fontId="0" fillId="34" borderId="0" xfId="0" applyNumberFormat="1" applyFill="1" applyAlignment="1">
      <alignment horizontal="center" vertical="center"/>
    </xf>
    <xf numFmtId="0" fontId="0" fillId="34" borderId="0" xfId="0" applyFill="1" applyBorder="1"/>
    <xf numFmtId="0" fontId="0" fillId="34" borderId="0" xfId="0" applyFill="1" applyBorder="1" applyAlignment="1">
      <alignment horizontal="center"/>
    </xf>
    <xf numFmtId="0" fontId="0" fillId="23" borderId="0" xfId="0" applyFill="1" applyBorder="1" applyAlignment="1">
      <alignment horizontal="center"/>
    </xf>
    <xf numFmtId="0" fontId="0" fillId="6" borderId="0" xfId="0" applyFill="1" applyBorder="1" applyAlignment="1">
      <alignment horizontal="center"/>
    </xf>
    <xf numFmtId="0" fontId="0" fillId="13" borderId="1" xfId="0" applyFill="1" applyBorder="1" applyAlignment="1">
      <alignment horizontal="center"/>
    </xf>
    <xf numFmtId="0" fontId="1" fillId="33" borderId="1" xfId="0" applyFont="1" applyFill="1" applyBorder="1" applyAlignment="1">
      <alignment horizontal="center"/>
    </xf>
    <xf numFmtId="17" fontId="23" fillId="44" borderId="5" xfId="0" applyNumberFormat="1" applyFont="1" applyFill="1" applyBorder="1" applyAlignment="1">
      <alignment horizontal="center" vertical="center"/>
    </xf>
    <xf numFmtId="17" fontId="23" fillId="44" borderId="0" xfId="0" applyNumberFormat="1" applyFont="1" applyFill="1" applyAlignment="1">
      <alignment horizontal="center" vertical="center"/>
    </xf>
    <xf numFmtId="17" fontId="23" fillId="44" borderId="6" xfId="0" applyNumberFormat="1" applyFont="1" applyFill="1" applyBorder="1" applyAlignment="1">
      <alignment horizontal="center" vertical="center"/>
    </xf>
    <xf numFmtId="167" fontId="0" fillId="34" borderId="0" xfId="0" applyNumberFormat="1" applyFill="1"/>
    <xf numFmtId="167" fontId="0" fillId="25" borderId="0" xfId="0" applyNumberFormat="1" applyFill="1"/>
    <xf numFmtId="167" fontId="0" fillId="0" borderId="0" xfId="0" applyNumberFormat="1" applyBorder="1"/>
    <xf numFmtId="167" fontId="0" fillId="34" borderId="0" xfId="0" applyNumberFormat="1" applyFill="1" applyBorder="1"/>
    <xf numFmtId="167" fontId="0" fillId="0" borderId="12" xfId="0" applyNumberFormat="1" applyBorder="1" applyAlignment="1">
      <alignment horizontal="center"/>
    </xf>
    <xf numFmtId="167" fontId="0" fillId="0" borderId="13" xfId="0" applyNumberFormat="1" applyBorder="1" applyAlignment="1">
      <alignment horizontal="center"/>
    </xf>
    <xf numFmtId="167" fontId="0" fillId="0" borderId="14" xfId="0" applyNumberFormat="1" applyBorder="1" applyAlignment="1">
      <alignment horizontal="center"/>
    </xf>
    <xf numFmtId="0" fontId="67" fillId="8" borderId="49" xfId="0" applyFont="1" applyFill="1" applyBorder="1" applyAlignment="1">
      <alignment horizontal="right" vertical="top" indent="2"/>
    </xf>
    <xf numFmtId="0" fontId="67" fillId="8" borderId="35" xfId="0" applyFont="1" applyFill="1" applyBorder="1" applyAlignment="1">
      <alignment horizontal="right" vertical="top" indent="2"/>
    </xf>
    <xf numFmtId="0" fontId="68" fillId="8" borderId="2" xfId="0" applyFont="1" applyFill="1" applyBorder="1" applyAlignment="1">
      <alignment horizontal="left" vertical="top" indent="5"/>
    </xf>
    <xf numFmtId="0" fontId="68" fillId="8" borderId="3" xfId="0" applyFont="1" applyFill="1" applyBorder="1" applyAlignment="1">
      <alignment horizontal="left" vertical="top" indent="5"/>
    </xf>
    <xf numFmtId="0" fontId="68" fillId="8" borderId="5" xfId="0" applyFont="1" applyFill="1" applyBorder="1" applyAlignment="1">
      <alignment horizontal="left" vertical="top" indent="5"/>
    </xf>
    <xf numFmtId="0" fontId="68" fillId="8" borderId="0" xfId="0" applyFont="1" applyFill="1" applyAlignment="1">
      <alignment horizontal="left" vertical="top" indent="5"/>
    </xf>
    <xf numFmtId="0" fontId="61" fillId="8" borderId="0" xfId="0" applyFont="1" applyFill="1" applyAlignment="1">
      <alignment horizontal="center"/>
    </xf>
    <xf numFmtId="0" fontId="17" fillId="8" borderId="35" xfId="0" applyFont="1" applyFill="1" applyBorder="1" applyAlignment="1">
      <alignment horizontal="center"/>
    </xf>
    <xf numFmtId="0" fontId="1" fillId="8" borderId="15" xfId="0" applyFont="1" applyFill="1" applyBorder="1" applyAlignment="1">
      <alignment horizontal="center"/>
    </xf>
    <xf numFmtId="0" fontId="29" fillId="8" borderId="0" xfId="0" applyFont="1" applyFill="1" applyAlignment="1">
      <alignment horizontal="right"/>
    </xf>
    <xf numFmtId="0" fontId="1" fillId="8" borderId="0" xfId="0" applyFont="1" applyFill="1" applyAlignment="1">
      <alignment horizontal="center"/>
    </xf>
    <xf numFmtId="0" fontId="38" fillId="0" borderId="0" xfId="0" applyFont="1" applyAlignment="1">
      <alignment horizontal="left" vertical="center"/>
    </xf>
    <xf numFmtId="0" fontId="39" fillId="0" borderId="0" xfId="0" applyFont="1" applyAlignment="1">
      <alignment horizontal="left" vertical="center"/>
    </xf>
    <xf numFmtId="0" fontId="29" fillId="8" borderId="0" xfId="0" applyFont="1" applyFill="1" applyAlignment="1">
      <alignment horizontal="center"/>
    </xf>
    <xf numFmtId="0" fontId="27" fillId="17" borderId="12" xfId="0" applyFont="1" applyFill="1" applyBorder="1" applyAlignment="1">
      <alignment horizontal="center" vertical="center"/>
    </xf>
    <xf numFmtId="0" fontId="27" fillId="17" borderId="14" xfId="0" applyFont="1" applyFill="1" applyBorder="1" applyAlignment="1">
      <alignment horizontal="center" vertical="center"/>
    </xf>
    <xf numFmtId="0" fontId="27" fillId="8" borderId="12" xfId="0" applyFont="1" applyFill="1" applyBorder="1" applyAlignment="1">
      <alignment horizontal="center" vertical="center"/>
    </xf>
    <xf numFmtId="0" fontId="27" fillId="8" borderId="14" xfId="0" applyFont="1" applyFill="1" applyBorder="1" applyAlignment="1">
      <alignment horizontal="center" vertical="center"/>
    </xf>
    <xf numFmtId="0" fontId="1" fillId="8" borderId="18" xfId="0" applyFont="1" applyFill="1" applyBorder="1" applyAlignment="1">
      <alignment horizontal="center"/>
    </xf>
    <xf numFmtId="0" fontId="1" fillId="8" borderId="17" xfId="0" applyFont="1" applyFill="1" applyBorder="1" applyAlignment="1">
      <alignment horizontal="center"/>
    </xf>
    <xf numFmtId="14" fontId="6" fillId="8" borderId="0" xfId="0" applyNumberFormat="1" applyFont="1" applyFill="1" applyAlignment="1">
      <alignment horizontal="center"/>
    </xf>
    <xf numFmtId="0" fontId="0" fillId="0" borderId="0" xfId="0" applyAlignment="1">
      <alignment horizontal="center"/>
    </xf>
    <xf numFmtId="0" fontId="5" fillId="0" borderId="40" xfId="0" applyFont="1" applyBorder="1" applyAlignment="1">
      <alignment horizontal="center" vertical="center"/>
    </xf>
    <xf numFmtId="0" fontId="5" fillId="0" borderId="41" xfId="0" applyFont="1" applyBorder="1" applyAlignment="1">
      <alignment horizontal="center" vertical="center"/>
    </xf>
    <xf numFmtId="14" fontId="1" fillId="8" borderId="0" xfId="0" applyNumberFormat="1" applyFont="1" applyFill="1" applyAlignment="1">
      <alignment horizontal="left" vertical="center"/>
    </xf>
    <xf numFmtId="0" fontId="15" fillId="8" borderId="0" xfId="0" applyFont="1" applyFill="1" applyAlignment="1">
      <alignment horizontal="center"/>
    </xf>
    <xf numFmtId="0" fontId="14" fillId="8" borderId="0" xfId="0" applyFont="1" applyFill="1" applyAlignment="1">
      <alignment horizontal="center"/>
    </xf>
    <xf numFmtId="0" fontId="6" fillId="8" borderId="15" xfId="0" applyFont="1" applyFill="1" applyBorder="1" applyAlignment="1">
      <alignment horizontal="center"/>
    </xf>
    <xf numFmtId="0" fontId="31" fillId="8" borderId="0" xfId="0" applyFont="1" applyFill="1" applyAlignment="1">
      <alignment horizontal="center" vertical="center" wrapText="1"/>
    </xf>
    <xf numFmtId="0" fontId="7" fillId="8" borderId="13" xfId="0" applyFont="1" applyFill="1" applyBorder="1" applyAlignment="1">
      <alignment horizontal="center" vertical="center" textRotation="255"/>
    </xf>
    <xf numFmtId="0" fontId="7" fillId="8" borderId="14" xfId="0" applyFont="1" applyFill="1" applyBorder="1" applyAlignment="1">
      <alignment horizontal="center" vertical="center" textRotation="255"/>
    </xf>
    <xf numFmtId="0" fontId="8" fillId="8" borderId="0" xfId="0" applyFont="1" applyFill="1" applyAlignment="1">
      <alignment horizontal="center"/>
    </xf>
    <xf numFmtId="165" fontId="16" fillId="8" borderId="10" xfId="0" applyNumberFormat="1" applyFont="1" applyFill="1" applyBorder="1" applyAlignment="1">
      <alignment horizontal="left" indent="2"/>
    </xf>
    <xf numFmtId="165" fontId="16" fillId="8" borderId="22" xfId="0" applyNumberFormat="1" applyFont="1" applyFill="1" applyBorder="1" applyAlignment="1">
      <alignment horizontal="left" indent="2"/>
    </xf>
    <xf numFmtId="0" fontId="2" fillId="17" borderId="2" xfId="0" applyFont="1" applyFill="1" applyBorder="1" applyAlignment="1">
      <alignment horizontal="center" vertical="center"/>
    </xf>
    <xf numFmtId="0" fontId="2" fillId="17" borderId="3" xfId="0" applyFont="1" applyFill="1" applyBorder="1" applyAlignment="1">
      <alignment horizontal="center" vertical="center"/>
    </xf>
    <xf numFmtId="0" fontId="2" fillId="17" borderId="4" xfId="0" applyFont="1" applyFill="1" applyBorder="1" applyAlignment="1">
      <alignment horizontal="center" vertical="center"/>
    </xf>
    <xf numFmtId="0" fontId="2" fillId="17" borderId="7" xfId="0" applyFont="1" applyFill="1" applyBorder="1" applyAlignment="1">
      <alignment horizontal="center" vertical="center"/>
    </xf>
    <xf numFmtId="0" fontId="2" fillId="17" borderId="8" xfId="0" applyFont="1" applyFill="1" applyBorder="1" applyAlignment="1">
      <alignment horizontal="center" vertical="center"/>
    </xf>
    <xf numFmtId="0" fontId="2" fillId="17" borderId="9" xfId="0" applyFont="1" applyFill="1" applyBorder="1" applyAlignment="1">
      <alignment horizontal="center" vertical="center"/>
    </xf>
    <xf numFmtId="0" fontId="1" fillId="15" borderId="10" xfId="0" applyFont="1" applyFill="1" applyBorder="1" applyAlignment="1">
      <alignment horizontal="center"/>
    </xf>
    <xf numFmtId="0" fontId="1" fillId="15" borderId="3" xfId="0" applyFont="1" applyFill="1" applyBorder="1" applyAlignment="1">
      <alignment horizontal="center"/>
    </xf>
    <xf numFmtId="0" fontId="1" fillId="15" borderId="4" xfId="0" applyFont="1" applyFill="1" applyBorder="1" applyAlignment="1">
      <alignment horizont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0" xfId="0" applyFont="1" applyAlignment="1">
      <alignment horizontal="center" vertical="center" wrapText="1"/>
    </xf>
    <xf numFmtId="0" fontId="5" fillId="0" borderId="6" xfId="0" applyFont="1" applyBorder="1" applyAlignment="1">
      <alignment horizontal="center" vertical="center" wrapText="1"/>
    </xf>
    <xf numFmtId="0" fontId="5" fillId="0" borderId="7" xfId="0" applyFont="1" applyBorder="1" applyAlignment="1">
      <alignment horizontal="center" vertical="center" wrapText="1"/>
    </xf>
    <xf numFmtId="0" fontId="5" fillId="0" borderId="8" xfId="0" applyFont="1" applyBorder="1" applyAlignment="1">
      <alignment horizontal="center" vertical="center" wrapText="1"/>
    </xf>
    <xf numFmtId="0" fontId="5" fillId="0" borderId="9" xfId="0" applyFont="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45" fillId="7" borderId="7" xfId="7" applyFont="1" applyFill="1" applyBorder="1" applyAlignment="1">
      <alignment horizontal="center" vertical="center"/>
    </xf>
    <xf numFmtId="0" fontId="45" fillId="7" borderId="9" xfId="7" applyFont="1" applyFill="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5" fillId="0" borderId="0" xfId="0" applyFont="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0" fillId="0" borderId="5" xfId="0" applyBorder="1" applyAlignment="1">
      <alignment horizontal="center"/>
    </xf>
    <xf numFmtId="0" fontId="0" fillId="0" borderId="6" xfId="0" applyBorder="1" applyAlignment="1">
      <alignment horizontal="center"/>
    </xf>
    <xf numFmtId="0" fontId="1" fillId="7" borderId="10" xfId="0" applyFont="1" applyFill="1" applyBorder="1" applyAlignment="1">
      <alignment horizontal="center"/>
    </xf>
    <xf numFmtId="0" fontId="1" fillId="7" borderId="11" xfId="0" applyFon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1" fillId="7" borderId="2" xfId="0" applyFont="1" applyFill="1" applyBorder="1" applyAlignment="1">
      <alignment horizontal="center"/>
    </xf>
    <xf numFmtId="0" fontId="1" fillId="7" borderId="4" xfId="0" applyFont="1" applyFill="1" applyBorder="1" applyAlignment="1">
      <alignment horizontal="center"/>
    </xf>
    <xf numFmtId="0" fontId="20" fillId="5" borderId="10" xfId="0" applyFont="1" applyFill="1" applyBorder="1" applyAlignment="1">
      <alignment horizontal="center" vertical="center"/>
    </xf>
    <xf numFmtId="0" fontId="20" fillId="5" borderId="11" xfId="0" applyFont="1" applyFill="1" applyBorder="1" applyAlignment="1">
      <alignment horizontal="center" vertical="center"/>
    </xf>
    <xf numFmtId="0" fontId="0" fillId="0" borderId="2" xfId="0" applyBorder="1" applyAlignment="1">
      <alignment horizontal="center"/>
    </xf>
    <xf numFmtId="0" fontId="0" fillId="0" borderId="4" xfId="0" applyBorder="1" applyAlignment="1">
      <alignment horizontal="center"/>
    </xf>
    <xf numFmtId="0" fontId="1" fillId="7" borderId="10" xfId="0" applyFont="1" applyFill="1" applyBorder="1" applyAlignment="1">
      <alignment horizontal="center" vertical="center"/>
    </xf>
    <xf numFmtId="0" fontId="1" fillId="7" borderId="11" xfId="0" applyFont="1"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1" fillId="7" borderId="5" xfId="0" applyFont="1" applyFill="1" applyBorder="1" applyAlignment="1">
      <alignment horizontal="center"/>
    </xf>
    <xf numFmtId="0" fontId="1" fillId="7" borderId="6" xfId="0" applyFont="1" applyFill="1" applyBorder="1" applyAlignment="1">
      <alignment horizontal="center"/>
    </xf>
    <xf numFmtId="0" fontId="43" fillId="7" borderId="2" xfId="7" applyFont="1" applyFill="1" applyBorder="1" applyAlignment="1">
      <alignment horizontal="center" vertical="center"/>
    </xf>
    <xf numFmtId="0" fontId="43" fillId="7" borderId="4" xfId="7"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1" fillId="0" borderId="12" xfId="0" applyFont="1" applyBorder="1" applyAlignment="1">
      <alignment horizontal="center" vertical="center"/>
    </xf>
    <xf numFmtId="0" fontId="1" fillId="0" borderId="14"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43" fillId="7" borderId="5" xfId="7" applyFont="1" applyFill="1" applyBorder="1" applyAlignment="1">
      <alignment horizontal="center" vertical="center"/>
    </xf>
    <xf numFmtId="0" fontId="43" fillId="7" borderId="6" xfId="7" applyFont="1" applyFill="1" applyBorder="1" applyAlignment="1">
      <alignment horizontal="center" vertical="center"/>
    </xf>
    <xf numFmtId="0" fontId="44" fillId="7" borderId="10" xfId="7" applyFont="1" applyFill="1" applyBorder="1" applyAlignment="1">
      <alignment horizontal="center" vertical="center"/>
    </xf>
    <xf numFmtId="0" fontId="44" fillId="7" borderId="11" xfId="7" applyFont="1" applyFill="1" applyBorder="1" applyAlignment="1">
      <alignment horizontal="center" vertical="center"/>
    </xf>
    <xf numFmtId="0" fontId="6" fillId="6" borderId="12" xfId="0" applyFont="1" applyFill="1" applyBorder="1" applyAlignment="1">
      <alignment horizontal="center"/>
    </xf>
    <xf numFmtId="0" fontId="6" fillId="6" borderId="13" xfId="0" applyFont="1" applyFill="1" applyBorder="1" applyAlignment="1">
      <alignment horizontal="center"/>
    </xf>
    <xf numFmtId="0" fontId="6" fillId="6" borderId="14" xfId="0" applyFont="1" applyFill="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1" fillId="7" borderId="2" xfId="0" applyFont="1" applyFill="1" applyBorder="1" applyAlignment="1">
      <alignment horizontal="center" vertical="center"/>
    </xf>
    <xf numFmtId="0" fontId="1" fillId="7" borderId="4" xfId="0" applyFont="1" applyFill="1" applyBorder="1" applyAlignment="1">
      <alignment horizontal="center" vertical="center"/>
    </xf>
    <xf numFmtId="0" fontId="1" fillId="7" borderId="7" xfId="0" applyFont="1" applyFill="1" applyBorder="1" applyAlignment="1">
      <alignment horizontal="center" vertical="center"/>
    </xf>
    <xf numFmtId="0" fontId="1" fillId="7" borderId="9" xfId="0" applyFont="1" applyFill="1" applyBorder="1" applyAlignment="1">
      <alignment horizontal="center" vertical="center"/>
    </xf>
    <xf numFmtId="0" fontId="15" fillId="0" borderId="2" xfId="0" applyFont="1" applyBorder="1" applyAlignment="1">
      <alignment horizontal="center"/>
    </xf>
    <xf numFmtId="0" fontId="15" fillId="0" borderId="4" xfId="0" applyFont="1" applyBorder="1" applyAlignment="1">
      <alignment horizontal="center"/>
    </xf>
    <xf numFmtId="0" fontId="15" fillId="0" borderId="5" xfId="0" applyFont="1" applyBorder="1" applyAlignment="1">
      <alignment horizontal="center"/>
    </xf>
    <xf numFmtId="0" fontId="15" fillId="0" borderId="6" xfId="0" applyFont="1" applyBorder="1" applyAlignment="1">
      <alignment horizontal="center"/>
    </xf>
    <xf numFmtId="0" fontId="20" fillId="4" borderId="10" xfId="0" applyFont="1" applyFill="1" applyBorder="1" applyAlignment="1">
      <alignment horizontal="center" vertical="center" wrapText="1"/>
    </xf>
    <xf numFmtId="0" fontId="20" fillId="4" borderId="11" xfId="0" applyFont="1" applyFill="1" applyBorder="1" applyAlignment="1">
      <alignment horizontal="center" vertical="center" wrapText="1"/>
    </xf>
    <xf numFmtId="0" fontId="20" fillId="5" borderId="10" xfId="0" applyFont="1" applyFill="1" applyBorder="1" applyAlignment="1">
      <alignment horizontal="center"/>
    </xf>
    <xf numFmtId="0" fontId="20" fillId="5" borderId="11" xfId="0" applyFont="1" applyFill="1" applyBorder="1" applyAlignment="1">
      <alignment horizontal="center"/>
    </xf>
    <xf numFmtId="0" fontId="20" fillId="5" borderId="10" xfId="0" applyFont="1" applyFill="1" applyBorder="1" applyAlignment="1">
      <alignment horizontal="center" vertical="center" wrapText="1"/>
    </xf>
    <xf numFmtId="0" fontId="20" fillId="5" borderId="11" xfId="0" applyFont="1" applyFill="1" applyBorder="1" applyAlignment="1">
      <alignment horizontal="center" vertical="center" wrapText="1"/>
    </xf>
    <xf numFmtId="0" fontId="15" fillId="0" borderId="7" xfId="0" applyFont="1" applyBorder="1" applyAlignment="1">
      <alignment horizontal="center"/>
    </xf>
    <xf numFmtId="0" fontId="15" fillId="0" borderId="9" xfId="0" applyFont="1" applyBorder="1" applyAlignment="1">
      <alignment horizontal="center"/>
    </xf>
    <xf numFmtId="0" fontId="20" fillId="4" borderId="10" xfId="0" applyFont="1" applyFill="1" applyBorder="1" applyAlignment="1">
      <alignment horizontal="center"/>
    </xf>
    <xf numFmtId="0" fontId="20" fillId="4" borderId="11" xfId="0" applyFont="1" applyFill="1" applyBorder="1" applyAlignment="1">
      <alignment horizontal="center"/>
    </xf>
    <xf numFmtId="0" fontId="4" fillId="8" borderId="7" xfId="0" applyFont="1" applyFill="1" applyBorder="1" applyAlignment="1">
      <alignment horizontal="center"/>
    </xf>
    <xf numFmtId="0" fontId="4" fillId="8" borderId="9" xfId="0" applyFont="1" applyFill="1" applyBorder="1" applyAlignment="1">
      <alignment horizontal="center"/>
    </xf>
    <xf numFmtId="0" fontId="0" fillId="8" borderId="2" xfId="0" applyFill="1" applyBorder="1" applyAlignment="1">
      <alignment horizontal="center"/>
    </xf>
    <xf numFmtId="0" fontId="0" fillId="8" borderId="4" xfId="0" applyFill="1" applyBorder="1" applyAlignment="1">
      <alignment horizontal="center"/>
    </xf>
    <xf numFmtId="0" fontId="0" fillId="8" borderId="5" xfId="0" applyFill="1" applyBorder="1" applyAlignment="1">
      <alignment horizontal="center"/>
    </xf>
    <xf numFmtId="0" fontId="0" fillId="8" borderId="6" xfId="0" applyFill="1" applyBorder="1" applyAlignment="1">
      <alignment horizontal="center"/>
    </xf>
    <xf numFmtId="0" fontId="1" fillId="36" borderId="10" xfId="0" applyFont="1" applyFill="1" applyBorder="1" applyAlignment="1">
      <alignment horizontal="center"/>
    </xf>
    <xf numFmtId="0" fontId="1" fillId="36" borderId="22" xfId="0" applyFont="1" applyFill="1" applyBorder="1" applyAlignment="1">
      <alignment horizontal="center"/>
    </xf>
    <xf numFmtId="0" fontId="1" fillId="36" borderId="11" xfId="0" applyFont="1" applyFill="1" applyBorder="1" applyAlignment="1">
      <alignment horizontal="center"/>
    </xf>
    <xf numFmtId="0" fontId="1" fillId="0" borderId="3" xfId="0" applyFont="1" applyBorder="1" applyAlignment="1">
      <alignment horizontal="center" vertical="center"/>
    </xf>
    <xf numFmtId="0" fontId="1" fillId="0" borderId="8" xfId="0" applyFont="1" applyBorder="1" applyAlignment="1">
      <alignment horizontal="center" vertical="center"/>
    </xf>
    <xf numFmtId="0" fontId="1" fillId="34" borderId="3" xfId="0" applyFont="1" applyFill="1" applyBorder="1" applyAlignment="1">
      <alignment horizontal="center" vertical="center"/>
    </xf>
    <xf numFmtId="0" fontId="1" fillId="34" borderId="8" xfId="0" applyFont="1" applyFill="1" applyBorder="1" applyAlignment="1">
      <alignment horizontal="center" vertical="center"/>
    </xf>
    <xf numFmtId="17" fontId="26" fillId="34" borderId="2" xfId="0" applyNumberFormat="1" applyFont="1" applyFill="1" applyBorder="1" applyAlignment="1">
      <alignment horizontal="center" vertical="center"/>
    </xf>
    <xf numFmtId="17" fontId="26" fillId="34" borderId="3" xfId="0" applyNumberFormat="1" applyFont="1" applyFill="1" applyBorder="1" applyAlignment="1">
      <alignment horizontal="center" vertical="center"/>
    </xf>
    <xf numFmtId="17" fontId="26" fillId="34" borderId="4" xfId="0" applyNumberFormat="1" applyFont="1" applyFill="1" applyBorder="1" applyAlignment="1">
      <alignment horizontal="center" vertical="center"/>
    </xf>
    <xf numFmtId="0" fontId="1" fillId="0" borderId="0" xfId="0" applyFont="1" applyAlignment="1">
      <alignment horizontal="center" vertic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22" borderId="10" xfId="0" applyFont="1" applyFill="1" applyBorder="1" applyAlignment="1">
      <alignment horizontal="center"/>
    </xf>
    <xf numFmtId="0" fontId="1" fillId="22" borderId="11" xfId="0" applyFont="1" applyFill="1" applyBorder="1" applyAlignment="1">
      <alignment horizontal="center"/>
    </xf>
    <xf numFmtId="0" fontId="1" fillId="33" borderId="12" xfId="0" applyFont="1" applyFill="1" applyBorder="1" applyAlignment="1">
      <alignment horizontal="center" vertical="center" wrapText="1"/>
    </xf>
    <xf numFmtId="0" fontId="1" fillId="33" borderId="14" xfId="0" applyFont="1" applyFill="1" applyBorder="1" applyAlignment="1">
      <alignment horizontal="center" vertical="center" wrapText="1"/>
    </xf>
    <xf numFmtId="0" fontId="0" fillId="0" borderId="3" xfId="0" applyBorder="1" applyAlignment="1">
      <alignment horizontal="center"/>
    </xf>
    <xf numFmtId="0" fontId="0" fillId="0" borderId="8" xfId="0" applyBorder="1" applyAlignment="1">
      <alignment horizontal="center"/>
    </xf>
    <xf numFmtId="0" fontId="1" fillId="0" borderId="19" xfId="0" applyFont="1" applyBorder="1" applyAlignment="1">
      <alignment horizontal="center" vertical="center"/>
    </xf>
    <xf numFmtId="0" fontId="20" fillId="5" borderId="5" xfId="0" applyFont="1" applyFill="1" applyBorder="1" applyAlignment="1">
      <alignment horizontal="center"/>
    </xf>
    <xf numFmtId="0" fontId="20" fillId="5" borderId="6" xfId="0" applyFont="1" applyFill="1" applyBorder="1" applyAlignment="1">
      <alignment horizontal="center"/>
    </xf>
    <xf numFmtId="0" fontId="20" fillId="5" borderId="5" xfId="0" applyFont="1" applyFill="1" applyBorder="1" applyAlignment="1">
      <alignment horizontal="center" vertical="center" wrapText="1"/>
    </xf>
    <xf numFmtId="0" fontId="20" fillId="5" borderId="6" xfId="0" applyFont="1" applyFill="1" applyBorder="1" applyAlignment="1">
      <alignment horizontal="center" vertical="center" wrapText="1"/>
    </xf>
    <xf numFmtId="0" fontId="20" fillId="5" borderId="5" xfId="0" applyFont="1" applyFill="1" applyBorder="1" applyAlignment="1">
      <alignment horizontal="center" vertical="center"/>
    </xf>
    <xf numFmtId="0" fontId="20" fillId="5" borderId="6" xfId="0" applyFont="1" applyFill="1" applyBorder="1" applyAlignment="1">
      <alignment horizontal="center" vertical="center"/>
    </xf>
    <xf numFmtId="0" fontId="20" fillId="5" borderId="7" xfId="0" applyFont="1" applyFill="1" applyBorder="1" applyAlignment="1">
      <alignment horizontal="center" vertical="center"/>
    </xf>
    <xf numFmtId="0" fontId="20" fillId="5" borderId="9" xfId="0" applyFont="1" applyFill="1" applyBorder="1" applyAlignment="1">
      <alignment horizontal="center" vertical="center"/>
    </xf>
    <xf numFmtId="0" fontId="1" fillId="22" borderId="7" xfId="0" applyFont="1" applyFill="1" applyBorder="1" applyAlignment="1">
      <alignment horizontal="center"/>
    </xf>
    <xf numFmtId="0" fontId="1" fillId="22" borderId="9" xfId="0" applyFont="1" applyFill="1" applyBorder="1" applyAlignment="1">
      <alignment horizontal="center"/>
    </xf>
    <xf numFmtId="0" fontId="1" fillId="0" borderId="23" xfId="0" applyFont="1" applyBorder="1" applyAlignment="1">
      <alignment horizontal="center" vertical="center"/>
    </xf>
    <xf numFmtId="0" fontId="20" fillId="4" borderId="2" xfId="0" applyFont="1" applyFill="1" applyBorder="1" applyAlignment="1">
      <alignment horizontal="center"/>
    </xf>
    <xf numFmtId="0" fontId="20" fillId="4" borderId="4" xfId="0" applyFont="1" applyFill="1" applyBorder="1" applyAlignment="1">
      <alignment horizontal="center"/>
    </xf>
    <xf numFmtId="0" fontId="20" fillId="4" borderId="5" xfId="0" applyFont="1" applyFill="1" applyBorder="1" applyAlignment="1">
      <alignment horizontal="center" vertical="center" wrapText="1"/>
    </xf>
    <xf numFmtId="0" fontId="20" fillId="4" borderId="6" xfId="0" applyFont="1" applyFill="1" applyBorder="1" applyAlignment="1">
      <alignment horizontal="center" vertical="center" wrapText="1"/>
    </xf>
    <xf numFmtId="0" fontId="1" fillId="22" borderId="2" xfId="0" applyFont="1" applyFill="1" applyBorder="1" applyAlignment="1">
      <alignment horizontal="center"/>
    </xf>
    <xf numFmtId="0" fontId="1" fillId="22" borderId="4" xfId="0" applyFont="1" applyFill="1" applyBorder="1" applyAlignment="1">
      <alignment horizontal="center"/>
    </xf>
    <xf numFmtId="0" fontId="0" fillId="22" borderId="10" xfId="0" applyFill="1" applyBorder="1" applyAlignment="1">
      <alignment horizontal="center"/>
    </xf>
    <xf numFmtId="0" fontId="0" fillId="22" borderId="11" xfId="0" applyFill="1" applyBorder="1" applyAlignment="1">
      <alignment horizontal="center"/>
    </xf>
    <xf numFmtId="0" fontId="6" fillId="6" borderId="2" xfId="0" applyFont="1" applyFill="1" applyBorder="1" applyAlignment="1">
      <alignment horizontal="center"/>
    </xf>
    <xf numFmtId="0" fontId="6" fillId="6" borderId="5" xfId="0" applyFont="1" applyFill="1" applyBorder="1" applyAlignment="1">
      <alignment horizont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1" fillId="22" borderId="7" xfId="0" applyFont="1" applyFill="1" applyBorder="1" applyAlignment="1">
      <alignment horizontal="center" vertical="center"/>
    </xf>
    <xf numFmtId="0" fontId="1" fillId="22" borderId="9" xfId="0" applyFont="1" applyFill="1" applyBorder="1" applyAlignment="1">
      <alignment horizontal="center" vertical="center"/>
    </xf>
    <xf numFmtId="0" fontId="0" fillId="8" borderId="7" xfId="0" applyFill="1" applyBorder="1" applyAlignment="1">
      <alignment horizontal="center"/>
    </xf>
    <xf numFmtId="0" fontId="0" fillId="8" borderId="9" xfId="0" applyFill="1" applyBorder="1" applyAlignment="1">
      <alignment horizontal="center"/>
    </xf>
    <xf numFmtId="167" fontId="54" fillId="0" borderId="10" xfId="0" applyNumberFormat="1" applyFont="1" applyBorder="1" applyAlignment="1">
      <alignment horizontal="center" vertical="center"/>
    </xf>
    <xf numFmtId="167" fontId="54" fillId="0" borderId="11" xfId="0" applyNumberFormat="1" applyFont="1" applyBorder="1" applyAlignment="1">
      <alignment horizontal="center" vertical="center"/>
    </xf>
    <xf numFmtId="17" fontId="23" fillId="22" borderId="2" xfId="0" applyNumberFormat="1" applyFont="1" applyFill="1" applyBorder="1" applyAlignment="1">
      <alignment horizontal="center" vertical="center"/>
    </xf>
    <xf numFmtId="17" fontId="23" fillId="22" borderId="3" xfId="0" applyNumberFormat="1" applyFont="1" applyFill="1" applyBorder="1" applyAlignment="1">
      <alignment horizontal="center" vertical="center"/>
    </xf>
    <xf numFmtId="17" fontId="23" fillId="22" borderId="4" xfId="0" applyNumberFormat="1" applyFont="1" applyFill="1" applyBorder="1" applyAlignment="1">
      <alignment horizontal="center" vertical="center"/>
    </xf>
    <xf numFmtId="17" fontId="23" fillId="22" borderId="7" xfId="0" applyNumberFormat="1" applyFont="1" applyFill="1" applyBorder="1" applyAlignment="1">
      <alignment horizontal="center" vertical="center"/>
    </xf>
    <xf numFmtId="17" fontId="23" fillId="22" borderId="8" xfId="0" applyNumberFormat="1" applyFont="1" applyFill="1" applyBorder="1" applyAlignment="1">
      <alignment horizontal="center" vertical="center"/>
    </xf>
    <xf numFmtId="17" fontId="23" fillId="22" borderId="9" xfId="0" applyNumberFormat="1" applyFont="1" applyFill="1" applyBorder="1" applyAlignment="1">
      <alignment horizontal="center" vertical="center"/>
    </xf>
    <xf numFmtId="0" fontId="1" fillId="8" borderId="7" xfId="0" applyFont="1" applyFill="1" applyBorder="1" applyAlignment="1">
      <alignment horizontal="center"/>
    </xf>
    <xf numFmtId="0" fontId="1" fillId="8" borderId="9" xfId="0" applyFont="1" applyFill="1" applyBorder="1" applyAlignment="1">
      <alignment horizontal="center"/>
    </xf>
    <xf numFmtId="0" fontId="0" fillId="8" borderId="10" xfId="0" applyFill="1" applyBorder="1" applyAlignment="1">
      <alignment horizontal="center"/>
    </xf>
    <xf numFmtId="0" fontId="0" fillId="8" borderId="11" xfId="0" applyFill="1" applyBorder="1" applyAlignment="1">
      <alignment horizontal="center"/>
    </xf>
    <xf numFmtId="0" fontId="43" fillId="8" borderId="2" xfId="7" applyFont="1" applyFill="1" applyBorder="1" applyAlignment="1">
      <alignment horizontal="center" vertical="center"/>
    </xf>
    <xf numFmtId="0" fontId="43" fillId="8" borderId="4" xfId="7" applyFont="1" applyFill="1" applyBorder="1" applyAlignment="1">
      <alignment horizontal="center" vertical="center"/>
    </xf>
    <xf numFmtId="0" fontId="43" fillId="8" borderId="5" xfId="7" applyFont="1" applyFill="1" applyBorder="1" applyAlignment="1">
      <alignment horizontal="center" vertical="center"/>
    </xf>
    <xf numFmtId="0" fontId="43" fillId="8" borderId="6" xfId="7" applyFont="1" applyFill="1" applyBorder="1" applyAlignment="1">
      <alignment horizontal="center" vertical="center"/>
    </xf>
    <xf numFmtId="0" fontId="45" fillId="8" borderId="7" xfId="7" applyFont="1" applyFill="1" applyBorder="1" applyAlignment="1">
      <alignment horizontal="center" vertical="center"/>
    </xf>
    <xf numFmtId="0" fontId="45" fillId="8" borderId="9" xfId="7" applyFont="1" applyFill="1" applyBorder="1" applyAlignment="1">
      <alignment horizontal="center" vertical="center"/>
    </xf>
    <xf numFmtId="0" fontId="44" fillId="8" borderId="10" xfId="7" applyFont="1" applyFill="1" applyBorder="1" applyAlignment="1">
      <alignment horizontal="center" vertical="center"/>
    </xf>
    <xf numFmtId="0" fontId="44" fillId="8" borderId="11" xfId="7" applyFont="1" applyFill="1" applyBorder="1" applyAlignment="1">
      <alignment horizontal="center" vertical="center"/>
    </xf>
    <xf numFmtId="17" fontId="23" fillId="17" borderId="2" xfId="0" applyNumberFormat="1" applyFont="1" applyFill="1" applyBorder="1" applyAlignment="1">
      <alignment horizontal="center" vertical="center"/>
    </xf>
    <xf numFmtId="0" fontId="23" fillId="17" borderId="3" xfId="0" applyFont="1" applyFill="1" applyBorder="1" applyAlignment="1">
      <alignment horizontal="center" vertical="center"/>
    </xf>
    <xf numFmtId="0" fontId="23" fillId="17" borderId="4" xfId="0" applyFont="1" applyFill="1" applyBorder="1" applyAlignment="1">
      <alignment horizontal="center" vertical="center"/>
    </xf>
    <xf numFmtId="0" fontId="23" fillId="17" borderId="7"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9" xfId="0" applyFont="1" applyFill="1" applyBorder="1" applyAlignment="1">
      <alignment horizontal="center" vertical="center"/>
    </xf>
    <xf numFmtId="0" fontId="1" fillId="13" borderId="0" xfId="0" applyFont="1" applyFill="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23" fillId="22" borderId="3" xfId="0" applyFont="1" applyFill="1" applyBorder="1" applyAlignment="1">
      <alignment horizontal="center" vertical="center"/>
    </xf>
    <xf numFmtId="0" fontId="23" fillId="22" borderId="4" xfId="0" applyFont="1" applyFill="1" applyBorder="1" applyAlignment="1">
      <alignment horizontal="center" vertical="center"/>
    </xf>
    <xf numFmtId="0" fontId="23" fillId="22" borderId="7" xfId="0" applyFont="1" applyFill="1" applyBorder="1" applyAlignment="1">
      <alignment horizontal="center" vertical="center"/>
    </xf>
    <xf numFmtId="0" fontId="23" fillId="22" borderId="8" xfId="0" applyFont="1" applyFill="1" applyBorder="1" applyAlignment="1">
      <alignment horizontal="center" vertical="center"/>
    </xf>
    <xf numFmtId="0" fontId="23" fillId="22" borderId="9" xfId="0" applyFont="1" applyFill="1" applyBorder="1" applyAlignment="1">
      <alignment horizontal="center" vertical="center"/>
    </xf>
    <xf numFmtId="0" fontId="0" fillId="8" borderId="2" xfId="0" applyFill="1" applyBorder="1" applyAlignment="1">
      <alignment horizontal="center" vertical="center"/>
    </xf>
    <xf numFmtId="0" fontId="0" fillId="8" borderId="4" xfId="0" applyFill="1" applyBorder="1" applyAlignment="1">
      <alignment horizontal="center" vertical="center"/>
    </xf>
    <xf numFmtId="0" fontId="0" fillId="7" borderId="5" xfId="0" applyFill="1" applyBorder="1" applyAlignment="1">
      <alignment horizontal="center"/>
    </xf>
    <xf numFmtId="0" fontId="0" fillId="7" borderId="0" xfId="0" applyFill="1" applyAlignment="1">
      <alignment horizontal="center"/>
    </xf>
    <xf numFmtId="0" fontId="4" fillId="7" borderId="7" xfId="0" applyFont="1" applyFill="1" applyBorder="1" applyAlignment="1">
      <alignment horizontal="center"/>
    </xf>
    <xf numFmtId="0" fontId="4" fillId="7" borderId="8" xfId="0" applyFont="1"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17" fontId="23" fillId="24" borderId="0" xfId="0" applyNumberFormat="1" applyFont="1" applyFill="1" applyAlignment="1">
      <alignment horizontal="center" vertical="center"/>
    </xf>
    <xf numFmtId="0" fontId="0" fillId="7" borderId="7" xfId="0" applyFill="1" applyBorder="1" applyAlignment="1">
      <alignment horizontal="center"/>
    </xf>
    <xf numFmtId="0" fontId="0" fillId="7" borderId="9" xfId="0" applyFill="1" applyBorder="1" applyAlignment="1">
      <alignment horizontal="center"/>
    </xf>
    <xf numFmtId="17" fontId="23" fillId="24" borderId="2" xfId="0" applyNumberFormat="1" applyFont="1" applyFill="1" applyBorder="1" applyAlignment="1">
      <alignment horizontal="center" vertical="center"/>
    </xf>
    <xf numFmtId="17" fontId="23" fillId="24" borderId="3" xfId="0" applyNumberFormat="1" applyFont="1" applyFill="1" applyBorder="1" applyAlignment="1">
      <alignment horizontal="center" vertical="center"/>
    </xf>
    <xf numFmtId="17" fontId="23" fillId="24" borderId="7" xfId="0" applyNumberFormat="1" applyFont="1" applyFill="1" applyBorder="1" applyAlignment="1">
      <alignment horizontal="center" vertical="center"/>
    </xf>
    <xf numFmtId="17" fontId="23" fillId="24" borderId="8" xfId="0" applyNumberFormat="1" applyFont="1" applyFill="1" applyBorder="1" applyAlignment="1">
      <alignment horizontal="center" vertical="center"/>
    </xf>
    <xf numFmtId="17" fontId="23" fillId="24" borderId="4" xfId="0" applyNumberFormat="1" applyFont="1" applyFill="1" applyBorder="1" applyAlignment="1">
      <alignment horizontal="center" vertical="center"/>
    </xf>
    <xf numFmtId="17" fontId="23" fillId="24" borderId="9" xfId="0" applyNumberFormat="1" applyFont="1" applyFill="1" applyBorder="1" applyAlignment="1">
      <alignment horizontal="center" vertical="center"/>
    </xf>
    <xf numFmtId="0" fontId="1" fillId="7" borderId="7" xfId="0" applyFont="1" applyFill="1" applyBorder="1" applyAlignment="1">
      <alignment horizontal="center"/>
    </xf>
    <xf numFmtId="0" fontId="1" fillId="7" borderId="9" xfId="0" applyFont="1" applyFill="1" applyBorder="1" applyAlignment="1">
      <alignment horizontal="center"/>
    </xf>
    <xf numFmtId="0" fontId="26" fillId="11" borderId="10" xfId="0" applyFont="1" applyFill="1" applyBorder="1" applyAlignment="1">
      <alignment horizontal="center"/>
    </xf>
    <xf numFmtId="0" fontId="26" fillId="11" borderId="22" xfId="0" applyFont="1" applyFill="1" applyBorder="1" applyAlignment="1">
      <alignment horizontal="center"/>
    </xf>
    <xf numFmtId="0" fontId="26" fillId="11" borderId="11" xfId="0" applyFont="1" applyFill="1" applyBorder="1" applyAlignment="1">
      <alignment horizontal="center"/>
    </xf>
    <xf numFmtId="0" fontId="64" fillId="17" borderId="38" xfId="0" applyFont="1" applyFill="1" applyBorder="1" applyAlignment="1">
      <alignment horizontal="center" vertical="center" wrapText="1"/>
    </xf>
    <xf numFmtId="0" fontId="64" fillId="17" borderId="39" xfId="0" applyFont="1" applyFill="1" applyBorder="1" applyAlignment="1">
      <alignment horizontal="center" vertical="center"/>
    </xf>
    <xf numFmtId="0" fontId="64" fillId="17" borderId="47" xfId="0" applyFont="1" applyFill="1" applyBorder="1" applyAlignment="1">
      <alignment horizontal="center" vertical="center"/>
    </xf>
    <xf numFmtId="0" fontId="65" fillId="8" borderId="0" xfId="0" applyFont="1" applyFill="1" applyAlignment="1">
      <alignment horizontal="center" vertical="center"/>
    </xf>
    <xf numFmtId="0" fontId="4" fillId="8" borderId="0" xfId="0" applyFont="1" applyFill="1" applyAlignment="1">
      <alignment horizontal="center" vertical="center"/>
    </xf>
    <xf numFmtId="0" fontId="66" fillId="15" borderId="44" xfId="0" applyFont="1" applyFill="1" applyBorder="1" applyAlignment="1">
      <alignment horizontal="left" vertical="top"/>
    </xf>
    <xf numFmtId="0" fontId="66" fillId="15" borderId="45" xfId="0" applyFont="1" applyFill="1" applyBorder="1" applyAlignment="1">
      <alignment horizontal="left" vertical="top"/>
    </xf>
    <xf numFmtId="0" fontId="66" fillId="15" borderId="46" xfId="0" applyFont="1" applyFill="1" applyBorder="1" applyAlignment="1">
      <alignment horizontal="left" vertical="top"/>
    </xf>
    <xf numFmtId="0" fontId="10" fillId="15" borderId="36" xfId="0" quotePrefix="1" applyFont="1" applyFill="1" applyBorder="1" applyAlignment="1">
      <alignment horizontal="left" vertical="top"/>
    </xf>
    <xf numFmtId="0" fontId="10" fillId="15" borderId="0" xfId="0" applyFont="1" applyFill="1" applyAlignment="1">
      <alignment horizontal="left" vertical="top"/>
    </xf>
    <xf numFmtId="0" fontId="10" fillId="15" borderId="6" xfId="0" applyFont="1" applyFill="1" applyBorder="1" applyAlignment="1">
      <alignment horizontal="left" vertical="top"/>
    </xf>
    <xf numFmtId="0" fontId="10" fillId="15" borderId="36" xfId="0" applyFont="1" applyFill="1" applyBorder="1" applyAlignment="1">
      <alignment horizontal="left" vertical="top"/>
    </xf>
    <xf numFmtId="0" fontId="10" fillId="15" borderId="48" xfId="0" applyFont="1" applyFill="1" applyBorder="1" applyAlignment="1">
      <alignment horizontal="left" vertical="top"/>
    </xf>
    <xf numFmtId="0" fontId="10" fillId="15" borderId="8" xfId="0" applyFont="1" applyFill="1" applyBorder="1" applyAlignment="1">
      <alignment horizontal="left" vertical="top"/>
    </xf>
    <xf numFmtId="0" fontId="10" fillId="15" borderId="9" xfId="0" applyFont="1" applyFill="1" applyBorder="1" applyAlignment="1">
      <alignment horizontal="left" vertical="top"/>
    </xf>
    <xf numFmtId="0" fontId="1" fillId="15" borderId="0" xfId="0" applyFont="1" applyFill="1" applyAlignment="1">
      <alignment horizontal="left"/>
    </xf>
    <xf numFmtId="0" fontId="72" fillId="0" borderId="12" xfId="0" applyFont="1" applyBorder="1" applyAlignment="1">
      <alignment horizontal="center" vertical="center" wrapText="1"/>
    </xf>
    <xf numFmtId="0" fontId="72" fillId="0" borderId="13" xfId="0" applyFont="1" applyBorder="1" applyAlignment="1">
      <alignment horizontal="center" vertical="center" wrapText="1"/>
    </xf>
    <xf numFmtId="0" fontId="72" fillId="0" borderId="14" xfId="0" applyFont="1" applyBorder="1" applyAlignment="1">
      <alignment horizontal="center" vertical="center" wrapText="1"/>
    </xf>
    <xf numFmtId="0" fontId="23" fillId="17" borderId="56" xfId="0" applyFont="1" applyFill="1" applyBorder="1" applyAlignment="1">
      <alignment horizontal="center" vertical="center"/>
    </xf>
    <xf numFmtId="0" fontId="23" fillId="17" borderId="48" xfId="0" applyFont="1" applyFill="1" applyBorder="1" applyAlignment="1">
      <alignment horizontal="center" vertical="center"/>
    </xf>
    <xf numFmtId="0" fontId="23" fillId="17" borderId="26" xfId="0" applyFont="1" applyFill="1" applyBorder="1" applyAlignment="1">
      <alignment horizontal="center" vertical="center"/>
    </xf>
    <xf numFmtId="0" fontId="23" fillId="17" borderId="25" xfId="0" applyFont="1" applyFill="1" applyBorder="1" applyAlignment="1">
      <alignment horizontal="center" vertical="center"/>
    </xf>
    <xf numFmtId="0" fontId="1" fillId="0" borderId="10" xfId="0" applyFont="1" applyBorder="1" applyAlignment="1">
      <alignment horizontal="center"/>
    </xf>
    <xf numFmtId="0" fontId="1" fillId="0" borderId="22" xfId="0" applyFont="1" applyBorder="1" applyAlignment="1">
      <alignment horizontal="center"/>
    </xf>
    <xf numFmtId="0" fontId="1" fillId="0" borderId="11" xfId="0" applyFont="1" applyBorder="1" applyAlignment="1">
      <alignment horizontal="center"/>
    </xf>
    <xf numFmtId="0" fontId="5" fillId="8" borderId="0" xfId="0" applyFont="1" applyFill="1" applyAlignment="1">
      <alignment horizontal="left"/>
    </xf>
    <xf numFmtId="0" fontId="0" fillId="0" borderId="22" xfId="0" applyBorder="1" applyAlignment="1">
      <alignment horizontal="center"/>
    </xf>
    <xf numFmtId="0" fontId="0" fillId="15" borderId="6" xfId="0" applyFill="1" applyBorder="1" applyAlignment="1">
      <alignment horizontal="center"/>
    </xf>
    <xf numFmtId="0" fontId="0" fillId="15" borderId="0" xfId="0" applyFill="1" applyAlignment="1">
      <alignment horizontal="center"/>
    </xf>
    <xf numFmtId="0" fontId="0" fillId="0" borderId="0" xfId="0" applyAlignment="1">
      <alignment horizontal="right"/>
    </xf>
    <xf numFmtId="0" fontId="5" fillId="8" borderId="0" xfId="0" applyFont="1" applyFill="1" applyAlignment="1">
      <alignment horizontal="center" wrapText="1"/>
    </xf>
    <xf numFmtId="0" fontId="5" fillId="8" borderId="0" xfId="0" applyFont="1" applyFill="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4" fillId="0" borderId="0" xfId="0" applyFont="1" applyAlignment="1">
      <alignment horizontal="center"/>
    </xf>
    <xf numFmtId="0" fontId="7" fillId="22" borderId="3" xfId="0" applyFont="1" applyFill="1" applyBorder="1" applyAlignment="1">
      <alignment horizontal="center" vertical="center"/>
    </xf>
    <xf numFmtId="0" fontId="7" fillId="22" borderId="4" xfId="0" applyFont="1" applyFill="1" applyBorder="1" applyAlignment="1">
      <alignment horizontal="center" vertical="center"/>
    </xf>
    <xf numFmtId="0" fontId="7" fillId="22" borderId="8" xfId="0" applyFont="1" applyFill="1" applyBorder="1" applyAlignment="1">
      <alignment horizontal="center" vertical="center"/>
    </xf>
    <xf numFmtId="0" fontId="7" fillId="22" borderId="9" xfId="0" applyFont="1" applyFill="1"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1" fillId="22" borderId="22" xfId="0" applyFont="1" applyFill="1" applyBorder="1" applyAlignment="1">
      <alignment horizontal="center"/>
    </xf>
    <xf numFmtId="0" fontId="0" fillId="22" borderId="3" xfId="0" applyFill="1" applyBorder="1" applyAlignment="1">
      <alignment horizontal="center"/>
    </xf>
    <xf numFmtId="0" fontId="0" fillId="22" borderId="4" xfId="0" applyFill="1" applyBorder="1" applyAlignment="1">
      <alignment horizontal="center"/>
    </xf>
    <xf numFmtId="0" fontId="15" fillId="0" borderId="3" xfId="0" applyFont="1" applyBorder="1" applyAlignment="1">
      <alignment horizontal="center"/>
    </xf>
    <xf numFmtId="0" fontId="15" fillId="0" borderId="0" xfId="0" applyFont="1" applyAlignment="1">
      <alignment horizontal="center"/>
    </xf>
    <xf numFmtId="0" fontId="15" fillId="0" borderId="8" xfId="0" applyFont="1" applyBorder="1" applyAlignment="1">
      <alignment horizontal="center"/>
    </xf>
    <xf numFmtId="0" fontId="1" fillId="0" borderId="15" xfId="0" applyFont="1" applyBorder="1" applyAlignment="1">
      <alignment horizontal="center" vertical="center"/>
    </xf>
    <xf numFmtId="0" fontId="20" fillId="5" borderId="0" xfId="0" applyFont="1" applyFill="1" applyAlignment="1">
      <alignment horizontal="center"/>
    </xf>
    <xf numFmtId="0" fontId="20" fillId="5" borderId="0" xfId="0" applyFont="1" applyFill="1" applyAlignment="1">
      <alignment horizontal="center" vertical="center" wrapText="1"/>
    </xf>
    <xf numFmtId="0" fontId="20" fillId="5" borderId="0" xfId="0" applyFont="1" applyFill="1" applyAlignment="1">
      <alignment horizontal="center" vertical="center"/>
    </xf>
    <xf numFmtId="0" fontId="20" fillId="5" borderId="8" xfId="0" applyFont="1" applyFill="1" applyBorder="1" applyAlignment="1">
      <alignment horizontal="center" vertical="center"/>
    </xf>
    <xf numFmtId="0" fontId="1" fillId="22" borderId="8" xfId="0" applyFont="1" applyFill="1" applyBorder="1" applyAlignment="1">
      <alignment horizontal="center"/>
    </xf>
    <xf numFmtId="0" fontId="1" fillId="0" borderId="18" xfId="0" applyFont="1" applyBorder="1" applyAlignment="1">
      <alignment horizontal="center" vertical="center"/>
    </xf>
    <xf numFmtId="0" fontId="20" fillId="4" borderId="3" xfId="0" applyFont="1" applyFill="1" applyBorder="1" applyAlignment="1">
      <alignment horizontal="center"/>
    </xf>
    <xf numFmtId="0" fontId="20" fillId="4" borderId="0" xfId="0" applyFont="1" applyFill="1" applyAlignment="1">
      <alignment horizontal="center" vertical="center" wrapText="1"/>
    </xf>
    <xf numFmtId="0" fontId="5" fillId="0" borderId="0" xfId="0" applyFont="1" applyAlignment="1">
      <alignment horizontal="center"/>
    </xf>
    <xf numFmtId="0" fontId="1" fillId="22" borderId="3" xfId="0" applyFont="1" applyFill="1" applyBorder="1" applyAlignment="1">
      <alignment horizontal="center"/>
    </xf>
    <xf numFmtId="0" fontId="0" fillId="22" borderId="22" xfId="0" applyFill="1" applyBorder="1" applyAlignment="1">
      <alignment horizontal="center"/>
    </xf>
    <xf numFmtId="0" fontId="6" fillId="6" borderId="4" xfId="0" applyFont="1" applyFill="1" applyBorder="1" applyAlignment="1">
      <alignment horizontal="center"/>
    </xf>
    <xf numFmtId="0" fontId="6" fillId="6" borderId="6" xfId="0" applyFont="1" applyFill="1" applyBorder="1" applyAlignment="1">
      <alignment horizontal="center"/>
    </xf>
    <xf numFmtId="0" fontId="6" fillId="6" borderId="9" xfId="0" applyFont="1" applyFill="1" applyBorder="1" applyAlignment="1">
      <alignment horizontal="center"/>
    </xf>
    <xf numFmtId="0" fontId="1" fillId="0" borderId="9" xfId="0" applyFont="1" applyBorder="1" applyAlignment="1">
      <alignment horizontal="center" vertical="center"/>
    </xf>
    <xf numFmtId="0" fontId="0" fillId="8" borderId="0" xfId="0" applyFill="1" applyAlignment="1">
      <alignment horizontal="center" vertical="center"/>
    </xf>
    <xf numFmtId="0" fontId="6" fillId="6" borderId="3" xfId="0" applyFont="1" applyFill="1" applyBorder="1" applyAlignment="1">
      <alignment horizontal="center"/>
    </xf>
    <xf numFmtId="0" fontId="6" fillId="6" borderId="0" xfId="0" applyFont="1" applyFill="1" applyAlignment="1">
      <alignment horizontal="center"/>
    </xf>
    <xf numFmtId="0" fontId="6" fillId="6" borderId="8" xfId="0" applyFont="1" applyFill="1" applyBorder="1" applyAlignment="1">
      <alignment horizontal="center"/>
    </xf>
    <xf numFmtId="0" fontId="1" fillId="22" borderId="8" xfId="0" applyFont="1" applyFill="1" applyBorder="1" applyAlignment="1">
      <alignment horizontal="center" vertical="center"/>
    </xf>
    <xf numFmtId="0" fontId="43" fillId="8" borderId="0" xfId="7" applyFont="1" applyFill="1" applyAlignment="1">
      <alignment horizontal="center" vertical="center"/>
    </xf>
    <xf numFmtId="0" fontId="45" fillId="8" borderId="8" xfId="7" applyFont="1" applyFill="1" applyBorder="1" applyAlignment="1">
      <alignment horizontal="center" vertical="center"/>
    </xf>
    <xf numFmtId="0" fontId="44" fillId="8" borderId="22" xfId="7" applyFont="1" applyFill="1" applyBorder="1" applyAlignment="1">
      <alignment horizontal="center" vertical="center"/>
    </xf>
    <xf numFmtId="0" fontId="43" fillId="8" borderId="3" xfId="7" applyFont="1" applyFill="1" applyBorder="1" applyAlignment="1">
      <alignment horizontal="center" vertical="center"/>
    </xf>
    <xf numFmtId="0" fontId="0" fillId="8" borderId="0" xfId="0" applyFill="1" applyAlignment="1">
      <alignment horizontal="center"/>
    </xf>
    <xf numFmtId="0" fontId="4" fillId="8" borderId="8" xfId="0" applyFont="1" applyFill="1" applyBorder="1" applyAlignment="1">
      <alignment horizontal="center"/>
    </xf>
    <xf numFmtId="0" fontId="0" fillId="8" borderId="22" xfId="0" applyFill="1" applyBorder="1" applyAlignment="1">
      <alignment horizontal="center"/>
    </xf>
    <xf numFmtId="0" fontId="0" fillId="8" borderId="3" xfId="0" applyFill="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0" xfId="0" applyFont="1" applyAlignment="1">
      <alignment horizontal="center"/>
    </xf>
    <xf numFmtId="0" fontId="73" fillId="18" borderId="2" xfId="0" applyFont="1" applyFill="1" applyBorder="1" applyAlignment="1">
      <alignment horizontal="center" vertical="center"/>
    </xf>
    <xf numFmtId="0" fontId="73" fillId="18" borderId="3" xfId="0" applyFont="1" applyFill="1" applyBorder="1" applyAlignment="1">
      <alignment horizontal="center" vertical="center"/>
    </xf>
    <xf numFmtId="0" fontId="73" fillId="18" borderId="4" xfId="0" applyFont="1" applyFill="1" applyBorder="1" applyAlignment="1">
      <alignment horizontal="center" vertical="center"/>
    </xf>
    <xf numFmtId="0" fontId="73" fillId="18" borderId="7" xfId="0" applyFont="1" applyFill="1" applyBorder="1" applyAlignment="1">
      <alignment horizontal="center" vertical="center"/>
    </xf>
    <xf numFmtId="0" fontId="73" fillId="18" borderId="8" xfId="0" applyFont="1" applyFill="1" applyBorder="1" applyAlignment="1">
      <alignment horizontal="center" vertical="center"/>
    </xf>
    <xf numFmtId="0" fontId="73" fillId="18" borderId="9" xfId="0" applyFont="1" applyFill="1" applyBorder="1" applyAlignment="1">
      <alignment horizontal="center" vertical="center"/>
    </xf>
    <xf numFmtId="0" fontId="1" fillId="0" borderId="7" xfId="0" applyFont="1" applyBorder="1" applyAlignment="1">
      <alignment horizontal="center" vertical="center"/>
    </xf>
    <xf numFmtId="0" fontId="1" fillId="15" borderId="10" xfId="0" applyFont="1" applyFill="1" applyBorder="1" applyAlignment="1">
      <alignment horizontal="center" vertical="center"/>
    </xf>
    <xf numFmtId="0" fontId="1" fillId="15" borderId="22" xfId="0" applyFont="1" applyFill="1" applyBorder="1" applyAlignment="1">
      <alignment horizontal="center" vertical="center"/>
    </xf>
    <xf numFmtId="0" fontId="1" fillId="15" borderId="11" xfId="0" applyFont="1" applyFill="1" applyBorder="1" applyAlignment="1">
      <alignment horizontal="center" vertical="center"/>
    </xf>
    <xf numFmtId="0" fontId="0" fillId="0" borderId="13" xfId="0" applyBorder="1" applyAlignment="1">
      <alignment horizontal="center" vertical="center"/>
    </xf>
    <xf numFmtId="0" fontId="1" fillId="15" borderId="22" xfId="0" applyFont="1" applyFill="1" applyBorder="1" applyAlignment="1">
      <alignment horizontal="center"/>
    </xf>
    <xf numFmtId="0" fontId="1" fillId="15" borderId="11" xfId="0" applyFont="1" applyFill="1" applyBorder="1" applyAlignment="1">
      <alignment horizontal="center"/>
    </xf>
    <xf numFmtId="0" fontId="15" fillId="0" borderId="7" xfId="0" applyFont="1" applyBorder="1" applyAlignment="1">
      <alignment horizontal="center" vertical="center"/>
    </xf>
    <xf numFmtId="0" fontId="15" fillId="0" borderId="8" xfId="0" applyFont="1" applyBorder="1" applyAlignment="1">
      <alignment horizontal="center" vertical="center"/>
    </xf>
    <xf numFmtId="0" fontId="0" fillId="15" borderId="10" xfId="0" applyFill="1" applyBorder="1" applyAlignment="1">
      <alignment horizontal="center"/>
    </xf>
    <xf numFmtId="0" fontId="0" fillId="15" borderId="22" xfId="0" applyFill="1" applyBorder="1" applyAlignment="1">
      <alignment horizontal="center"/>
    </xf>
    <xf numFmtId="0" fontId="0" fillId="15" borderId="11"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12" borderId="3" xfId="0" applyFill="1" applyBorder="1" applyAlignment="1">
      <alignment horizontal="center"/>
    </xf>
    <xf numFmtId="0" fontId="0" fillId="12" borderId="0" xfId="0" applyFill="1" applyAlignment="1">
      <alignment horizontal="center"/>
    </xf>
    <xf numFmtId="0" fontId="1" fillId="0" borderId="13" xfId="0" applyFont="1" applyBorder="1" applyAlignment="1">
      <alignment horizontal="right" vertical="center" textRotation="90"/>
    </xf>
    <xf numFmtId="0" fontId="1" fillId="14" borderId="10" xfId="0" applyFont="1" applyFill="1" applyBorder="1" applyAlignment="1">
      <alignment horizontal="center"/>
    </xf>
    <xf numFmtId="0" fontId="1" fillId="14" borderId="11" xfId="0" applyFont="1" applyFill="1" applyBorder="1" applyAlignment="1">
      <alignment horizontal="center"/>
    </xf>
    <xf numFmtId="0" fontId="0" fillId="12" borderId="12" xfId="0" applyFill="1" applyBorder="1" applyAlignment="1">
      <alignment horizontal="center"/>
    </xf>
    <xf numFmtId="0" fontId="0" fillId="12" borderId="13" xfId="0" applyFill="1" applyBorder="1" applyAlignment="1">
      <alignment horizontal="center"/>
    </xf>
    <xf numFmtId="0" fontId="0" fillId="12" borderId="2" xfId="0" applyFill="1" applyBorder="1" applyAlignment="1">
      <alignment horizontal="center"/>
    </xf>
    <xf numFmtId="0" fontId="0" fillId="12" borderId="4" xfId="0" applyFill="1" applyBorder="1" applyAlignment="1">
      <alignment horizontal="center"/>
    </xf>
    <xf numFmtId="0" fontId="0" fillId="12" borderId="5" xfId="0" applyFill="1" applyBorder="1" applyAlignment="1">
      <alignment horizontal="center"/>
    </xf>
    <xf numFmtId="0" fontId="0" fillId="12" borderId="6" xfId="0" applyFill="1" applyBorder="1" applyAlignment="1">
      <alignment horizontal="center"/>
    </xf>
    <xf numFmtId="0" fontId="1" fillId="14" borderId="22" xfId="0" applyFont="1" applyFill="1" applyBorder="1" applyAlignment="1">
      <alignment horizontal="center"/>
    </xf>
    <xf numFmtId="0" fontId="1" fillId="0" borderId="0" xfId="0" applyFont="1" applyBorder="1" applyAlignment="1">
      <alignment horizont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9" xfId="0" applyFont="1" applyBorder="1" applyAlignment="1">
      <alignment horizontal="center" vertical="center"/>
    </xf>
    <xf numFmtId="0" fontId="0" fillId="5" borderId="0" xfId="0" applyFill="1" applyAlignment="1">
      <alignment horizontal="center"/>
    </xf>
    <xf numFmtId="0" fontId="0" fillId="0" borderId="0" xfId="0" applyAlignment="1">
      <alignment horizontal="center" textRotation="90"/>
    </xf>
    <xf numFmtId="22" fontId="16" fillId="7" borderId="0" xfId="0" applyNumberFormat="1" applyFont="1" applyFill="1" applyAlignment="1">
      <alignment horizontal="center"/>
    </xf>
    <xf numFmtId="17" fontId="16" fillId="7" borderId="0" xfId="0" applyNumberFormat="1" applyFont="1" applyFill="1" applyAlignment="1">
      <alignment horizontal="center"/>
    </xf>
    <xf numFmtId="0" fontId="16" fillId="7" borderId="0" xfId="0" applyFont="1" applyFill="1" applyAlignment="1">
      <alignment horizontal="center"/>
    </xf>
    <xf numFmtId="14" fontId="16" fillId="7" borderId="0" xfId="0" applyNumberFormat="1" applyFont="1" applyFill="1" applyAlignment="1">
      <alignment horizontal="center"/>
    </xf>
    <xf numFmtId="0" fontId="0" fillId="40" borderId="12" xfId="0" applyFill="1" applyBorder="1" applyAlignment="1">
      <alignment horizontal="center" vertical="center"/>
    </xf>
    <xf numFmtId="0" fontId="0" fillId="40" borderId="13" xfId="0" applyFill="1" applyBorder="1" applyAlignment="1">
      <alignment horizontal="center" vertical="center"/>
    </xf>
    <xf numFmtId="0" fontId="0" fillId="40" borderId="14" xfId="0" applyFill="1" applyBorder="1" applyAlignment="1">
      <alignment horizontal="center" vertical="center"/>
    </xf>
    <xf numFmtId="0" fontId="19" fillId="0" borderId="7" xfId="0" applyFont="1" applyBorder="1" applyAlignment="1">
      <alignment horizontal="center"/>
    </xf>
    <xf numFmtId="0" fontId="19" fillId="0" borderId="9"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 xfId="0" applyFont="1" applyBorder="1" applyAlignment="1">
      <alignment horizontal="center"/>
    </xf>
    <xf numFmtId="0" fontId="4" fillId="0" borderId="4" xfId="0" applyFont="1" applyBorder="1" applyAlignment="1">
      <alignment horizontal="center"/>
    </xf>
    <xf numFmtId="0" fontId="19" fillId="0" borderId="5" xfId="0" applyFont="1" applyBorder="1" applyAlignment="1">
      <alignment horizontal="center"/>
    </xf>
    <xf numFmtId="0" fontId="19" fillId="0" borderId="6" xfId="0" applyFont="1" applyBorder="1" applyAlignment="1">
      <alignment horizontal="center"/>
    </xf>
    <xf numFmtId="0" fontId="5" fillId="0" borderId="2" xfId="0" applyFont="1" applyBorder="1" applyAlignment="1">
      <alignment horizontal="center"/>
    </xf>
    <xf numFmtId="0" fontId="5" fillId="0" borderId="4" xfId="0" applyFont="1" applyBorder="1" applyAlignment="1">
      <alignment horizontal="center"/>
    </xf>
    <xf numFmtId="0" fontId="5" fillId="0" borderId="9" xfId="0" applyFont="1" applyBorder="1" applyAlignment="1">
      <alignment horizontal="center"/>
    </xf>
    <xf numFmtId="0" fontId="19" fillId="0" borderId="2" xfId="0" applyFont="1" applyBorder="1" applyAlignment="1">
      <alignment horizontal="center"/>
    </xf>
    <xf numFmtId="0" fontId="19" fillId="0" borderId="4" xfId="0" applyFont="1" applyBorder="1" applyAlignment="1">
      <alignment horizontal="center"/>
    </xf>
    <xf numFmtId="0" fontId="28" fillId="0" borderId="0" xfId="1" applyBorder="1" applyAlignment="1">
      <alignment horizontal="center"/>
    </xf>
    <xf numFmtId="0" fontId="0" fillId="0" borderId="0" xfId="0" applyBorder="1" applyAlignment="1">
      <alignment horizontal="center"/>
    </xf>
    <xf numFmtId="171" fontId="71" fillId="17" borderId="35" xfId="2" applyNumberFormat="1" applyFont="1" applyFill="1" applyBorder="1" applyAlignment="1">
      <alignment horizontal="center" vertical="center"/>
    </xf>
    <xf numFmtId="0" fontId="1" fillId="0" borderId="0" xfId="4" applyFont="1" applyFill="1" applyBorder="1" applyAlignment="1">
      <alignment horizontal="left" vertical="center"/>
    </xf>
    <xf numFmtId="0" fontId="5" fillId="0" borderId="3" xfId="0" applyFont="1" applyBorder="1" applyAlignment="1">
      <alignment horizontal="center"/>
    </xf>
    <xf numFmtId="0" fontId="1" fillId="0" borderId="2" xfId="0" applyFont="1" applyBorder="1" applyAlignment="1">
      <alignment horizontal="center"/>
    </xf>
    <xf numFmtId="0" fontId="1" fillId="0" borderId="4" xfId="0" applyFont="1" applyBorder="1" applyAlignment="1">
      <alignment horizontal="center"/>
    </xf>
    <xf numFmtId="0" fontId="1" fillId="0" borderId="3" xfId="0" applyFont="1" applyBorder="1" applyAlignment="1">
      <alignment horizontal="center"/>
    </xf>
    <xf numFmtId="22" fontId="0" fillId="0" borderId="5" xfId="0" applyNumberFormat="1" applyBorder="1" applyAlignment="1">
      <alignment horizontal="center"/>
    </xf>
    <xf numFmtId="0" fontId="0" fillId="4" borderId="10" xfId="0" applyFill="1" applyBorder="1" applyAlignment="1">
      <alignment horizontal="center"/>
    </xf>
    <xf numFmtId="0" fontId="0" fillId="4" borderId="11" xfId="0" applyFill="1" applyBorder="1" applyAlignment="1">
      <alignment horizontal="center"/>
    </xf>
    <xf numFmtId="166" fontId="0" fillId="0" borderId="10" xfId="0" applyNumberFormat="1" applyBorder="1" applyAlignment="1">
      <alignment horizontal="center"/>
    </xf>
    <xf numFmtId="166" fontId="0" fillId="0" borderId="22" xfId="0" applyNumberFormat="1" applyBorder="1" applyAlignment="1">
      <alignment horizontal="center"/>
    </xf>
    <xf numFmtId="166" fontId="0" fillId="0" borderId="11" xfId="0" applyNumberFormat="1" applyBorder="1" applyAlignment="1">
      <alignment horizontal="center"/>
    </xf>
  </cellXfs>
  <cellStyles count="8">
    <cellStyle name="20 % - Accent1" xfId="5" builtinId="30"/>
    <cellStyle name="40 % - Accent1" xfId="6" builtinId="31"/>
    <cellStyle name="Lien hypertexte" xfId="1" builtinId="8"/>
    <cellStyle name="Normal" xfId="0" builtinId="0"/>
    <cellStyle name="Normal 2" xfId="7"/>
    <cellStyle name="Titre" xfId="2" builtinId="15"/>
    <cellStyle name="Titre 2" xfId="3" builtinId="17"/>
    <cellStyle name="Titre 3" xfId="4" builtinId="18"/>
  </cellStyles>
  <dxfs count="128">
    <dxf>
      <font>
        <b/>
        <i val="0"/>
        <color rgb="FFFF0000"/>
      </font>
    </dxf>
    <dxf>
      <font>
        <b/>
        <i val="0"/>
        <color rgb="FF92D050"/>
      </font>
    </dxf>
    <dxf>
      <font>
        <b/>
        <i val="0"/>
      </font>
    </dxf>
    <dxf>
      <font>
        <b/>
        <i val="0"/>
        <color rgb="FFFF0000"/>
      </font>
    </dxf>
    <dxf>
      <font>
        <b/>
        <i val="0"/>
        <color rgb="FF92D050"/>
      </font>
    </dxf>
    <dxf>
      <font>
        <b/>
        <i val="0"/>
      </font>
    </dxf>
    <dxf>
      <font>
        <b/>
        <i val="0"/>
        <color theme="0"/>
      </font>
      <fill>
        <patternFill>
          <bgColor rgb="FFFF0000"/>
        </patternFill>
      </fill>
    </dxf>
    <dxf>
      <font>
        <b/>
        <i val="0"/>
        <color theme="0"/>
      </font>
      <fill>
        <patternFill>
          <bgColor rgb="FF92D050"/>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b/>
        <i val="0"/>
      </font>
      <fill>
        <patternFill>
          <bgColor rgb="FFFF0000"/>
        </patternFill>
      </fill>
    </dxf>
    <dxf>
      <font>
        <b/>
        <i val="0"/>
      </font>
      <fill>
        <patternFill>
          <bgColor rgb="FF92D050"/>
        </patternFill>
      </fill>
    </dxf>
    <dxf>
      <font>
        <color theme="0" tint="-4.9989318521683403E-2"/>
      </font>
    </dxf>
    <dxf>
      <font>
        <b/>
        <i val="0"/>
      </font>
      <fill>
        <patternFill>
          <bgColor rgb="FF92D050"/>
        </patternFill>
      </fill>
    </dxf>
    <dxf>
      <font>
        <color theme="0" tint="-4.9989318521683403E-2"/>
      </font>
    </dxf>
    <dxf>
      <font>
        <b val="0"/>
        <i val="0"/>
        <color theme="0" tint="-4.9989318521683403E-2"/>
      </font>
    </dxf>
    <dxf>
      <font>
        <b/>
        <i val="0"/>
      </font>
      <fill>
        <patternFill>
          <bgColor theme="7" tint="0.59996337778862885"/>
        </patternFill>
      </fill>
    </dxf>
    <dxf>
      <font>
        <b/>
        <i val="0"/>
      </font>
      <fill>
        <patternFill>
          <bgColor rgb="FF92D050"/>
        </patternFill>
      </fill>
    </dxf>
    <dxf>
      <font>
        <b/>
        <i val="0"/>
      </font>
      <fill>
        <patternFill>
          <bgColor rgb="FFFFC000"/>
        </patternFill>
      </fill>
    </dxf>
    <dxf>
      <font>
        <color theme="0" tint="-4.9989318521683403E-2"/>
      </font>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b/>
        <i val="0"/>
      </font>
      <fill>
        <patternFill>
          <bgColor rgb="FF92D050"/>
        </patternFill>
      </fill>
    </dxf>
    <dxf>
      <font>
        <b/>
        <i val="0"/>
      </font>
      <fill>
        <patternFill>
          <bgColor rgb="FFFFC000"/>
        </patternFill>
      </fill>
    </dxf>
    <dxf>
      <font>
        <color theme="0" tint="-4.9989318521683403E-2"/>
      </font>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b/>
        <i val="0"/>
      </font>
      <fill>
        <patternFill>
          <bgColor theme="7" tint="0.59996337778862885"/>
        </patternFill>
      </fill>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color theme="0" tint="-4.9989318521683403E-2"/>
      </font>
    </dxf>
    <dxf>
      <font>
        <b/>
        <i val="0"/>
      </font>
      <fill>
        <patternFill>
          <bgColor theme="7" tint="0.59996337778862885"/>
        </patternFill>
      </fill>
    </dxf>
    <dxf>
      <font>
        <b/>
        <i val="0"/>
      </font>
      <fill>
        <patternFill>
          <bgColor rgb="FFFF0000"/>
        </patternFill>
      </fill>
    </dxf>
    <dxf>
      <font>
        <b/>
        <i val="0"/>
      </font>
      <fill>
        <patternFill>
          <bgColor rgb="FF92D050"/>
        </patternFill>
      </fill>
    </dxf>
    <dxf>
      <font>
        <b val="0"/>
        <i val="0"/>
        <color theme="0" tint="-4.9989318521683403E-2"/>
      </font>
    </dxf>
    <dxf>
      <font>
        <b/>
        <i val="0"/>
      </font>
      <fill>
        <patternFill>
          <bgColor theme="7" tint="0.59996337778862885"/>
        </patternFill>
      </fill>
    </dxf>
    <dxf>
      <font>
        <b/>
        <i val="0"/>
      </font>
      <fill>
        <patternFill>
          <bgColor rgb="FF92D050"/>
        </patternFill>
      </fill>
    </dxf>
    <dxf>
      <font>
        <b/>
        <i val="0"/>
      </font>
      <fill>
        <patternFill>
          <bgColor rgb="FFFFC000"/>
        </patternFill>
      </fill>
    </dxf>
    <dxf>
      <font>
        <color theme="0" tint="-4.9989318521683403E-2"/>
      </font>
    </dxf>
    <dxf>
      <font>
        <color theme="0" tint="-4.9989318521683403E-2"/>
      </font>
    </dxf>
    <dxf>
      <font>
        <b/>
        <i val="0"/>
      </font>
      <fill>
        <patternFill>
          <bgColor theme="7" tint="0.59996337778862885"/>
        </patternFill>
      </fill>
    </dxf>
    <dxf>
      <font>
        <b/>
        <i val="0"/>
      </font>
      <fill>
        <patternFill>
          <bgColor rgb="FF00B050"/>
        </patternFill>
      </fill>
    </dxf>
    <dxf>
      <font>
        <b/>
        <i val="0"/>
      </font>
      <fill>
        <patternFill>
          <bgColor rgb="FFFF0000"/>
        </patternFill>
      </fill>
    </dxf>
    <dxf>
      <fill>
        <patternFill>
          <bgColor theme="2" tint="-9.9948118533890809E-2"/>
        </patternFill>
      </fill>
    </dxf>
    <dxf>
      <font>
        <b/>
        <i val="0"/>
        <color theme="0"/>
      </font>
      <fill>
        <patternFill>
          <bgColor rgb="FFFF0000"/>
        </patternFill>
      </fill>
    </dxf>
    <dxf>
      <font>
        <b/>
        <i val="0"/>
        <color theme="0"/>
      </font>
      <fill>
        <patternFill>
          <bgColor rgb="FFFF0000"/>
        </patternFill>
      </fill>
    </dxf>
    <dxf>
      <font>
        <b/>
        <i val="0"/>
        <color theme="0"/>
      </font>
      <fill>
        <patternFill>
          <bgColor rgb="FF92D050"/>
        </patternFill>
      </fill>
    </dxf>
    <dxf>
      <font>
        <b/>
        <i val="0"/>
        <color theme="0"/>
      </font>
      <fill>
        <patternFill>
          <bgColor rgb="FF92D050"/>
        </patternFill>
      </fill>
    </dxf>
    <dxf>
      <font>
        <b/>
        <i val="0"/>
        <color theme="0"/>
      </font>
      <fill>
        <patternFill>
          <bgColor rgb="FFFF0000"/>
        </patternFill>
      </fill>
    </dxf>
    <dxf>
      <font>
        <b/>
        <i val="0"/>
        <color theme="0"/>
      </font>
      <fill>
        <patternFill>
          <bgColor rgb="FF92D050"/>
        </patternFill>
      </fill>
    </dxf>
    <dxf>
      <font>
        <b/>
        <i val="0"/>
        <color theme="0"/>
      </font>
      <fill>
        <patternFill>
          <bgColor rgb="FFFF0000"/>
        </patternFill>
      </fill>
    </dxf>
    <dxf>
      <font>
        <b/>
        <i val="0"/>
        <color theme="0"/>
      </font>
      <fill>
        <patternFill>
          <bgColor rgb="FF92D050"/>
        </patternFill>
      </fill>
    </dxf>
    <dxf>
      <font>
        <b/>
        <i val="0"/>
        <color theme="0"/>
      </font>
      <fill>
        <patternFill>
          <bgColor rgb="FF92D050"/>
        </patternFill>
      </fill>
    </dxf>
    <dxf>
      <font>
        <b/>
        <i val="0"/>
        <color theme="0"/>
      </font>
      <fill>
        <patternFill>
          <bgColor rgb="FFFF0000"/>
        </patternFill>
      </fill>
    </dxf>
    <dxf>
      <font>
        <b/>
        <i val="0"/>
        <color theme="0"/>
      </font>
      <fill>
        <patternFill>
          <bgColor rgb="FF92D050"/>
        </patternFill>
      </fill>
    </dxf>
    <dxf>
      <font>
        <b/>
        <i val="0"/>
        <color theme="0"/>
      </font>
      <fill>
        <patternFill>
          <bgColor rgb="FFFF0000"/>
        </patternFill>
      </fill>
    </dxf>
    <dxf>
      <font>
        <b/>
        <i val="0"/>
        <color theme="0"/>
      </font>
      <fill>
        <patternFill>
          <bgColor rgb="FF92D050"/>
        </patternFill>
      </fill>
    </dxf>
    <dxf>
      <font>
        <b/>
        <i val="0"/>
        <color theme="0"/>
      </font>
      <fill>
        <patternFill>
          <bgColor rgb="FFFF0000"/>
        </patternFill>
      </fill>
    </dxf>
    <dxf>
      <font>
        <b/>
        <i val="0"/>
        <color theme="0"/>
      </font>
      <fill>
        <patternFill>
          <bgColor theme="5"/>
        </patternFill>
      </fill>
    </dxf>
    <dxf>
      <font>
        <b/>
        <i val="0"/>
        <color theme="0"/>
      </font>
      <fill>
        <patternFill>
          <bgColor rgb="FFFF0000"/>
        </patternFill>
      </fill>
    </dxf>
    <dxf>
      <font>
        <b/>
        <i val="0"/>
        <color theme="0"/>
      </font>
      <fill>
        <patternFill>
          <bgColor rgb="FFFF0000"/>
        </patternFill>
      </fill>
    </dxf>
  </dxfs>
  <tableStyles count="0" defaultTableStyle="TableStyleMedium2" defaultPivotStyle="PivotStyleLight16"/>
  <colors>
    <mruColors>
      <color rgb="FF0066CC"/>
      <color rgb="FFCCFFCC"/>
      <color rgb="FFCCFF99"/>
      <color rgb="FFCCFF66"/>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4"/>
          <c:order val="0"/>
          <c:spPr>
            <a:pattFill prst="narHorz">
              <a:fgClr>
                <a:schemeClr val="accent3">
                  <a:lumMod val="60000"/>
                </a:schemeClr>
              </a:fgClr>
              <a:bgClr>
                <a:schemeClr val="accent3">
                  <a:lumMod val="60000"/>
                  <a:lumMod val="20000"/>
                  <a:lumOff val="80000"/>
                </a:schemeClr>
              </a:bgClr>
            </a:pattFill>
            <a:ln>
              <a:noFill/>
            </a:ln>
            <a:effectLst>
              <a:innerShdw blurRad="114300">
                <a:schemeClr val="accent3">
                  <a:lumMod val="60000"/>
                </a:schemeClr>
              </a:innerShdw>
            </a:effectLst>
          </c:spPr>
          <c:invertIfNegative val="0"/>
          <c:cat>
            <c:strRef>
              <c:f>CR!$L$7:$M$15</c:f>
              <c:strCache>
                <c:ptCount val="9"/>
                <c:pt idx="0">
                  <c:v>SUSPICION BIRD STRIKE</c:v>
                </c:pt>
                <c:pt idx="1">
                  <c:v>BIRD STRIKE AVERE</c:v>
                </c:pt>
                <c:pt idx="2">
                  <c:v>ACCELERATION / ARRET</c:v>
                </c:pt>
                <c:pt idx="3">
                  <c:v>ETAT DE VEILLE</c:v>
                </c:pt>
                <c:pt idx="4">
                  <c:v>ETAT D'ALERTE</c:v>
                </c:pt>
                <c:pt idx="5">
                  <c:v>ETAT D'ACCIDENT</c:v>
                </c:pt>
                <c:pt idx="6">
                  <c:v>SUITE INTERVENTION INFRA/BAL</c:v>
                </c:pt>
                <c:pt idx="7">
                  <c:v>SUITE TRAVAUX</c:v>
                </c:pt>
                <c:pt idx="8">
                  <c:v>AUTRE</c:v>
                </c:pt>
              </c:strCache>
              <c:extLst xmlns:c16r2="http://schemas.microsoft.com/office/drawing/2015/06/chart" xmlns:c15="http://schemas.microsoft.com/office/drawing/2012/chart"/>
            </c:strRef>
          </c:cat>
          <c:val>
            <c:numRef>
              <c:f>#REF!</c:f>
              <c:numCache>
                <c:formatCode>General</c:formatCode>
                <c:ptCount val="1"/>
                <c:pt idx="0">
                  <c:v>1</c:v>
                </c:pt>
              </c:numCache>
              <c:extLst xmlns:c16r2="http://schemas.microsoft.com/office/drawing/2015/06/chart" xmlns:c15="http://schemas.microsoft.com/office/drawing/2012/chart"/>
            </c:numRef>
          </c:val>
          <c:extLst xmlns:c16r2="http://schemas.microsoft.com/office/drawing/2015/06/chart" xmlns:c15="http://schemas.microsoft.com/office/drawing/2012/chart">
            <c:ext xmlns:c16="http://schemas.microsoft.com/office/drawing/2014/chart" uri="{C3380CC4-5D6E-409C-BE32-E72D297353CC}">
              <c16:uniqueId val="{00000000-86BC-456D-B6FC-E0DC999E7CF6}"/>
            </c:ext>
          </c:extLst>
        </c:ser>
        <c:ser>
          <c:idx val="5"/>
          <c:order val="1"/>
          <c:spPr>
            <a:pattFill prst="narHorz">
              <a:fgClr>
                <a:schemeClr val="accent5">
                  <a:lumMod val="60000"/>
                </a:schemeClr>
              </a:fgClr>
              <a:bgClr>
                <a:schemeClr val="accent5">
                  <a:lumMod val="60000"/>
                  <a:lumMod val="20000"/>
                  <a:lumOff val="80000"/>
                </a:schemeClr>
              </a:bgClr>
            </a:pattFill>
            <a:ln>
              <a:noFill/>
            </a:ln>
            <a:effectLst>
              <a:innerShdw blurRad="114300">
                <a:schemeClr val="accent5">
                  <a:lumMod val="60000"/>
                </a:schemeClr>
              </a:innerShdw>
            </a:effectLst>
          </c:spPr>
          <c:invertIfNegative val="0"/>
          <c:cat>
            <c:strRef>
              <c:f>CR!$L$7:$M$15</c:f>
              <c:strCache>
                <c:ptCount val="9"/>
                <c:pt idx="0">
                  <c:v>SUSPICION BIRD STRIKE</c:v>
                </c:pt>
                <c:pt idx="1">
                  <c:v>BIRD STRIKE AVERE</c:v>
                </c:pt>
                <c:pt idx="2">
                  <c:v>ACCELERATION / ARRET</c:v>
                </c:pt>
                <c:pt idx="3">
                  <c:v>ETAT DE VEILLE</c:v>
                </c:pt>
                <c:pt idx="4">
                  <c:v>ETAT D'ALERTE</c:v>
                </c:pt>
                <c:pt idx="5">
                  <c:v>ETAT D'ACCIDENT</c:v>
                </c:pt>
                <c:pt idx="6">
                  <c:v>SUITE INTERVENTION INFRA/BAL</c:v>
                </c:pt>
                <c:pt idx="7">
                  <c:v>SUITE TRAVAUX</c:v>
                </c:pt>
                <c:pt idx="8">
                  <c:v>AUTRE</c:v>
                </c:pt>
              </c:strCache>
              <c:extLst xmlns:c16r2="http://schemas.microsoft.com/office/drawing/2015/06/chart" xmlns:c15="http://schemas.microsoft.com/office/drawing/2012/chart"/>
            </c:strRef>
          </c:cat>
          <c:val>
            <c:numRef>
              <c:f>#REF!</c:f>
              <c:numCache>
                <c:formatCode>General</c:formatCode>
                <c:ptCount val="1"/>
                <c:pt idx="0">
                  <c:v>1</c:v>
                </c:pt>
              </c:numCache>
              <c:extLst xmlns:c16r2="http://schemas.microsoft.com/office/drawing/2015/06/chart" xmlns:c15="http://schemas.microsoft.com/office/drawing/2012/chart"/>
            </c:numRef>
          </c:val>
          <c:extLst xmlns:c16r2="http://schemas.microsoft.com/office/drawing/2015/06/chart" xmlns:c15="http://schemas.microsoft.com/office/drawing/2012/chart">
            <c:ext xmlns:c16="http://schemas.microsoft.com/office/drawing/2014/chart" uri="{C3380CC4-5D6E-409C-BE32-E72D297353CC}">
              <c16:uniqueId val="{00000001-86BC-456D-B6FC-E0DC999E7CF6}"/>
            </c:ext>
          </c:extLst>
        </c:ser>
        <c:ser>
          <c:idx val="6"/>
          <c:order val="2"/>
          <c:spPr>
            <a:pattFill prst="narHorz">
              <a:fgClr>
                <a:schemeClr val="accent1">
                  <a:lumMod val="80000"/>
                  <a:lumOff val="20000"/>
                </a:schemeClr>
              </a:fgClr>
              <a:bgClr>
                <a:schemeClr val="accent1">
                  <a:lumMod val="80000"/>
                  <a:lumOff val="20000"/>
                  <a:lumMod val="20000"/>
                  <a:lumOff val="80000"/>
                </a:schemeClr>
              </a:bgClr>
            </a:pattFill>
            <a:ln>
              <a:noFill/>
            </a:ln>
            <a:effectLst>
              <a:innerShdw blurRad="114300">
                <a:schemeClr val="accent1">
                  <a:lumMod val="80000"/>
                  <a:lumOff val="20000"/>
                </a:schemeClr>
              </a:innerShdw>
            </a:effectLst>
          </c:spPr>
          <c:invertIfNegative val="0"/>
          <c:cat>
            <c:strRef>
              <c:f>CR!$L$7:$M$15</c:f>
              <c:strCache>
                <c:ptCount val="9"/>
                <c:pt idx="0">
                  <c:v>SUSPICION BIRD STRIKE</c:v>
                </c:pt>
                <c:pt idx="1">
                  <c:v>BIRD STRIKE AVERE</c:v>
                </c:pt>
                <c:pt idx="2">
                  <c:v>ACCELERATION / ARRET</c:v>
                </c:pt>
                <c:pt idx="3">
                  <c:v>ETAT DE VEILLE</c:v>
                </c:pt>
                <c:pt idx="4">
                  <c:v>ETAT D'ALERTE</c:v>
                </c:pt>
                <c:pt idx="5">
                  <c:v>ETAT D'ACCIDENT</c:v>
                </c:pt>
                <c:pt idx="6">
                  <c:v>SUITE INTERVENTION INFRA/BAL</c:v>
                </c:pt>
                <c:pt idx="7">
                  <c:v>SUITE TRAVAUX</c:v>
                </c:pt>
                <c:pt idx="8">
                  <c:v>AUTRE</c:v>
                </c:pt>
              </c:strCache>
              <c:extLst xmlns:c16r2="http://schemas.microsoft.com/office/drawing/2015/06/chart" xmlns:c15="http://schemas.microsoft.com/office/drawing/2012/chart"/>
            </c:strRef>
          </c:cat>
          <c:val>
            <c:numRef>
              <c:f>#REF!</c:f>
              <c:numCache>
                <c:formatCode>General</c:formatCode>
                <c:ptCount val="1"/>
                <c:pt idx="0">
                  <c:v>1</c:v>
                </c:pt>
              </c:numCache>
              <c:extLst xmlns:c16r2="http://schemas.microsoft.com/office/drawing/2015/06/chart" xmlns:c15="http://schemas.microsoft.com/office/drawing/2012/chart"/>
            </c:numRef>
          </c:val>
          <c:extLst xmlns:c16r2="http://schemas.microsoft.com/office/drawing/2015/06/chart" xmlns:c15="http://schemas.microsoft.com/office/drawing/2012/chart">
            <c:ext xmlns:c16="http://schemas.microsoft.com/office/drawing/2014/chart" uri="{C3380CC4-5D6E-409C-BE32-E72D297353CC}">
              <c16:uniqueId val="{00000002-86BC-456D-B6FC-E0DC999E7CF6}"/>
            </c:ext>
          </c:extLst>
        </c:ser>
        <c:ser>
          <c:idx val="7"/>
          <c:order val="3"/>
          <c:spPr>
            <a:pattFill prst="narHorz">
              <a:fgClr>
                <a:schemeClr val="accent3">
                  <a:lumMod val="80000"/>
                  <a:lumOff val="20000"/>
                </a:schemeClr>
              </a:fgClr>
              <a:bgClr>
                <a:schemeClr val="accent3">
                  <a:lumMod val="80000"/>
                  <a:lumOff val="20000"/>
                  <a:lumMod val="20000"/>
                  <a:lumOff val="80000"/>
                </a:schemeClr>
              </a:bgClr>
            </a:pattFill>
            <a:ln>
              <a:noFill/>
            </a:ln>
            <a:effectLst>
              <a:innerShdw blurRad="114300">
                <a:schemeClr val="accent3">
                  <a:lumMod val="80000"/>
                  <a:lumOff val="20000"/>
                </a:schemeClr>
              </a:innerShdw>
            </a:effectLst>
          </c:spPr>
          <c:invertIfNegative val="0"/>
          <c:cat>
            <c:strRef>
              <c:f>CR!$L$7:$M$15</c:f>
              <c:strCache>
                <c:ptCount val="9"/>
                <c:pt idx="0">
                  <c:v>SUSPICION BIRD STRIKE</c:v>
                </c:pt>
                <c:pt idx="1">
                  <c:v>BIRD STRIKE AVERE</c:v>
                </c:pt>
                <c:pt idx="2">
                  <c:v>ACCELERATION / ARRET</c:v>
                </c:pt>
                <c:pt idx="3">
                  <c:v>ETAT DE VEILLE</c:v>
                </c:pt>
                <c:pt idx="4">
                  <c:v>ETAT D'ALERTE</c:v>
                </c:pt>
                <c:pt idx="5">
                  <c:v>ETAT D'ACCIDENT</c:v>
                </c:pt>
                <c:pt idx="6">
                  <c:v>SUITE INTERVENTION INFRA/BAL</c:v>
                </c:pt>
                <c:pt idx="7">
                  <c:v>SUITE TRAVAUX</c:v>
                </c:pt>
                <c:pt idx="8">
                  <c:v>AUTRE</c:v>
                </c:pt>
              </c:strCache>
              <c:extLst xmlns:c16r2="http://schemas.microsoft.com/office/drawing/2015/06/chart" xmlns:c15="http://schemas.microsoft.com/office/drawing/2012/chart"/>
            </c:strRef>
          </c:cat>
          <c:val>
            <c:numRef>
              <c:f>#REF!</c:f>
              <c:numCache>
                <c:formatCode>General</c:formatCode>
                <c:ptCount val="1"/>
                <c:pt idx="0">
                  <c:v>1</c:v>
                </c:pt>
              </c:numCache>
              <c:extLst xmlns:c16r2="http://schemas.microsoft.com/office/drawing/2015/06/chart" xmlns:c15="http://schemas.microsoft.com/office/drawing/2012/chart"/>
            </c:numRef>
          </c:val>
          <c:extLst xmlns:c16r2="http://schemas.microsoft.com/office/drawing/2015/06/chart" xmlns:c15="http://schemas.microsoft.com/office/drawing/2012/chart">
            <c:ext xmlns:c16="http://schemas.microsoft.com/office/drawing/2014/chart" uri="{C3380CC4-5D6E-409C-BE32-E72D297353CC}">
              <c16:uniqueId val="{00000003-86BC-456D-B6FC-E0DC999E7CF6}"/>
            </c:ext>
          </c:extLst>
        </c:ser>
        <c:ser>
          <c:idx val="0"/>
          <c:order val="4"/>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CR!$L$7:$M$15</c:f>
              <c:strCache>
                <c:ptCount val="9"/>
                <c:pt idx="0">
                  <c:v>SUSPICION BIRD STRIKE</c:v>
                </c:pt>
                <c:pt idx="1">
                  <c:v>BIRD STRIKE AVERE</c:v>
                </c:pt>
                <c:pt idx="2">
                  <c:v>ACCELERATION / ARRET</c:v>
                </c:pt>
                <c:pt idx="3">
                  <c:v>ETAT DE VEILLE</c:v>
                </c:pt>
                <c:pt idx="4">
                  <c:v>ETAT D'ALERTE</c:v>
                </c:pt>
                <c:pt idx="5">
                  <c:v>ETAT D'ACCIDENT</c:v>
                </c:pt>
                <c:pt idx="6">
                  <c:v>SUITE INTERVENTION INFRA/BAL</c:v>
                </c:pt>
                <c:pt idx="7">
                  <c:v>SUITE TRAVAUX</c:v>
                </c:pt>
                <c:pt idx="8">
                  <c:v>AUTRE</c:v>
                </c:pt>
              </c:strCache>
            </c:strRef>
          </c:cat>
          <c:val>
            <c:numRef>
              <c:f>CR!$O$7:$O$15</c:f>
              <c:numCache>
                <c:formatCode>General</c:formatCode>
                <c:ptCount val="9"/>
                <c:pt idx="0">
                  <c:v>5</c:v>
                </c:pt>
                <c:pt idx="1">
                  <c:v>2</c:v>
                </c:pt>
                <c:pt idx="2">
                  <c:v>3</c:v>
                </c:pt>
                <c:pt idx="3">
                  <c:v>2</c:v>
                </c:pt>
                <c:pt idx="4">
                  <c:v>2</c:v>
                </c:pt>
                <c:pt idx="5">
                  <c:v>0</c:v>
                </c:pt>
                <c:pt idx="6">
                  <c:v>0</c:v>
                </c:pt>
                <c:pt idx="7">
                  <c:v>1</c:v>
                </c:pt>
                <c:pt idx="8">
                  <c:v>2</c:v>
                </c:pt>
              </c:numCache>
            </c:numRef>
          </c:val>
          <c:extLst xmlns:c16r2="http://schemas.microsoft.com/office/drawing/2015/06/chart">
            <c:ext xmlns:c16="http://schemas.microsoft.com/office/drawing/2014/chart" uri="{C3380CC4-5D6E-409C-BE32-E72D297353CC}">
              <c16:uniqueId val="{00000004-86BC-456D-B6FC-E0DC999E7CF6}"/>
            </c:ext>
          </c:extLst>
        </c:ser>
        <c:ser>
          <c:idx val="1"/>
          <c:order val="5"/>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cat>
            <c:strRef>
              <c:f>CR!$L$7:$M$15</c:f>
              <c:strCache>
                <c:ptCount val="9"/>
                <c:pt idx="0">
                  <c:v>SUSPICION BIRD STRIKE</c:v>
                </c:pt>
                <c:pt idx="1">
                  <c:v>BIRD STRIKE AVERE</c:v>
                </c:pt>
                <c:pt idx="2">
                  <c:v>ACCELERATION / ARRET</c:v>
                </c:pt>
                <c:pt idx="3">
                  <c:v>ETAT DE VEILLE</c:v>
                </c:pt>
                <c:pt idx="4">
                  <c:v>ETAT D'ALERTE</c:v>
                </c:pt>
                <c:pt idx="5">
                  <c:v>ETAT D'ACCIDENT</c:v>
                </c:pt>
                <c:pt idx="6">
                  <c:v>SUITE INTERVENTION INFRA/BAL</c:v>
                </c:pt>
                <c:pt idx="7">
                  <c:v>SUITE TRAVAUX</c:v>
                </c:pt>
                <c:pt idx="8">
                  <c:v>AUTRE</c:v>
                </c:pt>
              </c:strCache>
            </c:strRef>
          </c:cat>
          <c:val>
            <c:numRef>
              <c:f>CR!$N$7:$N$15</c:f>
              <c:numCache>
                <c:formatCode>General</c:formatCode>
                <c:ptCount val="9"/>
                <c:pt idx="0">
                  <c:v>4</c:v>
                </c:pt>
                <c:pt idx="1">
                  <c:v>0</c:v>
                </c:pt>
                <c:pt idx="2">
                  <c:v>0</c:v>
                </c:pt>
                <c:pt idx="3">
                  <c:v>0</c:v>
                </c:pt>
                <c:pt idx="4">
                  <c:v>1</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5-86BC-456D-B6FC-E0DC999E7CF6}"/>
            </c:ext>
          </c:extLst>
        </c:ser>
        <c:ser>
          <c:idx val="2"/>
          <c:order val="6"/>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cat>
            <c:strRef>
              <c:f>CR!$L$7:$M$15</c:f>
              <c:strCache>
                <c:ptCount val="9"/>
                <c:pt idx="0">
                  <c:v>SUSPICION BIRD STRIKE</c:v>
                </c:pt>
                <c:pt idx="1">
                  <c:v>BIRD STRIKE AVERE</c:v>
                </c:pt>
                <c:pt idx="2">
                  <c:v>ACCELERATION / ARRET</c:v>
                </c:pt>
                <c:pt idx="3">
                  <c:v>ETAT DE VEILLE</c:v>
                </c:pt>
                <c:pt idx="4">
                  <c:v>ETAT D'ALERTE</c:v>
                </c:pt>
                <c:pt idx="5">
                  <c:v>ETAT D'ACCIDENT</c:v>
                </c:pt>
                <c:pt idx="6">
                  <c:v>SUITE INTERVENTION INFRA/BAL</c:v>
                </c:pt>
                <c:pt idx="7">
                  <c:v>SUITE TRAVAUX</c:v>
                </c:pt>
                <c:pt idx="8">
                  <c:v>AUTRE</c:v>
                </c:pt>
              </c:strCache>
              <c:extLst xmlns:c16r2="http://schemas.microsoft.com/office/drawing/2015/06/chart" xmlns:c15="http://schemas.microsoft.com/office/drawing/2012/chart"/>
            </c:strRef>
          </c:cat>
          <c:val>
            <c:numRef>
              <c:f>#REF!</c:f>
              <c:numCache>
                <c:formatCode>General</c:formatCode>
                <c:ptCount val="1"/>
                <c:pt idx="0">
                  <c:v>1</c:v>
                </c:pt>
              </c:numCache>
              <c:extLst xmlns:c16r2="http://schemas.microsoft.com/office/drawing/2015/06/chart" xmlns:c15="http://schemas.microsoft.com/office/drawing/2012/chart"/>
            </c:numRef>
          </c:val>
          <c:extLst xmlns:c16r2="http://schemas.microsoft.com/office/drawing/2015/06/chart" xmlns:c15="http://schemas.microsoft.com/office/drawing/2012/chart">
            <c:ext xmlns:c16="http://schemas.microsoft.com/office/drawing/2014/chart" uri="{C3380CC4-5D6E-409C-BE32-E72D297353CC}">
              <c16:uniqueId val="{00000000-F0B1-4A74-8281-0709C8D1942A}"/>
            </c:ext>
          </c:extLst>
        </c:ser>
        <c:ser>
          <c:idx val="3"/>
          <c:order val="7"/>
          <c:spPr>
            <a:pattFill prst="narHorz">
              <a:fgClr>
                <a:schemeClr val="accent1">
                  <a:lumMod val="60000"/>
                </a:schemeClr>
              </a:fgClr>
              <a:bgClr>
                <a:schemeClr val="accent1">
                  <a:lumMod val="60000"/>
                  <a:lumMod val="20000"/>
                  <a:lumOff val="80000"/>
                </a:schemeClr>
              </a:bgClr>
            </a:pattFill>
            <a:ln>
              <a:noFill/>
            </a:ln>
            <a:effectLst>
              <a:innerShdw blurRad="114300">
                <a:schemeClr val="accent1">
                  <a:lumMod val="60000"/>
                </a:schemeClr>
              </a:innerShdw>
            </a:effectLst>
          </c:spPr>
          <c:invertIfNegative val="0"/>
          <c:cat>
            <c:strRef>
              <c:f>CR!$L$7:$M$15</c:f>
              <c:strCache>
                <c:ptCount val="9"/>
                <c:pt idx="0">
                  <c:v>SUSPICION BIRD STRIKE</c:v>
                </c:pt>
                <c:pt idx="1">
                  <c:v>BIRD STRIKE AVERE</c:v>
                </c:pt>
                <c:pt idx="2">
                  <c:v>ACCELERATION / ARRET</c:v>
                </c:pt>
                <c:pt idx="3">
                  <c:v>ETAT DE VEILLE</c:v>
                </c:pt>
                <c:pt idx="4">
                  <c:v>ETAT D'ALERTE</c:v>
                </c:pt>
                <c:pt idx="5">
                  <c:v>ETAT D'ACCIDENT</c:v>
                </c:pt>
                <c:pt idx="6">
                  <c:v>SUITE INTERVENTION INFRA/BAL</c:v>
                </c:pt>
                <c:pt idx="7">
                  <c:v>SUITE TRAVAUX</c:v>
                </c:pt>
                <c:pt idx="8">
                  <c:v>AUTRE</c:v>
                </c:pt>
              </c:strCache>
              <c:extLst xmlns:c16r2="http://schemas.microsoft.com/office/drawing/2015/06/chart" xmlns:c15="http://schemas.microsoft.com/office/drawing/2012/chart"/>
            </c:strRef>
          </c:cat>
          <c:val>
            <c:numRef>
              <c:f>#REF!</c:f>
              <c:numCache>
                <c:formatCode>General</c:formatCode>
                <c:ptCount val="1"/>
                <c:pt idx="0">
                  <c:v>1</c:v>
                </c:pt>
              </c:numCache>
              <c:extLst xmlns:c16r2="http://schemas.microsoft.com/office/drawing/2015/06/chart" xmlns:c15="http://schemas.microsoft.com/office/drawing/2012/chart"/>
            </c:numRef>
          </c:val>
          <c:extLst xmlns:c16r2="http://schemas.microsoft.com/office/drawing/2015/06/chart" xmlns:c15="http://schemas.microsoft.com/office/drawing/2012/chart">
            <c:ext xmlns:c16="http://schemas.microsoft.com/office/drawing/2014/chart" uri="{C3380CC4-5D6E-409C-BE32-E72D297353CC}">
              <c16:uniqueId val="{00000001-F0B1-4A74-8281-0709C8D1942A}"/>
            </c:ext>
          </c:extLst>
        </c:ser>
        <c:dLbls>
          <c:showLegendKey val="0"/>
          <c:showVal val="0"/>
          <c:showCatName val="0"/>
          <c:showSerName val="0"/>
          <c:showPercent val="0"/>
          <c:showBubbleSize val="0"/>
        </c:dLbls>
        <c:gapWidth val="150"/>
        <c:axId val="1141581120"/>
        <c:axId val="1141589824"/>
        <c:extLst xmlns:c16r2="http://schemas.microsoft.com/office/drawing/2015/06/chart"/>
      </c:barChart>
      <c:catAx>
        <c:axId val="1141581120"/>
        <c:scaling>
          <c:orientation val="maxMin"/>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41589824"/>
        <c:crosses val="autoZero"/>
        <c:auto val="1"/>
        <c:lblAlgn val="ctr"/>
        <c:lblOffset val="100"/>
        <c:noMultiLvlLbl val="0"/>
      </c:catAx>
      <c:valAx>
        <c:axId val="1141589824"/>
        <c:scaling>
          <c:orientation val="minMax"/>
        </c:scaling>
        <c:delete val="0"/>
        <c:axPos val="t"/>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41581120"/>
        <c:crosses val="autoZero"/>
        <c:crossBetween val="between"/>
        <c:majorUnit val="1"/>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CR!$K$48</c:f>
              <c:strCache>
                <c:ptCount val="1"/>
                <c:pt idx="0">
                  <c:v>A.COMMERCIALE</c:v>
                </c:pt>
              </c:strCache>
            </c:strRef>
          </c:tx>
          <c:spPr>
            <a:solidFill>
              <a:schemeClr val="accent6"/>
            </a:solidFill>
            <a:ln w="19050">
              <a:solidFill>
                <a:schemeClr val="lt1"/>
              </a:solidFill>
            </a:ln>
            <a:effectLst/>
          </c:spPr>
          <c:invertIfNegative val="0"/>
          <c:dPt>
            <c:idx val="1"/>
            <c:invertIfNegative val="0"/>
            <c:bubble3D val="0"/>
            <c:spPr>
              <a:solidFill>
                <a:schemeClr val="accent6"/>
              </a:solidFill>
              <a:ln w="19050">
                <a:solidFill>
                  <a:schemeClr val="lt1"/>
                </a:solidFill>
              </a:ln>
              <a:effectLst/>
            </c:spPr>
            <c:extLst xmlns:c16r2="http://schemas.microsoft.com/office/drawing/2015/06/chart">
              <c:ext xmlns:c16="http://schemas.microsoft.com/office/drawing/2014/chart" uri="{C3380CC4-5D6E-409C-BE32-E72D297353CC}">
                <c16:uniqueId val="{00000003-B948-484C-B96E-7BE7B66069E6}"/>
              </c:ext>
            </c:extLst>
          </c:dPt>
          <c:cat>
            <c:numRef>
              <c:f>CR!$M$48:$M$49</c:f>
              <c:numCache>
                <c:formatCode>0</c:formatCode>
                <c:ptCount val="2"/>
                <c:pt idx="0">
                  <c:v>29.357798165137609</c:v>
                </c:pt>
                <c:pt idx="1">
                  <c:v>70.642201834862391</c:v>
                </c:pt>
              </c:numCache>
            </c:numRef>
          </c:cat>
          <c:val>
            <c:numRef>
              <c:f>CR!$M$48</c:f>
              <c:numCache>
                <c:formatCode>0</c:formatCode>
                <c:ptCount val="1"/>
                <c:pt idx="0">
                  <c:v>29.357798165137609</c:v>
                </c:pt>
              </c:numCache>
            </c:numRef>
          </c:val>
          <c:extLst xmlns:c16r2="http://schemas.microsoft.com/office/drawing/2015/06/chart">
            <c:ext xmlns:c16="http://schemas.microsoft.com/office/drawing/2014/chart" uri="{C3380CC4-5D6E-409C-BE32-E72D297353CC}">
              <c16:uniqueId val="{00000004-B948-484C-B96E-7BE7B66069E6}"/>
            </c:ext>
          </c:extLst>
        </c:ser>
        <c:ser>
          <c:idx val="1"/>
          <c:order val="1"/>
          <c:tx>
            <c:strRef>
              <c:f>CR!$L$49</c:f>
              <c:strCache>
                <c:ptCount val="1"/>
                <c:pt idx="0">
                  <c:v>A.GENERALE</c:v>
                </c:pt>
              </c:strCache>
            </c:strRef>
          </c:tx>
          <c:spPr>
            <a:solidFill>
              <a:schemeClr val="accent5"/>
            </a:solidFill>
            <a:ln w="19050">
              <a:solidFill>
                <a:schemeClr val="lt1"/>
              </a:solidFill>
            </a:ln>
            <a:effectLst/>
          </c:spPr>
          <c:invertIfNegative val="0"/>
          <c:cat>
            <c:numRef>
              <c:f>CR!$M$48:$M$49</c:f>
              <c:numCache>
                <c:formatCode>0</c:formatCode>
                <c:ptCount val="2"/>
                <c:pt idx="0">
                  <c:v>29.357798165137609</c:v>
                </c:pt>
                <c:pt idx="1">
                  <c:v>70.642201834862391</c:v>
                </c:pt>
              </c:numCache>
            </c:numRef>
          </c:cat>
          <c:val>
            <c:numRef>
              <c:f>CR!$M$49</c:f>
              <c:numCache>
                <c:formatCode>0</c:formatCode>
                <c:ptCount val="1"/>
                <c:pt idx="0">
                  <c:v>70.642201834862391</c:v>
                </c:pt>
              </c:numCache>
            </c:numRef>
          </c:val>
          <c:extLst xmlns:c16r2="http://schemas.microsoft.com/office/drawing/2015/06/chart">
            <c:ext xmlns:c16="http://schemas.microsoft.com/office/drawing/2014/chart" uri="{C3380CC4-5D6E-409C-BE32-E72D297353CC}">
              <c16:uniqueId val="{00000004-C04D-46B1-B9B5-68ADECD7A9D3}"/>
            </c:ext>
          </c:extLst>
        </c:ser>
        <c:dLbls>
          <c:showLegendKey val="0"/>
          <c:showVal val="0"/>
          <c:showCatName val="0"/>
          <c:showSerName val="0"/>
          <c:showPercent val="0"/>
          <c:showBubbleSize val="0"/>
        </c:dLbls>
        <c:gapWidth val="100"/>
        <c:overlap val="100"/>
        <c:axId val="1141593088"/>
        <c:axId val="1141578944"/>
      </c:barChart>
      <c:valAx>
        <c:axId val="11415789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41593088"/>
        <c:crosses val="autoZero"/>
        <c:crossBetween val="between"/>
      </c:valAx>
      <c:catAx>
        <c:axId val="1141593088"/>
        <c:scaling>
          <c:orientation val="minMax"/>
        </c:scaling>
        <c:delete val="1"/>
        <c:axPos val="b"/>
        <c:numFmt formatCode="0" sourceLinked="1"/>
        <c:majorTickMark val="out"/>
        <c:minorTickMark val="none"/>
        <c:tickLblPos val="nextTo"/>
        <c:crossAx val="11415789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CR!$E$43</c:f>
              <c:strCache>
                <c:ptCount val="1"/>
                <c:pt idx="0">
                  <c:v>0</c:v>
                </c:pt>
              </c:strCache>
            </c:strRef>
          </c:tx>
          <c:dPt>
            <c:idx val="0"/>
            <c:bubble3D val="0"/>
            <c:spPr>
              <a:solidFill>
                <a:schemeClr val="accent1"/>
              </a:solidFill>
              <a:ln>
                <a:noFill/>
              </a:ln>
              <a:effectLst/>
            </c:spPr>
            <c:extLst xmlns:c16r2="http://schemas.microsoft.com/office/drawing/2015/06/chart">
              <c:ext xmlns:c16="http://schemas.microsoft.com/office/drawing/2014/chart" uri="{C3380CC4-5D6E-409C-BE32-E72D297353CC}">
                <c16:uniqueId val="{00000001-312F-44C0-8132-D77B2BB411EC}"/>
              </c:ext>
            </c:extLst>
          </c:dPt>
          <c:dPt>
            <c:idx val="1"/>
            <c:bubble3D val="0"/>
            <c:spPr>
              <a:solidFill>
                <a:schemeClr val="accent2"/>
              </a:solidFill>
              <a:ln>
                <a:noFill/>
              </a:ln>
              <a:effectLst/>
            </c:spPr>
            <c:extLst xmlns:c16r2="http://schemas.microsoft.com/office/drawing/2015/06/chart">
              <c:ext xmlns:c16="http://schemas.microsoft.com/office/drawing/2014/chart" uri="{C3380CC4-5D6E-409C-BE32-E72D297353CC}">
                <c16:uniqueId val="{00000003-312F-44C0-8132-D77B2BB411EC}"/>
              </c:ext>
            </c:extLst>
          </c:dPt>
          <c:dPt>
            <c:idx val="2"/>
            <c:bubble3D val="0"/>
            <c:spPr>
              <a:solidFill>
                <a:schemeClr val="accent3"/>
              </a:solidFill>
              <a:ln>
                <a:noFill/>
              </a:ln>
              <a:effectLst/>
            </c:spPr>
            <c:extLst xmlns:c16r2="http://schemas.microsoft.com/office/drawing/2015/06/chart">
              <c:ext xmlns:c16="http://schemas.microsoft.com/office/drawing/2014/chart" uri="{C3380CC4-5D6E-409C-BE32-E72D297353CC}">
                <c16:uniqueId val="{00000005-312F-44C0-8132-D77B2BB411EC}"/>
              </c:ext>
            </c:extLst>
          </c:dPt>
          <c:dPt>
            <c:idx val="3"/>
            <c:bubble3D val="0"/>
            <c:spPr>
              <a:solidFill>
                <a:schemeClr val="accent4"/>
              </a:solidFill>
              <a:ln>
                <a:noFill/>
              </a:ln>
              <a:effectLst/>
            </c:spPr>
            <c:extLst xmlns:c16r2="http://schemas.microsoft.com/office/drawing/2015/06/chart">
              <c:ext xmlns:c16="http://schemas.microsoft.com/office/drawing/2014/chart" uri="{C3380CC4-5D6E-409C-BE32-E72D297353CC}">
                <c16:uniqueId val="{00000007-312F-44C0-8132-D77B2BB411EC}"/>
              </c:ext>
            </c:extLst>
          </c:dPt>
          <c:dPt>
            <c:idx val="4"/>
            <c:bubble3D val="0"/>
            <c:spPr>
              <a:solidFill>
                <a:schemeClr val="accent5"/>
              </a:solidFill>
              <a:ln>
                <a:noFill/>
              </a:ln>
              <a:effectLst/>
            </c:spPr>
            <c:extLst xmlns:c16r2="http://schemas.microsoft.com/office/drawing/2015/06/chart">
              <c:ext xmlns:c16="http://schemas.microsoft.com/office/drawing/2014/chart" uri="{C3380CC4-5D6E-409C-BE32-E72D297353CC}">
                <c16:uniqueId val="{00000009-312F-44C0-8132-D77B2BB411EC}"/>
              </c:ext>
            </c:extLst>
          </c:dPt>
          <c:dPt>
            <c:idx val="5"/>
            <c:bubble3D val="0"/>
            <c:spPr>
              <a:solidFill>
                <a:schemeClr val="accent6"/>
              </a:solidFill>
              <a:ln>
                <a:noFill/>
              </a:ln>
              <a:effectLst/>
            </c:spPr>
            <c:extLst xmlns:c16r2="http://schemas.microsoft.com/office/drawing/2015/06/chart">
              <c:ext xmlns:c16="http://schemas.microsoft.com/office/drawing/2014/chart" uri="{C3380CC4-5D6E-409C-BE32-E72D297353CC}">
                <c16:uniqueId val="{0000000B-312F-44C0-8132-D77B2BB411EC}"/>
              </c:ext>
            </c:extLst>
          </c:dPt>
          <c:dLbls>
            <c:dLbl>
              <c:idx val="0"/>
              <c:layout>
                <c:manualLayout>
                  <c:x val="8.7470449172576833E-2"/>
                  <c:y val="9.6735175143985615E-3"/>
                </c:manualLayout>
              </c:layou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1-312F-44C0-8132-D77B2BB411EC}"/>
                </c:ext>
                <c:ext xmlns:c15="http://schemas.microsoft.com/office/drawing/2012/chart" uri="{CE6537A1-D6FC-4f65-9D91-7224C49458BB}"/>
              </c:extLst>
            </c:dLbl>
            <c:dLbl>
              <c:idx val="1"/>
              <c:layout>
                <c:manualLayout>
                  <c:x val="6.3829787234042548E-2"/>
                  <c:y val="-5.4816599248258518E-2"/>
                </c:manualLayout>
              </c:layou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3-312F-44C0-8132-D77B2BB411EC}"/>
                </c:ext>
                <c:ext xmlns:c15="http://schemas.microsoft.com/office/drawing/2012/chart" uri="{CE6537A1-D6FC-4f65-9D91-7224C49458BB}"/>
              </c:extLst>
            </c:dLbl>
            <c:dLbl>
              <c:idx val="3"/>
              <c:layout>
                <c:manualLayout>
                  <c:x val="-0.15130014333314717"/>
                  <c:y val="5.8041105086391251E-2"/>
                </c:manualLayout>
              </c:layou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7-312F-44C0-8132-D77B2BB411EC}"/>
                </c:ext>
                <c:ext xmlns:c15="http://schemas.microsoft.com/office/drawing/2012/chart" uri="{CE6537A1-D6FC-4f65-9D91-7224C49458BB}">
                  <c15:layout>
                    <c:manualLayout>
                      <c:w val="0.21026581783660017"/>
                      <c:h val="0.12898632707965393"/>
                    </c:manualLayout>
                  </c15:layout>
                </c:ext>
              </c:extLst>
            </c:dLbl>
            <c:dLbl>
              <c:idx val="4"/>
              <c:layout>
                <c:manualLayout>
                  <c:x val="-3.0732860520094649E-2"/>
                  <c:y val="0.12898023352531415"/>
                </c:manualLayout>
              </c:layou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9-312F-44C0-8132-D77B2BB411EC}"/>
                </c:ext>
                <c:ext xmlns:c15="http://schemas.microsoft.com/office/drawing/2012/chart" uri="{CE6537A1-D6FC-4f65-9D91-7224C49458BB}"/>
              </c:extLst>
            </c:dLbl>
            <c:dLbl>
              <c:idx val="5"/>
              <c:layout>
                <c:manualLayout>
                  <c:x val="-0.20212756650099589"/>
                  <c:y val="-9.9959680982118465E-2"/>
                </c:manualLayout>
              </c:layout>
              <c:numFmt formatCode="General" sourceLinked="0"/>
              <c:spPr>
                <a:solidFill>
                  <a:sysClr val="window" lastClr="FFFFFF"/>
                </a:solidFill>
                <a:ln>
                  <a:solidFill>
                    <a:sysClr val="windowText" lastClr="000000">
                      <a:lumMod val="65000"/>
                      <a:lumOff val="35000"/>
                    </a:sysClr>
                  </a:solid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dk1"/>
                      </a:solidFill>
                      <a:latin typeface="+mn-lt"/>
                      <a:ea typeface="+mn-ea"/>
                      <a:cs typeface="+mn-cs"/>
                    </a:defRPr>
                  </a:pPr>
                  <a:endParaRPr lang="fr-FR"/>
                </a:p>
              </c:txPr>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B-312F-44C0-8132-D77B2BB411EC}"/>
                </c:ext>
                <c:ext xmlns:c15="http://schemas.microsoft.com/office/drawing/2012/chart" uri="{CE6537A1-D6FC-4f65-9D91-7224C49458BB}">
                  <c15:spPr xmlns:c15="http://schemas.microsoft.com/office/drawing/2012/chart">
                    <a:prstGeom prst="wedgeRectCallout">
                      <a:avLst/>
                    </a:prstGeom>
                    <a:noFill/>
                    <a:ln>
                      <a:noFill/>
                    </a:ln>
                  </c15:spPr>
                  <c15:layout>
                    <c:manualLayout>
                      <c:w val="0.38598276279294869"/>
                      <c:h val="9.7786567165694921E-2"/>
                    </c:manualLayout>
                  </c15:layout>
                </c:ext>
              </c:extLst>
            </c:dLbl>
            <c:numFmt formatCode="General" sourceLinked="0"/>
            <c:spPr>
              <a:solidFill>
                <a:sysClr val="window" lastClr="FFFFFF"/>
              </a:solidFill>
              <a:ln>
                <a:solidFill>
                  <a:sysClr val="windowText" lastClr="000000">
                    <a:lumMod val="65000"/>
                    <a:lumOff val="35000"/>
                  </a:sysClr>
                </a:solid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fr-FR"/>
              </a:p>
            </c:txPr>
            <c:showLegendKey val="0"/>
            <c:showVal val="0"/>
            <c:showCatName val="1"/>
            <c:showSerName val="0"/>
            <c:showPercent val="1"/>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wedgeRectCallout">
                    <a:avLst/>
                  </a:prstGeom>
                  <a:noFill/>
                  <a:ln>
                    <a:noFill/>
                  </a:ln>
                </c15:spPr>
              </c:ext>
            </c:extLst>
          </c:dLbls>
          <c:cat>
            <c:strRef>
              <c:f>CR!$B$37:$C$42</c:f>
              <c:strCache>
                <c:ptCount val="6"/>
                <c:pt idx="0">
                  <c:v>#N/A</c:v>
                </c:pt>
                <c:pt idx="1">
                  <c:v>#N/A</c:v>
                </c:pt>
                <c:pt idx="2">
                  <c:v>#N/A</c:v>
                </c:pt>
                <c:pt idx="3">
                  <c:v>#N/A</c:v>
                </c:pt>
                <c:pt idx="4">
                  <c:v>#N/A</c:v>
                </c:pt>
                <c:pt idx="5">
                  <c:v>#N/A</c:v>
                </c:pt>
              </c:strCache>
            </c:strRef>
          </c:cat>
          <c:val>
            <c:numRef>
              <c:f>CR!$E$37:$E$42</c:f>
              <c:numCache>
                <c:formatCode>General</c:formatCode>
                <c:ptCount val="6"/>
                <c:pt idx="0">
                  <c:v>#N/A</c:v>
                </c:pt>
                <c:pt idx="1">
                  <c:v>#N/A</c:v>
                </c:pt>
                <c:pt idx="2">
                  <c:v>#N/A</c:v>
                </c:pt>
                <c:pt idx="3">
                  <c:v>#N/A</c:v>
                </c:pt>
                <c:pt idx="4">
                  <c:v>#N/A</c:v>
                </c:pt>
                <c:pt idx="5">
                  <c:v>#N/A</c:v>
                </c:pt>
              </c:numCache>
            </c:numRef>
          </c:val>
          <c:extLst xmlns:c16r2="http://schemas.microsoft.com/office/drawing/2015/06/chart">
            <c:ext xmlns:c16="http://schemas.microsoft.com/office/drawing/2014/chart" uri="{C3380CC4-5D6E-409C-BE32-E72D297353CC}">
              <c16:uniqueId val="{0000000C-8A0D-4280-B33F-1567FF098BD7}"/>
            </c:ext>
          </c:extLst>
        </c:ser>
        <c:dLbls>
          <c:showLegendKey val="0"/>
          <c:showVal val="0"/>
          <c:showCatName val="0"/>
          <c:showSerName val="0"/>
          <c:showPercent val="0"/>
          <c:showBubbleSize val="0"/>
          <c:showLeaderLines val="0"/>
        </c:dLbls>
        <c:firstSliceAng val="0"/>
        <c:holeSize val="70"/>
      </c:doughnutChart>
      <c:spPr>
        <a:noFill/>
        <a:ln>
          <a:noFill/>
        </a:ln>
        <a:effectLst/>
      </c:spPr>
    </c:plotArea>
    <c:plotVisOnly val="1"/>
    <c:dispBlanksAs val="gap"/>
    <c:showDLblsOverMax val="0"/>
  </c:chart>
  <c:spPr>
    <a:noFill/>
    <a:ln w="9525" cap="flat" cmpd="sng" algn="ctr">
      <a:noFill/>
      <a:prstDash val="solid"/>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chemeClr val="accent1"/>
              </a:solidFill>
              <a:ln>
                <a:noFill/>
              </a:ln>
              <a:effectLst>
                <a:innerShdw blurRad="114300">
                  <a:schemeClr val="accent1"/>
                </a:innerShdw>
              </a:effectLst>
            </c:spPr>
            <c:extLst xmlns:c16r2="http://schemas.microsoft.com/office/drawing/2015/06/chart">
              <c:ext xmlns:c16="http://schemas.microsoft.com/office/drawing/2014/chart" uri="{C3380CC4-5D6E-409C-BE32-E72D297353CC}">
                <c16:uniqueId val="{00000001-129C-430B-92EA-794551FACA4C}"/>
              </c:ext>
            </c:extLst>
          </c:dPt>
          <c:dPt>
            <c:idx val="1"/>
            <c:bubble3D val="0"/>
            <c:spPr>
              <a:solidFill>
                <a:schemeClr val="accent3"/>
              </a:solidFill>
              <a:ln>
                <a:noFill/>
              </a:ln>
              <a:effectLst>
                <a:innerShdw blurRad="114300">
                  <a:schemeClr val="accent3"/>
                </a:innerShdw>
              </a:effectLst>
            </c:spPr>
            <c:extLst xmlns:c16r2="http://schemas.microsoft.com/office/drawing/2015/06/chart">
              <c:ext xmlns:c16="http://schemas.microsoft.com/office/drawing/2014/chart" uri="{C3380CC4-5D6E-409C-BE32-E72D297353CC}">
                <c16:uniqueId val="{00000003-129C-430B-92EA-794551FACA4C}"/>
              </c:ext>
            </c:extLst>
          </c:dPt>
          <c:dPt>
            <c:idx val="2"/>
            <c:bubble3D val="0"/>
            <c:spPr>
              <a:solidFill>
                <a:schemeClr val="accent5"/>
              </a:solidFill>
              <a:ln>
                <a:noFill/>
              </a:ln>
              <a:effectLst>
                <a:innerShdw blurRad="114300">
                  <a:schemeClr val="accent5"/>
                </a:innerShdw>
              </a:effectLst>
            </c:spPr>
            <c:extLst xmlns:c16r2="http://schemas.microsoft.com/office/drawing/2015/06/chart">
              <c:ext xmlns:c16="http://schemas.microsoft.com/office/drawing/2014/chart" uri="{C3380CC4-5D6E-409C-BE32-E72D297353CC}">
                <c16:uniqueId val="{00000005-129C-430B-92EA-794551FACA4C}"/>
              </c:ext>
            </c:extLst>
          </c:dPt>
          <c:dPt>
            <c:idx val="3"/>
            <c:bubble3D val="0"/>
            <c:spPr>
              <a:solidFill>
                <a:schemeClr val="accent1">
                  <a:lumMod val="60000"/>
                </a:schemeClr>
              </a:solidFill>
              <a:ln>
                <a:noFill/>
              </a:ln>
              <a:effectLst/>
            </c:spPr>
            <c:extLst xmlns:c16r2="http://schemas.microsoft.com/office/drawing/2015/06/chart">
              <c:ext xmlns:c16="http://schemas.microsoft.com/office/drawing/2014/chart" uri="{C3380CC4-5D6E-409C-BE32-E72D297353CC}">
                <c16:uniqueId val="{00000007-04E1-42A4-B5BB-6E0658367979}"/>
              </c:ext>
            </c:extLst>
          </c:dPt>
          <c:dLbls>
            <c:dLbl>
              <c:idx val="0"/>
              <c:spPr>
                <a:solidFill>
                  <a:sysClr val="window" lastClr="FFFFFF"/>
                </a:solidFill>
                <a:ln>
                  <a:solidFill>
                    <a:sysClr val="windowText" lastClr="000000">
                      <a:lumMod val="65000"/>
                      <a:lumOff val="35000"/>
                    </a:sysClr>
                  </a:solid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dk1"/>
                      </a:solidFill>
                      <a:latin typeface="+mn-lt"/>
                      <a:ea typeface="+mn-ea"/>
                      <a:cs typeface="+mn-cs"/>
                    </a:defRPr>
                  </a:pPr>
                  <a:endParaRPr lang="fr-FR"/>
                </a:p>
              </c:txPr>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1-129C-430B-92EA-794551FACA4C}"/>
                </c:ext>
                <c:ext xmlns:c15="http://schemas.microsoft.com/office/drawing/2012/chart" uri="{CE6537A1-D6FC-4f65-9D91-7224C49458BB}">
                  <c15:spPr xmlns:c15="http://schemas.microsoft.com/office/drawing/2012/chart">
                    <a:prstGeom prst="wedgeRectCallout">
                      <a:avLst/>
                    </a:prstGeom>
                    <a:noFill/>
                    <a:ln>
                      <a:noFill/>
                    </a:ln>
                  </c15:spPr>
                </c:ext>
              </c:extLst>
            </c:dLbl>
            <c:dLbl>
              <c:idx val="1"/>
              <c:layout>
                <c:manualLayout>
                  <c:x val="-8.4824387011265767E-2"/>
                  <c:y val="0.12499999999999996"/>
                </c:manualLayout>
              </c:layou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3-129C-430B-92EA-794551FACA4C}"/>
                </c:ext>
                <c:ext xmlns:c15="http://schemas.microsoft.com/office/drawing/2012/chart" uri="{CE6537A1-D6FC-4f65-9D91-7224C49458BB}"/>
              </c:extLst>
            </c:dLbl>
            <c:dLbl>
              <c:idx val="2"/>
              <c:layout>
                <c:manualLayout>
                  <c:x val="5.5666003976143144E-2"/>
                  <c:y val="-4.6296296296296308E-2"/>
                </c:manualLayout>
              </c:layout>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5-129C-430B-92EA-794551FACA4C}"/>
                </c:ext>
                <c:ext xmlns:c15="http://schemas.microsoft.com/office/drawing/2012/chart" uri="{CE6537A1-D6FC-4f65-9D91-7224C49458BB}"/>
              </c:extLst>
            </c:dLbl>
            <c:spPr>
              <a:solidFill>
                <a:sysClr val="window" lastClr="FFFFFF"/>
              </a:solidFill>
              <a:ln>
                <a:solidFill>
                  <a:sysClr val="windowText" lastClr="000000">
                    <a:lumMod val="65000"/>
                    <a:lumOff val="35000"/>
                  </a:sysClr>
                </a:solid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fr-FR"/>
              </a:p>
            </c:txPr>
            <c:showLegendKey val="0"/>
            <c:showVal val="0"/>
            <c:showCatName val="1"/>
            <c:showSerName val="0"/>
            <c:showPercent val="1"/>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wedgeRectCallout">
                    <a:avLst/>
                  </a:prstGeom>
                  <a:noFill/>
                  <a:ln>
                    <a:noFill/>
                  </a:ln>
                </c15:spPr>
              </c:ext>
            </c:extLst>
          </c:dLbls>
          <c:cat>
            <c:strRef>
              <c:f>CR!$B$44:$B$47</c:f>
              <c:strCache>
                <c:ptCount val="4"/>
                <c:pt idx="0">
                  <c:v>A.COMMERCIALE</c:v>
                </c:pt>
                <c:pt idx="1">
                  <c:v>A.GENERALE</c:v>
                </c:pt>
                <c:pt idx="2">
                  <c:v>T.HELICOPTERE</c:v>
                </c:pt>
                <c:pt idx="3">
                  <c:v>NON IDENTIFIE</c:v>
                </c:pt>
              </c:strCache>
            </c:strRef>
          </c:cat>
          <c:val>
            <c:numRef>
              <c:f>CR!$F$44:$F$47</c:f>
              <c:numCache>
                <c:formatCode>0.0</c:formatCode>
                <c:ptCount val="4"/>
                <c:pt idx="0">
                  <c:v>#N/A</c:v>
                </c:pt>
                <c:pt idx="1">
                  <c:v>#N/A</c:v>
                </c:pt>
                <c:pt idx="2">
                  <c:v>#N/A</c:v>
                </c:pt>
                <c:pt idx="3">
                  <c:v>#N/A</c:v>
                </c:pt>
              </c:numCache>
            </c:numRef>
          </c:val>
          <c:extLst xmlns:c16r2="http://schemas.microsoft.com/office/drawing/2015/06/chart">
            <c:ext xmlns:c16="http://schemas.microsoft.com/office/drawing/2014/chart" uri="{C3380CC4-5D6E-409C-BE32-E72D297353CC}">
              <c16:uniqueId val="{00000006-129C-430B-92EA-794551FACA4C}"/>
            </c:ext>
          </c:extLst>
        </c:ser>
        <c:dLbls>
          <c:showLegendKey val="0"/>
          <c:showVal val="0"/>
          <c:showCatName val="0"/>
          <c:showSerName val="0"/>
          <c:showPercent val="0"/>
          <c:showBubbleSize val="0"/>
          <c:showLeaderLines val="0"/>
        </c:dLbls>
        <c:firstSliceAng val="0"/>
        <c:holeSize val="70"/>
      </c:doughnutChart>
      <c:spPr>
        <a:noFill/>
        <a:ln>
          <a:noFill/>
        </a:ln>
        <a:effectLst/>
      </c:spPr>
    </c:plotArea>
    <c:plotVisOnly val="1"/>
    <c:dispBlanksAs val="gap"/>
    <c:showDLblsOverMax val="0"/>
  </c:chart>
  <c:spPr>
    <a:noFill/>
    <a:ln w="9525" cap="flat" cmpd="sng" algn="ctr">
      <a:noFill/>
      <a:prstDash val="solid"/>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209426</xdr:colOff>
      <xdr:row>0</xdr:row>
      <xdr:rowOff>179451</xdr:rowOff>
    </xdr:from>
    <xdr:to>
      <xdr:col>5</xdr:col>
      <xdr:colOff>457200</xdr:colOff>
      <xdr:row>19</xdr:row>
      <xdr:rowOff>108779</xdr:rowOff>
    </xdr:to>
    <xdr:pic>
      <xdr:nvPicPr>
        <xdr:cNvPr id="7" name="Image 6">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5176" y="179451"/>
          <a:ext cx="3867274" cy="362502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0</xdr:colOff>
          <xdr:row>10</xdr:row>
          <xdr:rowOff>9525</xdr:rowOff>
        </xdr:from>
        <xdr:to>
          <xdr:col>4</xdr:col>
          <xdr:colOff>9525</xdr:colOff>
          <xdr:row>11</xdr:row>
          <xdr:rowOff>180975</xdr:rowOff>
        </xdr:to>
        <xdr:sp macro="" textlink="">
          <xdr:nvSpPr>
            <xdr:cNvPr id="3073" name="Saisie_SaisieJ"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1" i="0" u="none" strike="noStrike" baseline="0">
                  <a:solidFill>
                    <a:srgbClr val="000000"/>
                  </a:solidFill>
                  <a:latin typeface="Calibri"/>
                  <a:cs typeface="Calibri"/>
                </a:rPr>
                <a:t>Saisie Journalière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16</xdr:row>
          <xdr:rowOff>9525</xdr:rowOff>
        </xdr:from>
        <xdr:to>
          <xdr:col>4</xdr:col>
          <xdr:colOff>0</xdr:colOff>
          <xdr:row>17</xdr:row>
          <xdr:rowOff>180975</xdr:rowOff>
        </xdr:to>
        <xdr:sp macro="" textlink="">
          <xdr:nvSpPr>
            <xdr:cNvPr id="3075" name="B_SURTOU" hidden="1">
              <a:extLst>
                <a:ext uri="{63B3BB69-23CF-44E3-9099-C40C66FF867C}">
                  <a14:compatExt spid="_x0000_s3075"/>
                </a:ext>
                <a:ext uri="{FF2B5EF4-FFF2-40B4-BE49-F238E27FC236}">
                  <a16:creationId xmlns:a16="http://schemas.microsoft.com/office/drawing/2014/main" xmlns=""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Surveillance Touchée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13</xdr:row>
          <xdr:rowOff>0</xdr:rowOff>
        </xdr:from>
        <xdr:to>
          <xdr:col>4</xdr:col>
          <xdr:colOff>0</xdr:colOff>
          <xdr:row>14</xdr:row>
          <xdr:rowOff>171450</xdr:rowOff>
        </xdr:to>
        <xdr:sp macro="" textlink="">
          <xdr:nvSpPr>
            <xdr:cNvPr id="3076" name="Consul_D"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Consultation Données</a:t>
              </a:r>
            </a:p>
          </xdr:txBody>
        </xdr:sp>
        <xdr:clientData fPrintsWithSheet="0"/>
      </xdr:twoCellAnchor>
    </mc:Choice>
    <mc:Fallback/>
  </mc:AlternateContent>
  <xdr:twoCellAnchor editAs="oneCell">
    <xdr:from>
      <xdr:col>1</xdr:col>
      <xdr:colOff>1107363</xdr:colOff>
      <xdr:row>29</xdr:row>
      <xdr:rowOff>47624</xdr:rowOff>
    </xdr:from>
    <xdr:to>
      <xdr:col>2</xdr:col>
      <xdr:colOff>714375</xdr:colOff>
      <xdr:row>33</xdr:row>
      <xdr:rowOff>166762</xdr:rowOff>
    </xdr:to>
    <xdr:pic>
      <xdr:nvPicPr>
        <xdr:cNvPr id="2" name="Imag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3113" y="5667374"/>
          <a:ext cx="988137" cy="909713"/>
        </a:xfrm>
        <a:prstGeom prst="rect">
          <a:avLst/>
        </a:prstGeom>
      </xdr:spPr>
    </xdr:pic>
    <xdr:clientData/>
  </xdr:twoCellAnchor>
  <xdr:twoCellAnchor>
    <xdr:from>
      <xdr:col>10</xdr:col>
      <xdr:colOff>600075</xdr:colOff>
      <xdr:row>12</xdr:row>
      <xdr:rowOff>0</xdr:rowOff>
    </xdr:from>
    <xdr:to>
      <xdr:col>10</xdr:col>
      <xdr:colOff>752475</xdr:colOff>
      <xdr:row>12</xdr:row>
      <xdr:rowOff>142875</xdr:rowOff>
    </xdr:to>
    <xdr:sp macro="" textlink="">
      <xdr:nvSpPr>
        <xdr:cNvPr id="6" name="Ellipse 5">
          <a:extLst>
            <a:ext uri="{FF2B5EF4-FFF2-40B4-BE49-F238E27FC236}">
              <a16:creationId xmlns:a16="http://schemas.microsoft.com/office/drawing/2014/main" xmlns="" id="{00000000-0008-0000-0000-000006000000}"/>
            </a:ext>
          </a:extLst>
        </xdr:cNvPr>
        <xdr:cNvSpPr/>
      </xdr:nvSpPr>
      <xdr:spPr>
        <a:xfrm>
          <a:off x="8220075" y="2314575"/>
          <a:ext cx="152400" cy="142875"/>
        </a:xfrm>
        <a:prstGeom prst="ellipse">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609600</xdr:colOff>
      <xdr:row>13</xdr:row>
      <xdr:rowOff>28575</xdr:rowOff>
    </xdr:from>
    <xdr:to>
      <xdr:col>11</xdr:col>
      <xdr:colOff>0</xdr:colOff>
      <xdr:row>13</xdr:row>
      <xdr:rowOff>171450</xdr:rowOff>
    </xdr:to>
    <xdr:sp macro="" textlink="">
      <xdr:nvSpPr>
        <xdr:cNvPr id="13" name="Ellipse 12">
          <a:extLst>
            <a:ext uri="{FF2B5EF4-FFF2-40B4-BE49-F238E27FC236}">
              <a16:creationId xmlns:a16="http://schemas.microsoft.com/office/drawing/2014/main" xmlns="" id="{00000000-0008-0000-0000-00000D000000}"/>
            </a:ext>
          </a:extLst>
        </xdr:cNvPr>
        <xdr:cNvSpPr/>
      </xdr:nvSpPr>
      <xdr:spPr>
        <a:xfrm>
          <a:off x="8229600" y="2533650"/>
          <a:ext cx="152400" cy="142875"/>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xdr:col>
      <xdr:colOff>609600</xdr:colOff>
      <xdr:row>14</xdr:row>
      <xdr:rowOff>28575</xdr:rowOff>
    </xdr:from>
    <xdr:to>
      <xdr:col>11</xdr:col>
      <xdr:colOff>0</xdr:colOff>
      <xdr:row>14</xdr:row>
      <xdr:rowOff>171450</xdr:rowOff>
    </xdr:to>
    <xdr:sp macro="" textlink="">
      <xdr:nvSpPr>
        <xdr:cNvPr id="14" name="Ellipse 13">
          <a:extLst>
            <a:ext uri="{FF2B5EF4-FFF2-40B4-BE49-F238E27FC236}">
              <a16:creationId xmlns:a16="http://schemas.microsoft.com/office/drawing/2014/main" xmlns="" id="{00000000-0008-0000-0000-00000E000000}"/>
            </a:ext>
          </a:extLst>
        </xdr:cNvPr>
        <xdr:cNvSpPr/>
      </xdr:nvSpPr>
      <xdr:spPr>
        <a:xfrm>
          <a:off x="8229600" y="2724150"/>
          <a:ext cx="152400" cy="142875"/>
        </a:xfrm>
        <a:prstGeom prst="ellipse">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2</xdr:col>
          <xdr:colOff>0</xdr:colOff>
          <xdr:row>19</xdr:row>
          <xdr:rowOff>0</xdr:rowOff>
        </xdr:from>
        <xdr:to>
          <xdr:col>3</xdr:col>
          <xdr:colOff>752475</xdr:colOff>
          <xdr:row>20</xdr:row>
          <xdr:rowOff>171450</xdr:rowOff>
        </xdr:to>
        <xdr:sp macro="" textlink="">
          <xdr:nvSpPr>
            <xdr:cNvPr id="3081" name="S_ANX" hidden="1">
              <a:extLst>
                <a:ext uri="{63B3BB69-23CF-44E3-9099-C40C66FF867C}">
                  <a14:compatExt spid="_x0000_s3081"/>
                </a:ext>
                <a:ext uri="{FF2B5EF4-FFF2-40B4-BE49-F238E27FC236}">
                  <a16:creationId xmlns:a16="http://schemas.microsoft.com/office/drawing/2014/main" xmlns=""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Saisies Annexes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22</xdr:row>
          <xdr:rowOff>0</xdr:rowOff>
        </xdr:from>
        <xdr:to>
          <xdr:col>3</xdr:col>
          <xdr:colOff>752475</xdr:colOff>
          <xdr:row>23</xdr:row>
          <xdr:rowOff>171450</xdr:rowOff>
        </xdr:to>
        <xdr:sp macro="" textlink="">
          <xdr:nvSpPr>
            <xdr:cNvPr id="3084" name="S_ANX" hidden="1">
              <a:extLst>
                <a:ext uri="{63B3BB69-23CF-44E3-9099-C40C66FF867C}">
                  <a14:compatExt spid="_x0000_s3084"/>
                </a:ext>
                <a:ext uri="{FF2B5EF4-FFF2-40B4-BE49-F238E27FC236}">
                  <a16:creationId xmlns:a16="http://schemas.microsoft.com/office/drawing/2014/main" xmlns=""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ADMIN</a:t>
              </a:r>
            </a:p>
          </xdr:txBody>
        </xdr:sp>
        <xdr:clientData fPrintsWithSheet="0"/>
      </xdr:twoCellAnchor>
    </mc:Choice>
    <mc:Fallback/>
  </mc:AlternateContent>
  <xdr:twoCellAnchor editAs="oneCell">
    <xdr:from>
      <xdr:col>10</xdr:col>
      <xdr:colOff>19051</xdr:colOff>
      <xdr:row>14</xdr:row>
      <xdr:rowOff>76200</xdr:rowOff>
    </xdr:from>
    <xdr:to>
      <xdr:col>11</xdr:col>
      <xdr:colOff>122845</xdr:colOff>
      <xdr:row>17</xdr:row>
      <xdr:rowOff>104774</xdr:rowOff>
    </xdr:to>
    <xdr:pic>
      <xdr:nvPicPr>
        <xdr:cNvPr id="3" name="Imag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572376" y="2790825"/>
          <a:ext cx="865794" cy="600074"/>
        </a:xfrm>
        <a:prstGeom prst="rect">
          <a:avLst/>
        </a:prstGeom>
      </xdr:spPr>
    </xdr:pic>
    <xdr:clientData/>
  </xdr:twoCellAnchor>
  <xdr:twoCellAnchor editAs="oneCell">
    <xdr:from>
      <xdr:col>4</xdr:col>
      <xdr:colOff>453388</xdr:colOff>
      <xdr:row>0</xdr:row>
      <xdr:rowOff>28574</xdr:rowOff>
    </xdr:from>
    <xdr:to>
      <xdr:col>8</xdr:col>
      <xdr:colOff>230505</xdr:colOff>
      <xdr:row>7</xdr:row>
      <xdr:rowOff>180975</xdr:rowOff>
    </xdr:to>
    <xdr:pic>
      <xdr:nvPicPr>
        <xdr:cNvPr id="4" name="Imag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44263" y="28574"/>
          <a:ext cx="2453642" cy="1533526"/>
        </a:xfrm>
        <a:prstGeom prst="rect">
          <a:avLst/>
        </a:prstGeom>
      </xdr:spPr>
    </xdr:pic>
    <xdr:clientData/>
  </xdr:twoCellAnchor>
  <xdr:twoCellAnchor editAs="oneCell">
    <xdr:from>
      <xdr:col>3</xdr:col>
      <xdr:colOff>28576</xdr:colOff>
      <xdr:row>28</xdr:row>
      <xdr:rowOff>161925</xdr:rowOff>
    </xdr:from>
    <xdr:to>
      <xdr:col>4</xdr:col>
      <xdr:colOff>229728</xdr:colOff>
      <xdr:row>34</xdr:row>
      <xdr:rowOff>95250</xdr:rowOff>
    </xdr:to>
    <xdr:pic>
      <xdr:nvPicPr>
        <xdr:cNvPr id="5" name="Imag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457451" y="5591175"/>
          <a:ext cx="963152" cy="1114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0</xdr:colOff>
          <xdr:row>3</xdr:row>
          <xdr:rowOff>47625</xdr:rowOff>
        </xdr:from>
        <xdr:to>
          <xdr:col>37</xdr:col>
          <xdr:colOff>123825</xdr:colOff>
          <xdr:row>4</xdr:row>
          <xdr:rowOff>114300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Légende Plages 11-37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95250</xdr:colOff>
      <xdr:row>16</xdr:row>
      <xdr:rowOff>0</xdr:rowOff>
    </xdr:from>
    <xdr:to>
      <xdr:col>18</xdr:col>
      <xdr:colOff>400051</xdr:colOff>
      <xdr:row>33</xdr:row>
      <xdr:rowOff>61913</xdr:rowOff>
    </xdr:to>
    <xdr:graphicFrame macro="">
      <xdr:nvGraphicFramePr>
        <xdr:cNvPr id="2" name="Graphique 1">
          <a:extLst>
            <a:ext uri="{FF2B5EF4-FFF2-40B4-BE49-F238E27FC236}">
              <a16:creationId xmlns:a16="http://schemas.microsoft.com/office/drawing/2014/main" xmlns=""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619125</xdr:colOff>
      <xdr:row>36</xdr:row>
      <xdr:rowOff>76200</xdr:rowOff>
    </xdr:from>
    <xdr:to>
      <xdr:col>16</xdr:col>
      <xdr:colOff>95249</xdr:colOff>
      <xdr:row>52</xdr:row>
      <xdr:rowOff>171450</xdr:rowOff>
    </xdr:to>
    <xdr:graphicFrame macro="">
      <xdr:nvGraphicFramePr>
        <xdr:cNvPr id="3" name="Graphique 2">
          <a:extLst>
            <a:ext uri="{FF2B5EF4-FFF2-40B4-BE49-F238E27FC236}">
              <a16:creationId xmlns:a16="http://schemas.microsoft.com/office/drawing/2014/main" xmlns=""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742950</xdr:colOff>
      <xdr:row>48</xdr:row>
      <xdr:rowOff>47625</xdr:rowOff>
    </xdr:from>
    <xdr:to>
      <xdr:col>8</xdr:col>
      <xdr:colOff>19050</xdr:colOff>
      <xdr:row>68</xdr:row>
      <xdr:rowOff>166688</xdr:rowOff>
    </xdr:to>
    <xdr:graphicFrame macro="">
      <xdr:nvGraphicFramePr>
        <xdr:cNvPr id="4" name="Graphique 3">
          <a:extLst>
            <a:ext uri="{FF2B5EF4-FFF2-40B4-BE49-F238E27FC236}">
              <a16:creationId xmlns:a16="http://schemas.microsoft.com/office/drawing/2014/main" xmlns=""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342900</xdr:colOff>
      <xdr:row>69</xdr:row>
      <xdr:rowOff>142875</xdr:rowOff>
    </xdr:from>
    <xdr:to>
      <xdr:col>7</xdr:col>
      <xdr:colOff>561975</xdr:colOff>
      <xdr:row>84</xdr:row>
      <xdr:rowOff>28575</xdr:rowOff>
    </xdr:to>
    <xdr:graphicFrame macro="">
      <xdr:nvGraphicFramePr>
        <xdr:cNvPr id="5" name="Graphique 4">
          <a:extLst>
            <a:ext uri="{FF2B5EF4-FFF2-40B4-BE49-F238E27FC236}">
              <a16:creationId xmlns:a16="http://schemas.microsoft.com/office/drawing/2014/main" xmlns=""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295272</xdr:colOff>
      <xdr:row>1</xdr:row>
      <xdr:rowOff>76200</xdr:rowOff>
    </xdr:from>
    <xdr:to>
      <xdr:col>2</xdr:col>
      <xdr:colOff>742947</xdr:colOff>
      <xdr:row>3</xdr:row>
      <xdr:rowOff>76201</xdr:rowOff>
    </xdr:to>
    <xdr:sp macro="" textlink="">
      <xdr:nvSpPr>
        <xdr:cNvPr id="2" name="Légende encadrée 2 1">
          <a:extLst>
            <a:ext uri="{FF2B5EF4-FFF2-40B4-BE49-F238E27FC236}">
              <a16:creationId xmlns:a16="http://schemas.microsoft.com/office/drawing/2014/main" xmlns="" id="{00000000-0008-0000-1300-000002000000}"/>
            </a:ext>
          </a:extLst>
        </xdr:cNvPr>
        <xdr:cNvSpPr/>
      </xdr:nvSpPr>
      <xdr:spPr>
        <a:xfrm flipH="1">
          <a:off x="295272" y="266700"/>
          <a:ext cx="1971675" cy="381001"/>
        </a:xfrm>
        <a:prstGeom prst="borderCallout2">
          <a:avLst>
            <a:gd name="adj1" fmla="val 18750"/>
            <a:gd name="adj2" fmla="val -8333"/>
            <a:gd name="adj3" fmla="val 18750"/>
            <a:gd name="adj4" fmla="val -16667"/>
            <a:gd name="adj5" fmla="val 112500"/>
            <a:gd name="adj6" fmla="val -18648"/>
          </a:avLst>
        </a:prstGeom>
        <a:solidFill>
          <a:schemeClr val="bg2"/>
        </a:solidFill>
        <a:ln w="19050">
          <a:solidFill>
            <a:srgbClr val="00B0F0"/>
          </a:solidFill>
          <a:headEnd type="none" w="med" len="med"/>
          <a:tailEnd type="arrow"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900">
              <a:solidFill>
                <a:sysClr val="windowText" lastClr="000000"/>
              </a:solidFill>
            </a:rPr>
            <a:t>Données</a:t>
          </a:r>
          <a:r>
            <a:rPr lang="fr-FR" sz="900" baseline="0">
              <a:solidFill>
                <a:sysClr val="windowText" lastClr="000000"/>
              </a:solidFill>
            </a:rPr>
            <a:t> calculées automatiquement affichées  dans les textbox's</a:t>
          </a:r>
          <a:endParaRPr lang="fr-FR" sz="900">
            <a:solidFill>
              <a:sysClr val="windowText" lastClr="000000"/>
            </a:solidFill>
          </a:endParaRPr>
        </a:p>
      </xdr:txBody>
    </xdr:sp>
    <xdr:clientData/>
  </xdr:twoCellAnchor>
  <xdr:twoCellAnchor>
    <xdr:from>
      <xdr:col>4</xdr:col>
      <xdr:colOff>714372</xdr:colOff>
      <xdr:row>5</xdr:row>
      <xdr:rowOff>66675</xdr:rowOff>
    </xdr:from>
    <xdr:to>
      <xdr:col>7</xdr:col>
      <xdr:colOff>552450</xdr:colOff>
      <xdr:row>8</xdr:row>
      <xdr:rowOff>57150</xdr:rowOff>
    </xdr:to>
    <xdr:sp macro="" textlink="">
      <xdr:nvSpPr>
        <xdr:cNvPr id="3" name="Légende encadrée 2 2">
          <a:extLst>
            <a:ext uri="{FF2B5EF4-FFF2-40B4-BE49-F238E27FC236}">
              <a16:creationId xmlns:a16="http://schemas.microsoft.com/office/drawing/2014/main" xmlns="" id="{00000000-0008-0000-1300-000003000000}"/>
            </a:ext>
          </a:extLst>
        </xdr:cNvPr>
        <xdr:cNvSpPr/>
      </xdr:nvSpPr>
      <xdr:spPr>
        <a:xfrm>
          <a:off x="3762372" y="1047750"/>
          <a:ext cx="2124078" cy="561975"/>
        </a:xfrm>
        <a:prstGeom prst="borderCallout2">
          <a:avLst>
            <a:gd name="adj1" fmla="val 18750"/>
            <a:gd name="adj2" fmla="val -8333"/>
            <a:gd name="adj3" fmla="val 18750"/>
            <a:gd name="adj4" fmla="val -16667"/>
            <a:gd name="adj5" fmla="val -25431"/>
            <a:gd name="adj6" fmla="val -16096"/>
          </a:avLst>
        </a:prstGeom>
        <a:solidFill>
          <a:schemeClr val="bg2"/>
        </a:solidFill>
        <a:ln w="19050">
          <a:solidFill>
            <a:srgbClr val="00B0F0"/>
          </a:solidFill>
          <a:headEnd type="none" w="med" len="med"/>
          <a:tailEnd type="arrow"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900">
              <a:solidFill>
                <a:sysClr val="windowText" lastClr="000000"/>
              </a:solidFill>
            </a:rPr>
            <a:t>Si résultat automatiquement = néant, colonne</a:t>
          </a:r>
          <a:r>
            <a:rPr lang="fr-FR" sz="900" baseline="0">
              <a:solidFill>
                <a:sysClr val="windowText" lastClr="000000"/>
              </a:solidFill>
            </a:rPr>
            <a:t> stockant données entrées par User</a:t>
          </a:r>
          <a:endParaRPr lang="fr-FR" sz="900">
            <a:solidFill>
              <a:sysClr val="windowText" lastClr="000000"/>
            </a:solidFill>
          </a:endParaRPr>
        </a:p>
      </xdr:txBody>
    </xdr:sp>
    <xdr:clientData/>
  </xdr:twoCellAnchor>
  <xdr:twoCellAnchor>
    <xdr:from>
      <xdr:col>3</xdr:col>
      <xdr:colOff>523874</xdr:colOff>
      <xdr:row>1</xdr:row>
      <xdr:rowOff>47625</xdr:rowOff>
    </xdr:from>
    <xdr:to>
      <xdr:col>6</xdr:col>
      <xdr:colOff>209549</xdr:colOff>
      <xdr:row>2</xdr:row>
      <xdr:rowOff>85726</xdr:rowOff>
    </xdr:to>
    <xdr:sp macro="" textlink="">
      <xdr:nvSpPr>
        <xdr:cNvPr id="4" name="Légende encadrée 2 3">
          <a:extLst>
            <a:ext uri="{FF2B5EF4-FFF2-40B4-BE49-F238E27FC236}">
              <a16:creationId xmlns:a16="http://schemas.microsoft.com/office/drawing/2014/main" xmlns="" id="{00000000-0008-0000-1300-000004000000}"/>
            </a:ext>
          </a:extLst>
        </xdr:cNvPr>
        <xdr:cNvSpPr/>
      </xdr:nvSpPr>
      <xdr:spPr>
        <a:xfrm flipH="1">
          <a:off x="2809874" y="238125"/>
          <a:ext cx="1971675" cy="228601"/>
        </a:xfrm>
        <a:prstGeom prst="borderCallout2">
          <a:avLst>
            <a:gd name="adj1" fmla="val 113750"/>
            <a:gd name="adj2" fmla="val 55918"/>
            <a:gd name="adj3" fmla="val 131250"/>
            <a:gd name="adj4" fmla="val 48550"/>
            <a:gd name="adj5" fmla="val 279166"/>
            <a:gd name="adj6" fmla="val 35942"/>
          </a:avLst>
        </a:prstGeom>
        <a:solidFill>
          <a:schemeClr val="bg2"/>
        </a:solidFill>
        <a:ln w="19050">
          <a:solidFill>
            <a:srgbClr val="00B0F0"/>
          </a:solidFill>
          <a:headEnd type="none" w="med" len="med"/>
          <a:tailEnd type="arrow"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900">
              <a:solidFill>
                <a:sysClr val="windowText" lastClr="000000"/>
              </a:solidFill>
            </a:rPr>
            <a:t>Données</a:t>
          </a:r>
          <a:r>
            <a:rPr lang="fr-FR" sz="900" baseline="0">
              <a:solidFill>
                <a:sysClr val="windowText" lastClr="000000"/>
              </a:solidFill>
            </a:rPr>
            <a:t> déjà saisies le Jour J</a:t>
          </a:r>
          <a:endParaRPr lang="fr-FR" sz="900">
            <a:solidFill>
              <a:sysClr val="windowText" lastClr="000000"/>
            </a:solidFill>
          </a:endParaRPr>
        </a:p>
      </xdr:txBody>
    </xdr:sp>
    <xdr:clientData/>
  </xdr:twoCellAnchor>
  <xdr:twoCellAnchor>
    <xdr:from>
      <xdr:col>7</xdr:col>
      <xdr:colOff>0</xdr:colOff>
      <xdr:row>1</xdr:row>
      <xdr:rowOff>95250</xdr:rowOff>
    </xdr:from>
    <xdr:to>
      <xdr:col>9</xdr:col>
      <xdr:colOff>447675</xdr:colOff>
      <xdr:row>3</xdr:row>
      <xdr:rowOff>95251</xdr:rowOff>
    </xdr:to>
    <xdr:sp macro="" textlink="">
      <xdr:nvSpPr>
        <xdr:cNvPr id="5" name="Légende encadrée 2 4">
          <a:extLst>
            <a:ext uri="{FF2B5EF4-FFF2-40B4-BE49-F238E27FC236}">
              <a16:creationId xmlns:a16="http://schemas.microsoft.com/office/drawing/2014/main" xmlns="" id="{00000000-0008-0000-1300-000005000000}"/>
            </a:ext>
          </a:extLst>
        </xdr:cNvPr>
        <xdr:cNvSpPr/>
      </xdr:nvSpPr>
      <xdr:spPr>
        <a:xfrm>
          <a:off x="5334000" y="285750"/>
          <a:ext cx="1971675" cy="381001"/>
        </a:xfrm>
        <a:prstGeom prst="borderCallout2">
          <a:avLst>
            <a:gd name="adj1" fmla="val 18750"/>
            <a:gd name="adj2" fmla="val -8333"/>
            <a:gd name="adj3" fmla="val 18750"/>
            <a:gd name="adj4" fmla="val -16667"/>
            <a:gd name="adj5" fmla="val 112500"/>
            <a:gd name="adj6" fmla="val -18648"/>
          </a:avLst>
        </a:prstGeom>
        <a:solidFill>
          <a:schemeClr val="bg2"/>
        </a:solidFill>
        <a:ln w="19050">
          <a:solidFill>
            <a:srgbClr val="00B0F0"/>
          </a:solidFill>
          <a:headEnd type="none" w="med" len="med"/>
          <a:tailEnd type="arrow"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900">
              <a:solidFill>
                <a:sysClr val="windowText" lastClr="000000"/>
              </a:solidFill>
            </a:rPr>
            <a:t>Colonne contenant les données qui seront enregistrées</a:t>
          </a:r>
        </a:p>
      </xdr:txBody>
    </xdr:sp>
    <xdr:clientData/>
  </xdr:twoCellAnchor>
</xdr:wsDr>
</file>

<file path=xl/theme/theme1.xml><?xml version="1.0" encoding="utf-8"?>
<a:theme xmlns:a="http://schemas.openxmlformats.org/drawingml/2006/main" name="Thème Office">
  <a:themeElements>
    <a:clrScheme name="Personnalisé 1">
      <a:dk1>
        <a:sysClr val="windowText" lastClr="000000"/>
      </a:dk1>
      <a:lt1>
        <a:sysClr val="window" lastClr="FFFFFF"/>
      </a:lt1>
      <a:dk2>
        <a:srgbClr val="1F497D"/>
      </a:dk2>
      <a:lt2>
        <a:srgbClr val="EEECE1"/>
      </a:lt2>
      <a:accent1>
        <a:srgbClr val="4F81BD"/>
      </a:accent1>
      <a:accent2>
        <a:srgbClr val="FF0000"/>
      </a:accent2>
      <a:accent3>
        <a:srgbClr val="92D050"/>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60E0FF"/>
  </sheetPr>
  <dimension ref="B1:V37"/>
  <sheetViews>
    <sheetView workbookViewId="0">
      <selection activeCell="C9" sqref="C9:D9"/>
    </sheetView>
  </sheetViews>
  <sheetFormatPr baseColWidth="10" defaultRowHeight="15" x14ac:dyDescent="0.25"/>
  <cols>
    <col min="1" max="1" width="4.28515625" customWidth="1"/>
    <col min="2" max="2" width="20.7109375" customWidth="1"/>
    <col min="5" max="5" width="10.7109375" customWidth="1"/>
    <col min="6" max="6" width="13.5703125" customWidth="1"/>
    <col min="7" max="7" width="4.42578125" customWidth="1"/>
    <col min="17" max="17" width="12.85546875" customWidth="1"/>
    <col min="21" max="21" width="4.28515625" customWidth="1"/>
    <col min="22" max="22" width="0" hidden="1" customWidth="1"/>
  </cols>
  <sheetData>
    <row r="1" spans="2:22" ht="15.75" thickBot="1" x14ac:dyDescent="0.3"/>
    <row r="2" spans="2:22" ht="15" customHeight="1" x14ac:dyDescent="0.25">
      <c r="B2" s="658" t="s">
        <v>958</v>
      </c>
      <c r="C2" s="659"/>
      <c r="D2" s="659"/>
      <c r="E2" s="659"/>
      <c r="F2" s="659"/>
      <c r="G2" s="14"/>
      <c r="H2" s="14"/>
      <c r="I2" s="14"/>
      <c r="J2" s="14"/>
      <c r="K2" s="14"/>
      <c r="L2" s="14"/>
      <c r="M2" s="14"/>
      <c r="N2" s="14"/>
      <c r="O2" s="14"/>
      <c r="P2" s="14"/>
      <c r="Q2" s="14"/>
      <c r="R2" s="14"/>
      <c r="S2" s="14"/>
      <c r="T2" s="15"/>
      <c r="U2" s="22"/>
    </row>
    <row r="3" spans="2:22" ht="15.75" customHeight="1" thickBot="1" x14ac:dyDescent="0.3">
      <c r="B3" s="660"/>
      <c r="C3" s="661"/>
      <c r="D3" s="661"/>
      <c r="E3" s="661"/>
      <c r="F3" s="661"/>
      <c r="G3" s="17"/>
      <c r="H3" s="665" t="s">
        <v>740</v>
      </c>
      <c r="I3" s="665"/>
      <c r="J3" s="17"/>
      <c r="K3" s="17"/>
      <c r="L3" s="17"/>
      <c r="M3" s="17"/>
      <c r="N3" s="17"/>
      <c r="O3" s="17"/>
      <c r="P3" s="17"/>
      <c r="Q3" s="17"/>
      <c r="R3" s="17"/>
      <c r="S3" s="381" t="s">
        <v>955</v>
      </c>
      <c r="T3" s="18"/>
      <c r="U3" s="406"/>
    </row>
    <row r="4" spans="2:22" ht="15" customHeight="1" thickBot="1" x14ac:dyDescent="0.3">
      <c r="B4" s="660"/>
      <c r="C4" s="661"/>
      <c r="D4" s="661"/>
      <c r="E4" s="661"/>
      <c r="F4" s="661"/>
      <c r="G4" s="17"/>
      <c r="H4" s="411" t="s">
        <v>741</v>
      </c>
      <c r="I4" s="412">
        <f>IF(ACT_MOD=1,1,0)</f>
        <v>1</v>
      </c>
      <c r="J4" s="382" t="s">
        <v>653</v>
      </c>
      <c r="K4" s="382"/>
      <c r="L4" s="383">
        <f ca="1">IF(AND(JOUR_J&gt;=1,JOUR_J&lt;=10,ETS_CAR=1),1,0)</f>
        <v>1</v>
      </c>
      <c r="M4" s="382" t="s">
        <v>175</v>
      </c>
      <c r="N4" s="384">
        <f ca="1">IF(AND(JOUR_J&gt;=1,JOUR_J&lt;=10,ETS_TVX=1),1,0)</f>
        <v>1</v>
      </c>
      <c r="O4" s="382" t="s">
        <v>742</v>
      </c>
      <c r="P4" s="385">
        <f ca="1">IF(AND(JOUR_J&gt;=1,JOUR_J&lt;=10,ETS_PER=1),1,0)</f>
        <v>1</v>
      </c>
      <c r="Q4" s="280" t="str">
        <f ca="1">IF(L4+N4+P4+CK_FAITM=4,"CR DISPO","")</f>
        <v>CR DISPO</v>
      </c>
      <c r="R4" s="386">
        <v>1</v>
      </c>
      <c r="S4" s="526" t="str">
        <f ca="1">IF(VCR&lt;&gt;12,VCR&amp;"-"&amp;ANNEE_XX,VCR&amp;"-"&amp;ANNEE_XX-1)</f>
        <v>1-25</v>
      </c>
      <c r="T4" s="305"/>
      <c r="U4" s="406"/>
    </row>
    <row r="5" spans="2:22" ht="15.75" customHeight="1" thickBot="1" x14ac:dyDescent="0.3">
      <c r="B5" s="656" t="s">
        <v>867</v>
      </c>
      <c r="C5" s="657"/>
      <c r="D5" s="657"/>
      <c r="E5" s="657"/>
      <c r="F5" s="657"/>
      <c r="G5" s="17"/>
      <c r="H5" s="663" t="str">
        <f ca="1">IF(AND(Q4="",JOUR_J&lt;10),"RAPPEL : LA DISPONIBILITE DU CR EST SOUMISE A LA SAISIE DES DONNEES TRAVAUX ET PERMIS.","")</f>
        <v/>
      </c>
      <c r="I5" s="663"/>
      <c r="J5" s="663"/>
      <c r="K5" s="663"/>
      <c r="L5" s="663"/>
      <c r="M5" s="663"/>
      <c r="N5" s="663"/>
      <c r="O5" s="663"/>
      <c r="P5" s="663"/>
      <c r="Q5" s="663"/>
      <c r="R5" s="663"/>
      <c r="S5" s="525">
        <f ca="1">IF(MONTH(TODAY())=1,12,MONTH(TODAY())-1)</f>
        <v>1</v>
      </c>
      <c r="T5" s="362"/>
      <c r="U5" s="22"/>
    </row>
    <row r="6" spans="2:22" ht="15.75" thickTop="1" x14ac:dyDescent="0.25">
      <c r="B6" s="377"/>
      <c r="C6" s="387"/>
      <c r="D6" s="387"/>
      <c r="E6" s="387"/>
      <c r="F6" s="387"/>
      <c r="G6" s="17"/>
      <c r="H6" s="17"/>
      <c r="I6" s="17"/>
      <c r="J6" s="17"/>
      <c r="K6" s="17"/>
      <c r="L6" s="17"/>
      <c r="M6" s="17"/>
      <c r="N6" s="17"/>
      <c r="O6" s="17"/>
      <c r="P6" s="17"/>
      <c r="Q6" s="17"/>
      <c r="R6" s="17"/>
      <c r="S6" s="17"/>
      <c r="T6" s="18"/>
      <c r="U6" s="22"/>
      <c r="V6">
        <v>31</v>
      </c>
    </row>
    <row r="7" spans="2:22" ht="15.75" thickBot="1" x14ac:dyDescent="0.3">
      <c r="B7" s="378"/>
      <c r="C7" s="388"/>
      <c r="D7" s="388"/>
      <c r="E7" s="388"/>
      <c r="F7" s="388"/>
      <c r="G7" s="410"/>
      <c r="H7" s="17"/>
      <c r="I7" s="17"/>
      <c r="J7" s="17"/>
      <c r="K7" s="17"/>
      <c r="L7" s="17"/>
      <c r="M7" s="17"/>
      <c r="N7" s="17"/>
      <c r="O7" s="17"/>
      <c r="P7" s="17"/>
      <c r="Q7" s="17"/>
      <c r="R7" s="17"/>
      <c r="S7" s="17"/>
      <c r="T7" s="18"/>
      <c r="U7" s="22"/>
      <c r="V7">
        <v>30</v>
      </c>
    </row>
    <row r="8" spans="2:22" ht="15.75" customHeight="1" x14ac:dyDescent="0.25">
      <c r="B8" s="378"/>
      <c r="C8" s="388"/>
      <c r="D8" s="388"/>
      <c r="E8" s="388"/>
      <c r="F8" s="388"/>
      <c r="G8" s="670" t="s">
        <v>68</v>
      </c>
      <c r="H8" s="17"/>
      <c r="I8" s="25" t="s">
        <v>96</v>
      </c>
      <c r="J8" s="21"/>
      <c r="K8" s="21"/>
      <c r="L8" s="55">
        <f>LOG_M!AJ8</f>
        <v>1</v>
      </c>
      <c r="M8" s="17"/>
      <c r="N8" s="664" t="s">
        <v>389</v>
      </c>
      <c r="O8" s="664"/>
      <c r="P8" s="664"/>
      <c r="Q8" s="55">
        <f>S8+S9</f>
        <v>23</v>
      </c>
      <c r="R8" s="81" t="s">
        <v>488</v>
      </c>
      <c r="S8" s="55">
        <f>LOG_M!AJ56</f>
        <v>19</v>
      </c>
      <c r="T8" s="18"/>
      <c r="U8" s="22"/>
      <c r="V8">
        <v>29</v>
      </c>
    </row>
    <row r="9" spans="2:22" ht="15.75" customHeight="1" thickBot="1" x14ac:dyDescent="0.3">
      <c r="B9" s="16"/>
      <c r="C9" s="662" t="s">
        <v>868</v>
      </c>
      <c r="D9" s="662"/>
      <c r="E9" s="669"/>
      <c r="F9" s="669"/>
      <c r="G9" s="671"/>
      <c r="H9" s="17"/>
      <c r="I9" s="389" t="s">
        <v>956</v>
      </c>
      <c r="J9" s="389"/>
      <c r="K9" s="674" t="str">
        <f>IF(L8=0,"",VLOOKUP(CR!Q6,DATA_BASE!L3:O11,2,FALSE))</f>
        <v>SUSPICION BIRD STRIKE</v>
      </c>
      <c r="L9" s="674"/>
      <c r="M9" s="17"/>
      <c r="N9" s="664" t="s">
        <v>187</v>
      </c>
      <c r="O9" s="664"/>
      <c r="P9" s="664"/>
      <c r="Q9" s="55">
        <f>LOG_M!AJ224</f>
        <v>0</v>
      </c>
      <c r="R9" s="390" t="s">
        <v>487</v>
      </c>
      <c r="S9" s="34">
        <f>LOG_M!AJ57</f>
        <v>4</v>
      </c>
      <c r="T9" s="18"/>
      <c r="U9" s="22"/>
      <c r="V9">
        <v>28</v>
      </c>
    </row>
    <row r="10" spans="2:22" ht="15" customHeight="1" x14ac:dyDescent="0.25">
      <c r="B10" s="16"/>
      <c r="C10" s="380"/>
      <c r="D10" s="17"/>
      <c r="E10" s="17"/>
      <c r="F10" s="402"/>
      <c r="G10" s="672" t="s">
        <v>69</v>
      </c>
      <c r="H10" s="17"/>
      <c r="I10" s="17"/>
      <c r="J10" s="17"/>
      <c r="K10" s="17"/>
      <c r="L10" s="17"/>
      <c r="M10" s="17"/>
      <c r="N10" s="666" t="s">
        <v>17</v>
      </c>
      <c r="O10" s="666"/>
      <c r="P10" s="666"/>
      <c r="Q10" s="310">
        <f>LOG_M!AJ169</f>
        <v>0</v>
      </c>
      <c r="S10" s="391">
        <f ca="1">IF(MOIS_M=1,#REF!+#REF!,LOG_ANNUEL!Q57+LOG_ANNUEL!Q58)</f>
        <v>109</v>
      </c>
      <c r="T10" s="3"/>
      <c r="U10" s="22"/>
      <c r="V10">
        <v>27</v>
      </c>
    </row>
    <row r="11" spans="2:22" ht="15" customHeight="1" thickBot="1" x14ac:dyDescent="0.3">
      <c r="B11" s="16"/>
      <c r="C11" s="379"/>
      <c r="D11" s="17"/>
      <c r="E11" s="667"/>
      <c r="F11" s="668"/>
      <c r="G11" s="673"/>
      <c r="H11" s="17"/>
      <c r="I11" s="664" t="s">
        <v>97</v>
      </c>
      <c r="J11" s="664"/>
      <c r="K11" s="664"/>
      <c r="L11" s="17"/>
      <c r="M11" s="17"/>
      <c r="N11" s="17"/>
      <c r="O11" s="17"/>
      <c r="P11" s="17"/>
      <c r="Q11" s="17"/>
      <c r="R11" s="17"/>
      <c r="S11" s="392" t="s">
        <v>869</v>
      </c>
      <c r="T11" s="18"/>
      <c r="U11" s="22"/>
      <c r="V11">
        <v>26</v>
      </c>
    </row>
    <row r="12" spans="2:22" ht="15" customHeight="1" x14ac:dyDescent="0.25">
      <c r="B12" s="16"/>
      <c r="C12" s="17"/>
      <c r="D12" s="17"/>
      <c r="E12" s="668"/>
      <c r="F12" s="668"/>
      <c r="G12" s="670" t="s">
        <v>70</v>
      </c>
      <c r="H12" s="17"/>
      <c r="I12" s="17"/>
      <c r="J12" s="17"/>
      <c r="K12" s="17"/>
      <c r="L12" s="17"/>
      <c r="M12" s="17"/>
      <c r="N12" s="17"/>
      <c r="O12" s="17"/>
      <c r="P12" s="17"/>
      <c r="Q12" s="17"/>
      <c r="R12" s="17"/>
      <c r="S12" s="17"/>
      <c r="T12" s="18"/>
      <c r="U12" s="22"/>
      <c r="V12">
        <v>25</v>
      </c>
    </row>
    <row r="13" spans="2:22" ht="15" customHeight="1" thickBot="1" x14ac:dyDescent="0.3">
      <c r="B13" s="16"/>
      <c r="C13" s="380"/>
      <c r="D13" s="17"/>
      <c r="E13" s="666"/>
      <c r="F13" s="666"/>
      <c r="G13" s="671"/>
      <c r="H13" s="17"/>
      <c r="I13" s="364" t="s">
        <v>8</v>
      </c>
      <c r="J13" s="55">
        <f>LOG_M!AJ24</f>
        <v>0</v>
      </c>
      <c r="K13" s="21"/>
      <c r="L13" s="17"/>
      <c r="M13" s="17"/>
      <c r="N13" s="364" t="s">
        <v>13</v>
      </c>
      <c r="O13" s="55">
        <f>LOG_M!AJ32</f>
        <v>0</v>
      </c>
      <c r="P13" s="17"/>
      <c r="Q13" s="364" t="s">
        <v>184</v>
      </c>
      <c r="R13" s="55">
        <f>LOG_M!AJ29</f>
        <v>8</v>
      </c>
      <c r="S13" s="17"/>
      <c r="T13" s="18"/>
      <c r="U13" s="22"/>
      <c r="V13">
        <v>24</v>
      </c>
    </row>
    <row r="14" spans="2:22" ht="15" customHeight="1" x14ac:dyDescent="0.25">
      <c r="B14" s="16"/>
      <c r="C14" s="682">
        <f>COUNT(U5:U35)</f>
        <v>0</v>
      </c>
      <c r="D14" s="682"/>
      <c r="E14" s="684"/>
      <c r="F14" s="684"/>
      <c r="G14" s="672" t="s">
        <v>69</v>
      </c>
      <c r="H14" s="17"/>
      <c r="I14" s="365" t="s">
        <v>9</v>
      </c>
      <c r="J14" s="26">
        <f>LOG_M!AJ25</f>
        <v>0</v>
      </c>
      <c r="K14" s="23"/>
      <c r="L14" s="17"/>
      <c r="M14" s="17"/>
      <c r="N14" s="365" t="s">
        <v>14</v>
      </c>
      <c r="O14" s="26">
        <f>LOG_M!AJ33</f>
        <v>0</v>
      </c>
      <c r="P14" s="17"/>
      <c r="Q14" s="17"/>
      <c r="R14" s="17"/>
      <c r="S14" s="17"/>
      <c r="T14" s="18"/>
      <c r="U14" s="22"/>
      <c r="V14">
        <v>23</v>
      </c>
    </row>
    <row r="15" spans="2:22" ht="15" customHeight="1" thickBot="1" x14ac:dyDescent="0.3">
      <c r="B15" s="16"/>
      <c r="C15" s="682"/>
      <c r="D15" s="682"/>
      <c r="E15" s="684"/>
      <c r="F15" s="684"/>
      <c r="G15" s="673"/>
      <c r="H15" s="17"/>
      <c r="I15" s="393" t="s">
        <v>10</v>
      </c>
      <c r="J15" s="394">
        <f>LOG_M!AJ26</f>
        <v>0</v>
      </c>
      <c r="K15" s="17"/>
      <c r="L15" s="17"/>
      <c r="M15" s="17"/>
      <c r="N15" s="393" t="s">
        <v>395</v>
      </c>
      <c r="O15" s="394">
        <f>LOG_M!AJ34</f>
        <v>0</v>
      </c>
      <c r="P15" s="17"/>
      <c r="Q15" s="17"/>
      <c r="R15" s="17"/>
      <c r="S15" s="17"/>
      <c r="T15" s="18"/>
      <c r="U15" s="22"/>
      <c r="V15">
        <v>22</v>
      </c>
    </row>
    <row r="16" spans="2:22" ht="15" customHeight="1" x14ac:dyDescent="0.25">
      <c r="B16" s="16"/>
      <c r="C16" s="380"/>
      <c r="D16" s="17"/>
      <c r="E16" s="17"/>
      <c r="F16" s="402"/>
      <c r="G16" s="670" t="s">
        <v>68</v>
      </c>
      <c r="H16" s="17"/>
      <c r="I16" s="17"/>
      <c r="J16" s="17"/>
      <c r="K16" s="17"/>
      <c r="L16" s="17"/>
      <c r="M16" s="17"/>
      <c r="N16" s="17"/>
      <c r="O16" s="17"/>
      <c r="P16" s="17"/>
      <c r="Q16" s="17"/>
      <c r="R16" s="17"/>
      <c r="S16" s="17"/>
      <c r="T16" s="18"/>
      <c r="U16" s="22"/>
      <c r="V16">
        <v>21</v>
      </c>
    </row>
    <row r="17" spans="2:22" ht="15" customHeight="1" thickBot="1" x14ac:dyDescent="0.3">
      <c r="B17" s="16"/>
      <c r="C17" s="17"/>
      <c r="D17" s="17"/>
      <c r="E17" s="680"/>
      <c r="F17" s="680"/>
      <c r="G17" s="671"/>
      <c r="H17" s="17"/>
      <c r="I17" s="17"/>
      <c r="J17" s="17"/>
      <c r="K17" s="17"/>
      <c r="L17" s="17"/>
      <c r="M17" s="17"/>
      <c r="N17" s="17"/>
      <c r="O17" s="17"/>
      <c r="P17" s="17"/>
      <c r="Q17" s="17"/>
      <c r="R17" s="17"/>
      <c r="S17" s="17"/>
      <c r="T17" s="18"/>
      <c r="U17" s="22"/>
      <c r="V17">
        <v>20</v>
      </c>
    </row>
    <row r="18" spans="2:22" ht="15.75" customHeight="1" x14ac:dyDescent="0.25">
      <c r="B18" s="16"/>
      <c r="C18" s="17"/>
      <c r="D18" s="17"/>
      <c r="E18" s="680"/>
      <c r="F18" s="680"/>
      <c r="G18" s="685" t="str">
        <f ca="1">UPPER(TEXT(TODAY(),"MMMM"))</f>
        <v>FÉVRIER</v>
      </c>
      <c r="H18" s="408" t="s">
        <v>959</v>
      </c>
      <c r="I18" s="29" t="s">
        <v>100</v>
      </c>
      <c r="J18" s="29" t="s">
        <v>100</v>
      </c>
      <c r="K18" s="29" t="s">
        <v>100</v>
      </c>
      <c r="L18" s="29" t="s">
        <v>100</v>
      </c>
      <c r="M18" s="29" t="s">
        <v>100</v>
      </c>
      <c r="N18" s="317">
        <f ca="1">INT(LOG_ANNUEL!U3+LOG_M!AM5)</f>
        <v>1112</v>
      </c>
      <c r="O18" s="340" t="s">
        <v>906</v>
      </c>
      <c r="P18" s="340"/>
      <c r="Q18" s="340"/>
      <c r="R18" s="29" t="s">
        <v>100</v>
      </c>
      <c r="S18" s="29" t="s">
        <v>100</v>
      </c>
      <c r="T18" s="409">
        <v>22</v>
      </c>
      <c r="U18" s="22"/>
      <c r="V18">
        <v>19</v>
      </c>
    </row>
    <row r="19" spans="2:22" x14ac:dyDescent="0.25">
      <c r="B19" s="16"/>
      <c r="C19" s="380"/>
      <c r="D19" s="17"/>
      <c r="E19" s="17"/>
      <c r="F19" s="403"/>
      <c r="G19" s="685"/>
      <c r="H19" s="17"/>
      <c r="I19" s="17"/>
      <c r="J19" s="17"/>
      <c r="K19" s="17"/>
      <c r="L19" s="17"/>
      <c r="M19" s="17"/>
      <c r="N19" s="17"/>
      <c r="O19" s="17"/>
      <c r="P19" s="17"/>
      <c r="Q19" s="17"/>
      <c r="R19" s="17"/>
      <c r="S19" s="17"/>
      <c r="T19" s="18"/>
      <c r="U19" s="22"/>
      <c r="V19">
        <v>18</v>
      </c>
    </row>
    <row r="20" spans="2:22" ht="15" customHeight="1" x14ac:dyDescent="0.25">
      <c r="B20" s="16"/>
      <c r="C20" s="17"/>
      <c r="D20" s="17"/>
      <c r="E20" s="17"/>
      <c r="F20" s="403"/>
      <c r="G20" s="685"/>
      <c r="H20" s="17"/>
      <c r="I20" s="17"/>
      <c r="J20" s="17"/>
      <c r="K20" s="17"/>
      <c r="L20" s="17"/>
      <c r="M20" s="17"/>
      <c r="N20" s="17"/>
      <c r="O20" s="17"/>
      <c r="P20" s="17"/>
      <c r="Q20" s="17"/>
      <c r="R20" s="17"/>
      <c r="S20" s="17"/>
      <c r="T20" s="18"/>
      <c r="U20" s="22"/>
      <c r="V20">
        <v>17</v>
      </c>
    </row>
    <row r="21" spans="2:22" x14ac:dyDescent="0.25">
      <c r="B21" s="16"/>
      <c r="C21" s="17"/>
      <c r="D21" s="17"/>
      <c r="E21" s="17"/>
      <c r="F21" s="403"/>
      <c r="G21" s="685"/>
      <c r="H21" s="17"/>
      <c r="I21" s="683" t="s">
        <v>826</v>
      </c>
      <c r="J21" s="683"/>
      <c r="K21" s="683"/>
      <c r="L21" s="17"/>
      <c r="M21" s="25" t="s">
        <v>75</v>
      </c>
      <c r="N21" s="30">
        <f ca="1">IF(MOIS_M=1,0,LOG_ANNUEL!Q225)</f>
        <v>15</v>
      </c>
      <c r="O21" s="131">
        <f ca="1">IF(MOIS_M=1,0,'TDB STATS'!R33)</f>
        <v>-91.017964071856284</v>
      </c>
      <c r="P21" s="17" t="s">
        <v>165</v>
      </c>
      <c r="Q21" s="664" t="s">
        <v>71</v>
      </c>
      <c r="R21" s="664"/>
      <c r="S21" s="364">
        <f>SUM(S23:S27)</f>
        <v>3</v>
      </c>
      <c r="T21" s="18"/>
      <c r="U21" s="22"/>
      <c r="V21">
        <v>16</v>
      </c>
    </row>
    <row r="22" spans="2:22" x14ac:dyDescent="0.25">
      <c r="B22" s="16"/>
      <c r="C22" s="380"/>
      <c r="D22" s="17"/>
      <c r="E22" s="17"/>
      <c r="F22" s="403"/>
      <c r="G22" s="685"/>
      <c r="H22" s="17"/>
      <c r="I22" s="17"/>
      <c r="J22" s="17"/>
      <c r="K22" s="479" t="s">
        <v>977</v>
      </c>
      <c r="L22" s="17"/>
      <c r="M22" s="395" t="s">
        <v>76</v>
      </c>
      <c r="N22" s="396">
        <f ca="1">IF(MOIS_M=1,0,LOG_ANNUEL!Q226)</f>
        <v>31</v>
      </c>
      <c r="O22" s="397">
        <f ca="1">IF(MOIS_M=1,0,'TDB STATS'!R34)</f>
        <v>-91.014492753623188</v>
      </c>
      <c r="P22" s="17" t="s">
        <v>165</v>
      </c>
      <c r="Q22" s="17"/>
      <c r="R22" s="17"/>
      <c r="S22" s="17"/>
      <c r="T22" s="18"/>
      <c r="U22" s="22"/>
      <c r="V22">
        <v>15</v>
      </c>
    </row>
    <row r="23" spans="2:22" x14ac:dyDescent="0.25">
      <c r="B23" s="16"/>
      <c r="C23" s="17"/>
      <c r="D23" s="17"/>
      <c r="E23" s="17"/>
      <c r="F23" s="17"/>
      <c r="G23" s="685"/>
      <c r="H23" s="17"/>
      <c r="I23" s="30" t="str">
        <f>HDG_1</f>
        <v>AFR</v>
      </c>
      <c r="J23" s="55">
        <f>LOG_ST!D21</f>
        <v>4</v>
      </c>
      <c r="K23" s="480">
        <f>LOG_ST!D58</f>
        <v>0</v>
      </c>
      <c r="L23" s="17"/>
      <c r="M23" s="681" t="s">
        <v>164</v>
      </c>
      <c r="N23" s="681"/>
      <c r="O23" s="681"/>
      <c r="P23" s="17"/>
      <c r="Q23" s="664" t="s">
        <v>93</v>
      </c>
      <c r="R23" s="664"/>
      <c r="S23" s="55">
        <f>LOG_M!AJ232</f>
        <v>0</v>
      </c>
      <c r="T23" s="18"/>
      <c r="U23" s="22"/>
      <c r="V23">
        <v>14</v>
      </c>
    </row>
    <row r="24" spans="2:22" x14ac:dyDescent="0.25">
      <c r="B24" s="16"/>
      <c r="C24" s="17"/>
      <c r="D24" s="17"/>
      <c r="E24" s="17"/>
      <c r="F24" s="17"/>
      <c r="G24" s="685"/>
      <c r="H24" s="17"/>
      <c r="I24" s="30" t="str">
        <f>HDG_3</f>
        <v>ALZ</v>
      </c>
      <c r="J24" s="55">
        <f>LOG_ST!D22</f>
        <v>4</v>
      </c>
      <c r="K24" s="480">
        <f>LOG_ST!D112</f>
        <v>1</v>
      </c>
      <c r="L24" s="17"/>
      <c r="M24" s="17"/>
      <c r="N24" s="17"/>
      <c r="O24" s="17"/>
      <c r="P24" s="17"/>
      <c r="Q24" s="675" t="s">
        <v>94</v>
      </c>
      <c r="R24" s="675"/>
      <c r="S24" s="26">
        <f>LOG_M!AJ228</f>
        <v>0</v>
      </c>
      <c r="T24" s="18"/>
      <c r="U24" s="22"/>
      <c r="V24">
        <v>13</v>
      </c>
    </row>
    <row r="25" spans="2:22" x14ac:dyDescent="0.25">
      <c r="B25" s="16"/>
      <c r="C25" s="380"/>
      <c r="D25" s="17"/>
      <c r="E25" s="17"/>
      <c r="F25" s="403"/>
      <c r="G25" s="685"/>
      <c r="H25" s="17"/>
      <c r="I25" s="312" t="str">
        <f>HDG_2</f>
        <v>AVP</v>
      </c>
      <c r="J25" s="55">
        <f>LOG_ST!D23</f>
        <v>2</v>
      </c>
      <c r="K25" s="480">
        <f>LOG_ST!D85</f>
        <v>0</v>
      </c>
      <c r="L25" s="17"/>
      <c r="M25" s="25" t="s">
        <v>819</v>
      </c>
      <c r="N25" s="237">
        <f ca="1">IF(MOIS_M=1,0,LOG_ANNUEL!Q258)</f>
        <v>1</v>
      </c>
      <c r="O25" s="235">
        <f ca="1">IF(MOIS_M=1,0,'TDB STATS'!R58)</f>
        <v>-98.780487804878049</v>
      </c>
      <c r="P25" s="17" t="s">
        <v>165</v>
      </c>
      <c r="Q25" s="675" t="s">
        <v>95</v>
      </c>
      <c r="R25" s="675"/>
      <c r="S25" s="26">
        <f>LOG_M!AJ229</f>
        <v>3</v>
      </c>
      <c r="T25" s="18"/>
      <c r="U25" s="22"/>
      <c r="V25">
        <v>12</v>
      </c>
    </row>
    <row r="26" spans="2:22" ht="15.75" thickBot="1" x14ac:dyDescent="0.3">
      <c r="B26" s="16"/>
      <c r="C26" s="407"/>
      <c r="D26" s="17"/>
      <c r="E26" s="17"/>
      <c r="F26" s="403"/>
      <c r="G26" s="685"/>
      <c r="H26" s="17"/>
      <c r="I26" s="24" t="str">
        <f>HDG_4</f>
        <v>MZS</v>
      </c>
      <c r="J26" s="34">
        <f>LOG_ST!D24</f>
        <v>2</v>
      </c>
      <c r="K26" s="481">
        <f>LOG_ST!D139</f>
        <v>0</v>
      </c>
      <c r="L26" s="17"/>
      <c r="M26" s="234" t="s">
        <v>820</v>
      </c>
      <c r="N26" s="238">
        <f ca="1">IF(MOIS_M=1,0,LOG_ANNUEL!Q257)</f>
        <v>65</v>
      </c>
      <c r="O26" s="236">
        <f ca="1">IF(MOIS_M=1,0,'TDB STATS'!R57)</f>
        <v>-93.486973947895791</v>
      </c>
      <c r="P26" s="17" t="s">
        <v>165</v>
      </c>
      <c r="Q26" s="664" t="s">
        <v>183</v>
      </c>
      <c r="R26" s="664"/>
      <c r="S26" s="26">
        <f>LOG_M!AJ230</f>
        <v>0</v>
      </c>
      <c r="T26" s="18"/>
      <c r="U26" s="22"/>
      <c r="V26">
        <v>11</v>
      </c>
    </row>
    <row r="27" spans="2:22" ht="15.75" thickTop="1" x14ac:dyDescent="0.25">
      <c r="B27" s="16"/>
      <c r="C27" s="678" t="s">
        <v>957</v>
      </c>
      <c r="D27" s="679"/>
      <c r="E27" s="17"/>
      <c r="F27" s="403"/>
      <c r="G27" s="685"/>
      <c r="H27" s="17"/>
      <c r="I27" s="376" t="s">
        <v>98</v>
      </c>
      <c r="J27" s="393">
        <f>SUM(J23:J26)</f>
        <v>12</v>
      </c>
      <c r="K27" s="545">
        <f>LOG_ST!D140</f>
        <v>0.16666666666666666</v>
      </c>
      <c r="L27" s="17">
        <f ca="1">IF(MOIS_M=1,IF(K27&lt;=LOG_ST!D153,0,IF(K27&gt;=LOG_ST!D153,2,1)),IF(K27&lt;=VLOOKUP(VCR,LOG_ST!C141:D152,2,FALSE),0,IF(K27&gt;=VLOOKUP(VCR,LOG_ST!C141:D152,2,FALSE),2,1)))</f>
        <v>0</v>
      </c>
      <c r="M27" s="234" t="s">
        <v>821</v>
      </c>
      <c r="N27" s="238">
        <f ca="1">IF(MOIS_M=1,0,LOG_ANNUEL!Q259)</f>
        <v>10</v>
      </c>
      <c r="O27" s="236">
        <f ca="1">IF(MOIS_M=1,0,'TDB STATS'!R59)</f>
        <v>-95.967741935483872</v>
      </c>
      <c r="P27" s="17" t="s">
        <v>165</v>
      </c>
      <c r="Q27" s="666" t="s">
        <v>31</v>
      </c>
      <c r="R27" s="666"/>
      <c r="S27" s="394">
        <f>LOG_M!AJ231</f>
        <v>0</v>
      </c>
      <c r="T27" s="18"/>
      <c r="U27" s="22"/>
      <c r="V27">
        <v>10</v>
      </c>
    </row>
    <row r="28" spans="2:22" x14ac:dyDescent="0.25">
      <c r="B28" s="16"/>
      <c r="C28" s="17"/>
      <c r="D28" s="17"/>
      <c r="E28" s="17"/>
      <c r="F28" s="403"/>
      <c r="G28" s="685"/>
      <c r="H28" s="17"/>
      <c r="I28" s="681" t="s">
        <v>869</v>
      </c>
      <c r="J28" s="681"/>
      <c r="K28" s="681"/>
      <c r="L28" s="17"/>
      <c r="M28" s="395" t="s">
        <v>822</v>
      </c>
      <c r="N28" s="398">
        <f ca="1">IF(MOIS_M=1,0,LOG_ANNUEL!Q260)</f>
        <v>108</v>
      </c>
      <c r="O28" s="399">
        <f ca="1">IF(MOIS_M=1,0,'TDB STATS'!R60)</f>
        <v>-55.186721991701248</v>
      </c>
      <c r="P28" s="17" t="s">
        <v>165</v>
      </c>
      <c r="Q28" s="681"/>
      <c r="R28" s="681"/>
      <c r="S28" s="681"/>
      <c r="T28" s="18"/>
      <c r="U28" s="22"/>
      <c r="V28">
        <v>9</v>
      </c>
    </row>
    <row r="29" spans="2:22" x14ac:dyDescent="0.25">
      <c r="B29" s="16"/>
      <c r="C29" s="676">
        <f ca="1">TODAY()</f>
        <v>45697</v>
      </c>
      <c r="D29" s="676"/>
      <c r="E29" s="17"/>
      <c r="F29" s="17"/>
      <c r="G29" s="685"/>
      <c r="H29" s="17"/>
      <c r="I29" s="17"/>
      <c r="J29" s="17"/>
      <c r="K29" s="17"/>
      <c r="L29" s="17"/>
      <c r="M29" s="681" t="s">
        <v>164</v>
      </c>
      <c r="N29" s="681"/>
      <c r="O29" s="681"/>
      <c r="P29" s="17"/>
      <c r="Q29" s="17"/>
      <c r="R29" s="17"/>
      <c r="S29" s="17"/>
      <c r="T29" s="18"/>
      <c r="U29" s="22"/>
      <c r="V29">
        <v>8</v>
      </c>
    </row>
    <row r="30" spans="2:22" x14ac:dyDescent="0.25">
      <c r="B30" s="16"/>
      <c r="C30" s="17"/>
      <c r="D30" s="17"/>
      <c r="E30" s="17"/>
      <c r="F30" s="17"/>
      <c r="G30" s="685"/>
      <c r="H30" s="17"/>
      <c r="I30" s="25" t="s">
        <v>734</v>
      </c>
      <c r="J30" s="25"/>
      <c r="K30" s="25"/>
      <c r="L30" s="17"/>
      <c r="M30" s="17"/>
      <c r="N30" s="17"/>
      <c r="O30" s="17"/>
      <c r="P30" s="17"/>
      <c r="Q30" s="17"/>
      <c r="R30" s="17"/>
      <c r="S30" s="17"/>
      <c r="T30" s="18"/>
      <c r="U30" s="22"/>
      <c r="V30">
        <v>7</v>
      </c>
    </row>
    <row r="31" spans="2:22" ht="15.75" thickBot="1" x14ac:dyDescent="0.3">
      <c r="B31" s="16"/>
      <c r="C31" s="17"/>
      <c r="D31" s="17"/>
      <c r="E31" s="17"/>
      <c r="F31" s="17"/>
      <c r="G31" s="685"/>
      <c r="H31" s="17"/>
      <c r="I31" s="400" t="s">
        <v>817</v>
      </c>
      <c r="J31" s="17"/>
      <c r="K31" s="17"/>
      <c r="L31" s="17"/>
      <c r="M31" s="17"/>
      <c r="N31" s="17"/>
      <c r="O31" s="17"/>
      <c r="P31" s="17"/>
      <c r="Q31" s="17"/>
      <c r="R31" s="17"/>
      <c r="S31" s="394" t="str">
        <f ca="1">MOIS_N1</f>
        <v>JANVIER 25</v>
      </c>
      <c r="T31" s="18"/>
      <c r="U31" s="22"/>
      <c r="V31">
        <v>6</v>
      </c>
    </row>
    <row r="32" spans="2:22" ht="15.75" thickBot="1" x14ac:dyDescent="0.3">
      <c r="B32" s="16"/>
      <c r="C32" s="17"/>
      <c r="D32" s="17"/>
      <c r="E32" s="17"/>
      <c r="F32" s="17"/>
      <c r="G32" s="685"/>
      <c r="H32" s="401" t="s">
        <v>866</v>
      </c>
      <c r="I32" s="688">
        <f>(LOG_M!AJ47+LOG_M!AJ49)*PRIX_TRACT+LOG_M!AJ169*PRIX_EMT+LOG_M!AJ168*PRIX_JET+LOG_M!AJ167*PRIX_SAT+LOG_M!AJ166*PRIX_MSH+LOG_M!AJ165*PRIX_PBS+LOG_M!AJ164*PRIX_CGP</f>
        <v>1619</v>
      </c>
      <c r="J32" s="689"/>
      <c r="K32" s="689"/>
      <c r="L32" s="689"/>
      <c r="M32" s="689"/>
      <c r="N32" s="689"/>
      <c r="O32" s="689"/>
      <c r="P32" s="689"/>
      <c r="Q32" s="689"/>
      <c r="R32" s="689"/>
      <c r="S32" s="404">
        <f ca="1">IF(MOIS_M=1,VLOOKUP(183,DATA_A1_REV,15,FALSE)-VLOOKUP(195,DATA_A1_PERMIS,15,FALSE),VLOOKUP(183,DATA_A_REV,MOIS_M+2,FALSE)-VLOOKUP(195,DATA_A_PERMIS,MOIS_M+2,FALSE))</f>
        <v>9998</v>
      </c>
      <c r="T32" s="18"/>
      <c r="U32" s="22"/>
      <c r="V32">
        <v>5</v>
      </c>
    </row>
    <row r="33" spans="2:22" ht="15.75" thickBot="1" x14ac:dyDescent="0.3">
      <c r="B33" s="16"/>
      <c r="C33" s="677"/>
      <c r="D33" s="677"/>
      <c r="E33" s="17"/>
      <c r="F33" s="17"/>
      <c r="G33" s="685"/>
      <c r="H33" s="17"/>
      <c r="I33" s="400" t="s">
        <v>818</v>
      </c>
      <c r="J33" s="17"/>
      <c r="K33" s="17"/>
      <c r="L33" s="17"/>
      <c r="M33" s="17"/>
      <c r="N33" s="17"/>
      <c r="O33" s="17"/>
      <c r="P33" s="17"/>
      <c r="Q33" s="17"/>
      <c r="R33" s="17"/>
      <c r="S33" s="394">
        <f ca="1">ANNEE_AM1</f>
        <v>2024</v>
      </c>
      <c r="T33" s="18"/>
      <c r="U33" s="22"/>
      <c r="V33">
        <v>4</v>
      </c>
    </row>
    <row r="34" spans="2:22" ht="15.75" thickBot="1" x14ac:dyDescent="0.3">
      <c r="B34" s="16"/>
      <c r="C34" s="687"/>
      <c r="D34" s="687"/>
      <c r="E34" s="17"/>
      <c r="F34" s="17"/>
      <c r="G34" s="686"/>
      <c r="H34" s="401" t="s">
        <v>866</v>
      </c>
      <c r="I34" s="688">
        <f>LOG_ANNUEL!Q268</f>
        <v>6202</v>
      </c>
      <c r="J34" s="689"/>
      <c r="K34" s="689"/>
      <c r="L34" s="689"/>
      <c r="M34" s="689"/>
      <c r="N34" s="689"/>
      <c r="O34" s="689"/>
      <c r="P34" s="689"/>
      <c r="Q34" s="689"/>
      <c r="R34" s="689"/>
      <c r="S34" s="405">
        <f ca="1">IF(AND(MOIS_M=1,JOUR_J&lt;6),"à venir",'LOG_ANNUEL_A-1'!Q268)</f>
        <v>117533</v>
      </c>
      <c r="T34" s="18"/>
      <c r="U34" s="22"/>
      <c r="V34">
        <v>3</v>
      </c>
    </row>
    <row r="35" spans="2:22" ht="15.75" thickBot="1" x14ac:dyDescent="0.3">
      <c r="B35" s="19"/>
      <c r="C35" s="20"/>
      <c r="D35" s="20"/>
      <c r="E35" s="20"/>
      <c r="F35" s="20"/>
      <c r="G35" s="20"/>
      <c r="H35" s="20"/>
      <c r="I35" s="20"/>
      <c r="J35" s="20"/>
      <c r="K35" s="20"/>
      <c r="L35" s="20"/>
      <c r="M35" s="20"/>
      <c r="N35" s="20"/>
      <c r="O35" s="20"/>
      <c r="P35" s="20"/>
      <c r="Q35" s="20"/>
      <c r="R35" s="20"/>
      <c r="S35" s="20"/>
      <c r="T35" s="306"/>
      <c r="U35" s="22"/>
      <c r="V35">
        <v>2</v>
      </c>
    </row>
    <row r="36" spans="2:22" x14ac:dyDescent="0.25">
      <c r="V36">
        <v>1</v>
      </c>
    </row>
    <row r="37" spans="2:22" x14ac:dyDescent="0.25">
      <c r="U37" s="157"/>
    </row>
  </sheetData>
  <sheetProtection sheet="1" objects="1" scenarios="1" selectLockedCells="1" selectUnlockedCells="1"/>
  <sortState ref="I23:K27">
    <sortCondition ref="I23"/>
  </sortState>
  <mergeCells count="39">
    <mergeCell ref="C14:D15"/>
    <mergeCell ref="G14:G15"/>
    <mergeCell ref="G16:G17"/>
    <mergeCell ref="I21:K21"/>
    <mergeCell ref="Q21:R21"/>
    <mergeCell ref="E14:F15"/>
    <mergeCell ref="G18:G34"/>
    <mergeCell ref="C34:D34"/>
    <mergeCell ref="Q28:S28"/>
    <mergeCell ref="Q27:R27"/>
    <mergeCell ref="M23:O23"/>
    <mergeCell ref="Q23:R23"/>
    <mergeCell ref="I34:R34"/>
    <mergeCell ref="I32:R32"/>
    <mergeCell ref="M29:O29"/>
    <mergeCell ref="Q24:R24"/>
    <mergeCell ref="Q25:R25"/>
    <mergeCell ref="C29:D29"/>
    <mergeCell ref="C33:D33"/>
    <mergeCell ref="C27:D27"/>
    <mergeCell ref="E17:F18"/>
    <mergeCell ref="Q26:R26"/>
    <mergeCell ref="I28:K28"/>
    <mergeCell ref="N10:P10"/>
    <mergeCell ref="N8:P8"/>
    <mergeCell ref="E11:F12"/>
    <mergeCell ref="E9:F9"/>
    <mergeCell ref="G8:G9"/>
    <mergeCell ref="G10:G11"/>
    <mergeCell ref="G12:G13"/>
    <mergeCell ref="E13:F13"/>
    <mergeCell ref="I11:K11"/>
    <mergeCell ref="K9:L9"/>
    <mergeCell ref="B5:F5"/>
    <mergeCell ref="B2:F4"/>
    <mergeCell ref="C9:D9"/>
    <mergeCell ref="H5:R5"/>
    <mergeCell ref="N9:P9"/>
    <mergeCell ref="H3:I3"/>
  </mergeCells>
  <conditionalFormatting sqref="I32">
    <cfRule type="dataBar" priority="11">
      <dataBar>
        <cfvo type="num" val="0"/>
        <cfvo type="num" val="$S$32"/>
        <color theme="1" tint="0.499984740745262"/>
      </dataBar>
      <extLst>
        <ext xmlns:x14="http://schemas.microsoft.com/office/spreadsheetml/2009/9/main" uri="{B025F937-C7B1-47D3-B67F-A62EFF666E3E}">
          <x14:id>{78A45A96-CA50-44AC-82B6-68B857624D9E}</x14:id>
        </ext>
      </extLst>
    </cfRule>
  </conditionalFormatting>
  <conditionalFormatting sqref="P4 N4 L4">
    <cfRule type="iconSet" priority="10">
      <iconSet iconSet="3Symbols2" showValue="0">
        <cfvo type="percent" val="0"/>
        <cfvo type="num" val="0"/>
        <cfvo type="num" val="1"/>
      </iconSet>
    </cfRule>
  </conditionalFormatting>
  <conditionalFormatting sqref="I34:R34">
    <cfRule type="dataBar" priority="9">
      <dataBar>
        <cfvo type="num" val="0"/>
        <cfvo type="num" val="$S$34"/>
        <color theme="1" tint="0.499984740745262"/>
      </dataBar>
      <extLst>
        <ext xmlns:x14="http://schemas.microsoft.com/office/spreadsheetml/2009/9/main" uri="{B025F937-C7B1-47D3-B67F-A62EFF666E3E}">
          <x14:id>{6F07F930-67E6-4EBF-9AC2-D3913DB64766}</x14:id>
        </ext>
      </extLst>
    </cfRule>
  </conditionalFormatting>
  <conditionalFormatting sqref="E13:F13">
    <cfRule type="notContainsBlanks" dxfId="127" priority="7">
      <formula>LEN(TRIM(E13))&gt;0</formula>
    </cfRule>
  </conditionalFormatting>
  <conditionalFormatting sqref="E14:F15">
    <cfRule type="notContainsBlanks" dxfId="126" priority="6">
      <formula>LEN(TRIM(E14))&gt;0</formula>
    </cfRule>
  </conditionalFormatting>
  <conditionalFormatting sqref="Q4">
    <cfRule type="containsText" dxfId="125" priority="5" operator="containsText" text="CR DISPO">
      <formula>NOT(ISERROR(SEARCH("CR DISPO",Q4)))</formula>
    </cfRule>
  </conditionalFormatting>
  <conditionalFormatting sqref="C11:D12">
    <cfRule type="colorScale" priority="4">
      <colorScale>
        <cfvo type="num" val="0"/>
        <cfvo type="num" val="1"/>
        <color rgb="FFF8696B"/>
        <color rgb="FF63BE7B"/>
      </colorScale>
    </cfRule>
  </conditionalFormatting>
  <pageMargins left="0.7" right="0.7" top="0.75" bottom="0.75" header="0.3" footer="0.3"/>
  <pageSetup paperSize="9" orientation="portrait" r:id="rId1"/>
  <ignoredErrors>
    <ignoredError sqref="H18"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Saisie_SaisieJ">
              <controlPr defaultSize="0" print="0" autoFill="0" autoPict="0" macro="[0]!Saisie_START_Cliquer">
                <anchor moveWithCells="1" sizeWithCells="1">
                  <from>
                    <xdr:col>2</xdr:col>
                    <xdr:colOff>0</xdr:colOff>
                    <xdr:row>10</xdr:row>
                    <xdr:rowOff>9525</xdr:rowOff>
                  </from>
                  <to>
                    <xdr:col>4</xdr:col>
                    <xdr:colOff>9525</xdr:colOff>
                    <xdr:row>11</xdr:row>
                    <xdr:rowOff>180975</xdr:rowOff>
                  </to>
                </anchor>
              </controlPr>
            </control>
          </mc:Choice>
        </mc:AlternateContent>
        <mc:AlternateContent xmlns:mc="http://schemas.openxmlformats.org/markup-compatibility/2006">
          <mc:Choice Requires="x14">
            <control shapeId="3075" r:id="rId5" name="B_SURTOU">
              <controlPr defaultSize="0" print="0" autoFill="0" autoPict="0" macro="[0]!B_SURTOU_Cliquer">
                <anchor moveWithCells="1" sizeWithCells="1">
                  <from>
                    <xdr:col>2</xdr:col>
                    <xdr:colOff>9525</xdr:colOff>
                    <xdr:row>16</xdr:row>
                    <xdr:rowOff>9525</xdr:rowOff>
                  </from>
                  <to>
                    <xdr:col>4</xdr:col>
                    <xdr:colOff>0</xdr:colOff>
                    <xdr:row>17</xdr:row>
                    <xdr:rowOff>180975</xdr:rowOff>
                  </to>
                </anchor>
              </controlPr>
            </control>
          </mc:Choice>
        </mc:AlternateContent>
        <mc:AlternateContent xmlns:mc="http://schemas.openxmlformats.org/markup-compatibility/2006">
          <mc:Choice Requires="x14">
            <control shapeId="3076" r:id="rId6" name="Consul_D">
              <controlPr defaultSize="0" print="0" autoFill="0" autoPict="0" macro="[0]!S_CONSUL_C_Cliquer">
                <anchor moveWithCells="1" sizeWithCells="1">
                  <from>
                    <xdr:col>2</xdr:col>
                    <xdr:colOff>9525</xdr:colOff>
                    <xdr:row>13</xdr:row>
                    <xdr:rowOff>0</xdr:rowOff>
                  </from>
                  <to>
                    <xdr:col>4</xdr:col>
                    <xdr:colOff>0</xdr:colOff>
                    <xdr:row>14</xdr:row>
                    <xdr:rowOff>171450</xdr:rowOff>
                  </to>
                </anchor>
              </controlPr>
            </control>
          </mc:Choice>
        </mc:AlternateContent>
        <mc:AlternateContent xmlns:mc="http://schemas.openxmlformats.org/markup-compatibility/2006">
          <mc:Choice Requires="x14">
            <control shapeId="3081" r:id="rId7" name="S_ANX">
              <controlPr defaultSize="0" print="0" autoFill="0" autoPict="0" macro="[0]!S_ANX_Cliquer">
                <anchor moveWithCells="1" sizeWithCells="1">
                  <from>
                    <xdr:col>2</xdr:col>
                    <xdr:colOff>0</xdr:colOff>
                    <xdr:row>19</xdr:row>
                    <xdr:rowOff>0</xdr:rowOff>
                  </from>
                  <to>
                    <xdr:col>3</xdr:col>
                    <xdr:colOff>752475</xdr:colOff>
                    <xdr:row>20</xdr:row>
                    <xdr:rowOff>171450</xdr:rowOff>
                  </to>
                </anchor>
              </controlPr>
            </control>
          </mc:Choice>
        </mc:AlternateContent>
        <mc:AlternateContent xmlns:mc="http://schemas.openxmlformats.org/markup-compatibility/2006">
          <mc:Choice Requires="x14">
            <control shapeId="3084" r:id="rId8" name="Button 12">
              <controlPr defaultSize="0" print="0" autoFill="0" autoPict="0" macro="[0]!S_ADM_Cliquer">
                <anchor moveWithCells="1" sizeWithCells="1">
                  <from>
                    <xdr:col>2</xdr:col>
                    <xdr:colOff>0</xdr:colOff>
                    <xdr:row>22</xdr:row>
                    <xdr:rowOff>0</xdr:rowOff>
                  </from>
                  <to>
                    <xdr:col>3</xdr:col>
                    <xdr:colOff>752475</xdr:colOff>
                    <xdr:row>23</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8A45A96-CA50-44AC-82B6-68B857624D9E}">
            <x14:dataBar minLength="0" maxLength="100" gradient="0" direction="leftToRight">
              <x14:cfvo type="num">
                <xm:f>0</xm:f>
              </x14:cfvo>
              <x14:cfvo type="num">
                <xm:f>$S$32</xm:f>
              </x14:cfvo>
              <x14:negativeFillColor rgb="FFFF0000"/>
              <x14:axisColor rgb="FF000000"/>
            </x14:dataBar>
          </x14:cfRule>
          <xm:sqref>I32</xm:sqref>
        </x14:conditionalFormatting>
        <x14:conditionalFormatting xmlns:xm="http://schemas.microsoft.com/office/excel/2006/main">
          <x14:cfRule type="dataBar" id="{6F07F930-67E6-4EBF-9AC2-D3913DB64766}">
            <x14:dataBar minLength="0" maxLength="100" gradient="0" direction="leftToRight">
              <x14:cfvo type="num">
                <xm:f>0</xm:f>
              </x14:cfvo>
              <x14:cfvo type="num">
                <xm:f>$S$34</xm:f>
              </x14:cfvo>
              <x14:negativeFillColor rgb="FFFF0000"/>
              <x14:axisColor rgb="FF000000"/>
            </x14:dataBar>
          </x14:cfRule>
          <xm:sqref>I34:R34</xm:sqref>
        </x14:conditionalFormatting>
        <x14:conditionalFormatting xmlns:xm="http://schemas.microsoft.com/office/excel/2006/main">
          <x14:cfRule type="iconSet" priority="13" id="{6AB5BCD0-88E8-409D-A7AB-3BE29A43A6CB}">
            <x14:iconSet iconSet="3Symbols2" custom="1">
              <x14:cfvo type="percent">
                <xm:f>0</xm:f>
              </x14:cfvo>
              <x14:cfvo type="num">
                <xm:f>0</xm:f>
              </x14:cfvo>
              <x14:cfvo type="num">
                <xm:f>1</xm:f>
              </x14:cfvo>
              <x14:cfIcon iconSet="3Symbols2" iconId="1"/>
              <x14:cfIcon iconSet="3Symbols2" iconId="0"/>
              <x14:cfIcon iconSet="3Symbols2" iconId="2"/>
            </x14:iconSet>
          </x14:cfRule>
          <xm:sqref>I4 E11</xm:sqref>
        </x14:conditionalFormatting>
        <x14:conditionalFormatting xmlns:xm="http://schemas.microsoft.com/office/excel/2006/main">
          <x14:cfRule type="iconSet" priority="1" id="{FF6876F4-4A62-44AE-8A48-4236CC6B7EFC}">
            <x14:iconSet iconSet="4Arrows" showValue="0" custom="1">
              <x14:cfvo type="percent">
                <xm:f>0</xm:f>
              </x14:cfvo>
              <x14:cfvo type="num">
                <xm:f>0</xm:f>
              </x14:cfvo>
              <x14:cfvo type="num">
                <xm:f>1</xm:f>
              </x14:cfvo>
              <x14:cfvo type="num">
                <xm:f>2</xm:f>
              </x14:cfvo>
              <x14:cfIcon iconSet="3Arrows" iconId="0"/>
              <x14:cfIcon iconSet="3Arrows" iconId="2"/>
              <x14:cfIcon iconSet="NoIcons" iconId="0"/>
              <x14:cfIcon iconSet="3Arrows" iconId="0"/>
            </x14:iconSet>
          </x14:cfRule>
          <xm:sqref>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B1:T125"/>
  <sheetViews>
    <sheetView tabSelected="1" workbookViewId="0">
      <selection activeCell="B1" sqref="B1:T2"/>
    </sheetView>
  </sheetViews>
  <sheetFormatPr baseColWidth="10" defaultRowHeight="15" x14ac:dyDescent="0.25"/>
  <cols>
    <col min="4" max="6" width="7.7109375" bestFit="1" customWidth="1"/>
    <col min="7" max="8" width="7.7109375" hidden="1" customWidth="1"/>
    <col min="9" max="9" width="1.42578125" customWidth="1"/>
    <col min="12" max="14" width="7.7109375" bestFit="1" customWidth="1"/>
    <col min="15" max="15" width="1.42578125" customWidth="1"/>
    <col min="18" max="20" width="7.7109375" bestFit="1" customWidth="1"/>
  </cols>
  <sheetData>
    <row r="1" spans="2:20" x14ac:dyDescent="0.25">
      <c r="B1" s="690" t="s">
        <v>966</v>
      </c>
      <c r="C1" s="691"/>
      <c r="D1" s="691"/>
      <c r="E1" s="691"/>
      <c r="F1" s="691"/>
      <c r="G1" s="691"/>
      <c r="H1" s="691"/>
      <c r="I1" s="691"/>
      <c r="J1" s="691"/>
      <c r="K1" s="691"/>
      <c r="L1" s="691"/>
      <c r="M1" s="691"/>
      <c r="N1" s="691"/>
      <c r="O1" s="691"/>
      <c r="P1" s="691"/>
      <c r="Q1" s="691"/>
      <c r="R1" s="691"/>
      <c r="S1" s="691"/>
      <c r="T1" s="692"/>
    </row>
    <row r="2" spans="2:20" ht="15.75" thickBot="1" x14ac:dyDescent="0.3">
      <c r="B2" s="693"/>
      <c r="C2" s="694"/>
      <c r="D2" s="694"/>
      <c r="E2" s="694"/>
      <c r="F2" s="694"/>
      <c r="G2" s="694"/>
      <c r="H2" s="694"/>
      <c r="I2" s="694"/>
      <c r="J2" s="694"/>
      <c r="K2" s="694"/>
      <c r="L2" s="694"/>
      <c r="M2" s="694"/>
      <c r="N2" s="694"/>
      <c r="O2" s="694"/>
      <c r="P2" s="694"/>
      <c r="Q2" s="694"/>
      <c r="R2" s="694"/>
      <c r="S2" s="694"/>
      <c r="T2" s="695"/>
    </row>
    <row r="3" spans="2:20" ht="15.75" thickBot="1" x14ac:dyDescent="0.3">
      <c r="B3" s="50"/>
      <c r="C3" s="51"/>
      <c r="D3" s="51"/>
      <c r="E3" s="51"/>
      <c r="F3" s="51"/>
      <c r="G3" s="51"/>
      <c r="H3" s="51"/>
      <c r="I3" s="51"/>
      <c r="J3" s="51"/>
      <c r="K3" s="51"/>
      <c r="L3" s="51"/>
      <c r="M3" s="51"/>
      <c r="N3" s="51"/>
      <c r="O3" s="51"/>
      <c r="P3" s="51"/>
      <c r="Q3" s="51"/>
      <c r="R3" s="51"/>
      <c r="S3" s="51"/>
      <c r="T3" s="52"/>
    </row>
    <row r="4" spans="2:20" ht="15.75" thickBot="1" x14ac:dyDescent="0.3">
      <c r="B4" s="729" t="s">
        <v>1</v>
      </c>
      <c r="C4" s="730"/>
      <c r="D4" s="436" t="s">
        <v>70</v>
      </c>
      <c r="E4" s="437" t="s">
        <v>550</v>
      </c>
      <c r="F4" s="438" t="s">
        <v>551</v>
      </c>
      <c r="G4" s="456" t="s">
        <v>968</v>
      </c>
      <c r="H4" s="456" t="s">
        <v>969</v>
      </c>
      <c r="I4" s="10"/>
      <c r="J4" s="10"/>
      <c r="K4" s="10"/>
      <c r="L4" s="436" t="s">
        <v>70</v>
      </c>
      <c r="M4" s="437" t="s">
        <v>550</v>
      </c>
      <c r="N4" s="438" t="s">
        <v>551</v>
      </c>
      <c r="O4" s="10"/>
      <c r="P4" s="729" t="s">
        <v>421</v>
      </c>
      <c r="Q4" s="730"/>
      <c r="R4" s="436" t="s">
        <v>70</v>
      </c>
      <c r="S4" s="437" t="s">
        <v>550</v>
      </c>
      <c r="T4" s="438" t="s">
        <v>551</v>
      </c>
    </row>
    <row r="5" spans="2:20" ht="15.75" thickBot="1" x14ac:dyDescent="0.3">
      <c r="B5" s="727" t="s">
        <v>3</v>
      </c>
      <c r="C5" s="728"/>
      <c r="D5" s="527">
        <f>LOG_ANNUEL!T8</f>
        <v>-91.506849315068493</v>
      </c>
      <c r="E5" s="527">
        <f>LOG_ANNUEL!U8</f>
        <v>0</v>
      </c>
      <c r="F5" s="527">
        <f>LOG_ANNUEL!V8</f>
        <v>-100</v>
      </c>
      <c r="G5" s="28"/>
      <c r="H5" s="28"/>
      <c r="I5" s="10"/>
      <c r="J5" s="729" t="s">
        <v>20</v>
      </c>
      <c r="K5" s="730"/>
      <c r="L5" s="528">
        <f>LOG_ANNUEL!T39</f>
        <v>-91.719745222929944</v>
      </c>
      <c r="M5" s="528">
        <f>LOG_ANNUEL!U39</f>
        <v>0</v>
      </c>
      <c r="N5" s="528">
        <f>LOG_ANNUEL!V39</f>
        <v>-100</v>
      </c>
      <c r="O5" s="10"/>
      <c r="P5" s="50"/>
      <c r="Q5" s="59" t="s">
        <v>422</v>
      </c>
      <c r="R5" s="608"/>
      <c r="S5" s="608"/>
      <c r="T5" s="617"/>
    </row>
    <row r="6" spans="2:20" x14ac:dyDescent="0.25">
      <c r="B6" s="771" t="s">
        <v>23</v>
      </c>
      <c r="C6" s="772"/>
      <c r="D6" s="527">
        <f>LOG_ANNUEL!T9</f>
        <v>-98.120300751879697</v>
      </c>
      <c r="E6" s="527">
        <f>LOG_ANNUEL!U9</f>
        <v>0</v>
      </c>
      <c r="F6" s="527">
        <f>LOG_ANNUEL!V9</f>
        <v>-100</v>
      </c>
      <c r="G6" s="28"/>
      <c r="H6" s="28"/>
      <c r="I6" s="10"/>
      <c r="J6" s="158" t="s">
        <v>174</v>
      </c>
      <c r="K6" s="78" t="s">
        <v>172</v>
      </c>
      <c r="L6" s="528">
        <f>LOG_ANNUEL!T40</f>
        <v>-91.666666666666657</v>
      </c>
      <c r="M6" s="528">
        <f>LOG_ANNUEL!U40</f>
        <v>0</v>
      </c>
      <c r="N6" s="528">
        <f>LOG_ANNUEL!V40</f>
        <v>-100</v>
      </c>
      <c r="O6" s="10"/>
      <c r="P6" s="95"/>
      <c r="Q6" s="104">
        <v>1</v>
      </c>
      <c r="R6" s="528" t="str">
        <f>LOG_ANNUEL!T62</f>
        <v/>
      </c>
      <c r="S6" s="528" t="str">
        <f>LOG_ANNUEL!U62</f>
        <v/>
      </c>
      <c r="T6" s="612">
        <f>LOG_ANNUEL!V62</f>
        <v>-100</v>
      </c>
    </row>
    <row r="7" spans="2:20" x14ac:dyDescent="0.25">
      <c r="B7" s="773" t="s">
        <v>24</v>
      </c>
      <c r="C7" s="774"/>
      <c r="D7" s="527">
        <f>LOG_ANNUEL!T10</f>
        <v>-97.014925373134332</v>
      </c>
      <c r="E7" s="527">
        <f>LOG_ANNUEL!U10</f>
        <v>0</v>
      </c>
      <c r="F7" s="527">
        <f>LOG_ANNUEL!V10</f>
        <v>-100</v>
      </c>
      <c r="G7" s="28" t="str">
        <f ca="1">IF(VLOOKUP(4,DATA_A_MAIN,VCR+2,FALSE)&gt;VLOOKUP(4,DATA_A_MAIN,VCR+1,FALSE),"2",IF(VLOOKUP(4,DATA_A_MAIN,VCR+2,FALSE)&lt;VLOOKUP(4,DATA_A_MAIN,VCR+1,FALSE),"0",IF(VLOOKUP(4,DATA_A_MAIN,VCR+2,FALSE)=VLOOKUP(4,DATA_A_MAIN,VCR+1,FALSE),"1")))</f>
        <v>0</v>
      </c>
      <c r="H7" s="28"/>
      <c r="I7" s="10"/>
      <c r="J7" s="523"/>
      <c r="K7" s="35" t="s">
        <v>173</v>
      </c>
      <c r="L7" s="528">
        <f>LOG_ANNUEL!T41</f>
        <v>-91.666666666666657</v>
      </c>
      <c r="M7" s="528">
        <f>LOG_ANNUEL!U41</f>
        <v>0</v>
      </c>
      <c r="N7" s="528">
        <f>LOG_ANNUEL!V41</f>
        <v>-100</v>
      </c>
      <c r="O7" s="10"/>
      <c r="P7" s="70"/>
      <c r="Q7" s="104">
        <v>2</v>
      </c>
      <c r="R7" s="528">
        <f>LOG_ANNUEL!T63</f>
        <v>-88.888888888888886</v>
      </c>
      <c r="S7" s="528">
        <f>LOG_ANNUEL!U63</f>
        <v>0</v>
      </c>
      <c r="T7" s="612">
        <f>LOG_ANNUEL!V63</f>
        <v>-100</v>
      </c>
    </row>
    <row r="8" spans="2:20" x14ac:dyDescent="0.25">
      <c r="B8" s="773" t="s">
        <v>25</v>
      </c>
      <c r="C8" s="774"/>
      <c r="D8" s="527" t="str">
        <f>LOG_ANNUEL!T11</f>
        <v/>
      </c>
      <c r="E8" s="527" t="str">
        <f>LOG_ANNUEL!U11</f>
        <v/>
      </c>
      <c r="F8" s="527">
        <f>LOG_ANNUEL!V11</f>
        <v>-100</v>
      </c>
      <c r="G8" s="28"/>
      <c r="H8" s="28"/>
      <c r="I8" s="10"/>
      <c r="J8" s="522" t="s">
        <v>168</v>
      </c>
      <c r="K8" s="38" t="s">
        <v>169</v>
      </c>
      <c r="L8" s="528">
        <f>LOG_ANNUEL!T42</f>
        <v>-89.85507246376811</v>
      </c>
      <c r="M8" s="528">
        <f>LOG_ANNUEL!U42</f>
        <v>0</v>
      </c>
      <c r="N8" s="528">
        <f>LOG_ANNUEL!V42</f>
        <v>-100</v>
      </c>
      <c r="O8" s="10"/>
      <c r="P8" s="70"/>
      <c r="Q8" s="104">
        <v>3</v>
      </c>
      <c r="R8" s="528" t="str">
        <f>LOG_ANNUEL!T64</f>
        <v/>
      </c>
      <c r="S8" s="528" t="str">
        <f>LOG_ANNUEL!U64</f>
        <v/>
      </c>
      <c r="T8" s="612">
        <f>LOG_ANNUEL!V64</f>
        <v>-100</v>
      </c>
    </row>
    <row r="9" spans="2:20" x14ac:dyDescent="0.25">
      <c r="B9" s="773" t="s">
        <v>26</v>
      </c>
      <c r="C9" s="774"/>
      <c r="D9" s="527" t="str">
        <f>LOG_ANNUEL!T12</f>
        <v/>
      </c>
      <c r="E9" s="527" t="str">
        <f>LOG_ANNUEL!U12</f>
        <v/>
      </c>
      <c r="F9" s="527">
        <f>LOG_ANNUEL!V12</f>
        <v>-100</v>
      </c>
      <c r="G9" s="28"/>
      <c r="H9" s="28"/>
      <c r="I9" s="10"/>
      <c r="J9" s="158"/>
      <c r="K9" s="37" t="s">
        <v>185</v>
      </c>
      <c r="L9" s="528" t="str">
        <f>LOG_ANNUEL!T43</f>
        <v/>
      </c>
      <c r="M9" s="528" t="str">
        <f>LOG_ANNUEL!U43</f>
        <v/>
      </c>
      <c r="N9" s="528">
        <f>LOG_ANNUEL!V43</f>
        <v>-100</v>
      </c>
      <c r="O9" s="10"/>
      <c r="P9" s="70"/>
      <c r="Q9" s="104">
        <v>4</v>
      </c>
      <c r="R9" s="528">
        <f>LOG_ANNUEL!T65</f>
        <v>-92.307692307692307</v>
      </c>
      <c r="S9" s="528">
        <f>LOG_ANNUEL!U65</f>
        <v>0</v>
      </c>
      <c r="T9" s="612">
        <f>LOG_ANNUEL!V65</f>
        <v>-100</v>
      </c>
    </row>
    <row r="10" spans="2:20" ht="15.75" thickBot="1" x14ac:dyDescent="0.3">
      <c r="B10" s="773" t="s">
        <v>27</v>
      </c>
      <c r="C10" s="774"/>
      <c r="D10" s="527" t="str">
        <f>LOG_ANNUEL!T13</f>
        <v/>
      </c>
      <c r="E10" s="527" t="str">
        <f>LOG_ANNUEL!U13</f>
        <v/>
      </c>
      <c r="F10" s="527">
        <f>LOG_ANNUEL!V13</f>
        <v>-100</v>
      </c>
      <c r="G10" s="28"/>
      <c r="H10" s="28"/>
      <c r="I10" s="10"/>
      <c r="J10" s="311"/>
      <c r="K10" s="326" t="s">
        <v>170</v>
      </c>
      <c r="L10" s="528" t="str">
        <f>LOG_ANNUEL!T44</f>
        <v/>
      </c>
      <c r="M10" s="528" t="str">
        <f>LOG_ANNUEL!U44</f>
        <v/>
      </c>
      <c r="N10" s="528">
        <f>LOG_ANNUEL!V44</f>
        <v>-100</v>
      </c>
      <c r="O10" s="10"/>
      <c r="P10" s="70"/>
      <c r="Q10" s="96" t="s">
        <v>182</v>
      </c>
      <c r="R10" s="528">
        <f>LOG_ANNUEL!T66</f>
        <v>-92.592592592592595</v>
      </c>
      <c r="S10" s="528">
        <f>LOG_ANNUEL!U66</f>
        <v>0</v>
      </c>
      <c r="T10" s="612">
        <f>LOG_ANNUEL!V66</f>
        <v>-100</v>
      </c>
    </row>
    <row r="11" spans="2:20" ht="15.75" thickBot="1" x14ac:dyDescent="0.3">
      <c r="B11" s="773" t="s">
        <v>28</v>
      </c>
      <c r="C11" s="774"/>
      <c r="D11" s="527">
        <f>LOG_ANNUEL!T14</f>
        <v>-95.454545454545453</v>
      </c>
      <c r="E11" s="527">
        <f>LOG_ANNUEL!U14</f>
        <v>0</v>
      </c>
      <c r="F11" s="527">
        <f>LOG_ANNUEL!V14</f>
        <v>-100</v>
      </c>
      <c r="G11" s="28"/>
      <c r="H11" s="28"/>
      <c r="I11" s="10"/>
      <c r="J11" s="10"/>
      <c r="K11" s="10"/>
      <c r="L11" s="608"/>
      <c r="M11" s="608"/>
      <c r="N11" s="608"/>
      <c r="O11" s="10"/>
      <c r="P11" s="70"/>
      <c r="Q11" s="105">
        <v>5</v>
      </c>
      <c r="R11" s="528" t="str">
        <f>LOG_ANNUEL!T67</f>
        <v/>
      </c>
      <c r="S11" s="528" t="str">
        <f>LOG_ANNUEL!U67</f>
        <v/>
      </c>
      <c r="T11" s="612">
        <f>LOG_ANNUEL!V67</f>
        <v>-100</v>
      </c>
    </row>
    <row r="12" spans="2:20" ht="15.75" thickBot="1" x14ac:dyDescent="0.3">
      <c r="B12" s="773" t="s">
        <v>29</v>
      </c>
      <c r="C12" s="774"/>
      <c r="D12" s="527" t="str">
        <f>LOG_ANNUEL!T15</f>
        <v/>
      </c>
      <c r="E12" s="527" t="str">
        <f>LOG_ANNUEL!U15</f>
        <v/>
      </c>
      <c r="F12" s="527" t="str">
        <f>LOG_ANNUEL!V15</f>
        <v/>
      </c>
      <c r="G12" s="28"/>
      <c r="H12" s="28"/>
      <c r="I12" s="10"/>
      <c r="J12" s="729" t="s">
        <v>21</v>
      </c>
      <c r="K12" s="730"/>
      <c r="L12" s="609" t="s">
        <v>70</v>
      </c>
      <c r="M12" s="610" t="s">
        <v>550</v>
      </c>
      <c r="N12" s="611" t="s">
        <v>551</v>
      </c>
      <c r="O12" s="10"/>
      <c r="P12" s="70"/>
      <c r="Q12" s="105">
        <v>6</v>
      </c>
      <c r="R12" s="528" t="str">
        <f>LOG_ANNUEL!T68</f>
        <v/>
      </c>
      <c r="S12" s="528" t="str">
        <f>LOG_ANNUEL!U68</f>
        <v/>
      </c>
      <c r="T12" s="612" t="str">
        <f>LOG_ANNUEL!V68</f>
        <v/>
      </c>
    </row>
    <row r="13" spans="2:20" ht="15.75" thickBot="1" x14ac:dyDescent="0.3">
      <c r="B13" s="773" t="s">
        <v>30</v>
      </c>
      <c r="C13" s="774"/>
      <c r="D13" s="527" t="str">
        <f>LOG_ANNUEL!T16</f>
        <v/>
      </c>
      <c r="E13" s="527" t="str">
        <f>LOG_ANNUEL!U16</f>
        <v/>
      </c>
      <c r="F13" s="527">
        <f>LOG_ANNUEL!V16</f>
        <v>-100</v>
      </c>
      <c r="G13" s="28"/>
      <c r="H13" s="28"/>
      <c r="I13" s="10"/>
      <c r="J13" s="783" t="s">
        <v>617</v>
      </c>
      <c r="K13" s="784"/>
      <c r="L13" s="528" t="str">
        <f>LOG_ANNUEL!T48</f>
        <v/>
      </c>
      <c r="M13" s="528" t="str">
        <f>LOG_ANNUEL!U48</f>
        <v/>
      </c>
      <c r="N13" s="612">
        <f>LOG_ANNUEL!V48</f>
        <v>-100</v>
      </c>
      <c r="O13" s="10"/>
      <c r="P13" s="70"/>
      <c r="Q13" s="105">
        <v>7</v>
      </c>
      <c r="R13" s="528" t="str">
        <f>LOG_ANNUEL!T69</f>
        <v/>
      </c>
      <c r="S13" s="528" t="str">
        <f>LOG_ANNUEL!U69</f>
        <v/>
      </c>
      <c r="T13" s="612" t="str">
        <f>LOG_ANNUEL!V69</f>
        <v/>
      </c>
    </row>
    <row r="14" spans="2:20" ht="15.75" customHeight="1" thickBot="1" x14ac:dyDescent="0.3">
      <c r="B14" s="781" t="s">
        <v>31</v>
      </c>
      <c r="C14" s="782"/>
      <c r="D14" s="527" t="str">
        <f>LOG_ANNUEL!T17</f>
        <v/>
      </c>
      <c r="E14" s="527" t="str">
        <f>LOG_ANNUEL!U17</f>
        <v/>
      </c>
      <c r="F14" s="527">
        <f>LOG_ANNUEL!V17</f>
        <v>-100</v>
      </c>
      <c r="G14" s="28"/>
      <c r="H14" s="28"/>
      <c r="I14" s="10"/>
      <c r="J14" s="735" t="s">
        <v>42</v>
      </c>
      <c r="K14" s="736"/>
      <c r="L14" s="528" t="str">
        <f>LOG_ANNUEL!T49</f>
        <v/>
      </c>
      <c r="M14" s="528" t="str">
        <f>LOG_ANNUEL!U49</f>
        <v/>
      </c>
      <c r="N14" s="612">
        <f>LOG_ANNUEL!V49</f>
        <v>-100</v>
      </c>
      <c r="O14" s="10"/>
      <c r="P14" s="70"/>
      <c r="Q14" s="105">
        <v>8</v>
      </c>
      <c r="R14" s="528" t="str">
        <f>LOG_ANNUEL!T70</f>
        <v/>
      </c>
      <c r="S14" s="528" t="str">
        <f>LOG_ANNUEL!U70</f>
        <v/>
      </c>
      <c r="T14" s="612" t="str">
        <f>LOG_ANNUEL!V70</f>
        <v/>
      </c>
    </row>
    <row r="15" spans="2:20" ht="16.5" customHeight="1" thickBot="1" x14ac:dyDescent="0.3">
      <c r="B15" s="70"/>
      <c r="C15" s="10"/>
      <c r="D15" s="10"/>
      <c r="E15" s="10"/>
      <c r="F15" s="10"/>
      <c r="G15" s="10"/>
      <c r="H15" s="10"/>
      <c r="I15" s="10"/>
      <c r="J15" s="775" t="s">
        <v>166</v>
      </c>
      <c r="K15" s="776"/>
      <c r="L15" s="528">
        <f>LOG_ANNUEL!T50</f>
        <v>-88.922610015174513</v>
      </c>
      <c r="M15" s="528">
        <f>LOG_ANNUEL!U50</f>
        <v>0</v>
      </c>
      <c r="N15" s="612">
        <f>LOG_ANNUEL!V50</f>
        <v>-100</v>
      </c>
      <c r="O15" s="10"/>
      <c r="P15" s="70"/>
      <c r="Q15" s="105">
        <v>9</v>
      </c>
      <c r="R15" s="528" t="str">
        <f>LOG_ANNUEL!T71</f>
        <v/>
      </c>
      <c r="S15" s="528" t="str">
        <f>LOG_ANNUEL!U71</f>
        <v/>
      </c>
      <c r="T15" s="612">
        <f>LOG_ANNUEL!V71</f>
        <v>-100</v>
      </c>
    </row>
    <row r="16" spans="2:20" ht="15.75" thickBot="1" x14ac:dyDescent="0.3">
      <c r="B16" s="729" t="s">
        <v>4</v>
      </c>
      <c r="C16" s="730"/>
      <c r="D16" s="436" t="s">
        <v>70</v>
      </c>
      <c r="E16" s="437" t="s">
        <v>550</v>
      </c>
      <c r="F16" s="438" t="s">
        <v>551</v>
      </c>
      <c r="G16" s="456" t="s">
        <v>968</v>
      </c>
      <c r="H16" s="456" t="s">
        <v>969</v>
      </c>
      <c r="I16" s="10"/>
      <c r="J16" s="777" t="s">
        <v>618</v>
      </c>
      <c r="K16" s="778"/>
      <c r="L16" s="528">
        <f>LOG_ANNUEL!T51</f>
        <v>-97.159090909090907</v>
      </c>
      <c r="M16" s="528">
        <f>LOG_ANNUEL!U51</f>
        <v>0</v>
      </c>
      <c r="N16" s="612">
        <f>LOG_ANNUEL!V51</f>
        <v>-100</v>
      </c>
      <c r="O16" s="10"/>
      <c r="P16" s="70"/>
      <c r="Q16" s="105">
        <v>10</v>
      </c>
      <c r="R16" s="528" t="str">
        <f>LOG_ANNUEL!T72</f>
        <v/>
      </c>
      <c r="S16" s="528" t="str">
        <f>LOG_ANNUEL!U72</f>
        <v/>
      </c>
      <c r="T16" s="612">
        <f>LOG_ANNUEL!V72</f>
        <v>-100</v>
      </c>
    </row>
    <row r="17" spans="2:20" ht="15.75" thickBot="1" x14ac:dyDescent="0.3">
      <c r="B17" s="727" t="s">
        <v>5</v>
      </c>
      <c r="C17" s="728"/>
      <c r="D17" s="528">
        <f>LOG_ANNUEL!T20</f>
        <v>-85.074626865671647</v>
      </c>
      <c r="E17" s="528">
        <f>LOG_ANNUEL!U20</f>
        <v>0</v>
      </c>
      <c r="F17" s="528">
        <f>LOG_ANNUEL!V20</f>
        <v>-100</v>
      </c>
      <c r="G17" s="33" t="str">
        <f ca="1">IF(VLOOKUP(12,DATA_A_MAIN,VCR+2,FALSE)&gt;VLOOKUP(12,DATA_A_MAIN,VCR+1,FALSE),"2",IF(VLOOKUP(12,DATA_A_MAIN,VCR+2,FALSE)&lt;VLOOKUP(12,DATA_A_MAIN,VCR+1,FALSE),"0",IF(VLOOKUP(12,DATA_A_MAIN,VCR+2,FALSE)=VLOOKUP(12,DATA_A_MAIN,VCR+1,FALSE),"1")))</f>
        <v>0</v>
      </c>
      <c r="H17" s="33"/>
      <c r="I17" s="10"/>
      <c r="J17" s="779" t="s">
        <v>175</v>
      </c>
      <c r="K17" s="780"/>
      <c r="L17" s="528" t="str">
        <f>LOG_ANNUEL!T52</f>
        <v/>
      </c>
      <c r="M17" s="528" t="str">
        <f>LOG_ANNUEL!U52</f>
        <v/>
      </c>
      <c r="N17" s="612" t="str">
        <f>LOG_ANNUEL!V52</f>
        <v/>
      </c>
      <c r="O17" s="10"/>
      <c r="P17" s="70"/>
      <c r="Q17" s="105">
        <v>11</v>
      </c>
      <c r="R17" s="528" t="str">
        <f>LOG_ANNUEL!T73</f>
        <v/>
      </c>
      <c r="S17" s="528" t="str">
        <f>LOG_ANNUEL!U73</f>
        <v/>
      </c>
      <c r="T17" s="612" t="str">
        <f>LOG_ANNUEL!V73</f>
        <v/>
      </c>
    </row>
    <row r="18" spans="2:20" ht="16.5" customHeight="1" thickBot="1" x14ac:dyDescent="0.3">
      <c r="B18" s="727" t="s">
        <v>6</v>
      </c>
      <c r="C18" s="728"/>
      <c r="D18" s="528">
        <f>LOG_ANNUEL!T21</f>
        <v>-94.326241134751783</v>
      </c>
      <c r="E18" s="528">
        <f>LOG_ANNUEL!U21</f>
        <v>0</v>
      </c>
      <c r="F18" s="528">
        <f>LOG_ANNUEL!V21</f>
        <v>-100</v>
      </c>
      <c r="G18" s="33" t="str">
        <f ca="1">IF(VLOOKUP(13,DATA_A_MAIN,VCR+2,FALSE)&gt;VLOOKUP(13,DATA_A_MAIN,VCR+1,FALSE),"2",IF(VLOOKUP(13,DATA_A_MAIN,VCR+2,FALSE)&lt;VLOOKUP(13,DATA_A_MAIN,VCR+1,FALSE),"0",IF(VLOOKUP(13,DATA_A_MAIN,VCR+2,FALSE)=VLOOKUP(13,DATA_A_MAIN,VCR+1,FALSE),"1")))</f>
        <v>0</v>
      </c>
      <c r="H18" s="33"/>
      <c r="I18" s="10"/>
      <c r="J18" s="735" t="s">
        <v>619</v>
      </c>
      <c r="K18" s="736"/>
      <c r="L18" s="528">
        <f>LOG_ANNUEL!T53</f>
        <v>-98.928571428571431</v>
      </c>
      <c r="M18" s="528">
        <f>LOG_ANNUEL!U53</f>
        <v>0</v>
      </c>
      <c r="N18" s="612">
        <f>LOG_ANNUEL!V53</f>
        <v>-100</v>
      </c>
      <c r="O18" s="10"/>
      <c r="P18" s="70"/>
      <c r="Q18" s="105">
        <v>12</v>
      </c>
      <c r="R18" s="528" t="str">
        <f>LOG_ANNUEL!T74</f>
        <v/>
      </c>
      <c r="S18" s="528" t="str">
        <f>LOG_ANNUEL!U74</f>
        <v/>
      </c>
      <c r="T18" s="612" t="str">
        <f>LOG_ANNUEL!V74</f>
        <v/>
      </c>
    </row>
    <row r="19" spans="2:20" ht="16.5" customHeight="1" thickBot="1" x14ac:dyDescent="0.3">
      <c r="B19" s="743" t="s">
        <v>352</v>
      </c>
      <c r="C19" s="744"/>
      <c r="D19" s="528">
        <f>LOG_ANNUEL!T22</f>
        <v>-90.476190476190482</v>
      </c>
      <c r="E19" s="528">
        <f>LOG_ANNUEL!U22</f>
        <v>0</v>
      </c>
      <c r="F19" s="528">
        <f>LOG_ANNUEL!V22</f>
        <v>-100</v>
      </c>
      <c r="G19" s="10"/>
      <c r="H19" s="10"/>
      <c r="I19" s="10"/>
      <c r="J19" s="779" t="s">
        <v>167</v>
      </c>
      <c r="K19" s="780"/>
      <c r="L19" s="528">
        <f>LOG_ANNUEL!T54</f>
        <v>-95</v>
      </c>
      <c r="M19" s="528">
        <f>LOG_ANNUEL!U54</f>
        <v>0</v>
      </c>
      <c r="N19" s="612">
        <f>LOG_ANNUEL!V54</f>
        <v>-100</v>
      </c>
      <c r="O19" s="10"/>
      <c r="P19" s="97"/>
      <c r="Q19" s="435" t="s">
        <v>182</v>
      </c>
      <c r="R19" s="528" t="str">
        <f>LOG_ANNUEL!T75</f>
        <v/>
      </c>
      <c r="S19" s="528" t="str">
        <f>LOG_ANNUEL!U75</f>
        <v/>
      </c>
      <c r="T19" s="612">
        <f>LOG_ANNUEL!V75</f>
        <v>-100</v>
      </c>
    </row>
    <row r="20" spans="2:20" ht="15.75" thickBot="1" x14ac:dyDescent="0.3">
      <c r="B20" s="70"/>
      <c r="C20" s="10"/>
      <c r="D20" s="10"/>
      <c r="E20" s="10"/>
      <c r="F20" s="10"/>
      <c r="G20" s="10"/>
      <c r="H20" s="10"/>
      <c r="I20" s="10"/>
      <c r="J20" s="735" t="s">
        <v>43</v>
      </c>
      <c r="K20" s="736"/>
      <c r="L20" s="613">
        <f>LOG_ANNUEL!T55</f>
        <v>-91.269841269841265</v>
      </c>
      <c r="M20" s="613">
        <f>LOG_ANNUEL!U55</f>
        <v>0</v>
      </c>
      <c r="N20" s="614">
        <f>LOG_ANNUEL!V55</f>
        <v>-100</v>
      </c>
      <c r="O20" s="10"/>
      <c r="P20" s="10"/>
      <c r="Q20" s="10"/>
      <c r="R20" s="608"/>
      <c r="S20" s="608"/>
      <c r="T20" s="617"/>
    </row>
    <row r="21" spans="2:20" ht="15.75" thickBot="1" x14ac:dyDescent="0.3">
      <c r="B21" s="729" t="s">
        <v>7</v>
      </c>
      <c r="C21" s="730"/>
      <c r="D21" s="436" t="s">
        <v>70</v>
      </c>
      <c r="E21" s="437" t="s">
        <v>550</v>
      </c>
      <c r="F21" s="438" t="s">
        <v>551</v>
      </c>
      <c r="G21" s="456" t="s">
        <v>968</v>
      </c>
      <c r="H21" s="456" t="s">
        <v>969</v>
      </c>
      <c r="I21" s="10"/>
      <c r="J21" s="745" t="s">
        <v>41</v>
      </c>
      <c r="K21" s="746"/>
      <c r="L21" s="608"/>
      <c r="M21" s="608"/>
      <c r="N21" s="608"/>
      <c r="O21" s="10"/>
      <c r="P21" s="729" t="s">
        <v>71</v>
      </c>
      <c r="Q21" s="730"/>
      <c r="R21" s="609" t="s">
        <v>70</v>
      </c>
      <c r="S21" s="610" t="s">
        <v>550</v>
      </c>
      <c r="T21" s="611" t="s">
        <v>551</v>
      </c>
    </row>
    <row r="22" spans="2:20" x14ac:dyDescent="0.25">
      <c r="B22" s="727" t="s">
        <v>8</v>
      </c>
      <c r="C22" s="728"/>
      <c r="D22" s="528">
        <f>LOG_ANNUEL!T25</f>
        <v>-95.833333333333343</v>
      </c>
      <c r="E22" s="528">
        <f>LOG_ANNUEL!U25</f>
        <v>0</v>
      </c>
      <c r="F22" s="528">
        <f>LOG_ANNUEL!V25</f>
        <v>-100</v>
      </c>
      <c r="G22" s="709" t="str">
        <f ca="1">IF(CR!E20&gt;CR!F20,"2",IF(CR!E20&lt;CR!F20,"0",IF(CR!E20=CR!F20,"1")))</f>
        <v>0</v>
      </c>
      <c r="H22" s="33"/>
      <c r="I22" s="10"/>
      <c r="J22" s="751" t="s">
        <v>178</v>
      </c>
      <c r="K22" s="41" t="s">
        <v>176</v>
      </c>
      <c r="L22" s="615">
        <f>LOG_ANNUEL!T57</f>
        <v>-95.193508114856428</v>
      </c>
      <c r="M22" s="615">
        <f>LOG_ANNUEL!U57</f>
        <v>0</v>
      </c>
      <c r="N22" s="616">
        <f>LOG_ANNUEL!V57</f>
        <v>-100</v>
      </c>
      <c r="O22" s="10"/>
      <c r="P22" s="737" t="s">
        <v>72</v>
      </c>
      <c r="Q22" s="738"/>
      <c r="R22" s="528">
        <f>LOG_ANNUEL!T234</f>
        <v>-98.245614035087712</v>
      </c>
      <c r="S22" s="528">
        <f>LOG_ANNUEL!U234</f>
        <v>0</v>
      </c>
      <c r="T22" s="612">
        <f>LOG_ANNUEL!V234</f>
        <v>-100</v>
      </c>
    </row>
    <row r="23" spans="2:20" ht="15.75" thickBot="1" x14ac:dyDescent="0.3">
      <c r="B23" s="727" t="s">
        <v>9</v>
      </c>
      <c r="C23" s="728"/>
      <c r="D23" s="528">
        <f>LOG_ANNUEL!T26</f>
        <v>-90.625</v>
      </c>
      <c r="E23" s="528">
        <f>LOG_ANNUEL!U26</f>
        <v>0</v>
      </c>
      <c r="F23" s="528">
        <f>LOG_ANNUEL!V26</f>
        <v>-100</v>
      </c>
      <c r="G23" s="712"/>
      <c r="H23" s="33"/>
      <c r="I23" s="10"/>
      <c r="J23" s="752"/>
      <c r="K23" s="42" t="s">
        <v>177</v>
      </c>
      <c r="L23" s="613">
        <f>LOG_ANNUEL!T58</f>
        <v>-73.770491803278688</v>
      </c>
      <c r="M23" s="613">
        <f>LOG_ANNUEL!U58</f>
        <v>0</v>
      </c>
      <c r="N23" s="614">
        <f>LOG_ANNUEL!V58</f>
        <v>-100</v>
      </c>
      <c r="O23" s="10"/>
      <c r="P23" s="727" t="s">
        <v>73</v>
      </c>
      <c r="Q23" s="728"/>
      <c r="R23" s="528">
        <f>LOG_ANNUEL!T235</f>
        <v>-85.964912280701753</v>
      </c>
      <c r="S23" s="528">
        <f>LOG_ANNUEL!U235</f>
        <v>0</v>
      </c>
      <c r="T23" s="612">
        <f>LOG_ANNUEL!V235</f>
        <v>-100</v>
      </c>
    </row>
    <row r="24" spans="2:20" x14ac:dyDescent="0.25">
      <c r="B24" s="727" t="s">
        <v>10</v>
      </c>
      <c r="C24" s="728"/>
      <c r="D24" s="528" t="str">
        <f>LOG_ANNUEL!T27</f>
        <v/>
      </c>
      <c r="E24" s="528" t="str">
        <f>LOG_ANNUEL!U27</f>
        <v/>
      </c>
      <c r="F24" s="528" t="str">
        <f>LOG_ANNUEL!V27</f>
        <v/>
      </c>
      <c r="G24" s="712"/>
      <c r="H24" s="33"/>
      <c r="I24" s="10"/>
      <c r="J24" s="10"/>
      <c r="K24" s="10"/>
      <c r="L24" s="10"/>
      <c r="M24" s="10"/>
      <c r="N24" s="10"/>
      <c r="O24" s="10"/>
      <c r="P24" s="727" t="s">
        <v>180</v>
      </c>
      <c r="Q24" s="728"/>
      <c r="R24" s="528" t="str">
        <f>LOG_ANNUEL!T236</f>
        <v/>
      </c>
      <c r="S24" s="528" t="str">
        <f>LOG_ANNUEL!U236</f>
        <v/>
      </c>
      <c r="T24" s="612">
        <f>LOG_ANNUEL!V236</f>
        <v>-100</v>
      </c>
    </row>
    <row r="25" spans="2:20" ht="15.75" thickBot="1" x14ac:dyDescent="0.3">
      <c r="B25" s="743" t="s">
        <v>11</v>
      </c>
      <c r="C25" s="744"/>
      <c r="D25" s="528" t="str">
        <f>LOG_ANNUEL!T28</f>
        <v/>
      </c>
      <c r="E25" s="528" t="str">
        <f>LOG_ANNUEL!U28</f>
        <v/>
      </c>
      <c r="F25" s="528" t="str">
        <f>LOG_ANNUEL!V28</f>
        <v/>
      </c>
      <c r="G25" s="10"/>
      <c r="H25" s="10"/>
      <c r="I25" s="10"/>
      <c r="J25" s="10"/>
      <c r="K25" s="10"/>
      <c r="L25" s="10"/>
      <c r="M25" s="10"/>
      <c r="N25" s="10"/>
      <c r="O25" s="10"/>
      <c r="P25" s="727" t="s">
        <v>74</v>
      </c>
      <c r="Q25" s="728"/>
      <c r="R25" s="528" t="str">
        <f>LOG_ANNUEL!T237</f>
        <v/>
      </c>
      <c r="S25" s="528" t="str">
        <f>LOG_ANNUEL!U237</f>
        <v/>
      </c>
      <c r="T25" s="612">
        <f>LOG_ANNUEL!V237</f>
        <v>-100</v>
      </c>
    </row>
    <row r="26" spans="2:20" ht="15.75" thickBot="1" x14ac:dyDescent="0.3">
      <c r="B26" s="70"/>
      <c r="C26" s="10"/>
      <c r="D26" s="10"/>
      <c r="E26" s="10"/>
      <c r="F26" s="10"/>
      <c r="G26" s="10"/>
      <c r="H26" s="10"/>
      <c r="I26" s="10"/>
      <c r="J26" s="696" t="s">
        <v>964</v>
      </c>
      <c r="K26" s="697"/>
      <c r="L26" s="697"/>
      <c r="M26" s="697"/>
      <c r="N26" s="698"/>
      <c r="O26" s="10"/>
      <c r="P26" s="749" t="s">
        <v>181</v>
      </c>
      <c r="Q26" s="750"/>
      <c r="R26" s="528">
        <f>LOG_ANNUEL!T238</f>
        <v>-75</v>
      </c>
      <c r="S26" s="528">
        <f>LOG_ANNUEL!U238</f>
        <v>0</v>
      </c>
      <c r="T26" s="612">
        <f>LOG_ANNUEL!V238</f>
        <v>-100</v>
      </c>
    </row>
    <row r="27" spans="2:20" ht="15.75" customHeight="1" thickBot="1" x14ac:dyDescent="0.3">
      <c r="B27" s="729" t="s">
        <v>12</v>
      </c>
      <c r="C27" s="730"/>
      <c r="D27" s="528">
        <f>LOG_ANNUEL!T30</f>
        <v>-98.069498069498067</v>
      </c>
      <c r="E27" s="528">
        <f>LOG_ANNUEL!U30</f>
        <v>0</v>
      </c>
      <c r="F27" s="528">
        <f>LOG_ANNUEL!V30</f>
        <v>-100</v>
      </c>
      <c r="G27" s="33" t="str">
        <f ca="1">IF(VLOOKUP(20,DATA_A_MAIN,VCR+2,FALSE)&gt;VLOOKUP(20,DATA_A_MAIN,VCR+1,FALSE),"2",IF(VLOOKUP(20,DATA_A_MAIN,VCR+2,FALSE)&lt;VLOOKUP(20,DATA_A_MAIN,VCR+1,FALSE),"0",IF(VLOOKUP(20,DATA_A_MAIN,VCR+2,FALSE)=VLOOKUP(20,DATA_A_MAIN,VCR+1,FALSE),"1")))</f>
        <v>0</v>
      </c>
      <c r="H27" s="33"/>
      <c r="I27" s="10"/>
      <c r="J27" s="753" t="s">
        <v>70</v>
      </c>
      <c r="K27" s="699" t="s">
        <v>1022</v>
      </c>
      <c r="L27" s="700"/>
      <c r="M27" s="700"/>
      <c r="N27" s="701"/>
      <c r="O27" s="10"/>
      <c r="P27" s="102"/>
      <c r="Q27" s="57" t="s">
        <v>620</v>
      </c>
      <c r="R27" s="528" t="str">
        <f>LOG_ANNUEL!T239</f>
        <v/>
      </c>
      <c r="S27" s="528">
        <f>LOG_ANNUEL!U239</f>
        <v>0</v>
      </c>
      <c r="T27" s="612">
        <f>LOG_ANNUEL!V239</f>
        <v>0</v>
      </c>
    </row>
    <row r="28" spans="2:20" ht="15.75" thickBot="1" x14ac:dyDescent="0.3">
      <c r="B28" s="70"/>
      <c r="C28" s="10"/>
      <c r="D28" s="10"/>
      <c r="E28" s="10"/>
      <c r="F28" s="10"/>
      <c r="G28" s="10"/>
      <c r="H28" s="10"/>
      <c r="I28" s="10"/>
      <c r="J28" s="754"/>
      <c r="K28" s="702"/>
      <c r="L28" s="703"/>
      <c r="M28" s="703"/>
      <c r="N28" s="704"/>
      <c r="O28" s="10"/>
      <c r="P28" s="175"/>
      <c r="Q28" s="42" t="s">
        <v>621</v>
      </c>
      <c r="R28" s="528">
        <f>LOG_ANNUEL!T240</f>
        <v>-80.952380952380949</v>
      </c>
      <c r="S28" s="528">
        <f>LOG_ANNUEL!U240</f>
        <v>0</v>
      </c>
      <c r="T28" s="612">
        <f>LOG_ANNUEL!V240</f>
        <v>-100</v>
      </c>
    </row>
    <row r="29" spans="2:20" ht="15.75" thickBot="1" x14ac:dyDescent="0.3">
      <c r="B29" s="729" t="s">
        <v>16</v>
      </c>
      <c r="C29" s="730"/>
      <c r="D29" s="436" t="s">
        <v>70</v>
      </c>
      <c r="E29" s="437" t="s">
        <v>550</v>
      </c>
      <c r="F29" s="438" t="s">
        <v>551</v>
      </c>
      <c r="G29" s="456" t="s">
        <v>968</v>
      </c>
      <c r="H29" s="456" t="s">
        <v>969</v>
      </c>
      <c r="I29" s="10"/>
      <c r="J29" s="754"/>
      <c r="K29" s="705"/>
      <c r="L29" s="706"/>
      <c r="M29" s="706"/>
      <c r="N29" s="707"/>
      <c r="O29" s="10"/>
      <c r="P29" s="10"/>
      <c r="Q29" s="10"/>
      <c r="R29" s="10"/>
      <c r="S29" s="10"/>
      <c r="T29" s="71"/>
    </row>
    <row r="30" spans="2:20" x14ac:dyDescent="0.25">
      <c r="B30" s="727" t="s">
        <v>13</v>
      </c>
      <c r="C30" s="728"/>
      <c r="D30" s="528" t="str">
        <f>LOG_ANNUEL!T33</f>
        <v/>
      </c>
      <c r="E30" s="528" t="str">
        <f>LOG_ANNUEL!U33</f>
        <v/>
      </c>
      <c r="F30" s="528">
        <f>LOG_ANNUEL!V33</f>
        <v>-100</v>
      </c>
      <c r="G30" s="33" t="str">
        <f ca="1">IF(VLOOKUP(21,DATA_A_MAIN,VCR+2,FALSE)&gt;VLOOKUP(21,DATA_A_MAIN,VCR+1,FALSE),"2",IF(VLOOKUP(21,DATA_A_MAIN,VCR+2,FALSE)&lt;VLOOKUP(21,DATA_A_MAIN,VCR+1,FALSE),"0",IF(VLOOKUP(21,DATA_A_MAIN,VCR+2,FALSE)=VLOOKUP(21,DATA_A_MAIN,VCR+1,FALSE),"1")))</f>
        <v>0</v>
      </c>
      <c r="H30" s="33"/>
      <c r="I30" s="10"/>
      <c r="J30" s="753" t="s">
        <v>550</v>
      </c>
      <c r="K30" s="708" t="s">
        <v>965</v>
      </c>
      <c r="L30" s="709"/>
      <c r="M30" s="709"/>
      <c r="N30" s="710"/>
      <c r="O30" s="10"/>
      <c r="P30" s="10"/>
      <c r="Q30" s="10"/>
      <c r="R30" s="10"/>
      <c r="S30" s="10"/>
      <c r="T30" s="71"/>
    </row>
    <row r="31" spans="2:20" ht="15.75" thickBot="1" x14ac:dyDescent="0.3">
      <c r="B31" s="727" t="s">
        <v>14</v>
      </c>
      <c r="C31" s="728"/>
      <c r="D31" s="528" t="str">
        <f>LOG_ANNUEL!T34</f>
        <v/>
      </c>
      <c r="E31" s="528" t="str">
        <f>LOG_ANNUEL!U34</f>
        <v/>
      </c>
      <c r="F31" s="528">
        <f>LOG_ANNUEL!V34</f>
        <v>-100</v>
      </c>
      <c r="G31" s="33" t="str">
        <f ca="1">IF(VLOOKUP(22,DATA_A_MAIN,VCR+2,FALSE)&gt;VLOOKUP(22,DATA_A_MAIN,VCR+1,FALSE),"2",IF(VLOOKUP(22,DATA_A_MAIN,VCR+2,FALSE)&lt;VLOOKUP(22,DATA_A_MAIN,VCR+1,FALSE),"0",IF(VLOOKUP(22,DATA_A_MAIN,VCR+2,FALSE)=VLOOKUP(22,DATA_A_MAIN,VCR+1,FALSE),"1")))</f>
        <v>0</v>
      </c>
      <c r="H31" s="33"/>
      <c r="I31" s="10"/>
      <c r="J31" s="754"/>
      <c r="K31" s="711"/>
      <c r="L31" s="712"/>
      <c r="M31" s="712"/>
      <c r="N31" s="713"/>
      <c r="O31" s="10"/>
      <c r="P31" s="10"/>
      <c r="Q31" s="10"/>
      <c r="R31" s="10"/>
      <c r="S31" s="10"/>
      <c r="T31" s="71"/>
    </row>
    <row r="32" spans="2:20" ht="15.75" thickBot="1" x14ac:dyDescent="0.3">
      <c r="B32" s="727" t="s">
        <v>15</v>
      </c>
      <c r="C32" s="728"/>
      <c r="D32" s="528" t="str">
        <f>LOG_ANNUEL!T35</f>
        <v/>
      </c>
      <c r="E32" s="528" t="str">
        <f>LOG_ANNUEL!U35</f>
        <v/>
      </c>
      <c r="F32" s="528">
        <f>LOG_ANNUEL!V35</f>
        <v>-100</v>
      </c>
      <c r="G32" s="33" t="str">
        <f ca="1">IF(VLOOKUP(23,DATA_A_MAIN,VCR+2,FALSE)&gt;VLOOKUP(23,DATA_A_MAIN,VCR+1,FALSE),"2",IF(VLOOKUP(23,DATA_A_MAIN,VCR+2,FALSE)&lt;VLOOKUP(23,DATA_A_MAIN,VCR+1,FALSE),"0",IF(VLOOKUP(23,DATA_A_MAIN,VCR+2,FALSE)=VLOOKUP(23,DATA_A_MAIN,VCR+1,FALSE),"1")))</f>
        <v>0</v>
      </c>
      <c r="H32" s="33"/>
      <c r="I32" s="10"/>
      <c r="J32" s="755"/>
      <c r="K32" s="714"/>
      <c r="L32" s="715"/>
      <c r="M32" s="715"/>
      <c r="N32" s="716"/>
      <c r="O32" s="10"/>
      <c r="P32" s="729" t="s">
        <v>175</v>
      </c>
      <c r="Q32" s="730"/>
      <c r="R32" s="436" t="s">
        <v>70</v>
      </c>
      <c r="S32" s="437" t="s">
        <v>550</v>
      </c>
      <c r="T32" s="438" t="s">
        <v>551</v>
      </c>
    </row>
    <row r="33" spans="2:20" ht="15.75" thickBot="1" x14ac:dyDescent="0.3">
      <c r="B33" s="727" t="s">
        <v>18</v>
      </c>
      <c r="C33" s="728"/>
      <c r="D33" s="528" t="str">
        <f>LOG_ANNUEL!T36</f>
        <v/>
      </c>
      <c r="E33" s="528" t="str">
        <f>LOG_ANNUEL!U36</f>
        <v/>
      </c>
      <c r="F33" s="528" t="str">
        <f>LOG_ANNUEL!V36</f>
        <v/>
      </c>
      <c r="G33" s="10"/>
      <c r="H33" s="10"/>
      <c r="I33" s="10"/>
      <c r="J33" s="753" t="s">
        <v>551</v>
      </c>
      <c r="K33" s="699" t="s">
        <v>1023</v>
      </c>
      <c r="L33" s="719"/>
      <c r="M33" s="719"/>
      <c r="N33" s="720"/>
      <c r="O33" s="10"/>
      <c r="P33" s="741" t="s">
        <v>75</v>
      </c>
      <c r="Q33" s="742"/>
      <c r="R33" s="528">
        <f>LOG_ANNUEL!T225</f>
        <v>-91.017964071856284</v>
      </c>
      <c r="S33" s="528">
        <f>LOG_ANNUEL!U225</f>
        <v>0</v>
      </c>
      <c r="T33" s="612">
        <f>LOG_ANNUEL!V225</f>
        <v>-100</v>
      </c>
    </row>
    <row r="34" spans="2:20" ht="15.75" thickBot="1" x14ac:dyDescent="0.3">
      <c r="B34" s="743" t="s">
        <v>19</v>
      </c>
      <c r="C34" s="744"/>
      <c r="D34" s="528" t="str">
        <f>LOG_ANNUEL!T37</f>
        <v/>
      </c>
      <c r="E34" s="528" t="str">
        <f>LOG_ANNUEL!U37</f>
        <v/>
      </c>
      <c r="F34" s="528" t="str">
        <f>LOG_ANNUEL!V37</f>
        <v/>
      </c>
      <c r="G34" s="10"/>
      <c r="H34" s="10"/>
      <c r="I34" s="10"/>
      <c r="J34" s="754"/>
      <c r="K34" s="721"/>
      <c r="L34" s="722"/>
      <c r="M34" s="722"/>
      <c r="N34" s="723"/>
      <c r="O34" s="10"/>
      <c r="P34" s="741" t="s">
        <v>76</v>
      </c>
      <c r="Q34" s="742"/>
      <c r="R34" s="528">
        <f>LOG_ANNUEL!T226</f>
        <v>-91.014492753623188</v>
      </c>
      <c r="S34" s="528">
        <f>LOG_ANNUEL!U226</f>
        <v>0</v>
      </c>
      <c r="T34" s="612">
        <f>LOG_ANNUEL!V226</f>
        <v>-100</v>
      </c>
    </row>
    <row r="35" spans="2:20" ht="15.75" thickBot="1" x14ac:dyDescent="0.3">
      <c r="B35" s="70"/>
      <c r="C35" s="10"/>
      <c r="D35" s="10"/>
      <c r="E35" s="10"/>
      <c r="F35" s="10"/>
      <c r="G35" s="10"/>
      <c r="H35" s="10"/>
      <c r="I35" s="10"/>
      <c r="J35" s="755"/>
      <c r="K35" s="724"/>
      <c r="L35" s="725"/>
      <c r="M35" s="725"/>
      <c r="N35" s="726"/>
      <c r="O35" s="10"/>
      <c r="P35" s="741" t="s">
        <v>77</v>
      </c>
      <c r="Q35" s="742"/>
      <c r="R35" s="528" t="str">
        <f>LOG_ANNUEL!T227</f>
        <v/>
      </c>
      <c r="S35" s="528">
        <f>LOG_ANNUEL!U227</f>
        <v>0</v>
      </c>
      <c r="T35" s="612">
        <f>LOG_ANNUEL!V227</f>
        <v>0</v>
      </c>
    </row>
    <row r="36" spans="2:20" ht="15.75" thickBot="1" x14ac:dyDescent="0.3">
      <c r="B36" s="70"/>
      <c r="C36" s="10"/>
      <c r="D36" s="10"/>
      <c r="E36" s="10"/>
      <c r="F36" s="10"/>
      <c r="G36" s="10"/>
      <c r="H36" s="10"/>
      <c r="I36" s="10"/>
      <c r="J36" s="10"/>
      <c r="K36" s="10"/>
      <c r="L36" s="10"/>
      <c r="M36" s="10"/>
      <c r="N36" s="10"/>
      <c r="O36" s="10"/>
      <c r="P36" s="741" t="s">
        <v>78</v>
      </c>
      <c r="Q36" s="742"/>
      <c r="R36" s="528" t="str">
        <f>LOG_ANNUEL!T228</f>
        <v/>
      </c>
      <c r="S36" s="528">
        <f>LOG_ANNUEL!U228</f>
        <v>0</v>
      </c>
      <c r="T36" s="612">
        <f>LOG_ANNUEL!V228</f>
        <v>0</v>
      </c>
    </row>
    <row r="37" spans="2:20" ht="15.75" thickBot="1" x14ac:dyDescent="0.3">
      <c r="B37" s="70"/>
      <c r="C37" s="10"/>
      <c r="D37" s="10"/>
      <c r="E37" s="10"/>
      <c r="F37" s="10"/>
      <c r="G37" s="10"/>
      <c r="H37" s="10"/>
      <c r="I37" s="10"/>
      <c r="J37" s="10"/>
      <c r="K37" s="10"/>
      <c r="L37" s="10"/>
      <c r="M37" s="10"/>
      <c r="N37" s="10"/>
      <c r="O37" s="10"/>
      <c r="P37" s="741" t="s">
        <v>669</v>
      </c>
      <c r="Q37" s="742"/>
      <c r="R37" s="528">
        <f>LOG_ANNUEL!T229</f>
        <v>-88.372093023255815</v>
      </c>
      <c r="S37" s="528">
        <f>LOG_ANNUEL!U229</f>
        <v>0</v>
      </c>
      <c r="T37" s="612">
        <f>LOG_ANNUEL!V229</f>
        <v>-100</v>
      </c>
    </row>
    <row r="38" spans="2:20" ht="15.75" thickBot="1" x14ac:dyDescent="0.3">
      <c r="B38" s="70"/>
      <c r="C38" s="10"/>
      <c r="D38" s="10"/>
      <c r="E38" s="10"/>
      <c r="F38" s="10"/>
      <c r="G38" s="10"/>
      <c r="H38" s="10"/>
      <c r="I38" s="10"/>
      <c r="J38" s="10"/>
      <c r="K38" s="10"/>
      <c r="L38" s="10"/>
      <c r="M38" s="10"/>
      <c r="N38" s="10"/>
      <c r="O38" s="10"/>
      <c r="P38" s="741" t="s">
        <v>670</v>
      </c>
      <c r="Q38" s="742"/>
      <c r="R38" s="528">
        <f>LOG_ANNUEL!T230</f>
        <v>-90.677966101694921</v>
      </c>
      <c r="S38" s="528">
        <f>LOG_ANNUEL!U230</f>
        <v>0</v>
      </c>
      <c r="T38" s="612">
        <f>LOG_ANNUEL!V230</f>
        <v>-100</v>
      </c>
    </row>
    <row r="39" spans="2:20" ht="15.75" thickBot="1" x14ac:dyDescent="0.3">
      <c r="B39" s="70"/>
      <c r="C39" s="10"/>
      <c r="D39" s="10"/>
      <c r="E39" s="10"/>
      <c r="F39" s="10"/>
      <c r="G39" s="10"/>
      <c r="H39" s="10"/>
      <c r="I39" s="10"/>
      <c r="J39" s="10"/>
      <c r="K39" s="10"/>
      <c r="L39" s="10"/>
      <c r="M39" s="10"/>
      <c r="N39" s="10"/>
      <c r="O39" s="10"/>
      <c r="P39" s="749" t="s">
        <v>187</v>
      </c>
      <c r="Q39" s="750"/>
      <c r="R39" s="528">
        <f>LOG_ANNUEL!T231</f>
        <v>-87.878787878787875</v>
      </c>
      <c r="S39" s="528">
        <f>LOG_ANNUEL!U231</f>
        <v>0</v>
      </c>
      <c r="T39" s="612">
        <f>LOG_ANNUEL!V231</f>
        <v>-100</v>
      </c>
    </row>
    <row r="40" spans="2:20" x14ac:dyDescent="0.25">
      <c r="B40" s="70"/>
      <c r="C40" s="10"/>
      <c r="D40" s="10"/>
      <c r="E40" s="10"/>
      <c r="F40" s="10"/>
      <c r="G40" s="10"/>
      <c r="H40" s="10"/>
      <c r="I40" s="10"/>
      <c r="J40" s="10"/>
      <c r="K40" s="10"/>
      <c r="L40" s="10"/>
      <c r="M40" s="10"/>
      <c r="N40" s="10"/>
      <c r="O40" s="10"/>
      <c r="P40" s="10"/>
      <c r="Q40" s="10"/>
      <c r="R40" s="618"/>
      <c r="S40" s="618"/>
      <c r="T40" s="619"/>
    </row>
    <row r="41" spans="2:20" ht="15.75" thickBot="1" x14ac:dyDescent="0.3">
      <c r="B41" s="70"/>
      <c r="C41" s="10"/>
      <c r="D41" s="10"/>
      <c r="E41" s="10"/>
      <c r="F41" s="10"/>
      <c r="G41" s="10"/>
      <c r="H41" s="10"/>
      <c r="I41" s="10"/>
      <c r="J41" s="10"/>
      <c r="K41" s="10"/>
      <c r="L41" s="10"/>
      <c r="M41" s="10"/>
      <c r="N41" s="10"/>
      <c r="O41" s="10"/>
      <c r="P41" s="10"/>
      <c r="Q41" s="10"/>
      <c r="R41" s="618"/>
      <c r="S41" s="618"/>
      <c r="T41" s="619"/>
    </row>
    <row r="42" spans="2:20" ht="15.75" thickBot="1" x14ac:dyDescent="0.3">
      <c r="B42" s="767" t="s">
        <v>55</v>
      </c>
      <c r="C42" s="768"/>
      <c r="D42" s="436" t="s">
        <v>70</v>
      </c>
      <c r="E42" s="437" t="s">
        <v>550</v>
      </c>
      <c r="F42" s="438" t="s">
        <v>551</v>
      </c>
      <c r="G42" s="10"/>
      <c r="H42" s="10"/>
      <c r="I42" s="10"/>
      <c r="J42" s="729" t="s">
        <v>622</v>
      </c>
      <c r="K42" s="730"/>
      <c r="L42" s="436" t="s">
        <v>70</v>
      </c>
      <c r="M42" s="437" t="s">
        <v>550</v>
      </c>
      <c r="N42" s="438" t="s">
        <v>551</v>
      </c>
      <c r="O42" s="10"/>
      <c r="P42" s="739" t="s">
        <v>79</v>
      </c>
      <c r="Q42" s="740"/>
      <c r="R42" s="609" t="s">
        <v>70</v>
      </c>
      <c r="S42" s="610" t="s">
        <v>550</v>
      </c>
      <c r="T42" s="611" t="s">
        <v>551</v>
      </c>
    </row>
    <row r="43" spans="2:20" ht="15.75" thickBot="1" x14ac:dyDescent="0.3">
      <c r="B43" s="769"/>
      <c r="C43" s="770"/>
      <c r="D43" s="10"/>
      <c r="E43" s="10"/>
      <c r="F43" s="71"/>
      <c r="G43" s="10"/>
      <c r="H43" s="10"/>
      <c r="I43" s="10"/>
      <c r="J43" s="737" t="s">
        <v>604</v>
      </c>
      <c r="K43" s="738"/>
      <c r="L43" s="528" t="str">
        <f>LOG_ANNUEL!T165</f>
        <v/>
      </c>
      <c r="M43" s="528" t="str">
        <f>LOG_ANNUEL!U165</f>
        <v/>
      </c>
      <c r="N43" s="528" t="str">
        <f>LOG_ANNUEL!V165</f>
        <v/>
      </c>
      <c r="O43" s="10"/>
      <c r="P43" s="727" t="s">
        <v>80</v>
      </c>
      <c r="Q43" s="728"/>
      <c r="R43" s="527">
        <f>LOG_ANNUEL!T244</f>
        <v>-94.7120939398567</v>
      </c>
      <c r="S43" s="527">
        <f>LOG_ANNUEL!U244</f>
        <v>0</v>
      </c>
      <c r="T43" s="230">
        <f>LOG_ANNUEL!V244</f>
        <v>-100</v>
      </c>
    </row>
    <row r="44" spans="2:20" x14ac:dyDescent="0.25">
      <c r="B44" s="737" t="s">
        <v>425</v>
      </c>
      <c r="C44" s="738"/>
      <c r="D44" s="528" t="str">
        <f>LOG_ANNUEL!T81</f>
        <v/>
      </c>
      <c r="E44" s="528" t="str">
        <f>LOG_ANNUEL!U81</f>
        <v/>
      </c>
      <c r="F44" s="612" t="str">
        <f>LOG_ANNUEL!V81</f>
        <v/>
      </c>
      <c r="G44" s="10"/>
      <c r="H44" s="10"/>
      <c r="I44" s="10"/>
      <c r="J44" s="727" t="s">
        <v>63</v>
      </c>
      <c r="K44" s="728"/>
      <c r="L44" s="528" t="str">
        <f>LOG_ANNUEL!T166</f>
        <v/>
      </c>
      <c r="M44" s="528" t="str">
        <f>LOG_ANNUEL!U166</f>
        <v/>
      </c>
      <c r="N44" s="528">
        <f>LOG_ANNUEL!V166</f>
        <v>-100</v>
      </c>
      <c r="O44" s="10"/>
      <c r="P44" s="727" t="s">
        <v>81</v>
      </c>
      <c r="Q44" s="728"/>
      <c r="R44" s="527">
        <f>LOG_ANNUEL!T245</f>
        <v>-94.566501690343969</v>
      </c>
      <c r="S44" s="527">
        <f>LOG_ANNUEL!U245</f>
        <v>0</v>
      </c>
      <c r="T44" s="230">
        <f>LOG_ANNUEL!V245</f>
        <v>-100</v>
      </c>
    </row>
    <row r="45" spans="2:20" x14ac:dyDescent="0.25">
      <c r="B45" s="727" t="s">
        <v>64</v>
      </c>
      <c r="C45" s="728"/>
      <c r="D45" s="528" t="str">
        <f>LOG_ANNUEL!T82</f>
        <v/>
      </c>
      <c r="E45" s="528" t="str">
        <f>LOG_ANNUEL!U82</f>
        <v/>
      </c>
      <c r="F45" s="612" t="str">
        <f>LOG_ANNUEL!V82</f>
        <v/>
      </c>
      <c r="G45" s="10"/>
      <c r="H45" s="10"/>
      <c r="I45" s="10"/>
      <c r="J45" s="727" t="s">
        <v>179</v>
      </c>
      <c r="K45" s="728"/>
      <c r="L45" s="528" t="str">
        <f>LOG_ANNUEL!T167</f>
        <v/>
      </c>
      <c r="M45" s="528" t="str">
        <f>LOG_ANNUEL!U167</f>
        <v/>
      </c>
      <c r="N45" s="528">
        <f>LOG_ANNUEL!V167</f>
        <v>-100</v>
      </c>
      <c r="O45" s="10"/>
      <c r="P45" s="727" t="s">
        <v>82</v>
      </c>
      <c r="Q45" s="728"/>
      <c r="R45" s="527">
        <f>LOG_ANNUEL!T246</f>
        <v>-97.055442983390904</v>
      </c>
      <c r="S45" s="527">
        <f>LOG_ANNUEL!U246</f>
        <v>0</v>
      </c>
      <c r="T45" s="230">
        <f>LOG_ANNUEL!V246</f>
        <v>-100</v>
      </c>
    </row>
    <row r="46" spans="2:20" x14ac:dyDescent="0.25">
      <c r="B46" s="763" t="s">
        <v>65</v>
      </c>
      <c r="C46" s="764"/>
      <c r="D46" s="528" t="str">
        <f>LOG_ANNUEL!T83</f>
        <v/>
      </c>
      <c r="E46" s="528" t="str">
        <f>LOG_ANNUEL!U83</f>
        <v/>
      </c>
      <c r="F46" s="612" t="str">
        <f>LOG_ANNUEL!V83</f>
        <v/>
      </c>
      <c r="G46" s="10"/>
      <c r="H46" s="10"/>
      <c r="I46" s="10"/>
      <c r="J46" s="727" t="s">
        <v>607</v>
      </c>
      <c r="K46" s="728"/>
      <c r="L46" s="528" t="str">
        <f>LOG_ANNUEL!T168</f>
        <v/>
      </c>
      <c r="M46" s="528" t="str">
        <f>LOG_ANNUEL!U168</f>
        <v/>
      </c>
      <c r="N46" s="528" t="str">
        <f>LOG_ANNUEL!V168</f>
        <v/>
      </c>
      <c r="O46" s="10"/>
      <c r="P46" s="727" t="s">
        <v>83</v>
      </c>
      <c r="Q46" s="728"/>
      <c r="R46" s="527">
        <f>LOG_ANNUEL!T247</f>
        <v>-96.94751425696299</v>
      </c>
      <c r="S46" s="527">
        <f>LOG_ANNUEL!U247</f>
        <v>0</v>
      </c>
      <c r="T46" s="230">
        <f>LOG_ANNUEL!V247</f>
        <v>-100</v>
      </c>
    </row>
    <row r="47" spans="2:20" ht="15.75" thickBot="1" x14ac:dyDescent="0.3">
      <c r="B47" s="765" t="s">
        <v>67</v>
      </c>
      <c r="C47" s="766"/>
      <c r="D47" s="528" t="str">
        <f>LOG_ANNUEL!T84</f>
        <v/>
      </c>
      <c r="E47" s="528" t="str">
        <f>LOG_ANNUEL!U84</f>
        <v/>
      </c>
      <c r="F47" s="612" t="str">
        <f>LOG_ANNUEL!V84</f>
        <v/>
      </c>
      <c r="G47" s="10"/>
      <c r="H47" s="10"/>
      <c r="I47" s="10"/>
      <c r="J47" s="727" t="s">
        <v>605</v>
      </c>
      <c r="K47" s="728"/>
      <c r="L47" s="528" t="str">
        <f>LOG_ANNUEL!T169</f>
        <v/>
      </c>
      <c r="M47" s="528" t="str">
        <f>LOG_ANNUEL!U169</f>
        <v/>
      </c>
      <c r="N47" s="528">
        <f>LOG_ANNUEL!V169</f>
        <v>-100</v>
      </c>
      <c r="O47" s="10"/>
      <c r="P47" s="727" t="s">
        <v>84</v>
      </c>
      <c r="Q47" s="728"/>
      <c r="R47" s="527">
        <f>LOG_ANNUEL!T248</f>
        <v>-92.020968291851347</v>
      </c>
      <c r="S47" s="527">
        <f>LOG_ANNUEL!U248</f>
        <v>0</v>
      </c>
      <c r="T47" s="230">
        <f>LOG_ANNUEL!V248</f>
        <v>-100</v>
      </c>
    </row>
    <row r="48" spans="2:20" ht="15.75" thickBot="1" x14ac:dyDescent="0.3">
      <c r="B48" s="729" t="s">
        <v>624</v>
      </c>
      <c r="C48" s="730"/>
      <c r="D48" s="621"/>
      <c r="E48" s="621"/>
      <c r="F48" s="622"/>
      <c r="G48" s="10"/>
      <c r="H48" s="10"/>
      <c r="I48" s="10"/>
      <c r="J48" s="743" t="s">
        <v>17</v>
      </c>
      <c r="K48" s="744"/>
      <c r="L48" s="528">
        <f>LOG_ANNUEL!T170</f>
        <v>-93.577981651376149</v>
      </c>
      <c r="M48" s="528">
        <f>LOG_ANNUEL!U170</f>
        <v>0</v>
      </c>
      <c r="N48" s="528">
        <f>LOG_ANNUEL!V170</f>
        <v>-100</v>
      </c>
      <c r="O48" s="10"/>
      <c r="P48" s="727" t="s">
        <v>85</v>
      </c>
      <c r="Q48" s="728"/>
      <c r="R48" s="527">
        <f>LOG_ANNUEL!T249</f>
        <v>-91.945329106955072</v>
      </c>
      <c r="S48" s="527">
        <f>LOG_ANNUEL!U249</f>
        <v>0</v>
      </c>
      <c r="T48" s="230">
        <f>LOG_ANNUEL!V249</f>
        <v>-100</v>
      </c>
    </row>
    <row r="49" spans="2:20" ht="15.75" thickBot="1" x14ac:dyDescent="0.3">
      <c r="B49" s="102"/>
      <c r="C49" s="110" t="str">
        <f>HDG_1</f>
        <v>AFR</v>
      </c>
      <c r="D49" s="528" t="str">
        <f>LOG_ANNUEL!T86</f>
        <v/>
      </c>
      <c r="E49" s="528" t="str">
        <f>LOG_ANNUEL!U86</f>
        <v/>
      </c>
      <c r="F49" s="612" t="str">
        <f>LOG_ANNUEL!V86</f>
        <v/>
      </c>
      <c r="G49" s="10"/>
      <c r="H49" s="10"/>
      <c r="I49" s="10"/>
      <c r="J49" s="181"/>
      <c r="K49" s="181"/>
      <c r="L49" s="620"/>
      <c r="M49" s="620"/>
      <c r="N49" s="620"/>
      <c r="O49" s="10"/>
      <c r="P49" s="729" t="s">
        <v>86</v>
      </c>
      <c r="Q49" s="730"/>
      <c r="R49" s="618"/>
      <c r="S49" s="618"/>
      <c r="T49" s="619"/>
    </row>
    <row r="50" spans="2:20" x14ac:dyDescent="0.25">
      <c r="B50" s="103"/>
      <c r="C50" s="68" t="str">
        <f>HDG_2</f>
        <v>AVP</v>
      </c>
      <c r="D50" s="528" t="str">
        <f>LOG_ANNUEL!T87</f>
        <v/>
      </c>
      <c r="E50" s="528" t="str">
        <f>LOG_ANNUEL!U87</f>
        <v/>
      </c>
      <c r="F50" s="612" t="str">
        <f>LOG_ANNUEL!V87</f>
        <v/>
      </c>
      <c r="G50" s="10"/>
      <c r="H50" s="10"/>
      <c r="I50" s="10"/>
      <c r="J50" s="737" t="s">
        <v>604</v>
      </c>
      <c r="K50" s="738"/>
      <c r="L50" s="528" t="str">
        <f>LOG_ANNUEL!T172</f>
        <v/>
      </c>
      <c r="M50" s="528" t="str">
        <f>LOG_ANNUEL!U172</f>
        <v/>
      </c>
      <c r="N50" s="528" t="str">
        <f>LOG_ANNUEL!V172</f>
        <v/>
      </c>
      <c r="O50" s="10"/>
      <c r="P50" s="727" t="s">
        <v>87</v>
      </c>
      <c r="Q50" s="728"/>
      <c r="R50" s="527">
        <f>LOG_ANNUEL!T251</f>
        <v>-93.55670103092784</v>
      </c>
      <c r="S50" s="527">
        <f>LOG_ANNUEL!U251</f>
        <v>0</v>
      </c>
      <c r="T50" s="230">
        <f>LOG_ANNUEL!V251</f>
        <v>-100</v>
      </c>
    </row>
    <row r="51" spans="2:20" x14ac:dyDescent="0.25">
      <c r="B51" s="103"/>
      <c r="C51" s="68" t="str">
        <f>HDG_3</f>
        <v>ALZ</v>
      </c>
      <c r="D51" s="528" t="str">
        <f>LOG_ANNUEL!T88</f>
        <v/>
      </c>
      <c r="E51" s="528" t="str">
        <f>LOG_ANNUEL!U88</f>
        <v/>
      </c>
      <c r="F51" s="612" t="str">
        <f>LOG_ANNUEL!V88</f>
        <v/>
      </c>
      <c r="G51" s="10"/>
      <c r="H51" s="10"/>
      <c r="I51" s="10"/>
      <c r="J51" s="727" t="s">
        <v>63</v>
      </c>
      <c r="K51" s="728"/>
      <c r="L51" s="528" t="str">
        <f>LOG_ANNUEL!T173</f>
        <v/>
      </c>
      <c r="M51" s="528" t="str">
        <f>LOG_ANNUEL!U173</f>
        <v/>
      </c>
      <c r="N51" s="528">
        <f>LOG_ANNUEL!V173</f>
        <v>-100</v>
      </c>
      <c r="O51" s="10"/>
      <c r="P51" s="727" t="s">
        <v>88</v>
      </c>
      <c r="Q51" s="728"/>
      <c r="R51" s="527">
        <f>LOG_ANNUEL!T252</f>
        <v>-93.263823805060923</v>
      </c>
      <c r="S51" s="527">
        <f>LOG_ANNUEL!U252</f>
        <v>0</v>
      </c>
      <c r="T51" s="230">
        <f>LOG_ANNUEL!V252</f>
        <v>-100</v>
      </c>
    </row>
    <row r="52" spans="2:20" x14ac:dyDescent="0.25">
      <c r="B52" s="103"/>
      <c r="C52" s="68" t="str">
        <f>HDG_4</f>
        <v>MZS</v>
      </c>
      <c r="D52" s="528" t="str">
        <f>LOG_ANNUEL!T89</f>
        <v/>
      </c>
      <c r="E52" s="528" t="str">
        <f>LOG_ANNUEL!U89</f>
        <v/>
      </c>
      <c r="F52" s="612" t="str">
        <f>LOG_ANNUEL!V89</f>
        <v/>
      </c>
      <c r="G52" s="10"/>
      <c r="H52" s="10"/>
      <c r="I52" s="10"/>
      <c r="J52" s="727" t="s">
        <v>179</v>
      </c>
      <c r="K52" s="728"/>
      <c r="L52" s="528" t="str">
        <f>LOG_ANNUEL!T174</f>
        <v/>
      </c>
      <c r="M52" s="528" t="str">
        <f>LOG_ANNUEL!U174</f>
        <v/>
      </c>
      <c r="N52" s="528">
        <f>LOG_ANNUEL!V174</f>
        <v>-100</v>
      </c>
      <c r="O52" s="10"/>
      <c r="P52" s="727" t="s">
        <v>89</v>
      </c>
      <c r="Q52" s="728"/>
      <c r="R52" s="527">
        <f>LOG_ANNUEL!T253</f>
        <v>-94.671532846715337</v>
      </c>
      <c r="S52" s="527">
        <f>LOG_ANNUEL!U253</f>
        <v>0</v>
      </c>
      <c r="T52" s="230">
        <f>LOG_ANNUEL!V253</f>
        <v>-100</v>
      </c>
    </row>
    <row r="53" spans="2:20" ht="15.75" thickBot="1" x14ac:dyDescent="0.3">
      <c r="B53" s="103"/>
      <c r="C53" s="68" t="str">
        <f>HDG_5</f>
        <v>APR</v>
      </c>
      <c r="D53" s="528" t="str">
        <f>LOG_ANNUEL!T90</f>
        <v/>
      </c>
      <c r="E53" s="528" t="str">
        <f>LOG_ANNUEL!U90</f>
        <v/>
      </c>
      <c r="F53" s="612" t="str">
        <f>LOG_ANNUEL!V90</f>
        <v/>
      </c>
      <c r="G53" s="10"/>
      <c r="H53" s="10"/>
      <c r="I53" s="10"/>
      <c r="J53" s="727" t="s">
        <v>607</v>
      </c>
      <c r="K53" s="728"/>
      <c r="L53" s="528" t="str">
        <f>LOG_ANNUEL!T175</f>
        <v/>
      </c>
      <c r="M53" s="528" t="str">
        <f>LOG_ANNUEL!U175</f>
        <v/>
      </c>
      <c r="N53" s="528" t="str">
        <f>LOG_ANNUEL!V175</f>
        <v/>
      </c>
      <c r="O53" s="10"/>
      <c r="P53" s="743" t="s">
        <v>90</v>
      </c>
      <c r="Q53" s="744"/>
      <c r="R53" s="527">
        <f>LOG_ANNUEL!T254</f>
        <v>-94.429329794293295</v>
      </c>
      <c r="S53" s="527">
        <f>LOG_ANNUEL!U254</f>
        <v>0</v>
      </c>
      <c r="T53" s="230">
        <f>LOG_ANNUEL!V254</f>
        <v>-100</v>
      </c>
    </row>
    <row r="54" spans="2:20" x14ac:dyDescent="0.25">
      <c r="B54" s="103"/>
      <c r="C54" s="68" t="str">
        <f>HDG_6</f>
        <v>DCG</v>
      </c>
      <c r="D54" s="528" t="str">
        <f>LOG_ANNUEL!T91</f>
        <v/>
      </c>
      <c r="E54" s="528" t="str">
        <f>LOG_ANNUEL!U91</f>
        <v/>
      </c>
      <c r="F54" s="612" t="str">
        <f>LOG_ANNUEL!V91</f>
        <v/>
      </c>
      <c r="G54" s="10"/>
      <c r="H54" s="10"/>
      <c r="I54" s="10"/>
      <c r="J54" s="727" t="s">
        <v>605</v>
      </c>
      <c r="K54" s="728"/>
      <c r="L54" s="528" t="str">
        <f>LOG_ANNUEL!T176</f>
        <v/>
      </c>
      <c r="M54" s="528" t="str">
        <f>LOG_ANNUEL!U176</f>
        <v/>
      </c>
      <c r="N54" s="528">
        <f>LOG_ANNUEL!V176</f>
        <v>-100</v>
      </c>
      <c r="O54" s="10"/>
      <c r="P54" s="10"/>
      <c r="Q54" s="10"/>
      <c r="R54" s="618"/>
      <c r="S54" s="618"/>
      <c r="T54" s="619"/>
    </row>
    <row r="55" spans="2:20" ht="15.75" thickBot="1" x14ac:dyDescent="0.3">
      <c r="B55" s="103"/>
      <c r="C55" s="68" t="str">
        <f>HDG_7</f>
        <v>SFS</v>
      </c>
      <c r="D55" s="528" t="str">
        <f>LOG_ANNUEL!T92</f>
        <v/>
      </c>
      <c r="E55" s="528" t="str">
        <f>LOG_ANNUEL!U92</f>
        <v/>
      </c>
      <c r="F55" s="612" t="str">
        <f>LOG_ANNUEL!V92</f>
        <v/>
      </c>
      <c r="G55" s="10"/>
      <c r="H55" s="10"/>
      <c r="I55" s="10"/>
      <c r="J55" s="743" t="s">
        <v>17</v>
      </c>
      <c r="K55" s="744"/>
      <c r="L55" s="528">
        <f>LOG_ANNUEL!T177</f>
        <v>-93.577981651376149</v>
      </c>
      <c r="M55" s="528">
        <f>LOG_ANNUEL!U177</f>
        <v>0</v>
      </c>
      <c r="N55" s="528">
        <f>LOG_ANNUEL!V177</f>
        <v>-100</v>
      </c>
      <c r="O55" s="10"/>
      <c r="P55" s="10"/>
      <c r="Q55" s="10"/>
      <c r="R55" s="618"/>
      <c r="S55" s="618"/>
      <c r="T55" s="619"/>
    </row>
    <row r="56" spans="2:20" ht="15.75" thickBot="1" x14ac:dyDescent="0.3">
      <c r="B56" s="103"/>
      <c r="C56" s="68" t="str">
        <f>HDG_8</f>
        <v>AZH</v>
      </c>
      <c r="D56" s="528" t="str">
        <f>LOG_ANNUEL!T93</f>
        <v/>
      </c>
      <c r="E56" s="528" t="str">
        <f>LOG_ANNUEL!U93</f>
        <v/>
      </c>
      <c r="F56" s="612" t="str">
        <f>LOG_ANNUEL!V93</f>
        <v/>
      </c>
      <c r="G56" s="10"/>
      <c r="H56" s="10"/>
      <c r="I56" s="10"/>
      <c r="J56" s="12"/>
      <c r="K56" s="85"/>
      <c r="L56" s="441"/>
      <c r="M56" s="441"/>
      <c r="N56" s="441"/>
      <c r="O56" s="10"/>
      <c r="P56" s="729" t="s">
        <v>742</v>
      </c>
      <c r="Q56" s="730"/>
      <c r="R56" s="609" t="s">
        <v>70</v>
      </c>
      <c r="S56" s="610" t="s">
        <v>550</v>
      </c>
      <c r="T56" s="611" t="s">
        <v>551</v>
      </c>
    </row>
    <row r="57" spans="2:20" ht="15.75" thickBot="1" x14ac:dyDescent="0.3">
      <c r="B57" s="103"/>
      <c r="C57" s="68" t="str">
        <f>HDG_9</f>
        <v>HLI</v>
      </c>
      <c r="D57" s="528" t="str">
        <f>LOG_ANNUEL!T94</f>
        <v/>
      </c>
      <c r="E57" s="528" t="str">
        <f>LOG_ANNUEL!U94</f>
        <v/>
      </c>
      <c r="F57" s="612" t="str">
        <f>LOG_ANNUEL!V94</f>
        <v/>
      </c>
      <c r="G57" s="10"/>
      <c r="H57" s="10"/>
      <c r="I57" s="10"/>
      <c r="J57" s="737" t="s">
        <v>63</v>
      </c>
      <c r="K57" s="728"/>
      <c r="L57" s="528" t="str">
        <f>LOG_ANNUEL!T194</f>
        <v/>
      </c>
      <c r="M57" s="528" t="str">
        <f>LOG_ANNUEL!U194</f>
        <v/>
      </c>
      <c r="N57" s="528">
        <f>LOG_ANNUEL!V194</f>
        <v>-100</v>
      </c>
      <c r="O57" s="10"/>
      <c r="P57" s="747" t="s">
        <v>646</v>
      </c>
      <c r="Q57" s="748"/>
      <c r="R57" s="527">
        <f>LOG_ANNUEL!T257</f>
        <v>-93.486973947895791</v>
      </c>
      <c r="S57" s="527">
        <f>LOG_ANNUEL!U257</f>
        <v>0</v>
      </c>
      <c r="T57" s="230">
        <f>LOG_ANNUEL!V257</f>
        <v>-100</v>
      </c>
    </row>
    <row r="58" spans="2:20" ht="15.75" thickBot="1" x14ac:dyDescent="0.3">
      <c r="B58" s="103"/>
      <c r="C58" s="68" t="str">
        <f>HDG_10</f>
        <v>MCM</v>
      </c>
      <c r="D58" s="528" t="str">
        <f>LOG_ANNUEL!T95</f>
        <v/>
      </c>
      <c r="E58" s="528" t="str">
        <f>LOG_ANNUEL!U95</f>
        <v/>
      </c>
      <c r="F58" s="612" t="str">
        <f>LOG_ANNUEL!V95</f>
        <v/>
      </c>
      <c r="G58" s="10"/>
      <c r="H58" s="10"/>
      <c r="I58" s="10"/>
      <c r="J58" s="733" t="s">
        <v>56</v>
      </c>
      <c r="K58" s="734"/>
      <c r="L58" s="11"/>
      <c r="M58" s="11"/>
      <c r="N58" s="11"/>
      <c r="O58" s="10"/>
      <c r="P58" s="756" t="s">
        <v>647</v>
      </c>
      <c r="Q58" s="757"/>
      <c r="R58" s="527">
        <f>LOG_ANNUEL!T258</f>
        <v>-98.780487804878049</v>
      </c>
      <c r="S58" s="527">
        <f>LOG_ANNUEL!U258</f>
        <v>0</v>
      </c>
      <c r="T58" s="230">
        <f>LOG_ANNUEL!V258</f>
        <v>-100</v>
      </c>
    </row>
    <row r="59" spans="2:20" ht="15.75" thickBot="1" x14ac:dyDescent="0.3">
      <c r="B59" s="103"/>
      <c r="C59" s="69" t="str">
        <f>HDG_11</f>
        <v>MCR</v>
      </c>
      <c r="D59" s="528" t="str">
        <f>LOG_ANNUEL!T96</f>
        <v/>
      </c>
      <c r="E59" s="528" t="str">
        <f>LOG_ANNUEL!U96</f>
        <v/>
      </c>
      <c r="F59" s="612" t="str">
        <f>LOG_ANNUEL!V96</f>
        <v/>
      </c>
      <c r="G59" s="10"/>
      <c r="H59" s="10"/>
      <c r="I59" s="10"/>
      <c r="J59" s="760"/>
      <c r="K59" s="112" t="str">
        <f>HDG_1</f>
        <v>AFR</v>
      </c>
      <c r="L59" s="528" t="str">
        <f>LOG_ANNUEL!T196</f>
        <v/>
      </c>
      <c r="M59" s="528" t="str">
        <f>LOG_ANNUEL!U196</f>
        <v/>
      </c>
      <c r="N59" s="528" t="str">
        <f>LOG_ANNUEL!V196</f>
        <v/>
      </c>
      <c r="O59" s="10"/>
      <c r="P59" s="756" t="s">
        <v>648</v>
      </c>
      <c r="Q59" s="757"/>
      <c r="R59" s="527">
        <f>LOG_ANNUEL!T259</f>
        <v>-95.967741935483872</v>
      </c>
      <c r="S59" s="527">
        <f>LOG_ANNUEL!U259</f>
        <v>0</v>
      </c>
      <c r="T59" s="230">
        <f>LOG_ANNUEL!V259</f>
        <v>-100</v>
      </c>
    </row>
    <row r="60" spans="2:20" ht="15.75" thickBot="1" x14ac:dyDescent="0.3">
      <c r="B60" s="175"/>
      <c r="C60" s="114" t="s">
        <v>406</v>
      </c>
      <c r="D60" s="613" t="str">
        <f>LOG_ANNUEL!T97</f>
        <v/>
      </c>
      <c r="E60" s="613" t="str">
        <f>LOG_ANNUEL!U97</f>
        <v/>
      </c>
      <c r="F60" s="614" t="str">
        <f>LOG_ANNUEL!V97</f>
        <v/>
      </c>
      <c r="G60" s="10"/>
      <c r="H60" s="10"/>
      <c r="I60" s="10"/>
      <c r="J60" s="761"/>
      <c r="K60" s="113" t="str">
        <f>HDG_2</f>
        <v>AVP</v>
      </c>
      <c r="L60" s="528" t="str">
        <f>LOG_ANNUEL!T197</f>
        <v/>
      </c>
      <c r="M60" s="528" t="str">
        <f>LOG_ANNUEL!U197</f>
        <v/>
      </c>
      <c r="N60" s="528" t="str">
        <f>LOG_ANNUEL!V197</f>
        <v/>
      </c>
      <c r="O60" s="10"/>
      <c r="P60" s="756" t="s">
        <v>814</v>
      </c>
      <c r="Q60" s="757"/>
      <c r="R60" s="527">
        <f>LOG_ANNUEL!T260</f>
        <v>-55.186721991701248</v>
      </c>
      <c r="S60" s="527">
        <f>LOG_ANNUEL!U260</f>
        <v>0</v>
      </c>
      <c r="T60" s="230">
        <f>LOG_ANNUEL!V260</f>
        <v>-100</v>
      </c>
    </row>
    <row r="61" spans="2:20" ht="15.75" thickBot="1" x14ac:dyDescent="0.3">
      <c r="B61" s="454"/>
      <c r="C61" s="11"/>
      <c r="D61" s="11"/>
      <c r="E61" s="11"/>
      <c r="F61" s="11"/>
      <c r="G61" s="10"/>
      <c r="H61" s="10"/>
      <c r="I61" s="10"/>
      <c r="J61" s="761"/>
      <c r="K61" s="113" t="str">
        <f>HDG_3</f>
        <v>ALZ</v>
      </c>
      <c r="L61" s="528" t="str">
        <f>LOG_ANNUEL!T198</f>
        <v/>
      </c>
      <c r="M61" s="528" t="str">
        <f>LOG_ANNUEL!U198</f>
        <v/>
      </c>
      <c r="N61" s="528" t="str">
        <f>LOG_ANNUEL!V198</f>
        <v/>
      </c>
      <c r="O61" s="10"/>
      <c r="P61" s="717" t="s">
        <v>649</v>
      </c>
      <c r="Q61" s="718"/>
      <c r="R61" s="527">
        <f>LOG_ANNUEL!T261</f>
        <v>-94.117647058823522</v>
      </c>
      <c r="S61" s="527">
        <f>LOG_ANNUEL!U261</f>
        <v>0</v>
      </c>
      <c r="T61" s="230">
        <f>LOG_ANNUEL!V261</f>
        <v>-100</v>
      </c>
    </row>
    <row r="62" spans="2:20" ht="15.75" thickBot="1" x14ac:dyDescent="0.3">
      <c r="B62" s="454"/>
      <c r="C62" s="11"/>
      <c r="D62" s="11"/>
      <c r="E62" s="11"/>
      <c r="F62" s="11"/>
      <c r="G62" s="10"/>
      <c r="H62" s="10"/>
      <c r="I62" s="10"/>
      <c r="J62" s="761"/>
      <c r="K62" s="113" t="str">
        <f>HDG_4</f>
        <v>MZS</v>
      </c>
      <c r="L62" s="528" t="str">
        <f>LOG_ANNUEL!T199</f>
        <v/>
      </c>
      <c r="M62" s="528" t="str">
        <f>LOG_ANNUEL!U199</f>
        <v/>
      </c>
      <c r="N62" s="528" t="str">
        <f>LOG_ANNUEL!V199</f>
        <v/>
      </c>
      <c r="O62" s="10"/>
      <c r="P62" s="758" t="s">
        <v>662</v>
      </c>
      <c r="Q62" s="759"/>
      <c r="R62" s="527">
        <f>LOG_ANNUEL!T262</f>
        <v>-88.396756082345604</v>
      </c>
      <c r="S62" s="527">
        <f>LOG_ANNUEL!U262</f>
        <v>0</v>
      </c>
      <c r="T62" s="230">
        <f>LOG_ANNUEL!V262</f>
        <v>-100</v>
      </c>
    </row>
    <row r="63" spans="2:20" ht="15.75" thickBot="1" x14ac:dyDescent="0.3">
      <c r="B63" s="731" t="s">
        <v>55</v>
      </c>
      <c r="C63" s="732"/>
      <c r="D63" s="11"/>
      <c r="E63" s="11"/>
      <c r="F63" s="11"/>
      <c r="G63" s="10"/>
      <c r="H63" s="10"/>
      <c r="I63" s="10"/>
      <c r="J63" s="761"/>
      <c r="K63" s="113" t="str">
        <f>HDG_5</f>
        <v>APR</v>
      </c>
      <c r="L63" s="528" t="str">
        <f>LOG_ANNUEL!T200</f>
        <v/>
      </c>
      <c r="M63" s="528" t="str">
        <f>LOG_ANNUEL!U200</f>
        <v/>
      </c>
      <c r="N63" s="528" t="str">
        <f>LOG_ANNUEL!V200</f>
        <v/>
      </c>
      <c r="O63" s="10"/>
      <c r="P63" s="747" t="s">
        <v>650</v>
      </c>
      <c r="Q63" s="748"/>
      <c r="R63" s="527">
        <f>LOG_ANNUEL!T263</f>
        <v>-95.916417910447763</v>
      </c>
      <c r="S63" s="527">
        <f>LOG_ANNUEL!U263</f>
        <v>0</v>
      </c>
      <c r="T63" s="230">
        <f>LOG_ANNUEL!V263</f>
        <v>-100</v>
      </c>
    </row>
    <row r="64" spans="2:20" ht="15.75" thickBot="1" x14ac:dyDescent="0.3">
      <c r="B64" s="727" t="s">
        <v>425</v>
      </c>
      <c r="C64" s="728"/>
      <c r="D64" s="528" t="str">
        <f>LOG_ANNUEL!T101</f>
        <v/>
      </c>
      <c r="E64" s="528" t="str">
        <f>LOG_ANNUEL!U101</f>
        <v/>
      </c>
      <c r="F64" s="528" t="str">
        <f>LOG_ANNUEL!V101</f>
        <v/>
      </c>
      <c r="G64" s="10"/>
      <c r="H64" s="10"/>
      <c r="I64" s="10"/>
      <c r="J64" s="761"/>
      <c r="K64" s="113" t="str">
        <f>HDG_6</f>
        <v>DCG</v>
      </c>
      <c r="L64" s="528" t="str">
        <f>LOG_ANNUEL!T201</f>
        <v/>
      </c>
      <c r="M64" s="528" t="str">
        <f>LOG_ANNUEL!U201</f>
        <v/>
      </c>
      <c r="N64" s="528" t="str">
        <f>LOG_ANNUEL!V201</f>
        <v/>
      </c>
      <c r="O64" s="10"/>
      <c r="P64" s="756" t="s">
        <v>651</v>
      </c>
      <c r="Q64" s="757"/>
      <c r="R64" s="527">
        <f>LOG_ANNUEL!T264</f>
        <v>-87.156133828996289</v>
      </c>
      <c r="S64" s="527">
        <f>LOG_ANNUEL!U264</f>
        <v>0</v>
      </c>
      <c r="T64" s="230">
        <f>LOG_ANNUEL!V264</f>
        <v>-100</v>
      </c>
    </row>
    <row r="65" spans="2:20" ht="15.75" thickBot="1" x14ac:dyDescent="0.3">
      <c r="B65" s="733" t="s">
        <v>56</v>
      </c>
      <c r="C65" s="734"/>
      <c r="D65" s="621"/>
      <c r="E65" s="621"/>
      <c r="F65" s="621"/>
      <c r="G65" s="10"/>
      <c r="H65" s="10"/>
      <c r="I65" s="10"/>
      <c r="J65" s="761"/>
      <c r="K65" s="113" t="str">
        <f>HDG_7</f>
        <v>SFS</v>
      </c>
      <c r="L65" s="528" t="str">
        <f>LOG_ANNUEL!T202</f>
        <v/>
      </c>
      <c r="M65" s="528" t="str">
        <f>LOG_ANNUEL!U202</f>
        <v/>
      </c>
      <c r="N65" s="528" t="str">
        <f>LOG_ANNUEL!V202</f>
        <v/>
      </c>
      <c r="O65" s="10"/>
      <c r="P65" s="756" t="s">
        <v>652</v>
      </c>
      <c r="Q65" s="757"/>
      <c r="R65" s="527">
        <f>LOG_ANNUEL!T265</f>
        <v>-95.760959470636891</v>
      </c>
      <c r="S65" s="527">
        <f>LOG_ANNUEL!U265</f>
        <v>0</v>
      </c>
      <c r="T65" s="230">
        <f>LOG_ANNUEL!V265</f>
        <v>-100</v>
      </c>
    </row>
    <row r="66" spans="2:20" x14ac:dyDescent="0.25">
      <c r="B66" s="760"/>
      <c r="C66" s="110" t="str">
        <f>HDG_1</f>
        <v>AFR</v>
      </c>
      <c r="D66" s="528" t="str">
        <f>LOG_ANNUEL!T103</f>
        <v/>
      </c>
      <c r="E66" s="528" t="str">
        <f>LOG_ANNUEL!U103</f>
        <v/>
      </c>
      <c r="F66" s="528" t="str">
        <f>LOG_ANNUEL!V103</f>
        <v/>
      </c>
      <c r="G66" s="10"/>
      <c r="H66" s="10"/>
      <c r="I66" s="10"/>
      <c r="J66" s="761"/>
      <c r="K66" s="113" t="str">
        <f>HDG_8</f>
        <v>AZH</v>
      </c>
      <c r="L66" s="528" t="str">
        <f>LOG_ANNUEL!T203</f>
        <v/>
      </c>
      <c r="M66" s="528" t="str">
        <f>LOG_ANNUEL!U203</f>
        <v/>
      </c>
      <c r="N66" s="528" t="str">
        <f>LOG_ANNUEL!V203</f>
        <v/>
      </c>
      <c r="O66" s="10"/>
      <c r="P66" s="756" t="s">
        <v>815</v>
      </c>
      <c r="Q66" s="757"/>
      <c r="R66" s="527" t="str">
        <f>LOG_ANNUEL!T266</f>
        <v/>
      </c>
      <c r="S66" s="527">
        <f>LOG_ANNUEL!U266</f>
        <v>0</v>
      </c>
      <c r="T66" s="230">
        <f>LOG_ANNUEL!V266</f>
        <v>0</v>
      </c>
    </row>
    <row r="67" spans="2:20" ht="15.75" thickBot="1" x14ac:dyDescent="0.3">
      <c r="B67" s="761"/>
      <c r="C67" s="68" t="str">
        <f>HDG_2</f>
        <v>AVP</v>
      </c>
      <c r="D67" s="528" t="str">
        <f>LOG_ANNUEL!T104</f>
        <v/>
      </c>
      <c r="E67" s="528" t="str">
        <f>LOG_ANNUEL!U104</f>
        <v/>
      </c>
      <c r="F67" s="528" t="str">
        <f>LOG_ANNUEL!V104</f>
        <v/>
      </c>
      <c r="G67" s="10"/>
      <c r="H67" s="10"/>
      <c r="I67" s="10"/>
      <c r="J67" s="761"/>
      <c r="K67" s="113" t="str">
        <f>HDG_9</f>
        <v>HLI</v>
      </c>
      <c r="L67" s="528" t="str">
        <f>LOG_ANNUEL!T204</f>
        <v/>
      </c>
      <c r="M67" s="528" t="str">
        <f>LOG_ANNUEL!U204</f>
        <v/>
      </c>
      <c r="N67" s="528" t="str">
        <f>LOG_ANNUEL!V204</f>
        <v/>
      </c>
      <c r="O67" s="10"/>
      <c r="P67" s="717" t="s">
        <v>649</v>
      </c>
      <c r="Q67" s="718"/>
      <c r="R67" s="527">
        <f>LOG_ANNUEL!T267</f>
        <v>-86.977491961414785</v>
      </c>
      <c r="S67" s="527">
        <f>LOG_ANNUEL!U267</f>
        <v>0</v>
      </c>
      <c r="T67" s="230">
        <f>LOG_ANNUEL!V267</f>
        <v>-100</v>
      </c>
    </row>
    <row r="68" spans="2:20" ht="15.75" thickBot="1" x14ac:dyDescent="0.3">
      <c r="B68" s="761"/>
      <c r="C68" s="68" t="str">
        <f>HDG_3</f>
        <v>ALZ</v>
      </c>
      <c r="D68" s="528" t="str">
        <f>LOG_ANNUEL!T105</f>
        <v/>
      </c>
      <c r="E68" s="528" t="str">
        <f>LOG_ANNUEL!U105</f>
        <v/>
      </c>
      <c r="F68" s="528" t="str">
        <f>LOG_ANNUEL!V105</f>
        <v/>
      </c>
      <c r="G68" s="10"/>
      <c r="H68" s="10"/>
      <c r="I68" s="10"/>
      <c r="J68" s="761"/>
      <c r="K68" s="113" t="str">
        <f>HDG_10</f>
        <v>MCM</v>
      </c>
      <c r="L68" s="528" t="str">
        <f>LOG_ANNUEL!T205</f>
        <v/>
      </c>
      <c r="M68" s="528" t="str">
        <f>LOG_ANNUEL!U205</f>
        <v/>
      </c>
      <c r="N68" s="528" t="str">
        <f>LOG_ANNUEL!V205</f>
        <v/>
      </c>
      <c r="O68" s="10"/>
      <c r="P68" s="758" t="s">
        <v>662</v>
      </c>
      <c r="Q68" s="759"/>
      <c r="R68" s="527">
        <f>LOG_ANNUEL!T268</f>
        <v>-94.723184127011137</v>
      </c>
      <c r="S68" s="527">
        <f>LOG_ANNUEL!U268</f>
        <v>0</v>
      </c>
      <c r="T68" s="230">
        <f>LOG_ANNUEL!V268</f>
        <v>-100</v>
      </c>
    </row>
    <row r="69" spans="2:20" ht="15.75" thickBot="1" x14ac:dyDescent="0.3">
      <c r="B69" s="761"/>
      <c r="C69" s="68" t="str">
        <f>HDG_4</f>
        <v>MZS</v>
      </c>
      <c r="D69" s="528" t="str">
        <f>LOG_ANNUEL!T106</f>
        <v/>
      </c>
      <c r="E69" s="528" t="str">
        <f>LOG_ANNUEL!U106</f>
        <v/>
      </c>
      <c r="F69" s="528" t="str">
        <f>LOG_ANNUEL!V106</f>
        <v/>
      </c>
      <c r="G69" s="10"/>
      <c r="H69" s="10"/>
      <c r="I69" s="10"/>
      <c r="J69" s="761"/>
      <c r="K69" s="114" t="str">
        <f>HDG_11</f>
        <v>MCR</v>
      </c>
      <c r="L69" s="528" t="str">
        <f>LOG_ANNUEL!T206</f>
        <v/>
      </c>
      <c r="M69" s="528" t="str">
        <f>LOG_ANNUEL!U206</f>
        <v/>
      </c>
      <c r="N69" s="528" t="str">
        <f>LOG_ANNUEL!V206</f>
        <v/>
      </c>
      <c r="O69" s="10"/>
      <c r="P69" s="731" t="s">
        <v>816</v>
      </c>
      <c r="Q69" s="732"/>
      <c r="R69" s="527">
        <f>LOG_ANNUEL!T269</f>
        <v>-92.491643095911542</v>
      </c>
      <c r="S69" s="527">
        <f>LOG_ANNUEL!U269</f>
        <v>0</v>
      </c>
      <c r="T69" s="230">
        <f>LOG_ANNUEL!V269</f>
        <v>-100</v>
      </c>
    </row>
    <row r="70" spans="2:20" ht="15.75" thickBot="1" x14ac:dyDescent="0.3">
      <c r="B70" s="761"/>
      <c r="C70" s="68" t="str">
        <f>HDG_5</f>
        <v>APR</v>
      </c>
      <c r="D70" s="528" t="str">
        <f>LOG_ANNUEL!T107</f>
        <v/>
      </c>
      <c r="E70" s="528" t="str">
        <f>LOG_ANNUEL!U107</f>
        <v/>
      </c>
      <c r="F70" s="528" t="str">
        <f>LOG_ANNUEL!V107</f>
        <v/>
      </c>
      <c r="G70" s="10"/>
      <c r="H70" s="10"/>
      <c r="I70" s="10"/>
      <c r="J70" s="762"/>
      <c r="K70" s="108" t="s">
        <v>406</v>
      </c>
      <c r="L70" s="528" t="str">
        <f>LOG_ANNUEL!T207</f>
        <v/>
      </c>
      <c r="M70" s="528" t="str">
        <f>LOG_ANNUEL!U207</f>
        <v/>
      </c>
      <c r="N70" s="528" t="str">
        <f>LOG_ANNUEL!V207</f>
        <v/>
      </c>
      <c r="O70" s="10"/>
      <c r="P70" s="10"/>
      <c r="Q70" s="10"/>
      <c r="R70" s="61"/>
      <c r="S70" s="61"/>
      <c r="T70" s="424"/>
    </row>
    <row r="71" spans="2:20" ht="15.75" thickBot="1" x14ac:dyDescent="0.3">
      <c r="B71" s="761"/>
      <c r="C71" s="68" t="str">
        <f>HDG_6</f>
        <v>DCG</v>
      </c>
      <c r="D71" s="528" t="str">
        <f>LOG_ANNUEL!T108</f>
        <v/>
      </c>
      <c r="E71" s="528" t="str">
        <f>LOG_ANNUEL!U108</f>
        <v/>
      </c>
      <c r="F71" s="528" t="str">
        <f>LOG_ANNUEL!V108</f>
        <v/>
      </c>
      <c r="G71" s="10"/>
      <c r="H71" s="10"/>
      <c r="I71" s="10"/>
      <c r="J71" s="363"/>
      <c r="K71" s="366"/>
      <c r="L71" s="442"/>
      <c r="M71" s="442"/>
      <c r="N71" s="442"/>
      <c r="O71" s="10"/>
      <c r="P71" s="10"/>
      <c r="Q71" s="10"/>
      <c r="R71" s="61"/>
      <c r="S71" s="61"/>
      <c r="T71" s="424"/>
    </row>
    <row r="72" spans="2:20" ht="15.75" thickBot="1" x14ac:dyDescent="0.3">
      <c r="B72" s="761"/>
      <c r="C72" s="68" t="str">
        <f>HDG_7</f>
        <v>SFS</v>
      </c>
      <c r="D72" s="528" t="str">
        <f>LOG_ANNUEL!T109</f>
        <v/>
      </c>
      <c r="E72" s="528" t="str">
        <f>LOG_ANNUEL!U109</f>
        <v/>
      </c>
      <c r="F72" s="528" t="str">
        <f>LOG_ANNUEL!V109</f>
        <v/>
      </c>
      <c r="G72" s="10"/>
      <c r="H72" s="10"/>
      <c r="I72" s="10"/>
      <c r="J72" s="737" t="s">
        <v>66</v>
      </c>
      <c r="K72" s="738"/>
      <c r="L72" s="528" t="str">
        <f>LOG_ANNUEL!T209</f>
        <v/>
      </c>
      <c r="M72" s="528" t="str">
        <f>LOG_ANNUEL!U209</f>
        <v/>
      </c>
      <c r="N72" s="528">
        <f>LOG_ANNUEL!V209</f>
        <v>-100</v>
      </c>
      <c r="O72" s="10"/>
      <c r="P72" s="10"/>
      <c r="Q72" s="10"/>
      <c r="R72" s="61"/>
      <c r="S72" s="61"/>
      <c r="T72" s="424"/>
    </row>
    <row r="73" spans="2:20" ht="15.75" thickBot="1" x14ac:dyDescent="0.3">
      <c r="B73" s="761"/>
      <c r="C73" s="68" t="str">
        <f>HDG_8</f>
        <v>AZH</v>
      </c>
      <c r="D73" s="528" t="str">
        <f>LOG_ANNUEL!T110</f>
        <v/>
      </c>
      <c r="E73" s="528" t="str">
        <f>LOG_ANNUEL!U110</f>
        <v/>
      </c>
      <c r="F73" s="528" t="str">
        <f>LOG_ANNUEL!V110</f>
        <v/>
      </c>
      <c r="G73" s="10"/>
      <c r="H73" s="10"/>
      <c r="I73" s="10"/>
      <c r="J73" s="733" t="s">
        <v>56</v>
      </c>
      <c r="K73" s="734"/>
      <c r="L73" s="11"/>
      <c r="M73" s="11"/>
      <c r="N73" s="11"/>
      <c r="O73" s="10"/>
      <c r="P73" s="10"/>
      <c r="Q73" s="10"/>
      <c r="R73" s="61"/>
      <c r="S73" s="61"/>
      <c r="T73" s="424"/>
    </row>
    <row r="74" spans="2:20" x14ac:dyDescent="0.25">
      <c r="B74" s="761"/>
      <c r="C74" s="68" t="str">
        <f>HDG_9</f>
        <v>HLI</v>
      </c>
      <c r="D74" s="528" t="str">
        <f>LOG_ANNUEL!T111</f>
        <v/>
      </c>
      <c r="E74" s="528" t="str">
        <f>LOG_ANNUEL!U111</f>
        <v/>
      </c>
      <c r="F74" s="528" t="str">
        <f>LOG_ANNUEL!V111</f>
        <v/>
      </c>
      <c r="G74" s="10"/>
      <c r="H74" s="10"/>
      <c r="I74" s="10"/>
      <c r="J74" s="760"/>
      <c r="K74" s="110" t="str">
        <f>HDG_1</f>
        <v>AFR</v>
      </c>
      <c r="L74" s="528" t="str">
        <f>LOG_ANNUEL!T211</f>
        <v/>
      </c>
      <c r="M74" s="528" t="str">
        <f>LOG_ANNUEL!U211</f>
        <v/>
      </c>
      <c r="N74" s="528" t="str">
        <f>LOG_ANNUEL!V211</f>
        <v/>
      </c>
      <c r="O74" s="10"/>
      <c r="P74" s="10"/>
      <c r="Q74" s="10"/>
      <c r="R74" s="61"/>
      <c r="S74" s="61"/>
      <c r="T74" s="424"/>
    </row>
    <row r="75" spans="2:20" x14ac:dyDescent="0.25">
      <c r="B75" s="761"/>
      <c r="C75" s="68" t="str">
        <f>HDG_10</f>
        <v>MCM</v>
      </c>
      <c r="D75" s="528" t="str">
        <f>LOG_ANNUEL!T112</f>
        <v/>
      </c>
      <c r="E75" s="528" t="str">
        <f>LOG_ANNUEL!U112</f>
        <v/>
      </c>
      <c r="F75" s="528" t="str">
        <f>LOG_ANNUEL!V112</f>
        <v/>
      </c>
      <c r="G75" s="10"/>
      <c r="H75" s="10"/>
      <c r="I75" s="10"/>
      <c r="J75" s="761"/>
      <c r="K75" s="68" t="str">
        <f>HDG_2</f>
        <v>AVP</v>
      </c>
      <c r="L75" s="528" t="str">
        <f>LOG_ANNUEL!T212</f>
        <v/>
      </c>
      <c r="M75" s="528" t="str">
        <f>LOG_ANNUEL!U212</f>
        <v/>
      </c>
      <c r="N75" s="528" t="str">
        <f>LOG_ANNUEL!V212</f>
        <v/>
      </c>
      <c r="O75" s="10"/>
      <c r="P75" s="10"/>
      <c r="Q75" s="10"/>
      <c r="R75" s="10"/>
      <c r="S75" s="10"/>
      <c r="T75" s="71"/>
    </row>
    <row r="76" spans="2:20" ht="15.75" thickBot="1" x14ac:dyDescent="0.3">
      <c r="B76" s="761"/>
      <c r="C76" s="69" t="str">
        <f>HDG_11</f>
        <v>MCR</v>
      </c>
      <c r="D76" s="528" t="str">
        <f>LOG_ANNUEL!T113</f>
        <v/>
      </c>
      <c r="E76" s="528" t="str">
        <f>LOG_ANNUEL!U113</f>
        <v/>
      </c>
      <c r="F76" s="528" t="str">
        <f>LOG_ANNUEL!V113</f>
        <v/>
      </c>
      <c r="G76" s="10"/>
      <c r="H76" s="10"/>
      <c r="I76" s="10"/>
      <c r="J76" s="761"/>
      <c r="K76" s="68" t="str">
        <f>HDG_3</f>
        <v>ALZ</v>
      </c>
      <c r="L76" s="528" t="str">
        <f>LOG_ANNUEL!T213</f>
        <v/>
      </c>
      <c r="M76" s="528" t="str">
        <f>LOG_ANNUEL!U213</f>
        <v/>
      </c>
      <c r="N76" s="528" t="str">
        <f>LOG_ANNUEL!V213</f>
        <v/>
      </c>
      <c r="O76" s="10"/>
      <c r="P76" s="10"/>
      <c r="Q76" s="10"/>
      <c r="R76" s="10"/>
      <c r="S76" s="10"/>
      <c r="T76" s="71"/>
    </row>
    <row r="77" spans="2:20" ht="15.75" thickBot="1" x14ac:dyDescent="0.3">
      <c r="B77" s="762"/>
      <c r="C77" s="108" t="s">
        <v>406</v>
      </c>
      <c r="D77" s="528" t="str">
        <f>LOG_ANNUEL!T114</f>
        <v/>
      </c>
      <c r="E77" s="528" t="str">
        <f>LOG_ANNUEL!U114</f>
        <v/>
      </c>
      <c r="F77" s="528" t="str">
        <f>LOG_ANNUEL!V114</f>
        <v/>
      </c>
      <c r="G77" s="10"/>
      <c r="H77" s="10"/>
      <c r="I77" s="10"/>
      <c r="J77" s="761"/>
      <c r="K77" s="68" t="str">
        <f>HDG_4</f>
        <v>MZS</v>
      </c>
      <c r="L77" s="528" t="str">
        <f>LOG_ANNUEL!T214</f>
        <v/>
      </c>
      <c r="M77" s="528" t="str">
        <f>LOG_ANNUEL!U214</f>
        <v/>
      </c>
      <c r="N77" s="528" t="str">
        <f>LOG_ANNUEL!V214</f>
        <v/>
      </c>
      <c r="O77" s="10"/>
      <c r="P77" s="10"/>
      <c r="Q77" s="10"/>
      <c r="R77" s="10"/>
      <c r="S77" s="10"/>
      <c r="T77" s="71"/>
    </row>
    <row r="78" spans="2:20" ht="15.75" thickBot="1" x14ac:dyDescent="0.3">
      <c r="B78" s="176"/>
      <c r="C78" s="177"/>
      <c r="D78" s="11"/>
      <c r="E78" s="11"/>
      <c r="F78" s="11"/>
      <c r="G78" s="10"/>
      <c r="H78" s="10"/>
      <c r="I78" s="10"/>
      <c r="J78" s="761"/>
      <c r="K78" s="68" t="str">
        <f>HDG_5</f>
        <v>APR</v>
      </c>
      <c r="L78" s="528" t="str">
        <f>LOG_ANNUEL!T215</f>
        <v/>
      </c>
      <c r="M78" s="528" t="str">
        <f>LOG_ANNUEL!U215</f>
        <v/>
      </c>
      <c r="N78" s="528" t="str">
        <f>LOG_ANNUEL!V215</f>
        <v/>
      </c>
      <c r="O78" s="10"/>
      <c r="P78" s="10"/>
      <c r="Q78" s="10"/>
      <c r="R78" s="10"/>
      <c r="S78" s="10"/>
      <c r="T78" s="71"/>
    </row>
    <row r="79" spans="2:20" ht="15.75" thickBot="1" x14ac:dyDescent="0.3">
      <c r="B79" s="731" t="s">
        <v>55</v>
      </c>
      <c r="C79" s="732"/>
      <c r="D79" s="11"/>
      <c r="E79" s="11"/>
      <c r="F79" s="11"/>
      <c r="G79" s="10"/>
      <c r="H79" s="10"/>
      <c r="I79" s="10"/>
      <c r="J79" s="761"/>
      <c r="K79" s="68" t="str">
        <f>HDG_6</f>
        <v>DCG</v>
      </c>
      <c r="L79" s="528" t="str">
        <f>LOG_ANNUEL!T216</f>
        <v/>
      </c>
      <c r="M79" s="528" t="str">
        <f>LOG_ANNUEL!U216</f>
        <v/>
      </c>
      <c r="N79" s="528" t="str">
        <f>LOG_ANNUEL!V216</f>
        <v/>
      </c>
      <c r="O79" s="10"/>
      <c r="P79" s="10"/>
      <c r="Q79" s="10"/>
      <c r="R79" s="10"/>
      <c r="S79" s="10"/>
      <c r="T79" s="71"/>
    </row>
    <row r="80" spans="2:20" ht="15.75" thickBot="1" x14ac:dyDescent="0.3">
      <c r="B80" s="727" t="s">
        <v>64</v>
      </c>
      <c r="C80" s="728"/>
      <c r="D80" s="528" t="str">
        <f>LOG_ANNUEL!T117</f>
        <v/>
      </c>
      <c r="E80" s="528" t="str">
        <f>LOG_ANNUEL!U117</f>
        <v/>
      </c>
      <c r="F80" s="528" t="str">
        <f>LOG_ANNUEL!V117</f>
        <v/>
      </c>
      <c r="G80" s="10"/>
      <c r="H80" s="10"/>
      <c r="I80" s="10"/>
      <c r="J80" s="761"/>
      <c r="K80" s="68" t="str">
        <f>HDG_7</f>
        <v>SFS</v>
      </c>
      <c r="L80" s="528" t="str">
        <f>LOG_ANNUEL!T217</f>
        <v/>
      </c>
      <c r="M80" s="528" t="str">
        <f>LOG_ANNUEL!U217</f>
        <v/>
      </c>
      <c r="N80" s="528" t="str">
        <f>LOG_ANNUEL!V217</f>
        <v/>
      </c>
      <c r="O80" s="10"/>
      <c r="P80" s="10"/>
      <c r="Q80" s="10"/>
      <c r="R80" s="10"/>
      <c r="S80" s="10"/>
      <c r="T80" s="71"/>
    </row>
    <row r="81" spans="2:20" ht="15.75" thickBot="1" x14ac:dyDescent="0.3">
      <c r="B81" s="733" t="s">
        <v>56</v>
      </c>
      <c r="C81" s="734"/>
      <c r="D81" s="621"/>
      <c r="E81" s="621"/>
      <c r="F81" s="621"/>
      <c r="G81" s="10"/>
      <c r="H81" s="10"/>
      <c r="I81" s="10"/>
      <c r="J81" s="761"/>
      <c r="K81" s="68" t="str">
        <f>HDG_8</f>
        <v>AZH</v>
      </c>
      <c r="L81" s="528" t="str">
        <f>LOG_ANNUEL!T218</f>
        <v/>
      </c>
      <c r="M81" s="528" t="str">
        <f>LOG_ANNUEL!U218</f>
        <v/>
      </c>
      <c r="N81" s="528" t="str">
        <f>LOG_ANNUEL!V218</f>
        <v/>
      </c>
      <c r="O81" s="10"/>
      <c r="P81" s="10"/>
      <c r="Q81" s="10"/>
      <c r="R81" s="10"/>
      <c r="S81" s="10"/>
      <c r="T81" s="71"/>
    </row>
    <row r="82" spans="2:20" x14ac:dyDescent="0.25">
      <c r="B82" s="760"/>
      <c r="C82" s="110" t="str">
        <f>HDG_1</f>
        <v>AFR</v>
      </c>
      <c r="D82" s="528" t="str">
        <f>LOG_ANNUEL!T119</f>
        <v/>
      </c>
      <c r="E82" s="528" t="str">
        <f>LOG_ANNUEL!U119</f>
        <v/>
      </c>
      <c r="F82" s="528" t="str">
        <f>LOG_ANNUEL!V119</f>
        <v/>
      </c>
      <c r="G82" s="10"/>
      <c r="H82" s="10"/>
      <c r="I82" s="10"/>
      <c r="J82" s="761"/>
      <c r="K82" s="68" t="str">
        <f>HDG_9</f>
        <v>HLI</v>
      </c>
      <c r="L82" s="528" t="str">
        <f>LOG_ANNUEL!T219</f>
        <v/>
      </c>
      <c r="M82" s="528" t="str">
        <f>LOG_ANNUEL!U219</f>
        <v/>
      </c>
      <c r="N82" s="528" t="str">
        <f>LOG_ANNUEL!V219</f>
        <v/>
      </c>
      <c r="O82" s="10"/>
      <c r="P82" s="10"/>
      <c r="Q82" s="10"/>
      <c r="R82" s="10"/>
      <c r="S82" s="10"/>
      <c r="T82" s="71"/>
    </row>
    <row r="83" spans="2:20" x14ac:dyDescent="0.25">
      <c r="B83" s="761"/>
      <c r="C83" s="68" t="str">
        <f>HDG_2</f>
        <v>AVP</v>
      </c>
      <c r="D83" s="528" t="str">
        <f>LOG_ANNUEL!T120</f>
        <v/>
      </c>
      <c r="E83" s="528" t="str">
        <f>LOG_ANNUEL!U120</f>
        <v/>
      </c>
      <c r="F83" s="528" t="str">
        <f>LOG_ANNUEL!V120</f>
        <v/>
      </c>
      <c r="G83" s="10"/>
      <c r="H83" s="10"/>
      <c r="I83" s="10"/>
      <c r="J83" s="761"/>
      <c r="K83" s="68" t="str">
        <f>HDG_10</f>
        <v>MCM</v>
      </c>
      <c r="L83" s="528" t="str">
        <f>LOG_ANNUEL!T220</f>
        <v/>
      </c>
      <c r="M83" s="528" t="str">
        <f>LOG_ANNUEL!U220</f>
        <v/>
      </c>
      <c r="N83" s="528" t="str">
        <f>LOG_ANNUEL!V220</f>
        <v/>
      </c>
      <c r="O83" s="10"/>
      <c r="P83" s="10"/>
      <c r="Q83" s="10"/>
      <c r="R83" s="10"/>
      <c r="S83" s="10"/>
      <c r="T83" s="71"/>
    </row>
    <row r="84" spans="2:20" ht="15.75" thickBot="1" x14ac:dyDescent="0.3">
      <c r="B84" s="761"/>
      <c r="C84" s="68" t="str">
        <f>HDG_3</f>
        <v>ALZ</v>
      </c>
      <c r="D84" s="528" t="str">
        <f>LOG_ANNUEL!T121</f>
        <v/>
      </c>
      <c r="E84" s="528" t="str">
        <f>LOG_ANNUEL!U121</f>
        <v/>
      </c>
      <c r="F84" s="528" t="str">
        <f>LOG_ANNUEL!V121</f>
        <v/>
      </c>
      <c r="G84" s="10"/>
      <c r="H84" s="10"/>
      <c r="I84" s="10"/>
      <c r="J84" s="761"/>
      <c r="K84" s="69" t="str">
        <f>HDG_11</f>
        <v>MCR</v>
      </c>
      <c r="L84" s="528" t="str">
        <f>LOG_ANNUEL!T221</f>
        <v/>
      </c>
      <c r="M84" s="528" t="str">
        <f>LOG_ANNUEL!U221</f>
        <v/>
      </c>
      <c r="N84" s="528" t="str">
        <f>LOG_ANNUEL!V221</f>
        <v/>
      </c>
      <c r="O84" s="10"/>
      <c r="P84" s="10"/>
      <c r="Q84" s="10"/>
      <c r="R84" s="10"/>
      <c r="S84" s="10"/>
      <c r="T84" s="71"/>
    </row>
    <row r="85" spans="2:20" ht="15.75" thickBot="1" x14ac:dyDescent="0.3">
      <c r="B85" s="761"/>
      <c r="C85" s="68" t="str">
        <f>HDG_4</f>
        <v>MZS</v>
      </c>
      <c r="D85" s="528" t="str">
        <f>LOG_ANNUEL!T122</f>
        <v/>
      </c>
      <c r="E85" s="528" t="str">
        <f>LOG_ANNUEL!U122</f>
        <v/>
      </c>
      <c r="F85" s="528" t="str">
        <f>LOG_ANNUEL!V122</f>
        <v/>
      </c>
      <c r="G85" s="10"/>
      <c r="H85" s="10"/>
      <c r="I85" s="10"/>
      <c r="J85" s="762"/>
      <c r="K85" s="108" t="s">
        <v>406</v>
      </c>
      <c r="L85" s="528" t="str">
        <f>LOG_ANNUEL!T222</f>
        <v/>
      </c>
      <c r="M85" s="528" t="str">
        <f>LOG_ANNUEL!U222</f>
        <v/>
      </c>
      <c r="N85" s="528" t="str">
        <f>LOG_ANNUEL!V222</f>
        <v/>
      </c>
      <c r="O85" s="10"/>
      <c r="P85" s="10"/>
      <c r="Q85" s="10"/>
      <c r="R85" s="10"/>
      <c r="S85" s="10"/>
      <c r="T85" s="71"/>
    </row>
    <row r="86" spans="2:20" ht="15.75" thickBot="1" x14ac:dyDescent="0.3">
      <c r="B86" s="761"/>
      <c r="C86" s="68" t="str">
        <f>HDG_5</f>
        <v>APR</v>
      </c>
      <c r="D86" s="528" t="str">
        <f>LOG_ANNUEL!T123</f>
        <v/>
      </c>
      <c r="E86" s="528" t="str">
        <f>LOG_ANNUEL!U123</f>
        <v/>
      </c>
      <c r="F86" s="528" t="str">
        <f>LOG_ANNUEL!V123</f>
        <v/>
      </c>
      <c r="G86" s="10"/>
      <c r="H86" s="10"/>
      <c r="I86" s="10"/>
      <c r="J86" s="10"/>
      <c r="K86" s="10"/>
      <c r="L86" s="10"/>
      <c r="M86" s="10"/>
      <c r="N86" s="10"/>
      <c r="O86" s="10"/>
      <c r="P86" s="10"/>
      <c r="Q86" s="10"/>
      <c r="R86" s="10"/>
      <c r="S86" s="10"/>
      <c r="T86" s="71"/>
    </row>
    <row r="87" spans="2:20" ht="15.75" thickBot="1" x14ac:dyDescent="0.3">
      <c r="B87" s="761"/>
      <c r="C87" s="68" t="str">
        <f>HDG_6</f>
        <v>DCG</v>
      </c>
      <c r="D87" s="528" t="str">
        <f>LOG_ANNUEL!T124</f>
        <v/>
      </c>
      <c r="E87" s="528" t="str">
        <f>LOG_ANNUEL!U124</f>
        <v/>
      </c>
      <c r="F87" s="528" t="str">
        <f>LOG_ANNUEL!V124</f>
        <v/>
      </c>
      <c r="G87" s="10"/>
      <c r="H87" s="10"/>
      <c r="I87" s="10"/>
      <c r="J87" s="737" t="s">
        <v>179</v>
      </c>
      <c r="K87" s="738"/>
      <c r="L87" s="528" t="str">
        <f>LOG_ANNUEL!T179</f>
        <v/>
      </c>
      <c r="M87" s="528" t="str">
        <f>LOG_ANNUEL!U179</f>
        <v/>
      </c>
      <c r="N87" s="528">
        <f>LOG_ANNUEL!V179</f>
        <v>-100</v>
      </c>
      <c r="O87" s="10"/>
      <c r="P87" s="10"/>
      <c r="Q87" s="10"/>
      <c r="R87" s="10"/>
      <c r="S87" s="10"/>
      <c r="T87" s="71"/>
    </row>
    <row r="88" spans="2:20" ht="15.75" thickBot="1" x14ac:dyDescent="0.3">
      <c r="B88" s="761"/>
      <c r="C88" s="68" t="str">
        <f>HDG_7</f>
        <v>SFS</v>
      </c>
      <c r="D88" s="528" t="str">
        <f>LOG_ANNUEL!T125</f>
        <v/>
      </c>
      <c r="E88" s="528" t="str">
        <f>LOG_ANNUEL!U125</f>
        <v/>
      </c>
      <c r="F88" s="528" t="str">
        <f>LOG_ANNUEL!V125</f>
        <v/>
      </c>
      <c r="G88" s="10"/>
      <c r="H88" s="10"/>
      <c r="I88" s="10"/>
      <c r="J88" s="733" t="s">
        <v>56</v>
      </c>
      <c r="K88" s="734"/>
      <c r="L88" s="11"/>
      <c r="M88" s="11"/>
      <c r="N88" s="11"/>
      <c r="O88" s="10"/>
      <c r="P88" s="10"/>
      <c r="Q88" s="10"/>
      <c r="R88" s="10"/>
      <c r="S88" s="10"/>
      <c r="T88" s="71"/>
    </row>
    <row r="89" spans="2:20" x14ac:dyDescent="0.25">
      <c r="B89" s="761"/>
      <c r="C89" s="68" t="str">
        <f>HDG_8</f>
        <v>AZH</v>
      </c>
      <c r="D89" s="528" t="str">
        <f>LOG_ANNUEL!T126</f>
        <v/>
      </c>
      <c r="E89" s="528" t="str">
        <f>LOG_ANNUEL!U126</f>
        <v/>
      </c>
      <c r="F89" s="528" t="str">
        <f>LOG_ANNUEL!V126</f>
        <v/>
      </c>
      <c r="G89" s="10"/>
      <c r="H89" s="10"/>
      <c r="I89" s="10"/>
      <c r="J89" s="760"/>
      <c r="K89" s="110" t="str">
        <f>HDG_1</f>
        <v>AFR</v>
      </c>
      <c r="L89" s="528" t="str">
        <f>LOG_ANNUEL!T181</f>
        <v/>
      </c>
      <c r="M89" s="528" t="str">
        <f>LOG_ANNUEL!U181</f>
        <v/>
      </c>
      <c r="N89" s="528" t="str">
        <f>LOG_ANNUEL!V181</f>
        <v/>
      </c>
      <c r="O89" s="10"/>
      <c r="P89" s="10"/>
      <c r="Q89" s="10"/>
      <c r="R89" s="10"/>
      <c r="S89" s="10"/>
      <c r="T89" s="71"/>
    </row>
    <row r="90" spans="2:20" x14ac:dyDescent="0.25">
      <c r="B90" s="761"/>
      <c r="C90" s="68" t="str">
        <f>HDG_9</f>
        <v>HLI</v>
      </c>
      <c r="D90" s="528" t="str">
        <f>LOG_ANNUEL!T127</f>
        <v/>
      </c>
      <c r="E90" s="528" t="str">
        <f>LOG_ANNUEL!U127</f>
        <v/>
      </c>
      <c r="F90" s="528" t="str">
        <f>LOG_ANNUEL!V127</f>
        <v/>
      </c>
      <c r="G90" s="10"/>
      <c r="H90" s="10"/>
      <c r="I90" s="10"/>
      <c r="J90" s="761"/>
      <c r="K90" s="68" t="str">
        <f>HDG_2</f>
        <v>AVP</v>
      </c>
      <c r="L90" s="528" t="str">
        <f>LOG_ANNUEL!T182</f>
        <v/>
      </c>
      <c r="M90" s="528" t="str">
        <f>LOG_ANNUEL!U182</f>
        <v/>
      </c>
      <c r="N90" s="528" t="str">
        <f>LOG_ANNUEL!V182</f>
        <v/>
      </c>
      <c r="O90" s="10"/>
      <c r="P90" s="10"/>
      <c r="Q90" s="10"/>
      <c r="R90" s="10"/>
      <c r="S90" s="10"/>
      <c r="T90" s="71"/>
    </row>
    <row r="91" spans="2:20" x14ac:dyDescent="0.25">
      <c r="B91" s="761"/>
      <c r="C91" s="68" t="str">
        <f>HDG_10</f>
        <v>MCM</v>
      </c>
      <c r="D91" s="528" t="str">
        <f>LOG_ANNUEL!T128</f>
        <v/>
      </c>
      <c r="E91" s="528" t="str">
        <f>LOG_ANNUEL!U128</f>
        <v/>
      </c>
      <c r="F91" s="528" t="str">
        <f>LOG_ANNUEL!V128</f>
        <v/>
      </c>
      <c r="G91" s="10"/>
      <c r="H91" s="10"/>
      <c r="I91" s="10"/>
      <c r="J91" s="761"/>
      <c r="K91" s="68" t="str">
        <f>HDG_3</f>
        <v>ALZ</v>
      </c>
      <c r="L91" s="528" t="str">
        <f>LOG_ANNUEL!T183</f>
        <v/>
      </c>
      <c r="M91" s="528" t="str">
        <f>LOG_ANNUEL!U183</f>
        <v/>
      </c>
      <c r="N91" s="528" t="str">
        <f>LOG_ANNUEL!V183</f>
        <v/>
      </c>
      <c r="O91" s="10"/>
      <c r="P91" s="10"/>
      <c r="Q91" s="10"/>
      <c r="R91" s="10"/>
      <c r="S91" s="10"/>
      <c r="T91" s="71"/>
    </row>
    <row r="92" spans="2:20" ht="15.75" thickBot="1" x14ac:dyDescent="0.3">
      <c r="B92" s="761"/>
      <c r="C92" s="69" t="str">
        <f>HDG_11</f>
        <v>MCR</v>
      </c>
      <c r="D92" s="528" t="str">
        <f>LOG_ANNUEL!T129</f>
        <v/>
      </c>
      <c r="E92" s="528" t="str">
        <f>LOG_ANNUEL!U129</f>
        <v/>
      </c>
      <c r="F92" s="528" t="str">
        <f>LOG_ANNUEL!V129</f>
        <v/>
      </c>
      <c r="G92" s="10"/>
      <c r="H92" s="10"/>
      <c r="I92" s="10"/>
      <c r="J92" s="761"/>
      <c r="K92" s="68" t="str">
        <f>HDG_4</f>
        <v>MZS</v>
      </c>
      <c r="L92" s="528" t="str">
        <f>LOG_ANNUEL!T184</f>
        <v/>
      </c>
      <c r="M92" s="528" t="str">
        <f>LOG_ANNUEL!U184</f>
        <v/>
      </c>
      <c r="N92" s="528" t="str">
        <f>LOG_ANNUEL!V184</f>
        <v/>
      </c>
      <c r="O92" s="10"/>
      <c r="P92" s="10"/>
      <c r="Q92" s="10"/>
      <c r="R92" s="10"/>
      <c r="S92" s="10"/>
      <c r="T92" s="71"/>
    </row>
    <row r="93" spans="2:20" ht="15.75" thickBot="1" x14ac:dyDescent="0.3">
      <c r="B93" s="762"/>
      <c r="C93" s="108" t="s">
        <v>406</v>
      </c>
      <c r="D93" s="528" t="str">
        <f>LOG_ANNUEL!T130</f>
        <v/>
      </c>
      <c r="E93" s="528" t="str">
        <f>LOG_ANNUEL!U130</f>
        <v/>
      </c>
      <c r="F93" s="528" t="str">
        <f>LOG_ANNUEL!V130</f>
        <v/>
      </c>
      <c r="G93" s="10"/>
      <c r="H93" s="10"/>
      <c r="I93" s="10"/>
      <c r="J93" s="761"/>
      <c r="K93" s="68" t="str">
        <f>HDG_5</f>
        <v>APR</v>
      </c>
      <c r="L93" s="528" t="str">
        <f>LOG_ANNUEL!T185</f>
        <v/>
      </c>
      <c r="M93" s="528" t="str">
        <f>LOG_ANNUEL!U185</f>
        <v/>
      </c>
      <c r="N93" s="528" t="str">
        <f>LOG_ANNUEL!V185</f>
        <v/>
      </c>
      <c r="O93" s="10"/>
      <c r="P93" s="10"/>
      <c r="Q93" s="10"/>
      <c r="R93" s="10"/>
      <c r="S93" s="10"/>
      <c r="T93" s="71"/>
    </row>
    <row r="94" spans="2:20" ht="15.75" thickBot="1" x14ac:dyDescent="0.3">
      <c r="B94" s="176"/>
      <c r="C94" s="177"/>
      <c r="D94" s="11"/>
      <c r="E94" s="11"/>
      <c r="F94" s="11"/>
      <c r="G94" s="10"/>
      <c r="H94" s="10"/>
      <c r="I94" s="10"/>
      <c r="J94" s="761"/>
      <c r="K94" s="68" t="str">
        <f>HDG_6</f>
        <v>DCG</v>
      </c>
      <c r="L94" s="528" t="str">
        <f>LOG_ANNUEL!T186</f>
        <v/>
      </c>
      <c r="M94" s="528" t="str">
        <f>LOG_ANNUEL!U186</f>
        <v/>
      </c>
      <c r="N94" s="528" t="str">
        <f>LOG_ANNUEL!V186</f>
        <v/>
      </c>
      <c r="O94" s="10"/>
      <c r="P94" s="10"/>
      <c r="Q94" s="10"/>
      <c r="R94" s="10"/>
      <c r="S94" s="10"/>
      <c r="T94" s="71"/>
    </row>
    <row r="95" spans="2:20" ht="15.75" thickBot="1" x14ac:dyDescent="0.3">
      <c r="B95" s="731" t="s">
        <v>55</v>
      </c>
      <c r="C95" s="732"/>
      <c r="D95" s="11"/>
      <c r="E95" s="11"/>
      <c r="F95" s="11"/>
      <c r="G95" s="10"/>
      <c r="H95" s="10"/>
      <c r="I95" s="10"/>
      <c r="J95" s="761"/>
      <c r="K95" s="68" t="str">
        <f>HDG_7</f>
        <v>SFS</v>
      </c>
      <c r="L95" s="528" t="str">
        <f>LOG_ANNUEL!T187</f>
        <v/>
      </c>
      <c r="M95" s="528" t="str">
        <f>LOG_ANNUEL!U187</f>
        <v/>
      </c>
      <c r="N95" s="528" t="str">
        <f>LOG_ANNUEL!V187</f>
        <v/>
      </c>
      <c r="O95" s="10"/>
      <c r="P95" s="10"/>
      <c r="Q95" s="10"/>
      <c r="R95" s="10"/>
      <c r="S95" s="10"/>
      <c r="T95" s="71"/>
    </row>
    <row r="96" spans="2:20" ht="15.75" thickBot="1" x14ac:dyDescent="0.3">
      <c r="B96" s="763" t="s">
        <v>65</v>
      </c>
      <c r="C96" s="764"/>
      <c r="D96" s="528" t="str">
        <f>LOG_ANNUEL!T133</f>
        <v/>
      </c>
      <c r="E96" s="528" t="str">
        <f>LOG_ANNUEL!U133</f>
        <v/>
      </c>
      <c r="F96" s="528" t="str">
        <f>LOG_ANNUEL!V133</f>
        <v/>
      </c>
      <c r="G96" s="10"/>
      <c r="H96" s="10"/>
      <c r="I96" s="10"/>
      <c r="J96" s="761"/>
      <c r="K96" s="68" t="str">
        <f>HDG_8</f>
        <v>AZH</v>
      </c>
      <c r="L96" s="528" t="str">
        <f>LOG_ANNUEL!T188</f>
        <v/>
      </c>
      <c r="M96" s="528" t="str">
        <f>LOG_ANNUEL!U188</f>
        <v/>
      </c>
      <c r="N96" s="528" t="str">
        <f>LOG_ANNUEL!V188</f>
        <v/>
      </c>
      <c r="O96" s="10"/>
      <c r="P96" s="10"/>
      <c r="Q96" s="10"/>
      <c r="R96" s="10"/>
      <c r="S96" s="10"/>
      <c r="T96" s="71"/>
    </row>
    <row r="97" spans="2:20" ht="15.75" thickBot="1" x14ac:dyDescent="0.3">
      <c r="B97" s="733" t="s">
        <v>56</v>
      </c>
      <c r="C97" s="734"/>
      <c r="D97" s="621"/>
      <c r="E97" s="621"/>
      <c r="F97" s="621"/>
      <c r="G97" s="10"/>
      <c r="H97" s="10"/>
      <c r="I97" s="10"/>
      <c r="J97" s="761"/>
      <c r="K97" s="68" t="str">
        <f>HDG_9</f>
        <v>HLI</v>
      </c>
      <c r="L97" s="528" t="str">
        <f>LOG_ANNUEL!T189</f>
        <v/>
      </c>
      <c r="M97" s="528" t="str">
        <f>LOG_ANNUEL!U189</f>
        <v/>
      </c>
      <c r="N97" s="528" t="str">
        <f>LOG_ANNUEL!V189</f>
        <v/>
      </c>
      <c r="O97" s="10"/>
      <c r="P97" s="10"/>
      <c r="Q97" s="10"/>
      <c r="R97" s="10"/>
      <c r="S97" s="10"/>
      <c r="T97" s="71"/>
    </row>
    <row r="98" spans="2:20" x14ac:dyDescent="0.25">
      <c r="B98" s="760"/>
      <c r="C98" s="110" t="str">
        <f>HDG_1</f>
        <v>AFR</v>
      </c>
      <c r="D98" s="528" t="str">
        <f>LOG_ANNUEL!T135</f>
        <v/>
      </c>
      <c r="E98" s="528" t="str">
        <f>LOG_ANNUEL!U135</f>
        <v/>
      </c>
      <c r="F98" s="528" t="str">
        <f>LOG_ANNUEL!V135</f>
        <v/>
      </c>
      <c r="G98" s="10"/>
      <c r="H98" s="10"/>
      <c r="I98" s="10"/>
      <c r="J98" s="761"/>
      <c r="K98" s="68" t="str">
        <f>HDG_10</f>
        <v>MCM</v>
      </c>
      <c r="L98" s="528" t="str">
        <f>LOG_ANNUEL!T190</f>
        <v/>
      </c>
      <c r="M98" s="528" t="str">
        <f>LOG_ANNUEL!U190</f>
        <v/>
      </c>
      <c r="N98" s="528" t="str">
        <f>LOG_ANNUEL!V190</f>
        <v/>
      </c>
      <c r="O98" s="10"/>
      <c r="P98" s="10"/>
      <c r="Q98" s="10"/>
      <c r="R98" s="10"/>
      <c r="S98" s="10"/>
      <c r="T98" s="71"/>
    </row>
    <row r="99" spans="2:20" ht="15.75" thickBot="1" x14ac:dyDescent="0.3">
      <c r="B99" s="761"/>
      <c r="C99" s="68" t="str">
        <f>HDG_2</f>
        <v>AVP</v>
      </c>
      <c r="D99" s="528" t="str">
        <f>LOG_ANNUEL!T136</f>
        <v/>
      </c>
      <c r="E99" s="528" t="str">
        <f>LOG_ANNUEL!U136</f>
        <v/>
      </c>
      <c r="F99" s="528" t="str">
        <f>LOG_ANNUEL!V136</f>
        <v/>
      </c>
      <c r="G99" s="10"/>
      <c r="H99" s="10"/>
      <c r="I99" s="10"/>
      <c r="J99" s="761"/>
      <c r="K99" s="69" t="str">
        <f>HDG_11</f>
        <v>MCR</v>
      </c>
      <c r="L99" s="528" t="str">
        <f>LOG_ANNUEL!T191</f>
        <v/>
      </c>
      <c r="M99" s="528" t="str">
        <f>LOG_ANNUEL!U191</f>
        <v/>
      </c>
      <c r="N99" s="528" t="str">
        <f>LOG_ANNUEL!V191</f>
        <v/>
      </c>
      <c r="O99" s="10"/>
      <c r="P99" s="10"/>
      <c r="Q99" s="10"/>
      <c r="R99" s="10"/>
      <c r="S99" s="10"/>
      <c r="T99" s="71"/>
    </row>
    <row r="100" spans="2:20" ht="15.75" thickBot="1" x14ac:dyDescent="0.3">
      <c r="B100" s="761"/>
      <c r="C100" s="68" t="str">
        <f>HDG_3</f>
        <v>ALZ</v>
      </c>
      <c r="D100" s="528" t="str">
        <f>LOG_ANNUEL!T137</f>
        <v/>
      </c>
      <c r="E100" s="528" t="str">
        <f>LOG_ANNUEL!U137</f>
        <v/>
      </c>
      <c r="F100" s="528" t="str">
        <f>LOG_ANNUEL!V137</f>
        <v/>
      </c>
      <c r="G100" s="10"/>
      <c r="H100" s="10"/>
      <c r="I100" s="10"/>
      <c r="J100" s="762"/>
      <c r="K100" s="108" t="s">
        <v>406</v>
      </c>
      <c r="L100" s="528" t="str">
        <f>LOG_ANNUEL!T192</f>
        <v/>
      </c>
      <c r="M100" s="528" t="str">
        <f>LOG_ANNUEL!U192</f>
        <v/>
      </c>
      <c r="N100" s="528" t="str">
        <f>LOG_ANNUEL!V192</f>
        <v/>
      </c>
      <c r="O100" s="10"/>
      <c r="P100" s="10"/>
      <c r="Q100" s="10"/>
      <c r="R100" s="10"/>
      <c r="S100" s="10"/>
      <c r="T100" s="71"/>
    </row>
    <row r="101" spans="2:20" x14ac:dyDescent="0.25">
      <c r="B101" s="761"/>
      <c r="C101" s="68" t="str">
        <f>HDG_4</f>
        <v>MZS</v>
      </c>
      <c r="D101" s="528" t="str">
        <f>LOG_ANNUEL!T138</f>
        <v/>
      </c>
      <c r="E101" s="528" t="str">
        <f>LOG_ANNUEL!U138</f>
        <v/>
      </c>
      <c r="F101" s="528" t="str">
        <f>LOG_ANNUEL!V138</f>
        <v/>
      </c>
      <c r="G101" s="10"/>
      <c r="H101" s="10"/>
      <c r="I101" s="10"/>
      <c r="J101" s="10"/>
      <c r="K101" s="10"/>
      <c r="L101" s="10"/>
      <c r="M101" s="10"/>
      <c r="N101" s="10"/>
      <c r="O101" s="10"/>
      <c r="P101" s="10"/>
      <c r="Q101" s="10"/>
      <c r="R101" s="10"/>
      <c r="S101" s="10"/>
      <c r="T101" s="71"/>
    </row>
    <row r="102" spans="2:20" x14ac:dyDescent="0.25">
      <c r="B102" s="761"/>
      <c r="C102" s="68" t="str">
        <f>HDG_5</f>
        <v>APR</v>
      </c>
      <c r="D102" s="528" t="str">
        <f>LOG_ANNUEL!T139</f>
        <v/>
      </c>
      <c r="E102" s="528" t="str">
        <f>LOG_ANNUEL!U139</f>
        <v/>
      </c>
      <c r="F102" s="528" t="str">
        <f>LOG_ANNUEL!V139</f>
        <v/>
      </c>
      <c r="G102" s="10"/>
      <c r="H102" s="10"/>
      <c r="I102" s="10"/>
      <c r="J102" s="10"/>
      <c r="K102" s="10"/>
      <c r="L102" s="10"/>
      <c r="M102" s="10"/>
      <c r="N102" s="10"/>
      <c r="O102" s="10"/>
      <c r="P102" s="10"/>
      <c r="Q102" s="10"/>
      <c r="R102" s="10"/>
      <c r="S102" s="10"/>
      <c r="T102" s="71"/>
    </row>
    <row r="103" spans="2:20" x14ac:dyDescent="0.25">
      <c r="B103" s="761"/>
      <c r="C103" s="68" t="str">
        <f>HDG_6</f>
        <v>DCG</v>
      </c>
      <c r="D103" s="528" t="str">
        <f>LOG_ANNUEL!T140</f>
        <v/>
      </c>
      <c r="E103" s="528" t="str">
        <f>LOG_ANNUEL!U140</f>
        <v/>
      </c>
      <c r="F103" s="528" t="str">
        <f>LOG_ANNUEL!V140</f>
        <v/>
      </c>
      <c r="G103" s="10"/>
      <c r="H103" s="10"/>
      <c r="I103" s="10"/>
      <c r="J103" s="10"/>
      <c r="K103" s="10"/>
      <c r="L103" s="10"/>
      <c r="M103" s="10"/>
      <c r="N103" s="10"/>
      <c r="O103" s="10"/>
      <c r="P103" s="10"/>
      <c r="Q103" s="10"/>
      <c r="R103" s="10"/>
      <c r="S103" s="10"/>
      <c r="T103" s="71"/>
    </row>
    <row r="104" spans="2:20" x14ac:dyDescent="0.25">
      <c r="B104" s="761"/>
      <c r="C104" s="68" t="str">
        <f>HDG_7</f>
        <v>SFS</v>
      </c>
      <c r="D104" s="528" t="str">
        <f>LOG_ANNUEL!T141</f>
        <v/>
      </c>
      <c r="E104" s="528" t="str">
        <f>LOG_ANNUEL!U141</f>
        <v/>
      </c>
      <c r="F104" s="528" t="str">
        <f>LOG_ANNUEL!V141</f>
        <v/>
      </c>
      <c r="G104" s="10"/>
      <c r="H104" s="10"/>
      <c r="I104" s="10"/>
      <c r="J104" s="10"/>
      <c r="K104" s="10"/>
      <c r="L104" s="10"/>
      <c r="M104" s="10"/>
      <c r="N104" s="10"/>
      <c r="O104" s="10"/>
      <c r="P104" s="10"/>
      <c r="Q104" s="10"/>
      <c r="R104" s="10"/>
      <c r="S104" s="10"/>
      <c r="T104" s="71"/>
    </row>
    <row r="105" spans="2:20" x14ac:dyDescent="0.25">
      <c r="B105" s="761"/>
      <c r="C105" s="68" t="str">
        <f>HDG_8</f>
        <v>AZH</v>
      </c>
      <c r="D105" s="528" t="str">
        <f>LOG_ANNUEL!T142</f>
        <v/>
      </c>
      <c r="E105" s="528" t="str">
        <f>LOG_ANNUEL!U142</f>
        <v/>
      </c>
      <c r="F105" s="528" t="str">
        <f>LOG_ANNUEL!V142</f>
        <v/>
      </c>
      <c r="G105" s="10"/>
      <c r="H105" s="10"/>
      <c r="I105" s="10"/>
      <c r="J105" s="10"/>
      <c r="K105" s="10"/>
      <c r="L105" s="10"/>
      <c r="M105" s="10"/>
      <c r="N105" s="10"/>
      <c r="O105" s="10"/>
      <c r="P105" s="10"/>
      <c r="Q105" s="10"/>
      <c r="R105" s="10"/>
      <c r="S105" s="10"/>
      <c r="T105" s="71"/>
    </row>
    <row r="106" spans="2:20" x14ac:dyDescent="0.25">
      <c r="B106" s="761"/>
      <c r="C106" s="68" t="str">
        <f>HDG_9</f>
        <v>HLI</v>
      </c>
      <c r="D106" s="528" t="str">
        <f>LOG_ANNUEL!T143</f>
        <v/>
      </c>
      <c r="E106" s="528" t="str">
        <f>LOG_ANNUEL!U143</f>
        <v/>
      </c>
      <c r="F106" s="528" t="str">
        <f>LOG_ANNUEL!V143</f>
        <v/>
      </c>
      <c r="G106" s="10"/>
      <c r="H106" s="10"/>
      <c r="I106" s="10"/>
      <c r="J106" s="10"/>
      <c r="K106" s="10"/>
      <c r="L106" s="10"/>
      <c r="M106" s="10"/>
      <c r="N106" s="10"/>
      <c r="O106" s="10"/>
      <c r="P106" s="10"/>
      <c r="Q106" s="10"/>
      <c r="R106" s="10"/>
      <c r="S106" s="10"/>
      <c r="T106" s="71"/>
    </row>
    <row r="107" spans="2:20" x14ac:dyDescent="0.25">
      <c r="B107" s="761"/>
      <c r="C107" s="68" t="str">
        <f>HDG_10</f>
        <v>MCM</v>
      </c>
      <c r="D107" s="528" t="str">
        <f>LOG_ANNUEL!T144</f>
        <v/>
      </c>
      <c r="E107" s="528" t="str">
        <f>LOG_ANNUEL!U144</f>
        <v/>
      </c>
      <c r="F107" s="528" t="str">
        <f>LOG_ANNUEL!V144</f>
        <v/>
      </c>
      <c r="G107" s="10"/>
      <c r="H107" s="10"/>
      <c r="I107" s="10"/>
      <c r="J107" s="10"/>
      <c r="K107" s="10"/>
      <c r="L107" s="10"/>
      <c r="M107" s="10"/>
      <c r="N107" s="10"/>
      <c r="O107" s="10"/>
      <c r="P107" s="10"/>
      <c r="Q107" s="10"/>
      <c r="R107" s="10"/>
      <c r="S107" s="10"/>
      <c r="T107" s="71"/>
    </row>
    <row r="108" spans="2:20" ht="15.75" thickBot="1" x14ac:dyDescent="0.3">
      <c r="B108" s="761"/>
      <c r="C108" s="69" t="str">
        <f>HDG_11</f>
        <v>MCR</v>
      </c>
      <c r="D108" s="528" t="str">
        <f>LOG_ANNUEL!T145</f>
        <v/>
      </c>
      <c r="E108" s="528" t="str">
        <f>LOG_ANNUEL!U145</f>
        <v/>
      </c>
      <c r="F108" s="528" t="str">
        <f>LOG_ANNUEL!V145</f>
        <v/>
      </c>
      <c r="G108" s="10"/>
      <c r="H108" s="10"/>
      <c r="I108" s="10"/>
      <c r="J108" s="10"/>
      <c r="K108" s="10"/>
      <c r="L108" s="10"/>
      <c r="M108" s="10"/>
      <c r="N108" s="10"/>
      <c r="O108" s="10"/>
      <c r="P108" s="10"/>
      <c r="Q108" s="10"/>
      <c r="R108" s="10"/>
      <c r="S108" s="10"/>
      <c r="T108" s="71"/>
    </row>
    <row r="109" spans="2:20" ht="15.75" thickBot="1" x14ac:dyDescent="0.3">
      <c r="B109" s="762"/>
      <c r="C109" s="108" t="s">
        <v>406</v>
      </c>
      <c r="D109" s="528" t="str">
        <f>LOG_ANNUEL!T146</f>
        <v/>
      </c>
      <c r="E109" s="528" t="str">
        <f>LOG_ANNUEL!U146</f>
        <v/>
      </c>
      <c r="F109" s="528" t="str">
        <f>LOG_ANNUEL!V146</f>
        <v/>
      </c>
      <c r="G109" s="10"/>
      <c r="H109" s="10"/>
      <c r="I109" s="10"/>
      <c r="J109" s="10"/>
      <c r="K109" s="10"/>
      <c r="L109" s="10"/>
      <c r="M109" s="10"/>
      <c r="N109" s="10"/>
      <c r="O109" s="10"/>
      <c r="P109" s="10"/>
      <c r="Q109" s="10"/>
      <c r="R109" s="10"/>
      <c r="S109" s="10"/>
      <c r="T109" s="71"/>
    </row>
    <row r="110" spans="2:20" ht="15.75" thickBot="1" x14ac:dyDescent="0.3">
      <c r="B110" s="176"/>
      <c r="C110" s="177"/>
      <c r="D110" s="11"/>
      <c r="E110" s="11"/>
      <c r="F110" s="11"/>
      <c r="G110" s="10"/>
      <c r="H110" s="10"/>
      <c r="I110" s="10"/>
      <c r="J110" s="10"/>
      <c r="K110" s="10"/>
      <c r="L110" s="10"/>
      <c r="M110" s="10"/>
      <c r="N110" s="10"/>
      <c r="O110" s="10"/>
      <c r="P110" s="10"/>
      <c r="Q110" s="10"/>
      <c r="R110" s="10"/>
      <c r="S110" s="10"/>
      <c r="T110" s="71"/>
    </row>
    <row r="111" spans="2:20" ht="15.75" thickBot="1" x14ac:dyDescent="0.3">
      <c r="B111" s="731" t="s">
        <v>55</v>
      </c>
      <c r="C111" s="732"/>
      <c r="D111" s="11"/>
      <c r="E111" s="11"/>
      <c r="F111" s="11"/>
      <c r="G111" s="10"/>
      <c r="H111" s="10"/>
      <c r="I111" s="10"/>
      <c r="J111" s="10"/>
      <c r="K111" s="10"/>
      <c r="L111" s="10"/>
      <c r="M111" s="10"/>
      <c r="N111" s="10"/>
      <c r="O111" s="10"/>
      <c r="P111" s="10"/>
      <c r="Q111" s="10"/>
      <c r="R111" s="10"/>
      <c r="S111" s="10"/>
      <c r="T111" s="71"/>
    </row>
    <row r="112" spans="2:20" ht="15.75" thickBot="1" x14ac:dyDescent="0.3">
      <c r="B112" s="765" t="s">
        <v>67</v>
      </c>
      <c r="C112" s="766"/>
      <c r="D112" s="528" t="str">
        <f>LOG_ANNUEL!T149</f>
        <v/>
      </c>
      <c r="E112" s="528" t="str">
        <f>LOG_ANNUEL!U149</f>
        <v/>
      </c>
      <c r="F112" s="528" t="str">
        <f>LOG_ANNUEL!V149</f>
        <v/>
      </c>
      <c r="G112" s="10"/>
      <c r="H112" s="10"/>
      <c r="I112" s="10"/>
      <c r="J112" s="10"/>
      <c r="K112" s="10"/>
      <c r="L112" s="10"/>
      <c r="M112" s="10"/>
      <c r="N112" s="10"/>
      <c r="O112" s="10"/>
      <c r="P112" s="10"/>
      <c r="Q112" s="10"/>
      <c r="R112" s="10"/>
      <c r="S112" s="10"/>
      <c r="T112" s="71"/>
    </row>
    <row r="113" spans="2:20" ht="15.75" thickBot="1" x14ac:dyDescent="0.3">
      <c r="B113" s="733" t="s">
        <v>56</v>
      </c>
      <c r="C113" s="734"/>
      <c r="D113" s="621"/>
      <c r="E113" s="621"/>
      <c r="F113" s="621"/>
      <c r="G113" s="10"/>
      <c r="H113" s="10"/>
      <c r="I113" s="10"/>
      <c r="J113" s="10"/>
      <c r="K113" s="10"/>
      <c r="L113" s="10"/>
      <c r="M113" s="10"/>
      <c r="N113" s="10"/>
      <c r="O113" s="10"/>
      <c r="P113" s="10"/>
      <c r="Q113" s="10"/>
      <c r="R113" s="10"/>
      <c r="S113" s="10"/>
      <c r="T113" s="71"/>
    </row>
    <row r="114" spans="2:20" x14ac:dyDescent="0.25">
      <c r="B114" s="760"/>
      <c r="C114" s="110" t="str">
        <f>HDG_1</f>
        <v>AFR</v>
      </c>
      <c r="D114" s="528" t="str">
        <f>LOG_ANNUEL!T151</f>
        <v/>
      </c>
      <c r="E114" s="528" t="str">
        <f>LOG_ANNUEL!U151</f>
        <v/>
      </c>
      <c r="F114" s="528" t="str">
        <f>LOG_ANNUEL!V151</f>
        <v/>
      </c>
      <c r="G114" s="10"/>
      <c r="H114" s="10"/>
      <c r="I114" s="10"/>
      <c r="J114" s="10"/>
      <c r="K114" s="10"/>
      <c r="L114" s="10"/>
      <c r="M114" s="10"/>
      <c r="N114" s="10"/>
      <c r="O114" s="10"/>
      <c r="P114" s="10"/>
      <c r="Q114" s="10"/>
      <c r="R114" s="10"/>
      <c r="S114" s="10"/>
      <c r="T114" s="71"/>
    </row>
    <row r="115" spans="2:20" x14ac:dyDescent="0.25">
      <c r="B115" s="761"/>
      <c r="C115" s="68" t="str">
        <f>HDG_2</f>
        <v>AVP</v>
      </c>
      <c r="D115" s="528" t="str">
        <f>LOG_ANNUEL!T152</f>
        <v/>
      </c>
      <c r="E115" s="528" t="str">
        <f>LOG_ANNUEL!U152</f>
        <v/>
      </c>
      <c r="F115" s="528" t="str">
        <f>LOG_ANNUEL!V152</f>
        <v/>
      </c>
      <c r="G115" s="10"/>
      <c r="H115" s="10"/>
      <c r="I115" s="10"/>
      <c r="J115" s="10"/>
      <c r="K115" s="10"/>
      <c r="L115" s="10"/>
      <c r="M115" s="10"/>
      <c r="N115" s="10"/>
      <c r="O115" s="10"/>
      <c r="P115" s="10"/>
      <c r="Q115" s="10"/>
      <c r="R115" s="10"/>
      <c r="S115" s="10"/>
      <c r="T115" s="71"/>
    </row>
    <row r="116" spans="2:20" x14ac:dyDescent="0.25">
      <c r="B116" s="761"/>
      <c r="C116" s="68" t="str">
        <f>HDG_3</f>
        <v>ALZ</v>
      </c>
      <c r="D116" s="528" t="str">
        <f>LOG_ANNUEL!T153</f>
        <v/>
      </c>
      <c r="E116" s="528" t="str">
        <f>LOG_ANNUEL!U153</f>
        <v/>
      </c>
      <c r="F116" s="528" t="str">
        <f>LOG_ANNUEL!V153</f>
        <v/>
      </c>
      <c r="G116" s="10"/>
      <c r="H116" s="10"/>
      <c r="I116" s="10"/>
      <c r="J116" s="10"/>
      <c r="K116" s="10"/>
      <c r="L116" s="10"/>
      <c r="M116" s="10"/>
      <c r="N116" s="10"/>
      <c r="O116" s="10"/>
      <c r="P116" s="10"/>
      <c r="Q116" s="10"/>
      <c r="R116" s="10"/>
      <c r="S116" s="10"/>
      <c r="T116" s="71"/>
    </row>
    <row r="117" spans="2:20" x14ac:dyDescent="0.25">
      <c r="B117" s="761"/>
      <c r="C117" s="68" t="str">
        <f>HDG_4</f>
        <v>MZS</v>
      </c>
      <c r="D117" s="528" t="str">
        <f>LOG_ANNUEL!T154</f>
        <v/>
      </c>
      <c r="E117" s="528" t="str">
        <f>LOG_ANNUEL!U154</f>
        <v/>
      </c>
      <c r="F117" s="528" t="str">
        <f>LOG_ANNUEL!V154</f>
        <v/>
      </c>
      <c r="G117" s="10"/>
      <c r="H117" s="10"/>
      <c r="I117" s="10"/>
      <c r="J117" s="10"/>
      <c r="K117" s="10"/>
      <c r="L117" s="10"/>
      <c r="M117" s="10"/>
      <c r="N117" s="10"/>
      <c r="O117" s="10"/>
      <c r="P117" s="10"/>
      <c r="Q117" s="10"/>
      <c r="R117" s="10"/>
      <c r="S117" s="10"/>
      <c r="T117" s="71"/>
    </row>
    <row r="118" spans="2:20" x14ac:dyDescent="0.25">
      <c r="B118" s="761"/>
      <c r="C118" s="68" t="str">
        <f>HDG_5</f>
        <v>APR</v>
      </c>
      <c r="D118" s="528" t="str">
        <f>LOG_ANNUEL!T155</f>
        <v/>
      </c>
      <c r="E118" s="528" t="str">
        <f>LOG_ANNUEL!U155</f>
        <v/>
      </c>
      <c r="F118" s="528" t="str">
        <f>LOG_ANNUEL!V155</f>
        <v/>
      </c>
      <c r="G118" s="10"/>
      <c r="H118" s="10"/>
      <c r="I118" s="10"/>
      <c r="J118" s="10"/>
      <c r="K118" s="10"/>
      <c r="L118" s="10"/>
      <c r="M118" s="10"/>
      <c r="N118" s="10"/>
      <c r="O118" s="10"/>
      <c r="P118" s="10"/>
      <c r="Q118" s="10"/>
      <c r="R118" s="10"/>
      <c r="S118" s="10"/>
      <c r="T118" s="71"/>
    </row>
    <row r="119" spans="2:20" x14ac:dyDescent="0.25">
      <c r="B119" s="761"/>
      <c r="C119" s="68" t="str">
        <f>HDG_6</f>
        <v>DCG</v>
      </c>
      <c r="D119" s="528" t="str">
        <f>LOG_ANNUEL!T156</f>
        <v/>
      </c>
      <c r="E119" s="528" t="str">
        <f>LOG_ANNUEL!U156</f>
        <v/>
      </c>
      <c r="F119" s="528" t="str">
        <f>LOG_ANNUEL!V156</f>
        <v/>
      </c>
      <c r="G119" s="10"/>
      <c r="H119" s="10"/>
      <c r="I119" s="10"/>
      <c r="J119" s="10"/>
      <c r="K119" s="10"/>
      <c r="L119" s="10"/>
      <c r="M119" s="10"/>
      <c r="N119" s="10"/>
      <c r="O119" s="10"/>
      <c r="P119" s="10"/>
      <c r="Q119" s="10"/>
      <c r="R119" s="10"/>
      <c r="S119" s="10"/>
      <c r="T119" s="71"/>
    </row>
    <row r="120" spans="2:20" x14ac:dyDescent="0.25">
      <c r="B120" s="761"/>
      <c r="C120" s="68" t="str">
        <f>HDG_7</f>
        <v>SFS</v>
      </c>
      <c r="D120" s="528" t="str">
        <f>LOG_ANNUEL!T157</f>
        <v/>
      </c>
      <c r="E120" s="528" t="str">
        <f>LOG_ANNUEL!U157</f>
        <v/>
      </c>
      <c r="F120" s="528" t="str">
        <f>LOG_ANNUEL!V157</f>
        <v/>
      </c>
      <c r="G120" s="10"/>
      <c r="H120" s="10"/>
      <c r="I120" s="10"/>
      <c r="J120" s="10"/>
      <c r="K120" s="10"/>
      <c r="L120" s="10"/>
      <c r="M120" s="10"/>
      <c r="N120" s="10"/>
      <c r="O120" s="10"/>
      <c r="P120" s="10"/>
      <c r="Q120" s="10"/>
      <c r="R120" s="10"/>
      <c r="S120" s="10"/>
      <c r="T120" s="71"/>
    </row>
    <row r="121" spans="2:20" x14ac:dyDescent="0.25">
      <c r="B121" s="761"/>
      <c r="C121" s="68" t="str">
        <f>HDG_8</f>
        <v>AZH</v>
      </c>
      <c r="D121" s="528" t="str">
        <f>LOG_ANNUEL!T158</f>
        <v/>
      </c>
      <c r="E121" s="528" t="str">
        <f>LOG_ANNUEL!U158</f>
        <v/>
      </c>
      <c r="F121" s="528" t="str">
        <f>LOG_ANNUEL!V158</f>
        <v/>
      </c>
      <c r="G121" s="10"/>
      <c r="H121" s="10"/>
      <c r="I121" s="10"/>
      <c r="J121" s="10"/>
      <c r="K121" s="10"/>
      <c r="L121" s="10"/>
      <c r="M121" s="10"/>
      <c r="N121" s="10"/>
      <c r="O121" s="10"/>
      <c r="P121" s="10"/>
      <c r="Q121" s="10"/>
      <c r="R121" s="10"/>
      <c r="S121" s="10"/>
      <c r="T121" s="71"/>
    </row>
    <row r="122" spans="2:20" x14ac:dyDescent="0.25">
      <c r="B122" s="761"/>
      <c r="C122" s="68" t="str">
        <f>HDG_9</f>
        <v>HLI</v>
      </c>
      <c r="D122" s="528" t="str">
        <f>LOG_ANNUEL!T159</f>
        <v/>
      </c>
      <c r="E122" s="528" t="str">
        <f>LOG_ANNUEL!U159</f>
        <v/>
      </c>
      <c r="F122" s="528" t="str">
        <f>LOG_ANNUEL!V159</f>
        <v/>
      </c>
      <c r="G122" s="10"/>
      <c r="H122" s="10"/>
      <c r="I122" s="10"/>
      <c r="J122" s="10"/>
      <c r="K122" s="10"/>
      <c r="L122" s="10"/>
      <c r="M122" s="10"/>
      <c r="N122" s="10"/>
      <c r="O122" s="10"/>
      <c r="P122" s="10"/>
      <c r="Q122" s="10"/>
      <c r="R122" s="10"/>
      <c r="S122" s="10"/>
      <c r="T122" s="71"/>
    </row>
    <row r="123" spans="2:20" x14ac:dyDescent="0.25">
      <c r="B123" s="761"/>
      <c r="C123" s="68" t="str">
        <f>HDG_10</f>
        <v>MCM</v>
      </c>
      <c r="D123" s="528" t="str">
        <f>LOG_ANNUEL!T160</f>
        <v/>
      </c>
      <c r="E123" s="528" t="str">
        <f>LOG_ANNUEL!U160</f>
        <v/>
      </c>
      <c r="F123" s="528" t="str">
        <f>LOG_ANNUEL!V160</f>
        <v/>
      </c>
      <c r="G123" s="10"/>
      <c r="H123" s="10"/>
      <c r="I123" s="10"/>
      <c r="J123" s="10"/>
      <c r="K123" s="10"/>
      <c r="L123" s="10"/>
      <c r="M123" s="10"/>
      <c r="N123" s="10"/>
      <c r="O123" s="10"/>
      <c r="P123" s="10"/>
      <c r="Q123" s="10"/>
      <c r="R123" s="10"/>
      <c r="S123" s="10"/>
      <c r="T123" s="71"/>
    </row>
    <row r="124" spans="2:20" ht="15.75" thickBot="1" x14ac:dyDescent="0.3">
      <c r="B124" s="761"/>
      <c r="C124" s="69" t="str">
        <f>HDG_11</f>
        <v>MCR</v>
      </c>
      <c r="D124" s="528" t="str">
        <f>LOG_ANNUEL!T161</f>
        <v/>
      </c>
      <c r="E124" s="528" t="str">
        <f>LOG_ANNUEL!U161</f>
        <v/>
      </c>
      <c r="F124" s="528" t="str">
        <f>LOG_ANNUEL!V161</f>
        <v/>
      </c>
      <c r="G124" s="10"/>
      <c r="H124" s="10"/>
      <c r="I124" s="10"/>
      <c r="J124" s="10"/>
      <c r="K124" s="10"/>
      <c r="L124" s="10"/>
      <c r="M124" s="10"/>
      <c r="N124" s="10"/>
      <c r="O124" s="10"/>
      <c r="P124" s="10"/>
      <c r="Q124" s="10"/>
      <c r="R124" s="10"/>
      <c r="S124" s="10"/>
      <c r="T124" s="71"/>
    </row>
    <row r="125" spans="2:20" ht="15.75" thickBot="1" x14ac:dyDescent="0.3">
      <c r="B125" s="762"/>
      <c r="C125" s="108" t="s">
        <v>406</v>
      </c>
      <c r="D125" s="613" t="str">
        <f>LOG_ANNUEL!T162</f>
        <v/>
      </c>
      <c r="E125" s="613" t="str">
        <f>LOG_ANNUEL!U162</f>
        <v/>
      </c>
      <c r="F125" s="613" t="str">
        <f>LOG_ANNUEL!V162</f>
        <v/>
      </c>
      <c r="G125" s="439"/>
      <c r="H125" s="439"/>
      <c r="I125" s="439"/>
      <c r="J125" s="439"/>
      <c r="K125" s="439"/>
      <c r="L125" s="439"/>
      <c r="M125" s="439"/>
      <c r="N125" s="439"/>
      <c r="O125" s="439"/>
      <c r="P125" s="439"/>
      <c r="Q125" s="439"/>
      <c r="R125" s="439"/>
      <c r="S125" s="439"/>
      <c r="T125" s="440"/>
    </row>
  </sheetData>
  <sheetProtection algorithmName="SHA-512" hashValue="zLKr+ZHpfnrAUy2CFzaAEpIMgHp80+Hs6kW/E8VbhHar9yEbHgAk3HOQBA0fZw2SFXNMAKqD8ci8owkLQC7OoA==" saltValue="ItJr1fDZN5LZ7ll0omk3Bw==" spinCount="100000" sheet="1" objects="1" scenarios="1" selectLockedCells="1" selectUnlockedCells="1"/>
  <mergeCells count="133">
    <mergeCell ref="J72:K72"/>
    <mergeCell ref="J73:K73"/>
    <mergeCell ref="J74:J85"/>
    <mergeCell ref="J55:K55"/>
    <mergeCell ref="J57:K57"/>
    <mergeCell ref="J58:K58"/>
    <mergeCell ref="J59:J70"/>
    <mergeCell ref="J13:K13"/>
    <mergeCell ref="B46:C46"/>
    <mergeCell ref="B47:C47"/>
    <mergeCell ref="J53:K53"/>
    <mergeCell ref="J50:K50"/>
    <mergeCell ref="J51:K51"/>
    <mergeCell ref="J52:K52"/>
    <mergeCell ref="P45:Q45"/>
    <mergeCell ref="J14:K14"/>
    <mergeCell ref="J15:K15"/>
    <mergeCell ref="J16:K16"/>
    <mergeCell ref="J17:K17"/>
    <mergeCell ref="J18:K18"/>
    <mergeCell ref="J19:K19"/>
    <mergeCell ref="B31:C31"/>
    <mergeCell ref="B32:C32"/>
    <mergeCell ref="B33:C33"/>
    <mergeCell ref="B34:C34"/>
    <mergeCell ref="B23:C23"/>
    <mergeCell ref="B24:C24"/>
    <mergeCell ref="B25:C25"/>
    <mergeCell ref="B27:C27"/>
    <mergeCell ref="B29:C29"/>
    <mergeCell ref="B30:C30"/>
    <mergeCell ref="B16:C16"/>
    <mergeCell ref="B17:C17"/>
    <mergeCell ref="B14:C14"/>
    <mergeCell ref="B18:C18"/>
    <mergeCell ref="B19:C19"/>
    <mergeCell ref="B21:C21"/>
    <mergeCell ref="B22:C22"/>
    <mergeCell ref="P35:Q35"/>
    <mergeCell ref="P36:Q36"/>
    <mergeCell ref="P38:Q38"/>
    <mergeCell ref="P39:Q39"/>
    <mergeCell ref="B4:C4"/>
    <mergeCell ref="B5:C5"/>
    <mergeCell ref="B6:C6"/>
    <mergeCell ref="B7:C7"/>
    <mergeCell ref="B8:C8"/>
    <mergeCell ref="B9:C9"/>
    <mergeCell ref="B10:C10"/>
    <mergeCell ref="B11:C11"/>
    <mergeCell ref="B12:C12"/>
    <mergeCell ref="B13:C13"/>
    <mergeCell ref="P68:Q68"/>
    <mergeCell ref="P32:Q32"/>
    <mergeCell ref="P69:Q69"/>
    <mergeCell ref="P56:Q56"/>
    <mergeCell ref="J42:K42"/>
    <mergeCell ref="B114:B125"/>
    <mergeCell ref="B96:C96"/>
    <mergeCell ref="B97:C97"/>
    <mergeCell ref="B98:B109"/>
    <mergeCell ref="B111:C111"/>
    <mergeCell ref="B112:C112"/>
    <mergeCell ref="B113:C113"/>
    <mergeCell ref="B66:B77"/>
    <mergeCell ref="B79:C79"/>
    <mergeCell ref="B80:C80"/>
    <mergeCell ref="B81:C81"/>
    <mergeCell ref="B82:B93"/>
    <mergeCell ref="B95:C95"/>
    <mergeCell ref="J88:K88"/>
    <mergeCell ref="J89:J100"/>
    <mergeCell ref="J87:K87"/>
    <mergeCell ref="B42:C43"/>
    <mergeCell ref="P61:Q61"/>
    <mergeCell ref="P62:Q62"/>
    <mergeCell ref="P64:Q64"/>
    <mergeCell ref="P65:Q65"/>
    <mergeCell ref="P66:Q66"/>
    <mergeCell ref="P52:Q52"/>
    <mergeCell ref="P53:Q53"/>
    <mergeCell ref="P57:Q57"/>
    <mergeCell ref="P58:Q58"/>
    <mergeCell ref="P59:Q59"/>
    <mergeCell ref="P60:Q60"/>
    <mergeCell ref="P49:Q49"/>
    <mergeCell ref="J54:K54"/>
    <mergeCell ref="J46:K46"/>
    <mergeCell ref="J47:K47"/>
    <mergeCell ref="J48:K48"/>
    <mergeCell ref="J5:K5"/>
    <mergeCell ref="J12:K12"/>
    <mergeCell ref="J21:K21"/>
    <mergeCell ref="P63:Q63"/>
    <mergeCell ref="P21:Q21"/>
    <mergeCell ref="P22:Q22"/>
    <mergeCell ref="P23:Q23"/>
    <mergeCell ref="P24:Q24"/>
    <mergeCell ref="P25:Q25"/>
    <mergeCell ref="P26:Q26"/>
    <mergeCell ref="J43:K43"/>
    <mergeCell ref="J44:K44"/>
    <mergeCell ref="J45:K45"/>
    <mergeCell ref="J22:J23"/>
    <mergeCell ref="J27:J29"/>
    <mergeCell ref="J30:J32"/>
    <mergeCell ref="J33:J35"/>
    <mergeCell ref="P33:Q33"/>
    <mergeCell ref="P34:Q34"/>
    <mergeCell ref="B1:T2"/>
    <mergeCell ref="J26:N26"/>
    <mergeCell ref="K27:N29"/>
    <mergeCell ref="K30:N32"/>
    <mergeCell ref="P67:Q67"/>
    <mergeCell ref="G22:G24"/>
    <mergeCell ref="K33:N35"/>
    <mergeCell ref="P50:Q50"/>
    <mergeCell ref="P51:Q51"/>
    <mergeCell ref="B48:C48"/>
    <mergeCell ref="B63:C63"/>
    <mergeCell ref="B64:C64"/>
    <mergeCell ref="B65:C65"/>
    <mergeCell ref="J20:K20"/>
    <mergeCell ref="P4:Q4"/>
    <mergeCell ref="B44:C44"/>
    <mergeCell ref="B45:C45"/>
    <mergeCell ref="P42:Q42"/>
    <mergeCell ref="P43:Q43"/>
    <mergeCell ref="P44:Q44"/>
    <mergeCell ref="P37:Q37"/>
    <mergeCell ref="P46:Q46"/>
    <mergeCell ref="P47:Q47"/>
    <mergeCell ref="P48:Q48"/>
  </mergeCells>
  <conditionalFormatting sqref="D5:F14">
    <cfRule type="cellIs" dxfId="124" priority="16" operator="greaterThan">
      <formula>0</formula>
    </cfRule>
    <cfRule type="cellIs" dxfId="123" priority="17" operator="lessThan">
      <formula>0</formula>
    </cfRule>
  </conditionalFormatting>
  <conditionalFormatting sqref="L13:N20 L22:N23">
    <cfRule type="cellIs" dxfId="122" priority="11" operator="lessThan">
      <formula>0</formula>
    </cfRule>
    <cfRule type="cellIs" dxfId="121" priority="12" operator="greaterThan">
      <formula>0</formula>
    </cfRule>
  </conditionalFormatting>
  <conditionalFormatting sqref="R6:T19">
    <cfRule type="cellIs" dxfId="120" priority="9" operator="greaterThan">
      <formula>0</formula>
    </cfRule>
    <cfRule type="cellIs" dxfId="119" priority="10" operator="lessThan">
      <formula>0</formula>
    </cfRule>
  </conditionalFormatting>
  <conditionalFormatting sqref="R33:T39 L43:N48 L50:N55">
    <cfRule type="cellIs" dxfId="118" priority="8" operator="greaterThan">
      <formula>0</formula>
    </cfRule>
  </conditionalFormatting>
  <conditionalFormatting sqref="R57:T69">
    <cfRule type="cellIs" dxfId="117" priority="5" operator="lessThan">
      <formula>0</formula>
    </cfRule>
    <cfRule type="cellIs" dxfId="116" priority="6" operator="greaterThan">
      <formula>0</formula>
    </cfRule>
  </conditionalFormatting>
  <conditionalFormatting sqref="L5:N10">
    <cfRule type="cellIs" dxfId="115" priority="1" operator="lessThan">
      <formula>0</formula>
    </cfRule>
    <cfRule type="cellIs" dxfId="114" priority="2" operator="greaterThan">
      <formula>0</formula>
    </cfRule>
  </conditionalFormatting>
  <conditionalFormatting sqref="D17:F19 D22:F25 D27:F27 D30:F34 R22:T28 D44:F47 D49:F60 D64:F64 D66:F77 D80:F80 D82:F93 D96:F96 D98:F109 D112:F112 D114:F125 L57:N57 L59:N70 L72:N72 L74:N85 L87:N87 L89:N100">
    <cfRule type="cellIs" dxfId="113" priority="14" operator="lessThan">
      <formula>0</formula>
    </cfRule>
    <cfRule type="cellIs" dxfId="112" priority="15" operator="greaterThan">
      <formula>0</formula>
    </cfRule>
  </conditionalFormatting>
  <conditionalFormatting sqref="R43:T53 L43:N48 L50:N55 R33:T39">
    <cfRule type="cellIs" dxfId="111" priority="7" operator="lessThan">
      <formula>0</formula>
    </cfRule>
  </conditionalFormatting>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B3:AN162"/>
  <sheetViews>
    <sheetView workbookViewId="0">
      <selection activeCell="B4" sqref="B4:AN5"/>
    </sheetView>
  </sheetViews>
  <sheetFormatPr baseColWidth="10" defaultRowHeight="15" x14ac:dyDescent="0.25"/>
  <cols>
    <col min="5" max="5" width="17.7109375" bestFit="1" customWidth="1"/>
    <col min="6" max="6" width="9.42578125" customWidth="1"/>
    <col min="7" max="7" width="20.7109375" customWidth="1"/>
    <col min="8" max="8" width="11.42578125" customWidth="1"/>
    <col min="10" max="10" width="5.7109375" customWidth="1"/>
    <col min="11" max="12" width="7.7109375" customWidth="1"/>
    <col min="13" max="39" width="4.7109375" customWidth="1"/>
    <col min="40" max="40" width="3.5703125" style="547" bestFit="1" customWidth="1"/>
  </cols>
  <sheetData>
    <row r="3" spans="2:40" ht="15.75" thickBot="1" x14ac:dyDescent="0.3"/>
    <row r="4" spans="2:40" x14ac:dyDescent="0.25">
      <c r="B4" s="690" t="s">
        <v>1016</v>
      </c>
      <c r="C4" s="691"/>
      <c r="D4" s="691"/>
      <c r="E4" s="691"/>
      <c r="F4" s="691"/>
      <c r="G4" s="691"/>
      <c r="H4" s="691"/>
      <c r="I4" s="691"/>
      <c r="J4" s="691"/>
      <c r="K4" s="691"/>
      <c r="L4" s="691"/>
      <c r="M4" s="691"/>
      <c r="N4" s="691"/>
      <c r="O4" s="691"/>
      <c r="P4" s="691"/>
      <c r="Q4" s="691"/>
      <c r="R4" s="691"/>
      <c r="S4" s="691"/>
      <c r="T4" s="691"/>
      <c r="U4" s="691"/>
      <c r="V4" s="691"/>
      <c r="W4" s="691"/>
      <c r="X4" s="691"/>
      <c r="Y4" s="691"/>
      <c r="Z4" s="691"/>
      <c r="AA4" s="691"/>
      <c r="AB4" s="691"/>
      <c r="AC4" s="691"/>
      <c r="AD4" s="691"/>
      <c r="AE4" s="691"/>
      <c r="AF4" s="691"/>
      <c r="AG4" s="691"/>
      <c r="AH4" s="691"/>
      <c r="AI4" s="691"/>
      <c r="AJ4" s="691"/>
      <c r="AK4" s="691"/>
      <c r="AL4" s="691"/>
      <c r="AM4" s="691"/>
      <c r="AN4" s="692"/>
    </row>
    <row r="5" spans="2:40" ht="15.75" thickBot="1" x14ac:dyDescent="0.3">
      <c r="B5" s="693"/>
      <c r="C5" s="694"/>
      <c r="D5" s="694"/>
      <c r="E5" s="694"/>
      <c r="F5" s="694"/>
      <c r="G5" s="694"/>
      <c r="H5" s="694"/>
      <c r="I5" s="694"/>
      <c r="J5" s="694"/>
      <c r="K5" s="694"/>
      <c r="L5" s="694"/>
      <c r="M5" s="694"/>
      <c r="N5" s="694"/>
      <c r="O5" s="694"/>
      <c r="P5" s="694"/>
      <c r="Q5" s="694"/>
      <c r="R5" s="694"/>
      <c r="S5" s="694"/>
      <c r="T5" s="694"/>
      <c r="U5" s="694"/>
      <c r="V5" s="694"/>
      <c r="W5" s="694"/>
      <c r="X5" s="694"/>
      <c r="Y5" s="694"/>
      <c r="Z5" s="694"/>
      <c r="AA5" s="694"/>
      <c r="AB5" s="694"/>
      <c r="AC5" s="694"/>
      <c r="AD5" s="694"/>
      <c r="AE5" s="694"/>
      <c r="AF5" s="694"/>
      <c r="AG5" s="694"/>
      <c r="AH5" s="694"/>
      <c r="AI5" s="694"/>
      <c r="AJ5" s="694"/>
      <c r="AK5" s="694"/>
      <c r="AL5" s="694"/>
      <c r="AM5" s="694"/>
      <c r="AN5" s="695"/>
    </row>
    <row r="6" spans="2:40" ht="15.75" thickBot="1" x14ac:dyDescent="0.3">
      <c r="B6" s="577" t="s">
        <v>186</v>
      </c>
      <c r="C6" s="577" t="s">
        <v>543</v>
      </c>
      <c r="D6" s="578" t="s">
        <v>671</v>
      </c>
      <c r="E6" s="579" t="s">
        <v>477</v>
      </c>
      <c r="F6" s="579" t="s">
        <v>643</v>
      </c>
      <c r="G6" s="579" t="s">
        <v>102</v>
      </c>
      <c r="H6" s="579" t="s">
        <v>105</v>
      </c>
      <c r="I6" s="579" t="s">
        <v>104</v>
      </c>
      <c r="J6" s="579" t="s">
        <v>486</v>
      </c>
      <c r="K6" s="579" t="s">
        <v>855</v>
      </c>
      <c r="L6" s="579" t="s">
        <v>856</v>
      </c>
      <c r="M6" s="578">
        <v>11</v>
      </c>
      <c r="N6" s="579">
        <v>12</v>
      </c>
      <c r="O6" s="579">
        <v>13</v>
      </c>
      <c r="P6" s="579">
        <v>14</v>
      </c>
      <c r="Q6" s="580">
        <v>15</v>
      </c>
      <c r="R6" s="578">
        <v>16</v>
      </c>
      <c r="S6" s="579">
        <v>17</v>
      </c>
      <c r="T6" s="580">
        <v>18</v>
      </c>
      <c r="U6" s="578">
        <v>19</v>
      </c>
      <c r="V6" s="579">
        <v>20</v>
      </c>
      <c r="W6" s="579">
        <v>21</v>
      </c>
      <c r="X6" s="579">
        <v>22</v>
      </c>
      <c r="Y6" s="580">
        <v>23</v>
      </c>
      <c r="Z6" s="578">
        <v>24</v>
      </c>
      <c r="AA6" s="579">
        <v>25</v>
      </c>
      <c r="AB6" s="579">
        <v>26</v>
      </c>
      <c r="AC6" s="579">
        <v>27</v>
      </c>
      <c r="AD6" s="580">
        <v>28</v>
      </c>
      <c r="AE6" s="578">
        <v>29</v>
      </c>
      <c r="AF6" s="579">
        <v>30</v>
      </c>
      <c r="AG6" s="579">
        <v>31</v>
      </c>
      <c r="AH6" s="580">
        <v>32</v>
      </c>
      <c r="AI6" s="578">
        <v>33</v>
      </c>
      <c r="AJ6" s="579">
        <v>34</v>
      </c>
      <c r="AK6" s="579">
        <v>35</v>
      </c>
      <c r="AL6" s="579">
        <v>36</v>
      </c>
      <c r="AM6" s="580">
        <v>37</v>
      </c>
      <c r="AN6" s="577" t="s">
        <v>1015</v>
      </c>
    </row>
    <row r="7" spans="2:40" x14ac:dyDescent="0.25">
      <c r="B7" s="551" t="str">
        <f>IF(LOG_ST!F6="","",VLOOKUP(LOG_ST!F6,DATA_BASE!$A$46:$C$57,2,FALSE))</f>
        <v>JANVIER</v>
      </c>
      <c r="C7" s="570" t="str">
        <f>IF(LOG_ST!G6="","",VLOOKUP(LOG_ST!G6,DATA_HDG,2,FALSE))</f>
        <v>AFR</v>
      </c>
      <c r="D7" s="571">
        <f>IF(LOG_ST!H6="","",LOG_ST!H6)</f>
        <v>45660</v>
      </c>
      <c r="E7" s="572" t="str">
        <f>IF(LOG_ST!I6="","",VLOOKUP(LOG_ST!I6,DATA_COP,2,FALSE))</f>
        <v>BOUET RICHARD</v>
      </c>
      <c r="F7" s="573">
        <f>IF(LOG_ST!J6="","",LOG_ST!J6)</f>
        <v>0.70694444444444438</v>
      </c>
      <c r="G7" s="570" t="str">
        <f>IF(LOG_ST!K6="","",VLOOKUP(LOG_ST!K6,DATA_SCIES,2,FALSE))</f>
        <v>AIR FRANCE</v>
      </c>
      <c r="H7" s="570" t="str">
        <f>IF(LOG_ST!L6="","",VLOOKUP(LOG_ST!L6,DATA_ST!$U$7:$V$64,2,FALSE))</f>
        <v>BCS3</v>
      </c>
      <c r="I7" s="570" t="str">
        <f>IF(LOG_ST!M6="","",LOG_ST!M6)</f>
        <v>FHZUJ</v>
      </c>
      <c r="J7" s="570" t="str">
        <f>IF(LOG_ST!N6="","",LOG_ST!N6)</f>
        <v>48A</v>
      </c>
      <c r="K7" s="573">
        <f>IF(LOG_ST!O6="","",LOG_ST!O6)</f>
        <v>0</v>
      </c>
      <c r="L7" s="573">
        <f>IF(LOG_ST!P6="","",LOG_ST!P6)</f>
        <v>0</v>
      </c>
      <c r="M7" s="574" t="str">
        <f>IF($L7="","",IF(LOG_ST!Q6=1,"OK",IF(LOG_ST!Q6=2,"NR",IF(OR(LOG_ST!Q6=0,LOG_ST!Q6="X"),"N/A"))))</f>
        <v>OK</v>
      </c>
      <c r="N7" s="574" t="str">
        <f>IF($L7="","",IF(LOG_ST!R6=1,"OK",IF(LOG_ST!R6=2,"NR",IF(OR(LOG_ST!R6=0,LOG_ST!R6="X"),"N/A"))))</f>
        <v>OK</v>
      </c>
      <c r="O7" s="574" t="str">
        <f>IF($L7="","",IF(LOG_ST!S6=1,"OK",IF(LOG_ST!S6=2,"NR",IF(OR(LOG_ST!S6=0,LOG_ST!S6="X"),"N/A"))))</f>
        <v>OK</v>
      </c>
      <c r="P7" s="574" t="str">
        <f>IF($L7="","",IF(LOG_ST!T6=1,"OK",IF(LOG_ST!T6=2,"NR",IF(OR(LOG_ST!T6=0,LOG_ST!T6="X"),"N/A"))))</f>
        <v>OK</v>
      </c>
      <c r="Q7" s="574" t="str">
        <f>IF($L7="","",IF(LOG_ST!U6=1,"OK",IF(LOG_ST!U6=2,"NR",IF(OR(LOG_ST!U6=0,LOG_ST!U6="X"),"N/A"))))</f>
        <v>OK</v>
      </c>
      <c r="R7" s="574" t="str">
        <f>IF($L7="","",IF(LOG_ST!V6=1,"OK",IF(LOG_ST!V6=2,"NR",IF(OR(LOG_ST!V6=0,LOG_ST!V6="X"),"N/A"))))</f>
        <v>OK</v>
      </c>
      <c r="S7" s="574" t="str">
        <f>IF($L7="","",IF(LOG_ST!W6=1,"OK",IF(LOG_ST!W6=2,"NR",IF(OR(LOG_ST!W6=0,LOG_ST!W6="X"),"N/A"))))</f>
        <v>OK</v>
      </c>
      <c r="T7" s="574" t="str">
        <f>IF($L7="","",IF(LOG_ST!X6=1,"OK",IF(LOG_ST!X6=2,"NR",IF(OR(LOG_ST!X6=0,LOG_ST!X6="X"),"N/A"))))</f>
        <v>OK</v>
      </c>
      <c r="U7" s="574" t="str">
        <f>IF($L7="","",IF(LOG_ST!Y6=1,"OK",IF(LOG_ST!Y6=2,"NR",IF(OR(LOG_ST!Y6=0,LOG_ST!Y6="X"),"N/A"))))</f>
        <v>OK</v>
      </c>
      <c r="V7" s="574" t="str">
        <f>IF($L7="","",IF(LOG_ST!Z6=1,"OK",IF(LOG_ST!Z6=2,"NR",IF(OR(LOG_ST!Z6=0,LOG_ST!Z6="X"),"N/A"))))</f>
        <v>OK</v>
      </c>
      <c r="W7" s="574" t="str">
        <f>IF($L7="","",IF(LOG_ST!AA6=1,"OK",IF(LOG_ST!AA6=2,"NR",IF(OR(LOG_ST!AA6=0,LOG_ST!AA6="X"),"N/A"))))</f>
        <v>OK</v>
      </c>
      <c r="X7" s="574" t="str">
        <f>IF($L7="","",IF(LOG_ST!AB6=1,"OK",IF(LOG_ST!AB6=2,"NR",IF(OR(LOG_ST!AB6=0,LOG_ST!AB6="X"),"N/A"))))</f>
        <v>OK</v>
      </c>
      <c r="Y7" s="574" t="str">
        <f>IF($L7="","",IF(LOG_ST!AC6=1,"OK",IF(LOG_ST!AC6=2,"NR",IF(OR(LOG_ST!AC6=0,LOG_ST!AC6="X"),"N/A"))))</f>
        <v>OK</v>
      </c>
      <c r="Z7" s="574">
        <f>IF($L7="","",IF(OR(LOG_ST!AD6=0,LOG_ST!AD6="X"),"N/A",LOG_ST!AD6))</f>
        <v>3</v>
      </c>
      <c r="AA7" s="574" t="str">
        <f>IF($L7="","",IF(LOG_ST!AE6=1,"OK",IF(LOG_ST!AE6=2,"NR",IF(OR(LOG_ST!AE6=0,LOG_ST!AE6="X"),"N/A"))))</f>
        <v>N/A</v>
      </c>
      <c r="AB7" s="574" t="str">
        <f>IF($L7="","",IF(LOG_ST!AF6=1,"OK",IF(LOG_ST!AF6=2,"NR",IF(OR(LOG_ST!AF6=0,LOG_ST!AF6="X"),"N/A"))))</f>
        <v>N/A</v>
      </c>
      <c r="AC7" s="574" t="str">
        <f>IF($L7="","",IF(LOG_ST!AG6=1,"OK",IF(LOG_ST!AG6=2,"NR",IF(OR(LOG_ST!AG6=0,LOG_ST!AG6="X"),"N/A"))))</f>
        <v>OK</v>
      </c>
      <c r="AD7" s="574" t="str">
        <f>IF($L7="","",IF(OR(LOG_ST!AH6=0,LOG_ST!AH6="X"),"N/A",LOG_ST!AH6))</f>
        <v>N/A</v>
      </c>
      <c r="AE7" s="574" t="str">
        <f>IF($L7="","",IF(LOG_ST!AI6=1,"OK",IF(LOG_ST!AI6=2,"NR",IF(OR(LOG_ST!AI6=0,LOG_ST!AI6="X"),"N/A"))))</f>
        <v>N/A</v>
      </c>
      <c r="AF7" s="574" t="str">
        <f>IF($L7="","",IF(LOG_ST!AJ6=1,"OK",IF(LOG_ST!AJ6=2,"NR",IF(OR(LOG_ST!AJ6=0,LOG_ST!AJ6="X"),"N/A"))))</f>
        <v>N/A</v>
      </c>
      <c r="AG7" s="574" t="str">
        <f>IF($L7="","",IF(LOG_ST!AK6=1,"OK",IF(LOG_ST!AK6=2,"NR",IF(OR(LOG_ST!AK6=0,LOG_ST!AK6="X"),"N/A"))))</f>
        <v>N/A</v>
      </c>
      <c r="AH7" s="574" t="str">
        <f>IF($L7="","",IF(LOG_ST!AL6=1,"OK",IF(LOG_ST!AL6=2,"NR",IF(OR(LOG_ST!AL6=0,LOG_ST!AL6="X"),"N/A"))))</f>
        <v>N/A</v>
      </c>
      <c r="AI7" s="574" t="str">
        <f>IF($L7="","",IF(LOG_ST!AM6=1,"OK",IF(LOG_ST!AM6=2,"NR",IF(OR(LOG_ST!AM6=0,LOG_ST!AM6="X"),"N/A"))))</f>
        <v>OK</v>
      </c>
      <c r="AJ7" s="574" t="str">
        <f>IF($L7="","",IF(LOG_ST!AN6=1,"OK",IF(LOG_ST!AN6=2,"NR",IF(OR(LOG_ST!AN6=0,LOG_ST!AN6="X"),"N/A"))))</f>
        <v>OK</v>
      </c>
      <c r="AK7" s="574" t="str">
        <f>IF($L7="","",IF(LOG_ST!AO6=1,"OK",IF(LOG_ST!AO6=2,"NR",IF(OR(LOG_ST!AO6=0,LOG_ST!AO6="X"),"N/A"))))</f>
        <v>OK</v>
      </c>
      <c r="AL7" s="574" t="str">
        <f>IF($L7="","",IF(LOG_ST!AP6=1,"OK",IF(LOG_ST!AP6=2,"NR",IF(OR(LOG_ST!AP6=0,LOG_ST!AP6="X"),"N/A"))))</f>
        <v>OK</v>
      </c>
      <c r="AM7" s="574" t="str">
        <f>IF($L7="","",IF(LOG_ST!AQ6=1,"OK",IF(LOG_ST!AQ6=2,"NR",IF(OR(LOG_ST!AQ6=0,LOG_ST!AQ6="X"),"N/A"))))</f>
        <v>OK</v>
      </c>
      <c r="AN7" s="550">
        <f>IF($L7="","",COUNTIF(M7:AM7,"NR"))</f>
        <v>0</v>
      </c>
    </row>
    <row r="8" spans="2:40" x14ac:dyDescent="0.25">
      <c r="B8" s="551" t="str">
        <f>IF(LOG_ST!F7="","",VLOOKUP(LOG_ST!F7,DATA_BASE!$A$46:$C$57,2,FALSE))</f>
        <v>JANVIER</v>
      </c>
      <c r="C8" s="570" t="str">
        <f>IF(LOG_ST!G7="","",VLOOKUP(LOG_ST!G7,DATA_HDG,2,FALSE))</f>
        <v>AFR</v>
      </c>
      <c r="D8" s="571">
        <f>IF(LOG_ST!H7="","",LOG_ST!H7)</f>
        <v>45661</v>
      </c>
      <c r="E8" s="572" t="str">
        <f>IF(LOG_ST!I7="","",VLOOKUP(LOG_ST!I7,DATA_COP,2,FALSE))</f>
        <v>ESSIG RAOUL</v>
      </c>
      <c r="F8" s="573">
        <f>IF(LOG_ST!J7="","",LOG_ST!J7)</f>
        <v>0.4236111111111111</v>
      </c>
      <c r="G8" s="570" t="str">
        <f>IF(LOG_ST!K7="","",VLOOKUP(LOG_ST!K7,DATA_SCIES,2,FALSE))</f>
        <v>AIR FRANCE</v>
      </c>
      <c r="H8" s="570" t="str">
        <f>IF(LOG_ST!L7="","",VLOOKUP(LOG_ST!L7,DATA_ST!$U$7:$V$64,2,FALSE))</f>
        <v>A321</v>
      </c>
      <c r="I8" s="570" t="str">
        <f>IF(LOG_ST!M7="","",LOG_ST!M7)</f>
        <v>FGMZC</v>
      </c>
      <c r="J8" s="570" t="str">
        <f>IF(LOG_ST!N7="","",LOG_ST!N7)</f>
        <v>48A</v>
      </c>
      <c r="K8" s="573">
        <f>IF(LOG_ST!O7="","",LOG_ST!O7)</f>
        <v>0.4284722222222222</v>
      </c>
      <c r="L8" s="573">
        <f>IF(LOG_ST!P7="","",LOG_ST!P7)</f>
        <v>0.46666666666666662</v>
      </c>
      <c r="M8" s="574" t="str">
        <f>IF($L8="","",IF(LOG_ST!Q7=1,"OK",IF(LOG_ST!Q7=2,"NR",IF(OR(LOG_ST!Q7=0,LOG_ST!Q7="X"),"N/A"))))</f>
        <v>OK</v>
      </c>
      <c r="N8" s="574" t="str">
        <f>IF($L8="","",IF(LOG_ST!R7=1,"OK",IF(LOG_ST!R7=2,"NR",IF(OR(LOG_ST!R7=0,LOG_ST!R7="X"),"N/A"))))</f>
        <v>OK</v>
      </c>
      <c r="O8" s="574" t="str">
        <f>IF($L8="","",IF(LOG_ST!S7=1,"OK",IF(LOG_ST!S7=2,"NR",IF(OR(LOG_ST!S7=0,LOG_ST!S7="X"),"N/A"))))</f>
        <v>OK</v>
      </c>
      <c r="P8" s="574" t="str">
        <f>IF($L8="","",IF(LOG_ST!T7=1,"OK",IF(LOG_ST!T7=2,"NR",IF(OR(LOG_ST!T7=0,LOG_ST!T7="X"),"N/A"))))</f>
        <v>OK</v>
      </c>
      <c r="Q8" s="574" t="str">
        <f>IF($L8="","",IF(LOG_ST!U7=1,"OK",IF(LOG_ST!U7=2,"NR",IF(OR(LOG_ST!U7=0,LOG_ST!U7="X"),"N/A"))))</f>
        <v>OK</v>
      </c>
      <c r="R8" s="574" t="str">
        <f>IF($L8="","",IF(LOG_ST!V7=1,"OK",IF(LOG_ST!V7=2,"NR",IF(OR(LOG_ST!V7=0,LOG_ST!V7="X"),"N/A"))))</f>
        <v>OK</v>
      </c>
      <c r="S8" s="574" t="str">
        <f>IF($L8="","",IF(LOG_ST!W7=1,"OK",IF(LOG_ST!W7=2,"NR",IF(OR(LOG_ST!W7=0,LOG_ST!W7="X"),"N/A"))))</f>
        <v>OK</v>
      </c>
      <c r="T8" s="574" t="str">
        <f>IF($L8="","",IF(LOG_ST!X7=1,"OK",IF(LOG_ST!X7=2,"NR",IF(OR(LOG_ST!X7=0,LOG_ST!X7="X"),"N/A"))))</f>
        <v>OK</v>
      </c>
      <c r="U8" s="574" t="str">
        <f>IF($L8="","",IF(LOG_ST!Y7=1,"OK",IF(LOG_ST!Y7=2,"NR",IF(OR(LOG_ST!Y7=0,LOG_ST!Y7="X"),"N/A"))))</f>
        <v>OK</v>
      </c>
      <c r="V8" s="574" t="str">
        <f>IF($L8="","",IF(LOG_ST!Z7=1,"OK",IF(LOG_ST!Z7=2,"NR",IF(OR(LOG_ST!Z7=0,LOG_ST!Z7="X"),"N/A"))))</f>
        <v>OK</v>
      </c>
      <c r="W8" s="574" t="str">
        <f>IF($L8="","",IF(LOG_ST!AA7=1,"OK",IF(LOG_ST!AA7=2,"NR",IF(OR(LOG_ST!AA7=0,LOG_ST!AA7="X"),"N/A"))))</f>
        <v>OK</v>
      </c>
      <c r="X8" s="574" t="str">
        <f>IF($L8="","",IF(LOG_ST!AB7=1,"OK",IF(LOG_ST!AB7=2,"NR",IF(OR(LOG_ST!AB7=0,LOG_ST!AB7="X"),"N/A"))))</f>
        <v>OK</v>
      </c>
      <c r="Y8" s="574" t="str">
        <f>IF($L8="","",IF(LOG_ST!AC7=1,"OK",IF(LOG_ST!AC7=2,"NR",IF(OR(LOG_ST!AC7=0,LOG_ST!AC7="X"),"N/A"))))</f>
        <v>OK</v>
      </c>
      <c r="Z8" s="574">
        <f>IF($L8="","",IF(OR(LOG_ST!AD7=0,LOG_ST!AD7="X"),"N/A",LOG_ST!AD7))</f>
        <v>2</v>
      </c>
      <c r="AA8" s="574" t="str">
        <f>IF($L8="","",IF(LOG_ST!AE7=1,"OK",IF(LOG_ST!AE7=2,"NR",IF(OR(LOG_ST!AE7=0,LOG_ST!AE7="X"),"N/A"))))</f>
        <v>N/A</v>
      </c>
      <c r="AB8" s="574" t="str">
        <f>IF($L8="","",IF(LOG_ST!AF7=1,"OK",IF(LOG_ST!AF7=2,"NR",IF(OR(LOG_ST!AF7=0,LOG_ST!AF7="X"),"N/A"))))</f>
        <v>N/A</v>
      </c>
      <c r="AC8" s="574" t="str">
        <f>IF($L8="","",IF(LOG_ST!AG7=1,"OK",IF(LOG_ST!AG7=2,"NR",IF(OR(LOG_ST!AG7=0,LOG_ST!AG7="X"),"N/A"))))</f>
        <v>OK</v>
      </c>
      <c r="AD8" s="574">
        <f>IF($L8="","",IF(OR(LOG_ST!AH7=0,LOG_ST!AH7="X"),"N/A",LOG_ST!AH7))</f>
        <v>15</v>
      </c>
      <c r="AE8" s="574" t="str">
        <f>IF($L8="","",IF(LOG_ST!AI7=1,"OK",IF(LOG_ST!AI7=2,"NR",IF(OR(LOG_ST!AI7=0,LOG_ST!AI7="X"),"N/A"))))</f>
        <v>N/A</v>
      </c>
      <c r="AF8" s="574" t="str">
        <f>IF($L8="","",IF(LOG_ST!AJ7=1,"OK",IF(LOG_ST!AJ7=2,"NR",IF(OR(LOG_ST!AJ7=0,LOG_ST!AJ7="X"),"N/A"))))</f>
        <v>N/A</v>
      </c>
      <c r="AG8" s="574" t="str">
        <f>IF($L8="","",IF(LOG_ST!AK7=1,"OK",IF(LOG_ST!AK7=2,"NR",IF(OR(LOG_ST!AK7=0,LOG_ST!AK7="X"),"N/A"))))</f>
        <v>N/A</v>
      </c>
      <c r="AH8" s="574" t="str">
        <f>IF($L8="","",IF(LOG_ST!AL7=1,"OK",IF(LOG_ST!AL7=2,"NR",IF(OR(LOG_ST!AL7=0,LOG_ST!AL7="X"),"N/A"))))</f>
        <v>N/A</v>
      </c>
      <c r="AI8" s="574" t="str">
        <f>IF($L8="","",IF(LOG_ST!AM7=1,"OK",IF(LOG_ST!AM7=2,"NR",IF(OR(LOG_ST!AM7=0,LOG_ST!AM7="X"),"N/A"))))</f>
        <v>OK</v>
      </c>
      <c r="AJ8" s="574" t="str">
        <f>IF($L8="","",IF(LOG_ST!AN7=1,"OK",IF(LOG_ST!AN7=2,"NR",IF(OR(LOG_ST!AN7=0,LOG_ST!AN7="X"),"N/A"))))</f>
        <v>OK</v>
      </c>
      <c r="AK8" s="574" t="str">
        <f>IF($L8="","",IF(LOG_ST!AO7=1,"OK",IF(LOG_ST!AO7=2,"NR",IF(OR(LOG_ST!AO7=0,LOG_ST!AO7="X"),"N/A"))))</f>
        <v>OK</v>
      </c>
      <c r="AL8" s="574" t="str">
        <f>IF($L8="","",IF(LOG_ST!AP7=1,"OK",IF(LOG_ST!AP7=2,"NR",IF(OR(LOG_ST!AP7=0,LOG_ST!AP7="X"),"N/A"))))</f>
        <v>OK</v>
      </c>
      <c r="AM8" s="574" t="str">
        <f>IF($L8="","",IF(LOG_ST!AQ7=1,"OK",IF(LOG_ST!AQ7=2,"NR",IF(OR(LOG_ST!AQ7=0,LOG_ST!AQ7="X"),"N/A"))))</f>
        <v>OK</v>
      </c>
      <c r="AN8" s="550">
        <f t="shared" ref="AN8:AN71" si="0">IF($L8="","",COUNTIF(M8:AM8,"NR"))</f>
        <v>0</v>
      </c>
    </row>
    <row r="9" spans="2:40" x14ac:dyDescent="0.25">
      <c r="B9" s="551" t="str">
        <f>IF(LOG_ST!F8="","",VLOOKUP(LOG_ST!F8,DATA_BASE!$A$46:$C$57,2,FALSE))</f>
        <v>JANVIER</v>
      </c>
      <c r="C9" s="570" t="str">
        <f>IF(LOG_ST!G8="","",VLOOKUP(LOG_ST!G8,DATA_HDG,2,FALSE))</f>
        <v>AVP</v>
      </c>
      <c r="D9" s="571">
        <f>IF(LOG_ST!H8="","",LOG_ST!H8)</f>
        <v>45666</v>
      </c>
      <c r="E9" s="572" t="str">
        <f>IF(LOG_ST!I8="","",VLOOKUP(LOG_ST!I8,DATA_COP,2,FALSE))</f>
        <v>BOUET RICHARD</v>
      </c>
      <c r="F9" s="573">
        <f>IF(LOG_ST!J8="","",LOG_ST!J8)</f>
        <v>0.41666666666666669</v>
      </c>
      <c r="G9" s="570" t="str">
        <f>IF(LOG_ST!K8="","",VLOOKUP(LOG_ST!K8,DATA_SCIES,2,FALSE))</f>
        <v>FINNAIR</v>
      </c>
      <c r="H9" s="570" t="str">
        <f>IF(LOG_ST!L8="","",VLOOKUP(LOG_ST!L8,DATA_ST!$U$7:$V$64,2,FALSE))</f>
        <v>A320</v>
      </c>
      <c r="I9" s="570" t="str">
        <f>IF(LOG_ST!M8="","",LOG_ST!M8)</f>
        <v>OHLXK</v>
      </c>
      <c r="J9" s="570" t="str">
        <f>IF(LOG_ST!N8="","",LOG_ST!N8)</f>
        <v>48A</v>
      </c>
      <c r="K9" s="573">
        <f>IF(LOG_ST!O8="","",LOG_ST!O8)</f>
        <v>0.42638888888888887</v>
      </c>
      <c r="L9" s="573">
        <f>IF(LOG_ST!P8="","",LOG_ST!P8)</f>
        <v>0.45902777777777781</v>
      </c>
      <c r="M9" s="574" t="str">
        <f>IF($L9="","",IF(LOG_ST!Q8=1,"OK",IF(LOG_ST!Q8=2,"NR",IF(OR(LOG_ST!Q8=0,LOG_ST!Q8="X"),"N/A"))))</f>
        <v>OK</v>
      </c>
      <c r="N9" s="574" t="str">
        <f>IF($L9="","",IF(LOG_ST!R8=1,"OK",IF(LOG_ST!R8=2,"NR",IF(OR(LOG_ST!R8=0,LOG_ST!R8="X"),"N/A"))))</f>
        <v>OK</v>
      </c>
      <c r="O9" s="574" t="str">
        <f>IF($L9="","",IF(LOG_ST!S8=1,"OK",IF(LOG_ST!S8=2,"NR",IF(OR(LOG_ST!S8=0,LOG_ST!S8="X"),"N/A"))))</f>
        <v>OK</v>
      </c>
      <c r="P9" s="574" t="str">
        <f>IF($L9="","",IF(LOG_ST!T8=1,"OK",IF(LOG_ST!T8=2,"NR",IF(OR(LOG_ST!T8=0,LOG_ST!T8="X"),"N/A"))))</f>
        <v>OK</v>
      </c>
      <c r="Q9" s="574" t="str">
        <f>IF($L9="","",IF(LOG_ST!U8=1,"OK",IF(LOG_ST!U8=2,"NR",IF(OR(LOG_ST!U8=0,LOG_ST!U8="X"),"N/A"))))</f>
        <v>OK</v>
      </c>
      <c r="R9" s="574" t="str">
        <f>IF($L9="","",IF(LOG_ST!V8=1,"OK",IF(LOG_ST!V8=2,"NR",IF(OR(LOG_ST!V8=0,LOG_ST!V8="X"),"N/A"))))</f>
        <v>OK</v>
      </c>
      <c r="S9" s="574" t="str">
        <f>IF($L9="","",IF(LOG_ST!W8=1,"OK",IF(LOG_ST!W8=2,"NR",IF(OR(LOG_ST!W8=0,LOG_ST!W8="X"),"N/A"))))</f>
        <v>OK</v>
      </c>
      <c r="T9" s="574" t="str">
        <f>IF($L9="","",IF(LOG_ST!X8=1,"OK",IF(LOG_ST!X8=2,"NR",IF(OR(LOG_ST!X8=0,LOG_ST!X8="X"),"N/A"))))</f>
        <v>OK</v>
      </c>
      <c r="U9" s="574" t="str">
        <f>IF($L9="","",IF(LOG_ST!Y8=1,"OK",IF(LOG_ST!Y8=2,"NR",IF(OR(LOG_ST!Y8=0,LOG_ST!Y8="X"),"N/A"))))</f>
        <v>OK</v>
      </c>
      <c r="V9" s="574" t="str">
        <f>IF($L9="","",IF(LOG_ST!Z8=1,"OK",IF(LOG_ST!Z8=2,"NR",IF(OR(LOG_ST!Z8=0,LOG_ST!Z8="X"),"N/A"))))</f>
        <v>OK</v>
      </c>
      <c r="W9" s="574" t="str">
        <f>IF($L9="","",IF(LOG_ST!AA8=1,"OK",IF(LOG_ST!AA8=2,"NR",IF(OR(LOG_ST!AA8=0,LOG_ST!AA8="X"),"N/A"))))</f>
        <v>OK</v>
      </c>
      <c r="X9" s="574" t="str">
        <f>IF($L9="","",IF(LOG_ST!AB8=1,"OK",IF(LOG_ST!AB8=2,"NR",IF(OR(LOG_ST!AB8=0,LOG_ST!AB8="X"),"N/A"))))</f>
        <v>OK</v>
      </c>
      <c r="Y9" s="574" t="str">
        <f>IF($L9="","",IF(LOG_ST!AC8=1,"OK",IF(LOG_ST!AC8=2,"NR",IF(OR(LOG_ST!AC8=0,LOG_ST!AC8="X"),"N/A"))))</f>
        <v>OK</v>
      </c>
      <c r="Z9" s="574" t="str">
        <f>IF($L9="","",IF(OR(LOG_ST!AD8=0,LOG_ST!AD8="X"),"N/A",LOG_ST!AD8))</f>
        <v>N/A</v>
      </c>
      <c r="AA9" s="574" t="str">
        <f>IF($L9="","",IF(LOG_ST!AE8=1,"OK",IF(LOG_ST!AE8=2,"NR",IF(OR(LOG_ST!AE8=0,LOG_ST!AE8="X"),"N/A"))))</f>
        <v>N/A</v>
      </c>
      <c r="AB9" s="574" t="str">
        <f>IF($L9="","",IF(LOG_ST!AF8=1,"OK",IF(LOG_ST!AF8=2,"NR",IF(OR(LOG_ST!AF8=0,LOG_ST!AF8="X"),"N/A"))))</f>
        <v>N/A</v>
      </c>
      <c r="AC9" s="574" t="str">
        <f>IF($L9="","",IF(LOG_ST!AG8=1,"OK",IF(LOG_ST!AG8=2,"NR",IF(OR(LOG_ST!AG8=0,LOG_ST!AG8="X"),"N/A"))))</f>
        <v>OK</v>
      </c>
      <c r="AD9" s="574">
        <f>IF($L9="","",IF(OR(LOG_ST!AH8=0,LOG_ST!AH8="X"),"N/A",LOG_ST!AH8))</f>
        <v>6</v>
      </c>
      <c r="AE9" s="574" t="str">
        <f>IF($L9="","",IF(LOG_ST!AI8=1,"OK",IF(LOG_ST!AI8=2,"NR",IF(OR(LOG_ST!AI8=0,LOG_ST!AI8="X"),"N/A"))))</f>
        <v>N/A</v>
      </c>
      <c r="AF9" s="574" t="str">
        <f>IF($L9="","",IF(LOG_ST!AJ8=1,"OK",IF(LOG_ST!AJ8=2,"NR",IF(OR(LOG_ST!AJ8=0,LOG_ST!AJ8="X"),"N/A"))))</f>
        <v>N/A</v>
      </c>
      <c r="AG9" s="574" t="str">
        <f>IF($L9="","",IF(LOG_ST!AK8=1,"OK",IF(LOG_ST!AK8=2,"NR",IF(OR(LOG_ST!AK8=0,LOG_ST!AK8="X"),"N/A"))))</f>
        <v>N/A</v>
      </c>
      <c r="AH9" s="574" t="str">
        <f>IF($L9="","",IF(LOG_ST!AL8=1,"OK",IF(LOG_ST!AL8=2,"NR",IF(OR(LOG_ST!AL8=0,LOG_ST!AL8="X"),"N/A"))))</f>
        <v>N/A</v>
      </c>
      <c r="AI9" s="574" t="str">
        <f>IF($L9="","",IF(LOG_ST!AM8=1,"OK",IF(LOG_ST!AM8=2,"NR",IF(OR(LOG_ST!AM8=0,LOG_ST!AM8="X"),"N/A"))))</f>
        <v>OK</v>
      </c>
      <c r="AJ9" s="574" t="str">
        <f>IF($L9="","",IF(LOG_ST!AN8=1,"OK",IF(LOG_ST!AN8=2,"NR",IF(OR(LOG_ST!AN8=0,LOG_ST!AN8="X"),"N/A"))))</f>
        <v>OK</v>
      </c>
      <c r="AK9" s="574" t="str">
        <f>IF($L9="","",IF(LOG_ST!AO8=1,"OK",IF(LOG_ST!AO8=2,"NR",IF(OR(LOG_ST!AO8=0,LOG_ST!AO8="X"),"N/A"))))</f>
        <v>OK</v>
      </c>
      <c r="AL9" s="574" t="str">
        <f>IF($L9="","",IF(LOG_ST!AP8=1,"OK",IF(LOG_ST!AP8=2,"NR",IF(OR(LOG_ST!AP8=0,LOG_ST!AP8="X"),"N/A"))))</f>
        <v>OK</v>
      </c>
      <c r="AM9" s="574" t="str">
        <f>IF($L9="","",IF(LOG_ST!AQ8=1,"OK",IF(LOG_ST!AQ8=2,"NR",IF(OR(LOG_ST!AQ8=0,LOG_ST!AQ8="X"),"N/A"))))</f>
        <v>OK</v>
      </c>
      <c r="AN9" s="550">
        <f t="shared" si="0"/>
        <v>0</v>
      </c>
    </row>
    <row r="10" spans="2:40" x14ac:dyDescent="0.25">
      <c r="B10" s="551" t="str">
        <f>IF(LOG_ST!F9="","",VLOOKUP(LOG_ST!F9,DATA_BASE!$A$46:$C$57,2,FALSE))</f>
        <v>JANVIER</v>
      </c>
      <c r="C10" s="570" t="str">
        <f>IF(LOG_ST!G9="","",VLOOKUP(LOG_ST!G9,DATA_HDG,2,FALSE))</f>
        <v>AVP</v>
      </c>
      <c r="D10" s="571">
        <f>IF(LOG_ST!H9="","",LOG_ST!H9)</f>
        <v>45667</v>
      </c>
      <c r="E10" s="572" t="str">
        <f>IF(LOG_ST!I9="","",VLOOKUP(LOG_ST!I9,DATA_COP,2,FALSE))</f>
        <v>BARRE LIONEL</v>
      </c>
      <c r="F10" s="573">
        <f>IF(LOG_ST!J9="","",LOG_ST!J9)</f>
        <v>0.44791666666666669</v>
      </c>
      <c r="G10" s="570" t="str">
        <f>IF(LOG_ST!K9="","",VLOOKUP(LOG_ST!K9,DATA_SCIES,2,FALSE))</f>
        <v>AEGEAN</v>
      </c>
      <c r="H10" s="570" t="str">
        <f>IF(LOG_ST!L9="","",VLOOKUP(LOG_ST!L9,DATA_ST!$U$7:$V$64,2,FALSE))</f>
        <v>A320</v>
      </c>
      <c r="I10" s="570" t="str">
        <f>IF(LOG_ST!M9="","",LOG_ST!M9)</f>
        <v>SXNEL</v>
      </c>
      <c r="J10" s="570" t="str">
        <f>IF(LOG_ST!N9="","",LOG_ST!N9)</f>
        <v>12A</v>
      </c>
      <c r="K10" s="573">
        <f>IF(LOG_ST!O9="","",LOG_ST!O9)</f>
        <v>0.44930555555555557</v>
      </c>
      <c r="L10" s="573">
        <f>IF(LOG_ST!P9="","",LOG_ST!P9)</f>
        <v>0.48888888888888887</v>
      </c>
      <c r="M10" s="574" t="str">
        <f>IF($L10="","",IF(LOG_ST!Q9=1,"OK",IF(LOG_ST!Q9=2,"NR",IF(OR(LOG_ST!Q9=0,LOG_ST!Q9="X"),"N/A"))))</f>
        <v>OK</v>
      </c>
      <c r="N10" s="574" t="str">
        <f>IF($L10="","",IF(LOG_ST!R9=1,"OK",IF(LOG_ST!R9=2,"NR",IF(OR(LOG_ST!R9=0,LOG_ST!R9="X"),"N/A"))))</f>
        <v>OK</v>
      </c>
      <c r="O10" s="574" t="str">
        <f>IF($L10="","",IF(LOG_ST!S9=1,"OK",IF(LOG_ST!S9=2,"NR",IF(OR(LOG_ST!S9=0,LOG_ST!S9="X"),"N/A"))))</f>
        <v>OK</v>
      </c>
      <c r="P10" s="574" t="str">
        <f>IF($L10="","",IF(LOG_ST!T9=1,"OK",IF(LOG_ST!T9=2,"NR",IF(OR(LOG_ST!T9=0,LOG_ST!T9="X"),"N/A"))))</f>
        <v>OK</v>
      </c>
      <c r="Q10" s="574" t="str">
        <f>IF($L10="","",IF(LOG_ST!U9=1,"OK",IF(LOG_ST!U9=2,"NR",IF(OR(LOG_ST!U9=0,LOG_ST!U9="X"),"N/A"))))</f>
        <v>OK</v>
      </c>
      <c r="R10" s="574" t="str">
        <f>IF($L10="","",IF(LOG_ST!V9=1,"OK",IF(LOG_ST!V9=2,"NR",IF(OR(LOG_ST!V9=0,LOG_ST!V9="X"),"N/A"))))</f>
        <v>OK</v>
      </c>
      <c r="S10" s="574" t="str">
        <f>IF($L10="","",IF(LOG_ST!W9=1,"OK",IF(LOG_ST!W9=2,"NR",IF(OR(LOG_ST!W9=0,LOG_ST!W9="X"),"N/A"))))</f>
        <v>OK</v>
      </c>
      <c r="T10" s="574" t="str">
        <f>IF($L10="","",IF(LOG_ST!X9=1,"OK",IF(LOG_ST!X9=2,"NR",IF(OR(LOG_ST!X9=0,LOG_ST!X9="X"),"N/A"))))</f>
        <v>OK</v>
      </c>
      <c r="U10" s="574" t="str">
        <f>IF($L10="","",IF(LOG_ST!Y9=1,"OK",IF(LOG_ST!Y9=2,"NR",IF(OR(LOG_ST!Y9=0,LOG_ST!Y9="X"),"N/A"))))</f>
        <v>OK</v>
      </c>
      <c r="V10" s="574" t="str">
        <f>IF($L10="","",IF(LOG_ST!Z9=1,"OK",IF(LOG_ST!Z9=2,"NR",IF(OR(LOG_ST!Z9=0,LOG_ST!Z9="X"),"N/A"))))</f>
        <v>OK</v>
      </c>
      <c r="W10" s="574" t="str">
        <f>IF($L10="","",IF(LOG_ST!AA9=1,"OK",IF(LOG_ST!AA9=2,"NR",IF(OR(LOG_ST!AA9=0,LOG_ST!AA9="X"),"N/A"))))</f>
        <v>OK</v>
      </c>
      <c r="X10" s="574" t="str">
        <f>IF($L10="","",IF(LOG_ST!AB9=1,"OK",IF(LOG_ST!AB9=2,"NR",IF(OR(LOG_ST!AB9=0,LOG_ST!AB9="X"),"N/A"))))</f>
        <v>OK</v>
      </c>
      <c r="Y10" s="574" t="str">
        <f>IF($L10="","",IF(LOG_ST!AC9=1,"OK",IF(LOG_ST!AC9=2,"NR",IF(OR(LOG_ST!AC9=0,LOG_ST!AC9="X"),"N/A"))))</f>
        <v>OK</v>
      </c>
      <c r="Z10" s="574">
        <f>IF($L10="","",IF(OR(LOG_ST!AD9=0,LOG_ST!AD9="X"),"N/A",LOG_ST!AD9))</f>
        <v>5</v>
      </c>
      <c r="AA10" s="574" t="str">
        <f>IF($L10="","",IF(LOG_ST!AE9=1,"OK",IF(LOG_ST!AE9=2,"NR",IF(OR(LOG_ST!AE9=0,LOG_ST!AE9="X"),"N/A"))))</f>
        <v>N/A</v>
      </c>
      <c r="AB10" s="574" t="str">
        <f>IF($L10="","",IF(LOG_ST!AF9=1,"OK",IF(LOG_ST!AF9=2,"NR",IF(OR(LOG_ST!AF9=0,LOG_ST!AF9="X"),"N/A"))))</f>
        <v>N/A</v>
      </c>
      <c r="AC10" s="574" t="str">
        <f>IF($L10="","",IF(LOG_ST!AG9=1,"OK",IF(LOG_ST!AG9=2,"NR",IF(OR(LOG_ST!AG9=0,LOG_ST!AG9="X"),"N/A"))))</f>
        <v>OK</v>
      </c>
      <c r="AD10" s="574" t="str">
        <f>IF($L10="","",IF(OR(LOG_ST!AH9=0,LOG_ST!AH9="X"),"N/A",LOG_ST!AH9))</f>
        <v>N/A</v>
      </c>
      <c r="AE10" s="574" t="str">
        <f>IF($L10="","",IF(LOG_ST!AI9=1,"OK",IF(LOG_ST!AI9=2,"NR",IF(OR(LOG_ST!AI9=0,LOG_ST!AI9="X"),"N/A"))))</f>
        <v>N/A</v>
      </c>
      <c r="AF10" s="574" t="str">
        <f>IF($L10="","",IF(LOG_ST!AJ9=1,"OK",IF(LOG_ST!AJ9=2,"NR",IF(OR(LOG_ST!AJ9=0,LOG_ST!AJ9="X"),"N/A"))))</f>
        <v>N/A</v>
      </c>
      <c r="AG10" s="574" t="str">
        <f>IF($L10="","",IF(LOG_ST!AK9=1,"OK",IF(LOG_ST!AK9=2,"NR",IF(OR(LOG_ST!AK9=0,LOG_ST!AK9="X"),"N/A"))))</f>
        <v>N/A</v>
      </c>
      <c r="AH10" s="574" t="str">
        <f>IF($L10="","",IF(LOG_ST!AL9=1,"OK",IF(LOG_ST!AL9=2,"NR",IF(OR(LOG_ST!AL9=0,LOG_ST!AL9="X"),"N/A"))))</f>
        <v>N/A</v>
      </c>
      <c r="AI10" s="574" t="str">
        <f>IF($L10="","",IF(LOG_ST!AM9=1,"OK",IF(LOG_ST!AM9=2,"NR",IF(OR(LOG_ST!AM9=0,LOG_ST!AM9="X"),"N/A"))))</f>
        <v>OK</v>
      </c>
      <c r="AJ10" s="574" t="str">
        <f>IF($L10="","",IF(LOG_ST!AN9=1,"OK",IF(LOG_ST!AN9=2,"NR",IF(OR(LOG_ST!AN9=0,LOG_ST!AN9="X"),"N/A"))))</f>
        <v>OK</v>
      </c>
      <c r="AK10" s="574" t="str">
        <f>IF($L10="","",IF(LOG_ST!AO9=1,"OK",IF(LOG_ST!AO9=2,"NR",IF(OR(LOG_ST!AO9=0,LOG_ST!AO9="X"),"N/A"))))</f>
        <v>OK</v>
      </c>
      <c r="AL10" s="574" t="str">
        <f>IF($L10="","",IF(LOG_ST!AP9=1,"OK",IF(LOG_ST!AP9=2,"NR",IF(OR(LOG_ST!AP9=0,LOG_ST!AP9="X"),"N/A"))))</f>
        <v>OK</v>
      </c>
      <c r="AM10" s="574" t="str">
        <f>IF($L10="","",IF(LOG_ST!AQ9=1,"OK",IF(LOG_ST!AQ9=2,"NR",IF(OR(LOG_ST!AQ9=0,LOG_ST!AQ9="X"),"N/A"))))</f>
        <v>OK</v>
      </c>
      <c r="AN10" s="550">
        <f t="shared" si="0"/>
        <v>0</v>
      </c>
    </row>
    <row r="11" spans="2:40" x14ac:dyDescent="0.25">
      <c r="B11" s="551" t="str">
        <f>IF(LOG_ST!F10="","",VLOOKUP(LOG_ST!F10,DATA_BASE!$A$46:$C$57,2,FALSE))</f>
        <v>JANVIER</v>
      </c>
      <c r="C11" s="570" t="str">
        <f>IF(LOG_ST!G10="","",VLOOKUP(LOG_ST!G10,DATA_HDG,2,FALSE))</f>
        <v>MZS</v>
      </c>
      <c r="D11" s="571">
        <f>IF(LOG_ST!H10="","",LOG_ST!H10)</f>
        <v>45671</v>
      </c>
      <c r="E11" s="572" t="str">
        <f>IF(LOG_ST!I10="","",VLOOKUP(LOG_ST!I10,DATA_COP,2,FALSE))</f>
        <v>MIEDZINSKA MATYLDA</v>
      </c>
      <c r="F11" s="573">
        <f>IF(LOG_ST!J10="","",LOG_ST!J10)</f>
        <v>0.29166666666666669</v>
      </c>
      <c r="G11" s="570" t="str">
        <f>IF(LOG_ST!K10="","",VLOOKUP(LOG_ST!K10,DATA_SCIES,2,FALSE))</f>
        <v>WIZZAIR</v>
      </c>
      <c r="H11" s="570" t="str">
        <f>IF(LOG_ST!L10="","",VLOOKUP(LOG_ST!L10,DATA_ST!$U$7:$V$64,2,FALSE))</f>
        <v>A321</v>
      </c>
      <c r="I11" s="570" t="str">
        <f>IF(LOG_ST!M10="","",LOG_ST!M10)</f>
        <v>9HWZD</v>
      </c>
      <c r="J11" s="570" t="str">
        <f>IF(LOG_ST!N10="","",LOG_ST!N10)</f>
        <v>46A</v>
      </c>
      <c r="K11" s="573">
        <f>IF(LOG_ST!O10="","",LOG_ST!O10)</f>
        <v>0.29791666666666666</v>
      </c>
      <c r="L11" s="573">
        <f>IF(LOG_ST!P10="","",LOG_ST!P10)</f>
        <v>0.35416666666666669</v>
      </c>
      <c r="M11" s="574" t="str">
        <f>IF($L11="","",IF(LOG_ST!Q10=1,"OK",IF(LOG_ST!Q10=2,"NR",IF(OR(LOG_ST!Q10=0,LOG_ST!Q10="X"),"N/A"))))</f>
        <v>OK</v>
      </c>
      <c r="N11" s="574" t="str">
        <f>IF($L11="","",IF(LOG_ST!R10=1,"OK",IF(LOG_ST!R10=2,"NR",IF(OR(LOG_ST!R10=0,LOG_ST!R10="X"),"N/A"))))</f>
        <v>OK</v>
      </c>
      <c r="O11" s="574" t="str">
        <f>IF($L11="","",IF(LOG_ST!S10=1,"OK",IF(LOG_ST!S10=2,"NR",IF(OR(LOG_ST!S10=0,LOG_ST!S10="X"),"N/A"))))</f>
        <v>OK</v>
      </c>
      <c r="P11" s="574" t="str">
        <f>IF($L11="","",IF(LOG_ST!T10=1,"OK",IF(LOG_ST!T10=2,"NR",IF(OR(LOG_ST!T10=0,LOG_ST!T10="X"),"N/A"))))</f>
        <v>OK</v>
      </c>
      <c r="Q11" s="574" t="str">
        <f>IF($L11="","",IF(LOG_ST!U10=1,"OK",IF(LOG_ST!U10=2,"NR",IF(OR(LOG_ST!U10=0,LOG_ST!U10="X"),"N/A"))))</f>
        <v>OK</v>
      </c>
      <c r="R11" s="574" t="str">
        <f>IF($L11="","",IF(LOG_ST!V10=1,"OK",IF(LOG_ST!V10=2,"NR",IF(OR(LOG_ST!V10=0,LOG_ST!V10="X"),"N/A"))))</f>
        <v>OK</v>
      </c>
      <c r="S11" s="574" t="str">
        <f>IF($L11="","",IF(LOG_ST!W10=1,"OK",IF(LOG_ST!W10=2,"NR",IF(OR(LOG_ST!W10=0,LOG_ST!W10="X"),"N/A"))))</f>
        <v>OK</v>
      </c>
      <c r="T11" s="574" t="str">
        <f>IF($L11="","",IF(LOG_ST!X10=1,"OK",IF(LOG_ST!X10=2,"NR",IF(OR(LOG_ST!X10=0,LOG_ST!X10="X"),"N/A"))))</f>
        <v>OK</v>
      </c>
      <c r="U11" s="574" t="str">
        <f>IF($L11="","",IF(LOG_ST!Y10=1,"OK",IF(LOG_ST!Y10=2,"NR",IF(OR(LOG_ST!Y10=0,LOG_ST!Y10="X"),"N/A"))))</f>
        <v>OK</v>
      </c>
      <c r="V11" s="574" t="str">
        <f>IF($L11="","",IF(LOG_ST!Z10=1,"OK",IF(LOG_ST!Z10=2,"NR",IF(OR(LOG_ST!Z10=0,LOG_ST!Z10="X"),"N/A"))))</f>
        <v>OK</v>
      </c>
      <c r="W11" s="574" t="str">
        <f>IF($L11="","",IF(LOG_ST!AA10=1,"OK",IF(LOG_ST!AA10=2,"NR",IF(OR(LOG_ST!AA10=0,LOG_ST!AA10="X"),"N/A"))))</f>
        <v>OK</v>
      </c>
      <c r="X11" s="574" t="str">
        <f>IF($L11="","",IF(LOG_ST!AB10=1,"OK",IF(LOG_ST!AB10=2,"NR",IF(OR(LOG_ST!AB10=0,LOG_ST!AB10="X"),"N/A"))))</f>
        <v>OK</v>
      </c>
      <c r="Y11" s="574" t="str">
        <f>IF($L11="","",IF(LOG_ST!AC10=1,"OK",IF(LOG_ST!AC10=2,"NR",IF(OR(LOG_ST!AC10=0,LOG_ST!AC10="X"),"N/A"))))</f>
        <v>OK</v>
      </c>
      <c r="Z11" s="574">
        <f>IF($L11="","",IF(OR(LOG_ST!AD10=0,LOG_ST!AD10="X"),"N/A",LOG_ST!AD10))</f>
        <v>2</v>
      </c>
      <c r="AA11" s="574" t="str">
        <f>IF($L11="","",IF(LOG_ST!AE10=1,"OK",IF(LOG_ST!AE10=2,"NR",IF(OR(LOG_ST!AE10=0,LOG_ST!AE10="X"),"N/A"))))</f>
        <v>N/A</v>
      </c>
      <c r="AB11" s="574" t="str">
        <f>IF($L11="","",IF(LOG_ST!AF10=1,"OK",IF(LOG_ST!AF10=2,"NR",IF(OR(LOG_ST!AF10=0,LOG_ST!AF10="X"),"N/A"))))</f>
        <v>N/A</v>
      </c>
      <c r="AC11" s="574" t="str">
        <f>IF($L11="","",IF(LOG_ST!AG10=1,"OK",IF(LOG_ST!AG10=2,"NR",IF(OR(LOG_ST!AG10=0,LOG_ST!AG10="X"),"N/A"))))</f>
        <v>OK</v>
      </c>
      <c r="AD11" s="574" t="str">
        <f>IF($L11="","",IF(OR(LOG_ST!AH10=0,LOG_ST!AH10="X"),"N/A",LOG_ST!AH10))</f>
        <v>N/A</v>
      </c>
      <c r="AE11" s="574" t="str">
        <f>IF($L11="","",IF(LOG_ST!AI10=1,"OK",IF(LOG_ST!AI10=2,"NR",IF(OR(LOG_ST!AI10=0,LOG_ST!AI10="X"),"N/A"))))</f>
        <v>N/A</v>
      </c>
      <c r="AF11" s="574" t="str">
        <f>IF($L11="","",IF(LOG_ST!AJ10=1,"OK",IF(LOG_ST!AJ10=2,"NR",IF(OR(LOG_ST!AJ10=0,LOG_ST!AJ10="X"),"N/A"))))</f>
        <v>N/A</v>
      </c>
      <c r="AG11" s="574" t="str">
        <f>IF($L11="","",IF(LOG_ST!AK10=1,"OK",IF(LOG_ST!AK10=2,"NR",IF(OR(LOG_ST!AK10=0,LOG_ST!AK10="X"),"N/A"))))</f>
        <v>N/A</v>
      </c>
      <c r="AH11" s="574" t="str">
        <f>IF($L11="","",IF(LOG_ST!AL10=1,"OK",IF(LOG_ST!AL10=2,"NR",IF(OR(LOG_ST!AL10=0,LOG_ST!AL10="X"),"N/A"))))</f>
        <v>N/A</v>
      </c>
      <c r="AI11" s="574" t="str">
        <f>IF($L11="","",IF(LOG_ST!AM10=1,"OK",IF(LOG_ST!AM10=2,"NR",IF(OR(LOG_ST!AM10=0,LOG_ST!AM10="X"),"N/A"))))</f>
        <v>OK</v>
      </c>
      <c r="AJ11" s="574" t="str">
        <f>IF($L11="","",IF(LOG_ST!AN10=1,"OK",IF(LOG_ST!AN10=2,"NR",IF(OR(LOG_ST!AN10=0,LOG_ST!AN10="X"),"N/A"))))</f>
        <v>OK</v>
      </c>
      <c r="AK11" s="574" t="str">
        <f>IF($L11="","",IF(LOG_ST!AO10=1,"OK",IF(LOG_ST!AO10=2,"NR",IF(OR(LOG_ST!AO10=0,LOG_ST!AO10="X"),"N/A"))))</f>
        <v>OK</v>
      </c>
      <c r="AL11" s="574" t="str">
        <f>IF($L11="","",IF(LOG_ST!AP10=1,"OK",IF(LOG_ST!AP10=2,"NR",IF(OR(LOG_ST!AP10=0,LOG_ST!AP10="X"),"N/A"))))</f>
        <v>OK</v>
      </c>
      <c r="AM11" s="574" t="str">
        <f>IF($L11="","",IF(LOG_ST!AQ10=1,"OK",IF(LOG_ST!AQ10=2,"NR",IF(OR(LOG_ST!AQ10=0,LOG_ST!AQ10="X"),"N/A"))))</f>
        <v>OK</v>
      </c>
      <c r="AN11" s="550">
        <f t="shared" si="0"/>
        <v>0</v>
      </c>
    </row>
    <row r="12" spans="2:40" x14ac:dyDescent="0.25">
      <c r="B12" s="551" t="str">
        <f>IF(LOG_ST!F11="","",VLOOKUP(LOG_ST!F11,DATA_BASE!$A$46:$C$57,2,FALSE))</f>
        <v>JANVIER</v>
      </c>
      <c r="C12" s="570" t="str">
        <f>IF(LOG_ST!G11="","",VLOOKUP(LOG_ST!G11,DATA_HDG,2,FALSE))</f>
        <v>MZS</v>
      </c>
      <c r="D12" s="571">
        <f>IF(LOG_ST!H11="","",LOG_ST!H11)</f>
        <v>45672</v>
      </c>
      <c r="E12" s="572" t="str">
        <f>IF(LOG_ST!I11="","",VLOOKUP(LOG_ST!I11,DATA_COP,2,FALSE))</f>
        <v>MIEDZINSKA MATYLDA</v>
      </c>
      <c r="F12" s="573">
        <f>IF(LOG_ST!J11="","",LOG_ST!J11)</f>
        <v>0.39097222222222222</v>
      </c>
      <c r="G12" s="570" t="str">
        <f>IF(LOG_ST!K11="","",VLOOKUP(LOG_ST!K11,DATA_SCIES,2,FALSE))</f>
        <v>FLYONE</v>
      </c>
      <c r="H12" s="570" t="str">
        <f>IF(LOG_ST!L11="","",VLOOKUP(LOG_ST!L11,DATA_ST!$U$7:$V$64,2,FALSE))</f>
        <v>A321</v>
      </c>
      <c r="I12" s="570" t="str">
        <f>IF(LOG_ST!M11="","",LOG_ST!M11)</f>
        <v>YRFIC</v>
      </c>
      <c r="J12" s="570" t="str">
        <f>IF(LOG_ST!N11="","",LOG_ST!N11)</f>
        <v>12C</v>
      </c>
      <c r="K12" s="573">
        <f>IF(LOG_ST!O11="","",LOG_ST!O11)</f>
        <v>0.3979166666666667</v>
      </c>
      <c r="L12" s="573">
        <f>IF(LOG_ST!P11="","",LOG_ST!P11)</f>
        <v>0.47430555555555554</v>
      </c>
      <c r="M12" s="574" t="str">
        <f>IF($L12="","",IF(LOG_ST!Q11=1,"OK",IF(LOG_ST!Q11=2,"NR",IF(OR(LOG_ST!Q11=0,LOG_ST!Q11="X"),"N/A"))))</f>
        <v>OK</v>
      </c>
      <c r="N12" s="574" t="str">
        <f>IF($L12="","",IF(LOG_ST!R11=1,"OK",IF(LOG_ST!R11=2,"NR",IF(OR(LOG_ST!R11=0,LOG_ST!R11="X"),"N/A"))))</f>
        <v>OK</v>
      </c>
      <c r="O12" s="574" t="str">
        <f>IF($L12="","",IF(LOG_ST!S11=1,"OK",IF(LOG_ST!S11=2,"NR",IF(OR(LOG_ST!S11=0,LOG_ST!S11="X"),"N/A"))))</f>
        <v>OK</v>
      </c>
      <c r="P12" s="574" t="str">
        <f>IF($L12="","",IF(LOG_ST!T11=1,"OK",IF(LOG_ST!T11=2,"NR",IF(OR(LOG_ST!T11=0,LOG_ST!T11="X"),"N/A"))))</f>
        <v>OK</v>
      </c>
      <c r="Q12" s="574" t="str">
        <f>IF($L12="","",IF(LOG_ST!U11=1,"OK",IF(LOG_ST!U11=2,"NR",IF(OR(LOG_ST!U11=0,LOG_ST!U11="X"),"N/A"))))</f>
        <v>OK</v>
      </c>
      <c r="R12" s="574" t="str">
        <f>IF($L12="","",IF(LOG_ST!V11=1,"OK",IF(LOG_ST!V11=2,"NR",IF(OR(LOG_ST!V11=0,LOG_ST!V11="X"),"N/A"))))</f>
        <v>OK</v>
      </c>
      <c r="S12" s="574" t="str">
        <f>IF($L12="","",IF(LOG_ST!W11=1,"OK",IF(LOG_ST!W11=2,"NR",IF(OR(LOG_ST!W11=0,LOG_ST!W11="X"),"N/A"))))</f>
        <v>OK</v>
      </c>
      <c r="T12" s="574" t="str">
        <f>IF($L12="","",IF(LOG_ST!X11=1,"OK",IF(LOG_ST!X11=2,"NR",IF(OR(LOG_ST!X11=0,LOG_ST!X11="X"),"N/A"))))</f>
        <v>OK</v>
      </c>
      <c r="U12" s="574" t="str">
        <f>IF($L12="","",IF(LOG_ST!Y11=1,"OK",IF(LOG_ST!Y11=2,"NR",IF(OR(LOG_ST!Y11=0,LOG_ST!Y11="X"),"N/A"))))</f>
        <v>OK</v>
      </c>
      <c r="V12" s="574" t="str">
        <f>IF($L12="","",IF(LOG_ST!Z11=1,"OK",IF(LOG_ST!Z11=2,"NR",IF(OR(LOG_ST!Z11=0,LOG_ST!Z11="X"),"N/A"))))</f>
        <v>OK</v>
      </c>
      <c r="W12" s="574" t="str">
        <f>IF($L12="","",IF(LOG_ST!AA11=1,"OK",IF(LOG_ST!AA11=2,"NR",IF(OR(LOG_ST!AA11=0,LOG_ST!AA11="X"),"N/A"))))</f>
        <v>OK</v>
      </c>
      <c r="X12" s="574" t="str">
        <f>IF($L12="","",IF(LOG_ST!AB11=1,"OK",IF(LOG_ST!AB11=2,"NR",IF(OR(LOG_ST!AB11=0,LOG_ST!AB11="X"),"N/A"))))</f>
        <v>OK</v>
      </c>
      <c r="Y12" s="574" t="str">
        <f>IF($L12="","",IF(LOG_ST!AC11=1,"OK",IF(LOG_ST!AC11=2,"NR",IF(OR(LOG_ST!AC11=0,LOG_ST!AC11="X"),"N/A"))))</f>
        <v>OK</v>
      </c>
      <c r="Z12" s="574">
        <f>IF($L12="","",IF(OR(LOG_ST!AD11=0,LOG_ST!AD11="X"),"N/A",LOG_ST!AD11))</f>
        <v>3</v>
      </c>
      <c r="AA12" s="574" t="str">
        <f>IF($L12="","",IF(LOG_ST!AE11=1,"OK",IF(LOG_ST!AE11=2,"NR",IF(OR(LOG_ST!AE11=0,LOG_ST!AE11="X"),"N/A"))))</f>
        <v>N/A</v>
      </c>
      <c r="AB12" s="574" t="str">
        <f>IF($L12="","",IF(LOG_ST!AF11=1,"OK",IF(LOG_ST!AF11=2,"NR",IF(OR(LOG_ST!AF11=0,LOG_ST!AF11="X"),"N/A"))))</f>
        <v>N/A</v>
      </c>
      <c r="AC12" s="574" t="str">
        <f>IF($L12="","",IF(LOG_ST!AG11=1,"OK",IF(LOG_ST!AG11=2,"NR",IF(OR(LOG_ST!AG11=0,LOG_ST!AG11="X"),"N/A"))))</f>
        <v>OK</v>
      </c>
      <c r="AD12" s="574" t="str">
        <f>IF($L12="","",IF(OR(LOG_ST!AH11=0,LOG_ST!AH11="X"),"N/A",LOG_ST!AH11))</f>
        <v>N/A</v>
      </c>
      <c r="AE12" s="574" t="str">
        <f>IF($L12="","",IF(LOG_ST!AI11=1,"OK",IF(LOG_ST!AI11=2,"NR",IF(OR(LOG_ST!AI11=0,LOG_ST!AI11="X"),"N/A"))))</f>
        <v>N/A</v>
      </c>
      <c r="AF12" s="574" t="str">
        <f>IF($L12="","",IF(LOG_ST!AJ11=1,"OK",IF(LOG_ST!AJ11=2,"NR",IF(OR(LOG_ST!AJ11=0,LOG_ST!AJ11="X"),"N/A"))))</f>
        <v>N/A</v>
      </c>
      <c r="AG12" s="574" t="str">
        <f>IF($L12="","",IF(LOG_ST!AK11=1,"OK",IF(LOG_ST!AK11=2,"NR",IF(OR(LOG_ST!AK11=0,LOG_ST!AK11="X"),"N/A"))))</f>
        <v>N/A</v>
      </c>
      <c r="AH12" s="574" t="str">
        <f>IF($L12="","",IF(LOG_ST!AL11=1,"OK",IF(LOG_ST!AL11=2,"NR",IF(OR(LOG_ST!AL11=0,LOG_ST!AL11="X"),"N/A"))))</f>
        <v>N/A</v>
      </c>
      <c r="AI12" s="574" t="str">
        <f>IF($L12="","",IF(LOG_ST!AM11=1,"OK",IF(LOG_ST!AM11=2,"NR",IF(OR(LOG_ST!AM11=0,LOG_ST!AM11="X"),"N/A"))))</f>
        <v>OK</v>
      </c>
      <c r="AJ12" s="574" t="str">
        <f>IF($L12="","",IF(LOG_ST!AN11=1,"OK",IF(LOG_ST!AN11=2,"NR",IF(OR(LOG_ST!AN11=0,LOG_ST!AN11="X"),"N/A"))))</f>
        <v>OK</v>
      </c>
      <c r="AK12" s="574" t="str">
        <f>IF($L12="","",IF(LOG_ST!AO11=1,"OK",IF(LOG_ST!AO11=2,"NR",IF(OR(LOG_ST!AO11=0,LOG_ST!AO11="X"),"N/A"))))</f>
        <v>OK</v>
      </c>
      <c r="AL12" s="574" t="str">
        <f>IF($L12="","",IF(LOG_ST!AP11=1,"OK",IF(LOG_ST!AP11=2,"NR",IF(OR(LOG_ST!AP11=0,LOG_ST!AP11="X"),"N/A"))))</f>
        <v>OK</v>
      </c>
      <c r="AM12" s="574" t="str">
        <f>IF($L12="","",IF(LOG_ST!AQ11=1,"OK",IF(LOG_ST!AQ11=2,"NR",IF(OR(LOG_ST!AQ11=0,LOG_ST!AQ11="X"),"N/A"))))</f>
        <v>OK</v>
      </c>
      <c r="AN12" s="550">
        <f t="shared" si="0"/>
        <v>0</v>
      </c>
    </row>
    <row r="13" spans="2:40" x14ac:dyDescent="0.25">
      <c r="B13" s="551" t="str">
        <f>IF(LOG_ST!F12="","",VLOOKUP(LOG_ST!F12,DATA_BASE!$A$46:$C$57,2,FALSE))</f>
        <v>JANVIER</v>
      </c>
      <c r="C13" s="570" t="str">
        <f>IF(LOG_ST!G12="","",VLOOKUP(LOG_ST!G12,DATA_HDG,2,FALSE))</f>
        <v>ALZ</v>
      </c>
      <c r="D13" s="571">
        <f>IF(LOG_ST!H12="","",LOG_ST!H12)</f>
        <v>45675</v>
      </c>
      <c r="E13" s="572" t="str">
        <f>IF(LOG_ST!I12="","",VLOOKUP(LOG_ST!I12,DATA_COP,2,FALSE))</f>
        <v>LEDENT OLIVIER</v>
      </c>
      <c r="F13" s="573">
        <f>IF(LOG_ST!J12="","",LOG_ST!J12)</f>
        <v>0</v>
      </c>
      <c r="G13" s="570" t="str">
        <f>IF(LOG_ST!K12="","",VLOOKUP(LOG_ST!K12,DATA_SCIES,2,FALSE))</f>
        <v>TUNISAIR</v>
      </c>
      <c r="H13" s="570" t="str">
        <f>IF(LOG_ST!L12="","",VLOOKUP(LOG_ST!L12,DATA_ST!$U$7:$V$64,2,FALSE))</f>
        <v>A320</v>
      </c>
      <c r="I13" s="570" t="str">
        <f>IF(LOG_ST!M12="","",LOG_ST!M12)</f>
        <v>TSIMY</v>
      </c>
      <c r="J13" s="570" t="str">
        <f>IF(LOG_ST!N12="","",LOG_ST!N12)</f>
        <v>52A</v>
      </c>
      <c r="K13" s="573">
        <f>IF(LOG_ST!O12="","",LOG_ST!O12)</f>
        <v>0</v>
      </c>
      <c r="L13" s="573">
        <f>IF(LOG_ST!P12="","",LOG_ST!P12)</f>
        <v>0</v>
      </c>
      <c r="M13" s="574" t="str">
        <f>IF($L13="","",IF(LOG_ST!Q12=1,"OK",IF(LOG_ST!Q12=2,"NR",IF(OR(LOG_ST!Q12=0,LOG_ST!Q12="X"),"N/A"))))</f>
        <v>OK</v>
      </c>
      <c r="N13" s="574" t="str">
        <f>IF($L13="","",IF(LOG_ST!R12=1,"OK",IF(LOG_ST!R12=2,"NR",IF(OR(LOG_ST!R12=0,LOG_ST!R12="X"),"N/A"))))</f>
        <v>OK</v>
      </c>
      <c r="O13" s="574" t="str">
        <f>IF($L13="","",IF(LOG_ST!S12=1,"OK",IF(LOG_ST!S12=2,"NR",IF(OR(LOG_ST!S12=0,LOG_ST!S12="X"),"N/A"))))</f>
        <v>OK</v>
      </c>
      <c r="P13" s="574" t="str">
        <f>IF($L13="","",IF(LOG_ST!T12=1,"OK",IF(LOG_ST!T12=2,"NR",IF(OR(LOG_ST!T12=0,LOG_ST!T12="X"),"N/A"))))</f>
        <v>OK</v>
      </c>
      <c r="Q13" s="574" t="str">
        <f>IF($L13="","",IF(LOG_ST!U12=1,"OK",IF(LOG_ST!U12=2,"NR",IF(OR(LOG_ST!U12=0,LOG_ST!U12="X"),"N/A"))))</f>
        <v>OK</v>
      </c>
      <c r="R13" s="574" t="str">
        <f>IF($L13="","",IF(LOG_ST!V12=1,"OK",IF(LOG_ST!V12=2,"NR",IF(OR(LOG_ST!V12=0,LOG_ST!V12="X"),"N/A"))))</f>
        <v>OK</v>
      </c>
      <c r="S13" s="574" t="str">
        <f>IF($L13="","",IF(LOG_ST!W12=1,"OK",IF(LOG_ST!W12=2,"NR",IF(OR(LOG_ST!W12=0,LOG_ST!W12="X"),"N/A"))))</f>
        <v>OK</v>
      </c>
      <c r="T13" s="574" t="str">
        <f>IF($L13="","",IF(LOG_ST!X12=1,"OK",IF(LOG_ST!X12=2,"NR",IF(OR(LOG_ST!X12=0,LOG_ST!X12="X"),"N/A"))))</f>
        <v>OK</v>
      </c>
      <c r="U13" s="574" t="str">
        <f>IF($L13="","",IF(LOG_ST!Y12=1,"OK",IF(LOG_ST!Y12=2,"NR",IF(OR(LOG_ST!Y12=0,LOG_ST!Y12="X"),"N/A"))))</f>
        <v>OK</v>
      </c>
      <c r="V13" s="574" t="str">
        <f>IF($L13="","",IF(LOG_ST!Z12=1,"OK",IF(LOG_ST!Z12=2,"NR",IF(OR(LOG_ST!Z12=0,LOG_ST!Z12="X"),"N/A"))))</f>
        <v>OK</v>
      </c>
      <c r="W13" s="574" t="str">
        <f>IF($L13="","",IF(LOG_ST!AA12=1,"OK",IF(LOG_ST!AA12=2,"NR",IF(OR(LOG_ST!AA12=0,LOG_ST!AA12="X"),"N/A"))))</f>
        <v>OK</v>
      </c>
      <c r="X13" s="574" t="str">
        <f>IF($L13="","",IF(LOG_ST!AB12=1,"OK",IF(LOG_ST!AB12=2,"NR",IF(OR(LOG_ST!AB12=0,LOG_ST!AB12="X"),"N/A"))))</f>
        <v>OK</v>
      </c>
      <c r="Y13" s="574" t="str">
        <f>IF($L13="","",IF(LOG_ST!AC12=1,"OK",IF(LOG_ST!AC12=2,"NR",IF(OR(LOG_ST!AC12=0,LOG_ST!AC12="X"),"N/A"))))</f>
        <v>OK</v>
      </c>
      <c r="Z13" s="574" t="str">
        <f>IF($L13="","",IF(OR(LOG_ST!AD12=0,LOG_ST!AD12="X"),"N/A",LOG_ST!AD12))</f>
        <v>N/A</v>
      </c>
      <c r="AA13" s="574" t="str">
        <f>IF($L13="","",IF(LOG_ST!AE12=1,"OK",IF(LOG_ST!AE12=2,"NR",IF(OR(LOG_ST!AE12=0,LOG_ST!AE12="X"),"N/A"))))</f>
        <v>N/A</v>
      </c>
      <c r="AB13" s="574" t="str">
        <f>IF($L13="","",IF(LOG_ST!AF12=1,"OK",IF(LOG_ST!AF12=2,"NR",IF(OR(LOG_ST!AF12=0,LOG_ST!AF12="X"),"N/A"))))</f>
        <v>N/A</v>
      </c>
      <c r="AC13" s="574" t="str">
        <f>IF($L13="","",IF(LOG_ST!AG12=1,"OK",IF(LOG_ST!AG12=2,"NR",IF(OR(LOG_ST!AG12=0,LOG_ST!AG12="X"),"N/A"))))</f>
        <v>OK</v>
      </c>
      <c r="AD13" s="574" t="str">
        <f>IF($L13="","",IF(OR(LOG_ST!AH12=0,LOG_ST!AH12="X"),"N/A",LOG_ST!AH12))</f>
        <v>N/A</v>
      </c>
      <c r="AE13" s="574" t="str">
        <f>IF($L13="","",IF(LOG_ST!AI12=1,"OK",IF(LOG_ST!AI12=2,"NR",IF(OR(LOG_ST!AI12=0,LOG_ST!AI12="X"),"N/A"))))</f>
        <v>N/A</v>
      </c>
      <c r="AF13" s="574" t="str">
        <f>IF($L13="","",IF(LOG_ST!AJ12=1,"OK",IF(LOG_ST!AJ12=2,"NR",IF(OR(LOG_ST!AJ12=0,LOG_ST!AJ12="X"),"N/A"))))</f>
        <v>N/A</v>
      </c>
      <c r="AG13" s="574" t="str">
        <f>IF($L13="","",IF(LOG_ST!AK12=1,"OK",IF(LOG_ST!AK12=2,"NR",IF(OR(LOG_ST!AK12=0,LOG_ST!AK12="X"),"N/A"))))</f>
        <v>N/A</v>
      </c>
      <c r="AH13" s="574" t="str">
        <f>IF($L13="","",IF(LOG_ST!AL12=1,"OK",IF(LOG_ST!AL12=2,"NR",IF(OR(LOG_ST!AL12=0,LOG_ST!AL12="X"),"N/A"))))</f>
        <v>N/A</v>
      </c>
      <c r="AI13" s="574" t="str">
        <f>IF($L13="","",IF(LOG_ST!AM12=1,"OK",IF(LOG_ST!AM12=2,"NR",IF(OR(LOG_ST!AM12=0,LOG_ST!AM12="X"),"N/A"))))</f>
        <v>OK</v>
      </c>
      <c r="AJ13" s="574" t="str">
        <f>IF($L13="","",IF(LOG_ST!AN12=1,"OK",IF(LOG_ST!AN12=2,"NR",IF(OR(LOG_ST!AN12=0,LOG_ST!AN12="X"),"N/A"))))</f>
        <v>OK</v>
      </c>
      <c r="AK13" s="574" t="str">
        <f>IF($L13="","",IF(LOG_ST!AO12=1,"OK",IF(LOG_ST!AO12=2,"NR",IF(OR(LOG_ST!AO12=0,LOG_ST!AO12="X"),"N/A"))))</f>
        <v>OK</v>
      </c>
      <c r="AL13" s="574" t="str">
        <f>IF($L13="","",IF(LOG_ST!AP12=1,"OK",IF(LOG_ST!AP12=2,"NR",IF(OR(LOG_ST!AP12=0,LOG_ST!AP12="X"),"N/A"))))</f>
        <v>OK</v>
      </c>
      <c r="AM13" s="574" t="str">
        <f>IF($L13="","",IF(LOG_ST!AQ12=1,"OK",IF(LOG_ST!AQ12=2,"NR",IF(OR(LOG_ST!AQ12=0,LOG_ST!AQ12="X"),"N/A"))))</f>
        <v>NR</v>
      </c>
      <c r="AN13" s="550">
        <f t="shared" si="0"/>
        <v>1</v>
      </c>
    </row>
    <row r="14" spans="2:40" x14ac:dyDescent="0.25">
      <c r="B14" s="551" t="str">
        <f>IF(LOG_ST!F13="","",VLOOKUP(LOG_ST!F13,DATA_BASE!$A$46:$C$57,2,FALSE))</f>
        <v>JANVIER</v>
      </c>
      <c r="C14" s="570" t="str">
        <f>IF(LOG_ST!G13="","",VLOOKUP(LOG_ST!G13,DATA_HDG,2,FALSE))</f>
        <v>ALZ</v>
      </c>
      <c r="D14" s="571">
        <f>IF(LOG_ST!H13="","",LOG_ST!H13)</f>
        <v>45676</v>
      </c>
      <c r="E14" s="572" t="str">
        <f>IF(LOG_ST!I13="","",VLOOKUP(LOG_ST!I13,DATA_COP,2,FALSE))</f>
        <v>LEDENT OLIVIER</v>
      </c>
      <c r="F14" s="573">
        <f>IF(LOG_ST!J13="","",LOG_ST!J13)</f>
        <v>0</v>
      </c>
      <c r="G14" s="570" t="str">
        <f>IF(LOG_ST!K13="","",VLOOKUP(LOG_ST!K13,DATA_SCIES,2,FALSE))</f>
        <v>VOLOTEA</v>
      </c>
      <c r="H14" s="570" t="str">
        <f>IF(LOG_ST!L13="","",VLOOKUP(LOG_ST!L13,DATA_ST!$U$7:$V$64,2,FALSE))</f>
        <v>A320</v>
      </c>
      <c r="I14" s="570" t="str">
        <f>IF(LOG_ST!M13="","",LOG_ST!M13)</f>
        <v>ECNOR</v>
      </c>
      <c r="J14" s="570" t="str">
        <f>IF(LOG_ST!N13="","",LOG_ST!N13)</f>
        <v>46A</v>
      </c>
      <c r="K14" s="573">
        <f>IF(LOG_ST!O13="","",LOG_ST!O13)</f>
        <v>0.68125000000000002</v>
      </c>
      <c r="L14" s="573">
        <f>IF(LOG_ST!P13="","",LOG_ST!P13)</f>
        <v>0.70486111111111116</v>
      </c>
      <c r="M14" s="574" t="str">
        <f>IF($L14="","",IF(LOG_ST!Q13=1,"OK",IF(LOG_ST!Q13=2,"NR",IF(OR(LOG_ST!Q13=0,LOG_ST!Q13="X"),"N/A"))))</f>
        <v>OK</v>
      </c>
      <c r="N14" s="574" t="str">
        <f>IF($L14="","",IF(LOG_ST!R13=1,"OK",IF(LOG_ST!R13=2,"NR",IF(OR(LOG_ST!R13=0,LOG_ST!R13="X"),"N/A"))))</f>
        <v>OK</v>
      </c>
      <c r="O14" s="574" t="str">
        <f>IF($L14="","",IF(LOG_ST!S13=1,"OK",IF(LOG_ST!S13=2,"NR",IF(OR(LOG_ST!S13=0,LOG_ST!S13="X"),"N/A"))))</f>
        <v>OK</v>
      </c>
      <c r="P14" s="574" t="str">
        <f>IF($L14="","",IF(LOG_ST!T13=1,"OK",IF(LOG_ST!T13=2,"NR",IF(OR(LOG_ST!T13=0,LOG_ST!T13="X"),"N/A"))))</f>
        <v>OK</v>
      </c>
      <c r="Q14" s="574" t="str">
        <f>IF($L14="","",IF(LOG_ST!U13=1,"OK",IF(LOG_ST!U13=2,"NR",IF(OR(LOG_ST!U13=0,LOG_ST!U13="X"),"N/A"))))</f>
        <v>OK</v>
      </c>
      <c r="R14" s="574" t="str">
        <f>IF($L14="","",IF(LOG_ST!V13=1,"OK",IF(LOG_ST!V13=2,"NR",IF(OR(LOG_ST!V13=0,LOG_ST!V13="X"),"N/A"))))</f>
        <v>OK</v>
      </c>
      <c r="S14" s="574" t="str">
        <f>IF($L14="","",IF(LOG_ST!W13=1,"OK",IF(LOG_ST!W13=2,"NR",IF(OR(LOG_ST!W13=0,LOG_ST!W13="X"),"N/A"))))</f>
        <v>OK</v>
      </c>
      <c r="T14" s="574" t="str">
        <f>IF($L14="","",IF(LOG_ST!X13=1,"OK",IF(LOG_ST!X13=2,"NR",IF(OR(LOG_ST!X13=0,LOG_ST!X13="X"),"N/A"))))</f>
        <v>OK</v>
      </c>
      <c r="U14" s="574" t="str">
        <f>IF($L14="","",IF(LOG_ST!Y13=1,"OK",IF(LOG_ST!Y13=2,"NR",IF(OR(LOG_ST!Y13=0,LOG_ST!Y13="X"),"N/A"))))</f>
        <v>OK</v>
      </c>
      <c r="V14" s="574" t="str">
        <f>IF($L14="","",IF(LOG_ST!Z13=1,"OK",IF(LOG_ST!Z13=2,"NR",IF(OR(LOG_ST!Z13=0,LOG_ST!Z13="X"),"N/A"))))</f>
        <v>OK</v>
      </c>
      <c r="W14" s="574" t="str">
        <f>IF($L14="","",IF(LOG_ST!AA13=1,"OK",IF(LOG_ST!AA13=2,"NR",IF(OR(LOG_ST!AA13=0,LOG_ST!AA13="X"),"N/A"))))</f>
        <v>OK</v>
      </c>
      <c r="X14" s="574" t="str">
        <f>IF($L14="","",IF(LOG_ST!AB13=1,"OK",IF(LOG_ST!AB13=2,"NR",IF(OR(LOG_ST!AB13=0,LOG_ST!AB13="X"),"N/A"))))</f>
        <v>OK</v>
      </c>
      <c r="Y14" s="574" t="str">
        <f>IF($L14="","",IF(LOG_ST!AC13=1,"OK",IF(LOG_ST!AC13=2,"NR",IF(OR(LOG_ST!AC13=0,LOG_ST!AC13="X"),"N/A"))))</f>
        <v>OK</v>
      </c>
      <c r="Z14" s="574" t="str">
        <f>IF($L14="","",IF(OR(LOG_ST!AD13=0,LOG_ST!AD13="X"),"N/A",LOG_ST!AD13))</f>
        <v>N/A</v>
      </c>
      <c r="AA14" s="574" t="str">
        <f>IF($L14="","",IF(LOG_ST!AE13=1,"OK",IF(LOG_ST!AE13=2,"NR",IF(OR(LOG_ST!AE13=0,LOG_ST!AE13="X"),"N/A"))))</f>
        <v>N/A</v>
      </c>
      <c r="AB14" s="574" t="str">
        <f>IF($L14="","",IF(LOG_ST!AF13=1,"OK",IF(LOG_ST!AF13=2,"NR",IF(OR(LOG_ST!AF13=0,LOG_ST!AF13="X"),"N/A"))))</f>
        <v>N/A</v>
      </c>
      <c r="AC14" s="574" t="str">
        <f>IF($L14="","",IF(LOG_ST!AG13=1,"OK",IF(LOG_ST!AG13=2,"NR",IF(OR(LOG_ST!AG13=0,LOG_ST!AG13="X"),"N/A"))))</f>
        <v>OK</v>
      </c>
      <c r="AD14" s="574" t="str">
        <f>IF($L14="","",IF(OR(LOG_ST!AH13=0,LOG_ST!AH13="X"),"N/A",LOG_ST!AH13))</f>
        <v>N/A</v>
      </c>
      <c r="AE14" s="574" t="str">
        <f>IF($L14="","",IF(LOG_ST!AI13=1,"OK",IF(LOG_ST!AI13=2,"NR",IF(OR(LOG_ST!AI13=0,LOG_ST!AI13="X"),"N/A"))))</f>
        <v>N/A</v>
      </c>
      <c r="AF14" s="574" t="str">
        <f>IF($L14="","",IF(LOG_ST!AJ13=1,"OK",IF(LOG_ST!AJ13=2,"NR",IF(OR(LOG_ST!AJ13=0,LOG_ST!AJ13="X"),"N/A"))))</f>
        <v>N/A</v>
      </c>
      <c r="AG14" s="574" t="str">
        <f>IF($L14="","",IF(LOG_ST!AK13=1,"OK",IF(LOG_ST!AK13=2,"NR",IF(OR(LOG_ST!AK13=0,LOG_ST!AK13="X"),"N/A"))))</f>
        <v>N/A</v>
      </c>
      <c r="AH14" s="574" t="str">
        <f>IF($L14="","",IF(LOG_ST!AL13=1,"OK",IF(LOG_ST!AL13=2,"NR",IF(OR(LOG_ST!AL13=0,LOG_ST!AL13="X"),"N/A"))))</f>
        <v>N/A</v>
      </c>
      <c r="AI14" s="574" t="str">
        <f>IF($L14="","",IF(LOG_ST!AM13=1,"OK",IF(LOG_ST!AM13=2,"NR",IF(OR(LOG_ST!AM13=0,LOG_ST!AM13="X"),"N/A"))))</f>
        <v>OK</v>
      </c>
      <c r="AJ14" s="574" t="str">
        <f>IF($L14="","",IF(LOG_ST!AN13=1,"OK",IF(LOG_ST!AN13=2,"NR",IF(OR(LOG_ST!AN13=0,LOG_ST!AN13="X"),"N/A"))))</f>
        <v>OK</v>
      </c>
      <c r="AK14" s="574" t="str">
        <f>IF($L14="","",IF(LOG_ST!AO13=1,"OK",IF(LOG_ST!AO13=2,"NR",IF(OR(LOG_ST!AO13=0,LOG_ST!AO13="X"),"N/A"))))</f>
        <v>OK</v>
      </c>
      <c r="AL14" s="574" t="str">
        <f>IF($L14="","",IF(LOG_ST!AP13=1,"OK",IF(LOG_ST!AP13=2,"NR",IF(OR(LOG_ST!AP13=0,LOG_ST!AP13="X"),"N/A"))))</f>
        <v>OK</v>
      </c>
      <c r="AM14" s="574" t="str">
        <f>IF($L14="","",IF(LOG_ST!AQ13=1,"OK",IF(LOG_ST!AQ13=2,"NR",IF(OR(LOG_ST!AQ13=0,LOG_ST!AQ13="X"),"N/A"))))</f>
        <v>NR</v>
      </c>
      <c r="AN14" s="550">
        <f t="shared" si="0"/>
        <v>1</v>
      </c>
    </row>
    <row r="15" spans="2:40" x14ac:dyDescent="0.25">
      <c r="B15" s="551" t="str">
        <f>IF(LOG_ST!F14="","",VLOOKUP(LOG_ST!F14,DATA_BASE!$A$46:$C$57,2,FALSE))</f>
        <v>FEVRIER</v>
      </c>
      <c r="C15" s="570" t="str">
        <f>IF(LOG_ST!G14="","",VLOOKUP(LOG_ST!G14,DATA_HDG,2,FALSE))</f>
        <v>AFR</v>
      </c>
      <c r="D15" s="571">
        <f>IF(LOG_ST!H14="","",LOG_ST!H14)</f>
        <v>45692</v>
      </c>
      <c r="E15" s="572" t="str">
        <f>IF(LOG_ST!I14="","",VLOOKUP(LOG_ST!I14,DATA_COP,2,FALSE))</f>
        <v>GILLES VALENTIN</v>
      </c>
      <c r="F15" s="573">
        <f>IF(LOG_ST!J14="","",LOG_ST!J14)</f>
        <v>0.44236111111111115</v>
      </c>
      <c r="G15" s="570" t="str">
        <f>IF(LOG_ST!K14="","",VLOOKUP(LOG_ST!K14,DATA_SCIES,2,FALSE))</f>
        <v>AIR FRANCE</v>
      </c>
      <c r="H15" s="570" t="str">
        <f>IF(LOG_ST!L14="","",VLOOKUP(LOG_ST!L14,DATA_ST!$U$7:$V$64,2,FALSE))</f>
        <v>A321</v>
      </c>
      <c r="I15" s="570" t="str">
        <f>IF(LOG_ST!M14="","",LOG_ST!M14)</f>
        <v>FGTAY</v>
      </c>
      <c r="J15" s="570" t="str">
        <f>IF(LOG_ST!N14="","",LOG_ST!N14)</f>
        <v>48A</v>
      </c>
      <c r="K15" s="573">
        <f>IF(LOG_ST!O14="","",LOG_ST!O14)</f>
        <v>0.44722222222222219</v>
      </c>
      <c r="L15" s="573">
        <f>IF(LOG_ST!P14="","",LOG_ST!P14)</f>
        <v>0.48402777777777778</v>
      </c>
      <c r="M15" s="574" t="str">
        <f>IF($L15="","",IF(LOG_ST!Q14=1,"OK",IF(LOG_ST!Q14=2,"NR",IF(OR(LOG_ST!Q14=0,LOG_ST!Q14="X"),"N/A"))))</f>
        <v>OK</v>
      </c>
      <c r="N15" s="574" t="str">
        <f>IF($L15="","",IF(LOG_ST!R14=1,"OK",IF(LOG_ST!R14=2,"NR",IF(OR(LOG_ST!R14=0,LOG_ST!R14="X"),"N/A"))))</f>
        <v>OK</v>
      </c>
      <c r="O15" s="574" t="str">
        <f>IF($L15="","",IF(LOG_ST!S14=1,"OK",IF(LOG_ST!S14=2,"NR",IF(OR(LOG_ST!S14=0,LOG_ST!S14="X"),"N/A"))))</f>
        <v>OK</v>
      </c>
      <c r="P15" s="574" t="str">
        <f>IF($L15="","",IF(LOG_ST!T14=1,"OK",IF(LOG_ST!T14=2,"NR",IF(OR(LOG_ST!T14=0,LOG_ST!T14="X"),"N/A"))))</f>
        <v>OK</v>
      </c>
      <c r="Q15" s="574" t="str">
        <f>IF($L15="","",IF(LOG_ST!U14=1,"OK",IF(LOG_ST!U14=2,"NR",IF(OR(LOG_ST!U14=0,LOG_ST!U14="X"),"N/A"))))</f>
        <v>OK</v>
      </c>
      <c r="R15" s="574" t="str">
        <f>IF($L15="","",IF(LOG_ST!V14=1,"OK",IF(LOG_ST!V14=2,"NR",IF(OR(LOG_ST!V14=0,LOG_ST!V14="X"),"N/A"))))</f>
        <v>OK</v>
      </c>
      <c r="S15" s="574" t="str">
        <f>IF($L15="","",IF(LOG_ST!W14=1,"OK",IF(LOG_ST!W14=2,"NR",IF(OR(LOG_ST!W14=0,LOG_ST!W14="X"),"N/A"))))</f>
        <v>OK</v>
      </c>
      <c r="T15" s="574" t="str">
        <f>IF($L15="","",IF(LOG_ST!X14=1,"OK",IF(LOG_ST!X14=2,"NR",IF(OR(LOG_ST!X14=0,LOG_ST!X14="X"),"N/A"))))</f>
        <v>OK</v>
      </c>
      <c r="U15" s="574" t="str">
        <f>IF($L15="","",IF(LOG_ST!Y14=1,"OK",IF(LOG_ST!Y14=2,"NR",IF(OR(LOG_ST!Y14=0,LOG_ST!Y14="X"),"N/A"))))</f>
        <v>OK</v>
      </c>
      <c r="V15" s="574" t="str">
        <f>IF($L15="","",IF(LOG_ST!Z14=1,"OK",IF(LOG_ST!Z14=2,"NR",IF(OR(LOG_ST!Z14=0,LOG_ST!Z14="X"),"N/A"))))</f>
        <v>OK</v>
      </c>
      <c r="W15" s="574" t="str">
        <f>IF($L15="","",IF(LOG_ST!AA14=1,"OK",IF(LOG_ST!AA14=2,"NR",IF(OR(LOG_ST!AA14=0,LOG_ST!AA14="X"),"N/A"))))</f>
        <v>OK</v>
      </c>
      <c r="X15" s="574" t="str">
        <f>IF($L15="","",IF(LOG_ST!AB14=1,"OK",IF(LOG_ST!AB14=2,"NR",IF(OR(LOG_ST!AB14=0,LOG_ST!AB14="X"),"N/A"))))</f>
        <v>OK</v>
      </c>
      <c r="Y15" s="574" t="str">
        <f>IF($L15="","",IF(LOG_ST!AC14=1,"OK",IF(LOG_ST!AC14=2,"NR",IF(OR(LOG_ST!AC14=0,LOG_ST!AC14="X"),"N/A"))))</f>
        <v>OK</v>
      </c>
      <c r="Z15" s="574" t="str">
        <f>IF($L15="","",IF(OR(LOG_ST!AD14=0,LOG_ST!AD14="X"),"N/A",LOG_ST!AD14))</f>
        <v>N/A</v>
      </c>
      <c r="AA15" s="574" t="str">
        <f>IF($L15="","",IF(LOG_ST!AE14=1,"OK",IF(LOG_ST!AE14=2,"NR",IF(OR(LOG_ST!AE14=0,LOG_ST!AE14="X"),"N/A"))))</f>
        <v>N/A</v>
      </c>
      <c r="AB15" s="574" t="str">
        <f>IF($L15="","",IF(LOG_ST!AF14=1,"OK",IF(LOG_ST!AF14=2,"NR",IF(OR(LOG_ST!AF14=0,LOG_ST!AF14="X"),"N/A"))))</f>
        <v>N/A</v>
      </c>
      <c r="AC15" s="574" t="str">
        <f>IF($L15="","",IF(LOG_ST!AG14=1,"OK",IF(LOG_ST!AG14=2,"NR",IF(OR(LOG_ST!AG14=0,LOG_ST!AG14="X"),"N/A"))))</f>
        <v>OK</v>
      </c>
      <c r="AD15" s="574">
        <f>IF($L15="","",IF(OR(LOG_ST!AH14=0,LOG_ST!AH14="X"),"N/A",LOG_ST!AH14))</f>
        <v>9</v>
      </c>
      <c r="AE15" s="574" t="str">
        <f>IF($L15="","",IF(LOG_ST!AI14=1,"OK",IF(LOG_ST!AI14=2,"NR",IF(OR(LOG_ST!AI14=0,LOG_ST!AI14="X"),"N/A"))))</f>
        <v>N/A</v>
      </c>
      <c r="AF15" s="574" t="str">
        <f>IF($L15="","",IF(LOG_ST!AJ14=1,"OK",IF(LOG_ST!AJ14=2,"NR",IF(OR(LOG_ST!AJ14=0,LOG_ST!AJ14="X"),"N/A"))))</f>
        <v>N/A</v>
      </c>
      <c r="AG15" s="574" t="str">
        <f>IF($L15="","",IF(LOG_ST!AK14=1,"OK",IF(LOG_ST!AK14=2,"NR",IF(OR(LOG_ST!AK14=0,LOG_ST!AK14="X"),"N/A"))))</f>
        <v>N/A</v>
      </c>
      <c r="AH15" s="574" t="str">
        <f>IF($L15="","",IF(LOG_ST!AL14=1,"OK",IF(LOG_ST!AL14=2,"NR",IF(OR(LOG_ST!AL14=0,LOG_ST!AL14="X"),"N/A"))))</f>
        <v>N/A</v>
      </c>
      <c r="AI15" s="574" t="str">
        <f>IF($L15="","",IF(LOG_ST!AM14=1,"OK",IF(LOG_ST!AM14=2,"NR",IF(OR(LOG_ST!AM14=0,LOG_ST!AM14="X"),"N/A"))))</f>
        <v>OK</v>
      </c>
      <c r="AJ15" s="574" t="str">
        <f>IF($L15="","",IF(LOG_ST!AN14=1,"OK",IF(LOG_ST!AN14=2,"NR",IF(OR(LOG_ST!AN14=0,LOG_ST!AN14="X"),"N/A"))))</f>
        <v>OK</v>
      </c>
      <c r="AK15" s="574" t="str">
        <f>IF($L15="","",IF(LOG_ST!AO14=1,"OK",IF(LOG_ST!AO14=2,"NR",IF(OR(LOG_ST!AO14=0,LOG_ST!AO14="X"),"N/A"))))</f>
        <v>OK</v>
      </c>
      <c r="AL15" s="574" t="str">
        <f>IF($L15="","",IF(LOG_ST!AP14=1,"OK",IF(LOG_ST!AP14=2,"NR",IF(OR(LOG_ST!AP14=0,LOG_ST!AP14="X"),"N/A"))))</f>
        <v>OK</v>
      </c>
      <c r="AM15" s="574" t="str">
        <f>IF($L15="","",IF(LOG_ST!AQ14=1,"OK",IF(LOG_ST!AQ14=2,"NR",IF(OR(LOG_ST!AQ14=0,LOG_ST!AQ14="X"),"N/A"))))</f>
        <v>OK</v>
      </c>
      <c r="AN15" s="550">
        <f t="shared" si="0"/>
        <v>0</v>
      </c>
    </row>
    <row r="16" spans="2:40" x14ac:dyDescent="0.25">
      <c r="B16" s="551" t="str">
        <f>IF(LOG_ST!F15="","",VLOOKUP(LOG_ST!F15,DATA_BASE!$A$46:$C$57,2,FALSE))</f>
        <v>FEVRIER</v>
      </c>
      <c r="C16" s="570" t="str">
        <f>IF(LOG_ST!G15="","",VLOOKUP(LOG_ST!G15,DATA_HDG,2,FALSE))</f>
        <v>AFR</v>
      </c>
      <c r="D16" s="571">
        <f>IF(LOG_ST!H15="","",LOG_ST!H15)</f>
        <v>45691</v>
      </c>
      <c r="E16" s="572" t="str">
        <f>IF(LOG_ST!I15="","",VLOOKUP(LOG_ST!I15,DATA_COP,2,FALSE))</f>
        <v>ESSIG RAOUL</v>
      </c>
      <c r="F16" s="573">
        <f>IF(LOG_ST!J15="","",LOG_ST!J15)</f>
        <v>0.38194444444444442</v>
      </c>
      <c r="G16" s="570" t="str">
        <f>IF(LOG_ST!K15="","",VLOOKUP(LOG_ST!K15,DATA_SCIES,2,FALSE))</f>
        <v>AIR FRANCE</v>
      </c>
      <c r="H16" s="570" t="str">
        <f>IF(LOG_ST!L15="","",VLOOKUP(LOG_ST!L15,DATA_ST!$U$7:$V$64,2,FALSE))</f>
        <v>BCS3</v>
      </c>
      <c r="I16" s="570" t="str">
        <f>IF(LOG_ST!M15="","",LOG_ST!M15)</f>
        <v>FHZUR</v>
      </c>
      <c r="J16" s="570" t="str">
        <f>IF(LOG_ST!N15="","",LOG_ST!N15)</f>
        <v>40A</v>
      </c>
      <c r="K16" s="573">
        <f>IF(LOG_ST!O15="","",LOG_ST!O15)</f>
        <v>0.39097222222222222</v>
      </c>
      <c r="L16" s="573">
        <f>IF(LOG_ST!P15="","",LOG_ST!P15)</f>
        <v>0.4284722222222222</v>
      </c>
      <c r="M16" s="574" t="str">
        <f>IF($L16="","",IF(LOG_ST!Q15=1,"OK",IF(LOG_ST!Q15=2,"NR",IF(OR(LOG_ST!Q15=0,LOG_ST!Q15="X"),"N/A"))))</f>
        <v>OK</v>
      </c>
      <c r="N16" s="574" t="str">
        <f>IF($L16="","",IF(LOG_ST!R15=1,"OK",IF(LOG_ST!R15=2,"NR",IF(OR(LOG_ST!R15=0,LOG_ST!R15="X"),"N/A"))))</f>
        <v>OK</v>
      </c>
      <c r="O16" s="574" t="str">
        <f>IF($L16="","",IF(LOG_ST!S15=1,"OK",IF(LOG_ST!S15=2,"NR",IF(OR(LOG_ST!S15=0,LOG_ST!S15="X"),"N/A"))))</f>
        <v>OK</v>
      </c>
      <c r="P16" s="574" t="str">
        <f>IF($L16="","",IF(LOG_ST!T15=1,"OK",IF(LOG_ST!T15=2,"NR",IF(OR(LOG_ST!T15=0,LOG_ST!T15="X"),"N/A"))))</f>
        <v>OK</v>
      </c>
      <c r="Q16" s="574" t="str">
        <f>IF($L16="","",IF(LOG_ST!U15=1,"OK",IF(LOG_ST!U15=2,"NR",IF(OR(LOG_ST!U15=0,LOG_ST!U15="X"),"N/A"))))</f>
        <v>OK</v>
      </c>
      <c r="R16" s="574" t="str">
        <f>IF($L16="","",IF(LOG_ST!V15=1,"OK",IF(LOG_ST!V15=2,"NR",IF(OR(LOG_ST!V15=0,LOG_ST!V15="X"),"N/A"))))</f>
        <v>OK</v>
      </c>
      <c r="S16" s="574" t="str">
        <f>IF($L16="","",IF(LOG_ST!W15=1,"OK",IF(LOG_ST!W15=2,"NR",IF(OR(LOG_ST!W15=0,LOG_ST!W15="X"),"N/A"))))</f>
        <v>OK</v>
      </c>
      <c r="T16" s="574" t="str">
        <f>IF($L16="","",IF(LOG_ST!X15=1,"OK",IF(LOG_ST!X15=2,"NR",IF(OR(LOG_ST!X15=0,LOG_ST!X15="X"),"N/A"))))</f>
        <v>OK</v>
      </c>
      <c r="U16" s="574" t="str">
        <f>IF($L16="","",IF(LOG_ST!Y15=1,"OK",IF(LOG_ST!Y15=2,"NR",IF(OR(LOG_ST!Y15=0,LOG_ST!Y15="X"),"N/A"))))</f>
        <v>OK</v>
      </c>
      <c r="V16" s="574" t="str">
        <f>IF($L16="","",IF(LOG_ST!Z15=1,"OK",IF(LOG_ST!Z15=2,"NR",IF(OR(LOG_ST!Z15=0,LOG_ST!Z15="X"),"N/A"))))</f>
        <v>OK</v>
      </c>
      <c r="W16" s="574" t="str">
        <f>IF($L16="","",IF(LOG_ST!AA15=1,"OK",IF(LOG_ST!AA15=2,"NR",IF(OR(LOG_ST!AA15=0,LOG_ST!AA15="X"),"N/A"))))</f>
        <v>OK</v>
      </c>
      <c r="X16" s="574" t="str">
        <f>IF($L16="","",IF(LOG_ST!AB15=1,"OK",IF(LOG_ST!AB15=2,"NR",IF(OR(LOG_ST!AB15=0,LOG_ST!AB15="X"),"N/A"))))</f>
        <v>OK</v>
      </c>
      <c r="Y16" s="574" t="str">
        <f>IF($L16="","",IF(LOG_ST!AC15=1,"OK",IF(LOG_ST!AC15=2,"NR",IF(OR(LOG_ST!AC15=0,LOG_ST!AC15="X"),"N/A"))))</f>
        <v>OK</v>
      </c>
      <c r="Z16" s="574">
        <f>IF($L16="","",IF(OR(LOG_ST!AD15=0,LOG_ST!AD15="X"),"N/A",LOG_ST!AD15))</f>
        <v>6</v>
      </c>
      <c r="AA16" s="574" t="str">
        <f>IF($L16="","",IF(LOG_ST!AE15=1,"OK",IF(LOG_ST!AE15=2,"NR",IF(OR(LOG_ST!AE15=0,LOG_ST!AE15="X"),"N/A"))))</f>
        <v>N/A</v>
      </c>
      <c r="AB16" s="574" t="str">
        <f>IF($L16="","",IF(LOG_ST!AF15=1,"OK",IF(LOG_ST!AF15=2,"NR",IF(OR(LOG_ST!AF15=0,LOG_ST!AF15="X"),"N/A"))))</f>
        <v>N/A</v>
      </c>
      <c r="AC16" s="574" t="str">
        <f>IF($L16="","",IF(LOG_ST!AG15=1,"OK",IF(LOG_ST!AG15=2,"NR",IF(OR(LOG_ST!AG15=0,LOG_ST!AG15="X"),"N/A"))))</f>
        <v>OK</v>
      </c>
      <c r="AD16" s="574" t="str">
        <f>IF($L16="","",IF(OR(LOG_ST!AH15=0,LOG_ST!AH15="X"),"N/A",LOG_ST!AH15))</f>
        <v>N/A</v>
      </c>
      <c r="AE16" s="574" t="str">
        <f>IF($L16="","",IF(LOG_ST!AI15=1,"OK",IF(LOG_ST!AI15=2,"NR",IF(OR(LOG_ST!AI15=0,LOG_ST!AI15="X"),"N/A"))))</f>
        <v>N/A</v>
      </c>
      <c r="AF16" s="574" t="str">
        <f>IF($L16="","",IF(LOG_ST!AJ15=1,"OK",IF(LOG_ST!AJ15=2,"NR",IF(OR(LOG_ST!AJ15=0,LOG_ST!AJ15="X"),"N/A"))))</f>
        <v>N/A</v>
      </c>
      <c r="AG16" s="574" t="str">
        <f>IF($L16="","",IF(LOG_ST!AK15=1,"OK",IF(LOG_ST!AK15=2,"NR",IF(OR(LOG_ST!AK15=0,LOG_ST!AK15="X"),"N/A"))))</f>
        <v>N/A</v>
      </c>
      <c r="AH16" s="574" t="str">
        <f>IF($L16="","",IF(LOG_ST!AL15=1,"OK",IF(LOG_ST!AL15=2,"NR",IF(OR(LOG_ST!AL15=0,LOG_ST!AL15="X"),"N/A"))))</f>
        <v>N/A</v>
      </c>
      <c r="AI16" s="574" t="str">
        <f>IF($L16="","",IF(LOG_ST!AM15=1,"OK",IF(LOG_ST!AM15=2,"NR",IF(OR(LOG_ST!AM15=0,LOG_ST!AM15="X"),"N/A"))))</f>
        <v>OK</v>
      </c>
      <c r="AJ16" s="574" t="str">
        <f>IF($L16="","",IF(LOG_ST!AN15=1,"OK",IF(LOG_ST!AN15=2,"NR",IF(OR(LOG_ST!AN15=0,LOG_ST!AN15="X"),"N/A"))))</f>
        <v>OK</v>
      </c>
      <c r="AK16" s="574" t="str">
        <f>IF($L16="","",IF(LOG_ST!AO15=1,"OK",IF(LOG_ST!AO15=2,"NR",IF(OR(LOG_ST!AO15=0,LOG_ST!AO15="X"),"N/A"))))</f>
        <v>OK</v>
      </c>
      <c r="AL16" s="574" t="str">
        <f>IF($L16="","",IF(LOG_ST!AP15=1,"OK",IF(LOG_ST!AP15=2,"NR",IF(OR(LOG_ST!AP15=0,LOG_ST!AP15="X"),"N/A"))))</f>
        <v>OK</v>
      </c>
      <c r="AM16" s="574" t="str">
        <f>IF($L16="","",IF(LOG_ST!AQ15=1,"OK",IF(LOG_ST!AQ15=2,"NR",IF(OR(LOG_ST!AQ15=0,LOG_ST!AQ15="X"),"N/A"))))</f>
        <v>OK</v>
      </c>
      <c r="AN16" s="550">
        <f t="shared" si="0"/>
        <v>0</v>
      </c>
    </row>
    <row r="17" spans="2:40" x14ac:dyDescent="0.25">
      <c r="B17" s="551" t="str">
        <f>IF(LOG_ST!F16="","",VLOOKUP(LOG_ST!F16,DATA_BASE!$A$46:$C$57,2,FALSE))</f>
        <v>FEVRIER</v>
      </c>
      <c r="C17" s="570" t="str">
        <f>IF(LOG_ST!G16="","",VLOOKUP(LOG_ST!G16,DATA_HDG,2,FALSE))</f>
        <v>AVP</v>
      </c>
      <c r="D17" s="571">
        <f>IF(LOG_ST!H16="","",LOG_ST!H16)</f>
        <v>45695</v>
      </c>
      <c r="E17" s="570" t="str">
        <f>IF(LOG_ST!I16="","",VLOOKUP(LOG_ST!I16,DATA_COP,2,FALSE))</f>
        <v>ESSIG RAOUL</v>
      </c>
      <c r="F17" s="573">
        <f>IF(LOG_ST!J16="","",LOG_ST!J16)</f>
        <v>0.44791666666666669</v>
      </c>
      <c r="G17" s="570" t="str">
        <f>IF(LOG_ST!K16="","",VLOOKUP(LOG_ST!K16,DATA_SCIES,2,FALSE))</f>
        <v>ROYAL AIR MAROC</v>
      </c>
      <c r="H17" s="570" t="str">
        <f>IF(LOG_ST!L16="","",VLOOKUP(LOG_ST!L16,DATA_ST!$U$7:$V$64,2,FALSE))</f>
        <v>E190</v>
      </c>
      <c r="I17" s="570" t="str">
        <f>IF(LOG_ST!M16="","",LOG_ST!M16)</f>
        <v>CNRGR</v>
      </c>
      <c r="J17" s="570" t="str">
        <f>IF(LOG_ST!N16="","",LOG_ST!N16)</f>
        <v>52A</v>
      </c>
      <c r="K17" s="573">
        <f>IF(LOG_ST!O16="","",LOG_ST!O16)</f>
        <v>0.45694444444444443</v>
      </c>
      <c r="L17" s="573">
        <f>IF(LOG_ST!P16="","",LOG_ST!P16)</f>
        <v>0.49513888888888885</v>
      </c>
      <c r="M17" s="574" t="str">
        <f>IF($L17="","",IF(LOG_ST!Q16=1,"OK",IF(LOG_ST!Q16=2,"NR",IF(OR(LOG_ST!Q16=0,LOG_ST!Q16="X"),"N/A"))))</f>
        <v>OK</v>
      </c>
      <c r="N17" s="574" t="str">
        <f>IF($L17="","",IF(LOG_ST!R16=1,"OK",IF(LOG_ST!R16=2,"NR",IF(OR(LOG_ST!R16=0,LOG_ST!R16="X"),"N/A"))))</f>
        <v>OK</v>
      </c>
      <c r="O17" s="574" t="str">
        <f>IF($L17="","",IF(LOG_ST!S16=1,"OK",IF(LOG_ST!S16=2,"NR",IF(OR(LOG_ST!S16=0,LOG_ST!S16="X"),"N/A"))))</f>
        <v>OK</v>
      </c>
      <c r="P17" s="574" t="str">
        <f>IF($L17="","",IF(LOG_ST!T16=1,"OK",IF(LOG_ST!T16=2,"NR",IF(OR(LOG_ST!T16=0,LOG_ST!T16="X"),"N/A"))))</f>
        <v>OK</v>
      </c>
      <c r="Q17" s="574" t="str">
        <f>IF($L17="","",IF(LOG_ST!U16=1,"OK",IF(LOG_ST!U16=2,"NR",IF(OR(LOG_ST!U16=0,LOG_ST!U16="X"),"N/A"))))</f>
        <v>OK</v>
      </c>
      <c r="R17" s="574" t="str">
        <f>IF($L17="","",IF(LOG_ST!V16=1,"OK",IF(LOG_ST!V16=2,"NR",IF(OR(LOG_ST!V16=0,LOG_ST!V16="X"),"N/A"))))</f>
        <v>OK</v>
      </c>
      <c r="S17" s="574" t="str">
        <f>IF($L17="","",IF(LOG_ST!W16=1,"OK",IF(LOG_ST!W16=2,"NR",IF(OR(LOG_ST!W16=0,LOG_ST!W16="X"),"N/A"))))</f>
        <v>OK</v>
      </c>
      <c r="T17" s="574" t="str">
        <f>IF($L17="","",IF(LOG_ST!X16=1,"OK",IF(LOG_ST!X16=2,"NR",IF(OR(LOG_ST!X16=0,LOG_ST!X16="X"),"N/A"))))</f>
        <v>OK</v>
      </c>
      <c r="U17" s="574" t="str">
        <f>IF($L17="","",IF(LOG_ST!Y16=1,"OK",IF(LOG_ST!Y16=2,"NR",IF(OR(LOG_ST!Y16=0,LOG_ST!Y16="X"),"N/A"))))</f>
        <v>OK</v>
      </c>
      <c r="V17" s="574" t="str">
        <f>IF($L17="","",IF(LOG_ST!Z16=1,"OK",IF(LOG_ST!Z16=2,"NR",IF(OR(LOG_ST!Z16=0,LOG_ST!Z16="X"),"N/A"))))</f>
        <v>OK</v>
      </c>
      <c r="W17" s="574" t="str">
        <f>IF($L17="","",IF(LOG_ST!AA16=1,"OK",IF(LOG_ST!AA16=2,"NR",IF(OR(LOG_ST!AA16=0,LOG_ST!AA16="X"),"N/A"))))</f>
        <v>OK</v>
      </c>
      <c r="X17" s="574" t="str">
        <f>IF($L17="","",IF(LOG_ST!AB16=1,"OK",IF(LOG_ST!AB16=2,"NR",IF(OR(LOG_ST!AB16=0,LOG_ST!AB16="X"),"N/A"))))</f>
        <v>OK</v>
      </c>
      <c r="Y17" s="574" t="str">
        <f>IF($L17="","",IF(LOG_ST!AC16=1,"OK",IF(LOG_ST!AC16=2,"NR",IF(OR(LOG_ST!AC16=0,LOG_ST!AC16="X"),"N/A"))))</f>
        <v>OK</v>
      </c>
      <c r="Z17" s="574">
        <f>IF($L17="","",IF(OR(LOG_ST!AD16=0,LOG_ST!AD16="X"),"N/A",LOG_ST!AD16))</f>
        <v>7</v>
      </c>
      <c r="AA17" s="574" t="str">
        <f>IF($L17="","",IF(LOG_ST!AE16=1,"OK",IF(LOG_ST!AE16=2,"NR",IF(OR(LOG_ST!AE16=0,LOG_ST!AE16="X"),"N/A"))))</f>
        <v>N/A</v>
      </c>
      <c r="AB17" s="574" t="str">
        <f>IF($L17="","",IF(LOG_ST!AF16=1,"OK",IF(LOG_ST!AF16=2,"NR",IF(OR(LOG_ST!AF16=0,LOG_ST!AF16="X"),"N/A"))))</f>
        <v>N/A</v>
      </c>
      <c r="AC17" s="574" t="str">
        <f>IF($L17="","",IF(LOG_ST!AG16=1,"OK",IF(LOG_ST!AG16=2,"NR",IF(OR(LOG_ST!AG16=0,LOG_ST!AG16="X"),"N/A"))))</f>
        <v>OK</v>
      </c>
      <c r="AD17" s="574" t="str">
        <f>IF($L17="","",IF(OR(LOG_ST!AH16=0,LOG_ST!AH16="X"),"N/A",LOG_ST!AH16))</f>
        <v>N/A</v>
      </c>
      <c r="AE17" s="574" t="str">
        <f>IF($L17="","",IF(LOG_ST!AI16=1,"OK",IF(LOG_ST!AI16=2,"NR",IF(OR(LOG_ST!AI16=0,LOG_ST!AI16="X"),"N/A"))))</f>
        <v>N/A</v>
      </c>
      <c r="AF17" s="574" t="str">
        <f>IF($L17="","",IF(LOG_ST!AJ16=1,"OK",IF(LOG_ST!AJ16=2,"NR",IF(OR(LOG_ST!AJ16=0,LOG_ST!AJ16="X"),"N/A"))))</f>
        <v>N/A</v>
      </c>
      <c r="AG17" s="574" t="str">
        <f>IF($L17="","",IF(LOG_ST!AK16=1,"OK",IF(LOG_ST!AK16=2,"NR",IF(OR(LOG_ST!AK16=0,LOG_ST!AK16="X"),"N/A"))))</f>
        <v>N/A</v>
      </c>
      <c r="AH17" s="574" t="str">
        <f>IF($L17="","",IF(LOG_ST!AL16=1,"OK",IF(LOG_ST!AL16=2,"NR",IF(OR(LOG_ST!AL16=0,LOG_ST!AL16="X"),"N/A"))))</f>
        <v>N/A</v>
      </c>
      <c r="AI17" s="574" t="str">
        <f>IF($L17="","",IF(LOG_ST!AM16=1,"OK",IF(LOG_ST!AM16=2,"NR",IF(OR(LOG_ST!AM16=0,LOG_ST!AM16="X"),"N/A"))))</f>
        <v>OK</v>
      </c>
      <c r="AJ17" s="574" t="str">
        <f>IF($L17="","",IF(LOG_ST!AN16=1,"OK",IF(LOG_ST!AN16=2,"NR",IF(OR(LOG_ST!AN16=0,LOG_ST!AN16="X"),"N/A"))))</f>
        <v>OK</v>
      </c>
      <c r="AK17" s="574" t="str">
        <f>IF($L17="","",IF(LOG_ST!AO16=1,"OK",IF(LOG_ST!AO16=2,"NR",IF(OR(LOG_ST!AO16=0,LOG_ST!AO16="X"),"N/A"))))</f>
        <v>OK</v>
      </c>
      <c r="AL17" s="574" t="str">
        <f>IF($L17="","",IF(LOG_ST!AP16=1,"OK",IF(LOG_ST!AP16=2,"NR",IF(OR(LOG_ST!AP16=0,LOG_ST!AP16="X"),"N/A"))))</f>
        <v>OK</v>
      </c>
      <c r="AM17" s="574" t="str">
        <f>IF($L17="","",IF(LOG_ST!AQ16=1,"OK",IF(LOG_ST!AQ16=2,"NR",IF(OR(LOG_ST!AQ16=0,LOG_ST!AQ16="X"),"N/A"))))</f>
        <v>OK</v>
      </c>
      <c r="AN17" s="550">
        <f t="shared" si="0"/>
        <v>0</v>
      </c>
    </row>
    <row r="18" spans="2:40" x14ac:dyDescent="0.25">
      <c r="B18" s="551" t="str">
        <f>IF(LOG_ST!F17="","",VLOOKUP(LOG_ST!F17,DATA_BASE!$A$46:$C$57,2,FALSE))</f>
        <v>FEVRIER</v>
      </c>
      <c r="C18" s="570" t="str">
        <f>IF(LOG_ST!G17="","",VLOOKUP(LOG_ST!G17,DATA_HDG,2,FALSE))</f>
        <v>AVP</v>
      </c>
      <c r="D18" s="571">
        <f>IF(LOG_ST!H17="","",LOG_ST!H17)</f>
        <v>45696</v>
      </c>
      <c r="E18" s="570" t="str">
        <f>IF(LOG_ST!I17="","",VLOOKUP(LOG_ST!I17,DATA_COP,2,FALSE))</f>
        <v>MIEDZINSKA MATYLDA</v>
      </c>
      <c r="F18" s="573">
        <f>IF(LOG_ST!J17="","",LOG_ST!J17)</f>
        <v>0.59027777777777779</v>
      </c>
      <c r="G18" s="570" t="str">
        <f>IF(LOG_ST!K17="","",VLOOKUP(LOG_ST!K17,DATA_SCIES,2,FALSE))</f>
        <v>AUSTRIAN</v>
      </c>
      <c r="H18" s="570" t="str">
        <f>IF(LOG_ST!L17="","",VLOOKUP(LOG_ST!L17,DATA_ST!$U$7:$V$64,2,FALSE))</f>
        <v>E195</v>
      </c>
      <c r="I18" s="570" t="str">
        <f>IF(LOG_ST!M17="","",LOG_ST!M17)</f>
        <v>OELWN</v>
      </c>
      <c r="J18" s="570" t="str">
        <f>IF(LOG_ST!N17="","",LOG_ST!N17)</f>
        <v>10A</v>
      </c>
      <c r="K18" s="573">
        <f>IF(LOG_ST!O17="","",LOG_ST!O17)</f>
        <v>0.59583333333333333</v>
      </c>
      <c r="L18" s="573">
        <f>IF(LOG_ST!P17="","",LOG_ST!P17)</f>
        <v>0.63055555555555554</v>
      </c>
      <c r="M18" s="574" t="str">
        <f>IF($L18="","",IF(LOG_ST!Q17=1,"OK",IF(LOG_ST!Q17=2,"NR",IF(OR(LOG_ST!Q17=0,LOG_ST!Q17="X"),"N/A"))))</f>
        <v>OK</v>
      </c>
      <c r="N18" s="574" t="str">
        <f>IF($L18="","",IF(LOG_ST!R17=1,"OK",IF(LOG_ST!R17=2,"NR",IF(OR(LOG_ST!R17=0,LOG_ST!R17="X"),"N/A"))))</f>
        <v>OK</v>
      </c>
      <c r="O18" s="574" t="str">
        <f>IF($L18="","",IF(LOG_ST!S17=1,"OK",IF(LOG_ST!S17=2,"NR",IF(OR(LOG_ST!S17=0,LOG_ST!S17="X"),"N/A"))))</f>
        <v>OK</v>
      </c>
      <c r="P18" s="574" t="str">
        <f>IF($L18="","",IF(LOG_ST!T17=1,"OK",IF(LOG_ST!T17=2,"NR",IF(OR(LOG_ST!T17=0,LOG_ST!T17="X"),"N/A"))))</f>
        <v>OK</v>
      </c>
      <c r="Q18" s="574" t="str">
        <f>IF($L18="","",IF(LOG_ST!U17=1,"OK",IF(LOG_ST!U17=2,"NR",IF(OR(LOG_ST!U17=0,LOG_ST!U17="X"),"N/A"))))</f>
        <v>OK</v>
      </c>
      <c r="R18" s="574" t="str">
        <f>IF($L18="","",IF(LOG_ST!V17=1,"OK",IF(LOG_ST!V17=2,"NR",IF(OR(LOG_ST!V17=0,LOG_ST!V17="X"),"N/A"))))</f>
        <v>OK</v>
      </c>
      <c r="S18" s="574" t="str">
        <f>IF($L18="","",IF(LOG_ST!W17=1,"OK",IF(LOG_ST!W17=2,"NR",IF(OR(LOG_ST!W17=0,LOG_ST!W17="X"),"N/A"))))</f>
        <v>OK</v>
      </c>
      <c r="T18" s="574" t="str">
        <f>IF($L18="","",IF(LOG_ST!X17=1,"OK",IF(LOG_ST!X17=2,"NR",IF(OR(LOG_ST!X17=0,LOG_ST!X17="X"),"N/A"))))</f>
        <v>OK</v>
      </c>
      <c r="U18" s="574" t="str">
        <f>IF($L18="","",IF(LOG_ST!Y17=1,"OK",IF(LOG_ST!Y17=2,"NR",IF(OR(LOG_ST!Y17=0,LOG_ST!Y17="X"),"N/A"))))</f>
        <v>OK</v>
      </c>
      <c r="V18" s="574" t="str">
        <f>IF($L18="","",IF(LOG_ST!Z17=1,"OK",IF(LOG_ST!Z17=2,"NR",IF(OR(LOG_ST!Z17=0,LOG_ST!Z17="X"),"N/A"))))</f>
        <v>OK</v>
      </c>
      <c r="W18" s="574" t="str">
        <f>IF($L18="","",IF(LOG_ST!AA17=1,"OK",IF(LOG_ST!AA17=2,"NR",IF(OR(LOG_ST!AA17=0,LOG_ST!AA17="X"),"N/A"))))</f>
        <v>OK</v>
      </c>
      <c r="X18" s="574" t="str">
        <f>IF($L18="","",IF(LOG_ST!AB17=1,"OK",IF(LOG_ST!AB17=2,"NR",IF(OR(LOG_ST!AB17=0,LOG_ST!AB17="X"),"N/A"))))</f>
        <v>OK</v>
      </c>
      <c r="Y18" s="574" t="str">
        <f>IF($L18="","",IF(LOG_ST!AC17=1,"OK",IF(LOG_ST!AC17=2,"NR",IF(OR(LOG_ST!AC17=0,LOG_ST!AC17="X"),"N/A"))))</f>
        <v>OK</v>
      </c>
      <c r="Z18" s="574">
        <f>IF($L18="","",IF(OR(LOG_ST!AD17=0,LOG_ST!AD17="X"),"N/A",LOG_ST!AD17))</f>
        <v>5</v>
      </c>
      <c r="AA18" s="574" t="str">
        <f>IF($L18="","",IF(LOG_ST!AE17=1,"OK",IF(LOG_ST!AE17=2,"NR",IF(OR(LOG_ST!AE17=0,LOG_ST!AE17="X"),"N/A"))))</f>
        <v>N/A</v>
      </c>
      <c r="AB18" s="574" t="str">
        <f>IF($L18="","",IF(LOG_ST!AF17=1,"OK",IF(LOG_ST!AF17=2,"NR",IF(OR(LOG_ST!AF17=0,LOG_ST!AF17="X"),"N/A"))))</f>
        <v>N/A</v>
      </c>
      <c r="AC18" s="574" t="str">
        <f>IF($L18="","",IF(LOG_ST!AG17=1,"OK",IF(LOG_ST!AG17=2,"NR",IF(OR(LOG_ST!AG17=0,LOG_ST!AG17="X"),"N/A"))))</f>
        <v>OK</v>
      </c>
      <c r="AD18" s="574" t="str">
        <f>IF($L18="","",IF(OR(LOG_ST!AH17=0,LOG_ST!AH17="X"),"N/A",LOG_ST!AH17))</f>
        <v>N/A</v>
      </c>
      <c r="AE18" s="574" t="str">
        <f>IF($L18="","",IF(LOG_ST!AI17=1,"OK",IF(LOG_ST!AI17=2,"NR",IF(OR(LOG_ST!AI17=0,LOG_ST!AI17="X"),"N/A"))))</f>
        <v>N/A</v>
      </c>
      <c r="AF18" s="574" t="str">
        <f>IF($L18="","",IF(LOG_ST!AJ17=1,"OK",IF(LOG_ST!AJ17=2,"NR",IF(OR(LOG_ST!AJ17=0,LOG_ST!AJ17="X"),"N/A"))))</f>
        <v>N/A</v>
      </c>
      <c r="AG18" s="574" t="str">
        <f>IF($L18="","",IF(LOG_ST!AK17=1,"OK",IF(LOG_ST!AK17=2,"NR",IF(OR(LOG_ST!AK17=0,LOG_ST!AK17="X"),"N/A"))))</f>
        <v>N/A</v>
      </c>
      <c r="AH18" s="574" t="str">
        <f>IF($L18="","",IF(LOG_ST!AL17=1,"OK",IF(LOG_ST!AL17=2,"NR",IF(OR(LOG_ST!AL17=0,LOG_ST!AL17="X"),"N/A"))))</f>
        <v>N/A</v>
      </c>
      <c r="AI18" s="574" t="str">
        <f>IF($L18="","",IF(LOG_ST!AM17=1,"OK",IF(LOG_ST!AM17=2,"NR",IF(OR(LOG_ST!AM17=0,LOG_ST!AM17="X"),"N/A"))))</f>
        <v>OK</v>
      </c>
      <c r="AJ18" s="574" t="str">
        <f>IF($L18="","",IF(LOG_ST!AN17=1,"OK",IF(LOG_ST!AN17=2,"NR",IF(OR(LOG_ST!AN17=0,LOG_ST!AN17="X"),"N/A"))))</f>
        <v>OK</v>
      </c>
      <c r="AK18" s="574" t="str">
        <f>IF($L18="","",IF(LOG_ST!AO17=1,"OK",IF(LOG_ST!AO17=2,"NR",IF(OR(LOG_ST!AO17=0,LOG_ST!AO17="X"),"N/A"))))</f>
        <v>OK</v>
      </c>
      <c r="AL18" s="574" t="str">
        <f>IF($L18="","",IF(LOG_ST!AP17=1,"OK",IF(LOG_ST!AP17=2,"NR",IF(OR(LOG_ST!AP17=0,LOG_ST!AP17="X"),"N/A"))))</f>
        <v>OK</v>
      </c>
      <c r="AM18" s="574" t="str">
        <f>IF($L18="","",IF(LOG_ST!AQ17=1,"OK",IF(LOG_ST!AQ17=2,"NR",IF(OR(LOG_ST!AQ17=0,LOG_ST!AQ17="X"),"N/A"))))</f>
        <v>OK</v>
      </c>
      <c r="AN18" s="550">
        <f t="shared" si="0"/>
        <v>0</v>
      </c>
    </row>
    <row r="19" spans="2:40" x14ac:dyDescent="0.25">
      <c r="B19" s="551" t="str">
        <f>IF(LOG_ST!F18="","",VLOOKUP(LOG_ST!F18,DATA_BASE!$A$46:$C$57,2,FALSE))</f>
        <v/>
      </c>
      <c r="C19" s="570" t="str">
        <f>IF(LOG_ST!G18="","",VLOOKUP(LOG_ST!G18,DATA_HDG,2,FALSE))</f>
        <v/>
      </c>
      <c r="D19" s="571" t="str">
        <f>IF(LOG_ST!H18="","",LOG_ST!H18)</f>
        <v/>
      </c>
      <c r="E19" s="570" t="str">
        <f>IF(LOG_ST!I18="","",VLOOKUP(LOG_ST!I18,DATA_COP,2,FALSE))</f>
        <v/>
      </c>
      <c r="F19" s="573" t="str">
        <f>IF(LOG_ST!J18="","",LOG_ST!J18)</f>
        <v/>
      </c>
      <c r="G19" s="570" t="str">
        <f>IF(LOG_ST!K18="","",VLOOKUP(LOG_ST!K18,DATA_SCIES,2,FALSE))</f>
        <v/>
      </c>
      <c r="H19" s="570" t="str">
        <f>IF(LOG_ST!L18="","",VLOOKUP(LOG_ST!L18,DATA_ST!$U$7:$V$64,2,FALSE))</f>
        <v/>
      </c>
      <c r="I19" s="570" t="str">
        <f>IF(LOG_ST!M18="","",LOG_ST!M18)</f>
        <v/>
      </c>
      <c r="J19" s="570" t="str">
        <f>IF(LOG_ST!N18="","",LOG_ST!N18)</f>
        <v/>
      </c>
      <c r="K19" s="573" t="str">
        <f>IF(LOG_ST!O18="","",LOG_ST!O18)</f>
        <v/>
      </c>
      <c r="L19" s="573" t="str">
        <f>IF(LOG_ST!P18="","",LOG_ST!P18)</f>
        <v/>
      </c>
      <c r="M19" s="574" t="str">
        <f>IF($L19="","",IF(LOG_ST!Q18=1,"OK",IF(LOG_ST!Q18=2,"NR",IF(OR(LOG_ST!Q18=0,LOG_ST!Q18="X"),"N/A"))))</f>
        <v/>
      </c>
      <c r="N19" s="574" t="str">
        <f>IF($L19="","",IF(LOG_ST!R18=1,"OK",IF(LOG_ST!R18=2,"NR",IF(OR(LOG_ST!R18=0,LOG_ST!R18="X"),"N/A"))))</f>
        <v/>
      </c>
      <c r="O19" s="574" t="str">
        <f>IF($L19="","",IF(LOG_ST!S18=1,"OK",IF(LOG_ST!S18=2,"NR",IF(OR(LOG_ST!S18=0,LOG_ST!S18="X"),"N/A"))))</f>
        <v/>
      </c>
      <c r="P19" s="574" t="str">
        <f>IF($L19="","",IF(LOG_ST!T18=1,"OK",IF(LOG_ST!T18=2,"NR",IF(OR(LOG_ST!T18=0,LOG_ST!T18="X"),"N/A"))))</f>
        <v/>
      </c>
      <c r="Q19" s="574" t="str">
        <f>IF($L19="","",IF(LOG_ST!U18=1,"OK",IF(LOG_ST!U18=2,"NR",IF(OR(LOG_ST!U18=0,LOG_ST!U18="X"),"N/A"))))</f>
        <v/>
      </c>
      <c r="R19" s="574" t="str">
        <f>IF($L19="","",IF(LOG_ST!V18=1,"OK",IF(LOG_ST!V18=2,"NR",IF(OR(LOG_ST!V18=0,LOG_ST!V18="X"),"N/A"))))</f>
        <v/>
      </c>
      <c r="S19" s="574" t="str">
        <f>IF($L19="","",IF(LOG_ST!W18=1,"OK",IF(LOG_ST!W18=2,"NR",IF(OR(LOG_ST!W18=0,LOG_ST!W18="X"),"N/A"))))</f>
        <v/>
      </c>
      <c r="T19" s="574" t="str">
        <f>IF($L19="","",IF(LOG_ST!X18=1,"OK",IF(LOG_ST!X18=2,"NR",IF(OR(LOG_ST!X18=0,LOG_ST!X18="X"),"N/A"))))</f>
        <v/>
      </c>
      <c r="U19" s="574" t="str">
        <f>IF($L19="","",IF(LOG_ST!Y18=1,"OK",IF(LOG_ST!Y18=2,"NR",IF(OR(LOG_ST!Y18=0,LOG_ST!Y18="X"),"N/A"))))</f>
        <v/>
      </c>
      <c r="V19" s="574" t="str">
        <f>IF($L19="","",IF(LOG_ST!Z18=1,"OK",IF(LOG_ST!Z18=2,"NR",IF(OR(LOG_ST!Z18=0,LOG_ST!Z18="X"),"N/A"))))</f>
        <v/>
      </c>
      <c r="W19" s="574" t="str">
        <f>IF($L19="","",IF(LOG_ST!AA18=1,"OK",IF(LOG_ST!AA18=2,"NR",IF(OR(LOG_ST!AA18=0,LOG_ST!AA18="X"),"N/A"))))</f>
        <v/>
      </c>
      <c r="X19" s="574" t="str">
        <f>IF($L19="","",IF(LOG_ST!AB18=1,"OK",IF(LOG_ST!AB18=2,"NR",IF(OR(LOG_ST!AB18=0,LOG_ST!AB18="X"),"N/A"))))</f>
        <v/>
      </c>
      <c r="Y19" s="574" t="str">
        <f>IF($L19="","",IF(LOG_ST!AC18=1,"OK",IF(LOG_ST!AC18=2,"NR",IF(OR(LOG_ST!AC18=0,LOG_ST!AC18="X"),"N/A"))))</f>
        <v/>
      </c>
      <c r="Z19" s="574" t="str">
        <f>IF($L19="","",IF(OR(LOG_ST!AD18=0,LOG_ST!AD18="X"),"N/A",LOG_ST!AD18))</f>
        <v/>
      </c>
      <c r="AA19" s="574" t="str">
        <f>IF($L19="","",IF(LOG_ST!AE18=1,"OK",IF(LOG_ST!AE18=2,"NR",IF(OR(LOG_ST!AE18=0,LOG_ST!AE18="X"),"N/A"))))</f>
        <v/>
      </c>
      <c r="AB19" s="574" t="str">
        <f>IF($L19="","",IF(LOG_ST!AF18=1,"OK",IF(LOG_ST!AF18=2,"NR",IF(OR(LOG_ST!AF18=0,LOG_ST!AF18="X"),"N/A"))))</f>
        <v/>
      </c>
      <c r="AC19" s="574" t="str">
        <f>IF($L19="","",IF(LOG_ST!AG18=1,"OK",IF(LOG_ST!AG18=2,"NR",IF(OR(LOG_ST!AG18=0,LOG_ST!AG18="X"),"N/A"))))</f>
        <v/>
      </c>
      <c r="AD19" s="574" t="str">
        <f>IF($L19="","",IF(OR(LOG_ST!AH18=0,LOG_ST!AH18="X"),"N/A",LOG_ST!AH18))</f>
        <v/>
      </c>
      <c r="AE19" s="574" t="str">
        <f>IF($L19="","",IF(LOG_ST!AI18=1,"OK",IF(LOG_ST!AI18=2,"NR",IF(OR(LOG_ST!AI18=0,LOG_ST!AI18="X"),"N/A"))))</f>
        <v/>
      </c>
      <c r="AF19" s="574" t="str">
        <f>IF($L19="","",IF(LOG_ST!AJ18=1,"OK",IF(LOG_ST!AJ18=2,"NR",IF(OR(LOG_ST!AJ18=0,LOG_ST!AJ18="X"),"N/A"))))</f>
        <v/>
      </c>
      <c r="AG19" s="574" t="str">
        <f>IF($L19="","",IF(LOG_ST!AK18=1,"OK",IF(LOG_ST!AK18=2,"NR",IF(OR(LOG_ST!AK18=0,LOG_ST!AK18="X"),"N/A"))))</f>
        <v/>
      </c>
      <c r="AH19" s="574" t="str">
        <f>IF($L19="","",IF(LOG_ST!AL18=1,"OK",IF(LOG_ST!AL18=2,"NR",IF(OR(LOG_ST!AL18=0,LOG_ST!AL18="X"),"N/A"))))</f>
        <v/>
      </c>
      <c r="AI19" s="574" t="str">
        <f>IF($L19="","",IF(LOG_ST!AM18=1,"OK",IF(LOG_ST!AM18=2,"NR",IF(OR(LOG_ST!AM18=0,LOG_ST!AM18="X"),"N/A"))))</f>
        <v/>
      </c>
      <c r="AJ19" s="574" t="str">
        <f>IF($L19="","",IF(LOG_ST!AN18=1,"OK",IF(LOG_ST!AN18=2,"NR",IF(OR(LOG_ST!AN18=0,LOG_ST!AN18="X"),"N/A"))))</f>
        <v/>
      </c>
      <c r="AK19" s="574" t="str">
        <f>IF($L19="","",IF(LOG_ST!AO18=1,"OK",IF(LOG_ST!AO18=2,"NR",IF(OR(LOG_ST!AO18=0,LOG_ST!AO18="X"),"N/A"))))</f>
        <v/>
      </c>
      <c r="AL19" s="574" t="str">
        <f>IF($L19="","",IF(LOG_ST!AP18=1,"OK",IF(LOG_ST!AP18=2,"NR",IF(OR(LOG_ST!AP18=0,LOG_ST!AP18="X"),"N/A"))))</f>
        <v/>
      </c>
      <c r="AM19" s="574" t="str">
        <f>IF($L19="","",IF(LOG_ST!AQ18=1,"OK",IF(LOG_ST!AQ18=2,"NR",IF(OR(LOG_ST!AQ18=0,LOG_ST!AQ18="X"),"N/A"))))</f>
        <v/>
      </c>
      <c r="AN19" s="550" t="str">
        <f t="shared" si="0"/>
        <v/>
      </c>
    </row>
    <row r="20" spans="2:40" x14ac:dyDescent="0.25">
      <c r="B20" s="551" t="str">
        <f>IF(LOG_ST!F19="","",VLOOKUP(LOG_ST!F19,DATA_BASE!$A$46:$C$57,2,FALSE))</f>
        <v/>
      </c>
      <c r="C20" s="570" t="str">
        <f>IF(LOG_ST!G19="","",VLOOKUP(LOG_ST!G19,DATA_HDG,2,FALSE))</f>
        <v/>
      </c>
      <c r="D20" s="571" t="str">
        <f>IF(LOG_ST!H19="","",LOG_ST!H19)</f>
        <v/>
      </c>
      <c r="E20" s="570" t="str">
        <f>IF(LOG_ST!I19="","",VLOOKUP(LOG_ST!I19,DATA_COP,2,FALSE))</f>
        <v/>
      </c>
      <c r="F20" s="573" t="str">
        <f>IF(LOG_ST!J19="","",LOG_ST!J19)</f>
        <v/>
      </c>
      <c r="G20" s="570" t="str">
        <f>IF(LOG_ST!K19="","",VLOOKUP(LOG_ST!K19,DATA_SCIES,2,FALSE))</f>
        <v/>
      </c>
      <c r="H20" s="570" t="str">
        <f>IF(LOG_ST!L19="","",VLOOKUP(LOG_ST!L19,DATA_ST!$U$7:$V$64,2,FALSE))</f>
        <v/>
      </c>
      <c r="I20" s="570" t="str">
        <f>IF(LOG_ST!M19="","",LOG_ST!M19)</f>
        <v/>
      </c>
      <c r="J20" s="570" t="str">
        <f>IF(LOG_ST!N19="","",LOG_ST!N19)</f>
        <v/>
      </c>
      <c r="K20" s="573" t="str">
        <f>IF(LOG_ST!O19="","",LOG_ST!O19)</f>
        <v/>
      </c>
      <c r="L20" s="573" t="str">
        <f>IF(LOG_ST!P19="","",LOG_ST!P19)</f>
        <v/>
      </c>
      <c r="M20" s="574" t="str">
        <f>IF($L20="","",IF(LOG_ST!Q19=1,"OK",IF(LOG_ST!Q19=2,"NR",IF(OR(LOG_ST!Q19=0,LOG_ST!Q19="X"),"N/A"))))</f>
        <v/>
      </c>
      <c r="N20" s="574" t="str">
        <f>IF($L20="","",IF(LOG_ST!R19=1,"OK",IF(LOG_ST!R19=2,"NR",IF(OR(LOG_ST!R19=0,LOG_ST!R19="X"),"N/A"))))</f>
        <v/>
      </c>
      <c r="O20" s="574" t="str">
        <f>IF($L20="","",IF(LOG_ST!S19=1,"OK",IF(LOG_ST!S19=2,"NR",IF(OR(LOG_ST!S19=0,LOG_ST!S19="X"),"N/A"))))</f>
        <v/>
      </c>
      <c r="P20" s="574" t="str">
        <f>IF($L20="","",IF(LOG_ST!T19=1,"OK",IF(LOG_ST!T19=2,"NR",IF(OR(LOG_ST!T19=0,LOG_ST!T19="X"),"N/A"))))</f>
        <v/>
      </c>
      <c r="Q20" s="574" t="str">
        <f>IF($L20="","",IF(LOG_ST!U19=1,"OK",IF(LOG_ST!U19=2,"NR",IF(OR(LOG_ST!U19=0,LOG_ST!U19="X"),"N/A"))))</f>
        <v/>
      </c>
      <c r="R20" s="574" t="str">
        <f>IF($L20="","",IF(LOG_ST!V19=1,"OK",IF(LOG_ST!V19=2,"NR",IF(OR(LOG_ST!V19=0,LOG_ST!V19="X"),"N/A"))))</f>
        <v/>
      </c>
      <c r="S20" s="574" t="str">
        <f>IF($L20="","",IF(LOG_ST!W19=1,"OK",IF(LOG_ST!W19=2,"NR",IF(OR(LOG_ST!W19=0,LOG_ST!W19="X"),"N/A"))))</f>
        <v/>
      </c>
      <c r="T20" s="574" t="str">
        <f>IF($L20="","",IF(LOG_ST!X19=1,"OK",IF(LOG_ST!X19=2,"NR",IF(OR(LOG_ST!X19=0,LOG_ST!X19="X"),"N/A"))))</f>
        <v/>
      </c>
      <c r="U20" s="574" t="str">
        <f>IF($L20="","",IF(LOG_ST!Y19=1,"OK",IF(LOG_ST!Y19=2,"NR",IF(OR(LOG_ST!Y19=0,LOG_ST!Y19="X"),"N/A"))))</f>
        <v/>
      </c>
      <c r="V20" s="574" t="str">
        <f>IF($L20="","",IF(LOG_ST!Z19=1,"OK",IF(LOG_ST!Z19=2,"NR",IF(OR(LOG_ST!Z19=0,LOG_ST!Z19="X"),"N/A"))))</f>
        <v/>
      </c>
      <c r="W20" s="574" t="str">
        <f>IF($L20="","",IF(LOG_ST!AA19=1,"OK",IF(LOG_ST!AA19=2,"NR",IF(OR(LOG_ST!AA19=0,LOG_ST!AA19="X"),"N/A"))))</f>
        <v/>
      </c>
      <c r="X20" s="574" t="str">
        <f>IF($L20="","",IF(LOG_ST!AB19=1,"OK",IF(LOG_ST!AB19=2,"NR",IF(OR(LOG_ST!AB19=0,LOG_ST!AB19="X"),"N/A"))))</f>
        <v/>
      </c>
      <c r="Y20" s="574" t="str">
        <f>IF($L20="","",IF(LOG_ST!AC19=1,"OK",IF(LOG_ST!AC19=2,"NR",IF(OR(LOG_ST!AC19=0,LOG_ST!AC19="X"),"N/A"))))</f>
        <v/>
      </c>
      <c r="Z20" s="574" t="str">
        <f>IF($L20="","",IF(OR(LOG_ST!AD19=0,LOG_ST!AD19="X"),"N/A",LOG_ST!AD19))</f>
        <v/>
      </c>
      <c r="AA20" s="574" t="str">
        <f>IF($L20="","",IF(LOG_ST!AE19=1,"OK",IF(LOG_ST!AE19=2,"NR",IF(OR(LOG_ST!AE19=0,LOG_ST!AE19="X"),"N/A"))))</f>
        <v/>
      </c>
      <c r="AB20" s="574" t="str">
        <f>IF($L20="","",IF(LOG_ST!AF19=1,"OK",IF(LOG_ST!AF19=2,"NR",IF(OR(LOG_ST!AF19=0,LOG_ST!AF19="X"),"N/A"))))</f>
        <v/>
      </c>
      <c r="AC20" s="574" t="str">
        <f>IF($L20="","",IF(LOG_ST!AG19=1,"OK",IF(LOG_ST!AG19=2,"NR",IF(OR(LOG_ST!AG19=0,LOG_ST!AG19="X"),"N/A"))))</f>
        <v/>
      </c>
      <c r="AD20" s="574" t="str">
        <f>IF($L20="","",IF(OR(LOG_ST!AH19=0,LOG_ST!AH19="X"),"N/A",LOG_ST!AH19))</f>
        <v/>
      </c>
      <c r="AE20" s="574" t="str">
        <f>IF($L20="","",IF(LOG_ST!AI19=1,"OK",IF(LOG_ST!AI19=2,"NR",IF(OR(LOG_ST!AI19=0,LOG_ST!AI19="X"),"N/A"))))</f>
        <v/>
      </c>
      <c r="AF20" s="574" t="str">
        <f>IF($L20="","",IF(LOG_ST!AJ19=1,"OK",IF(LOG_ST!AJ19=2,"NR",IF(OR(LOG_ST!AJ19=0,LOG_ST!AJ19="X"),"N/A"))))</f>
        <v/>
      </c>
      <c r="AG20" s="574" t="str">
        <f>IF($L20="","",IF(LOG_ST!AK19=1,"OK",IF(LOG_ST!AK19=2,"NR",IF(OR(LOG_ST!AK19=0,LOG_ST!AK19="X"),"N/A"))))</f>
        <v/>
      </c>
      <c r="AH20" s="574" t="str">
        <f>IF($L20="","",IF(LOG_ST!AL19=1,"OK",IF(LOG_ST!AL19=2,"NR",IF(OR(LOG_ST!AL19=0,LOG_ST!AL19="X"),"N/A"))))</f>
        <v/>
      </c>
      <c r="AI20" s="574" t="str">
        <f>IF($L20="","",IF(LOG_ST!AM19=1,"OK",IF(LOG_ST!AM19=2,"NR",IF(OR(LOG_ST!AM19=0,LOG_ST!AM19="X"),"N/A"))))</f>
        <v/>
      </c>
      <c r="AJ20" s="574" t="str">
        <f>IF($L20="","",IF(LOG_ST!AN19=1,"OK",IF(LOG_ST!AN19=2,"NR",IF(OR(LOG_ST!AN19=0,LOG_ST!AN19="X"),"N/A"))))</f>
        <v/>
      </c>
      <c r="AK20" s="574" t="str">
        <f>IF($L20="","",IF(LOG_ST!AO19=1,"OK",IF(LOG_ST!AO19=2,"NR",IF(OR(LOG_ST!AO19=0,LOG_ST!AO19="X"),"N/A"))))</f>
        <v/>
      </c>
      <c r="AL20" s="574" t="str">
        <f>IF($L20="","",IF(LOG_ST!AP19=1,"OK",IF(LOG_ST!AP19=2,"NR",IF(OR(LOG_ST!AP19=0,LOG_ST!AP19="X"),"N/A"))))</f>
        <v/>
      </c>
      <c r="AM20" s="574" t="str">
        <f>IF($L20="","",IF(LOG_ST!AQ19=1,"OK",IF(LOG_ST!AQ19=2,"NR",IF(OR(LOG_ST!AQ19=0,LOG_ST!AQ19="X"),"N/A"))))</f>
        <v/>
      </c>
      <c r="AN20" s="550" t="str">
        <f t="shared" si="0"/>
        <v/>
      </c>
    </row>
    <row r="21" spans="2:40" x14ac:dyDescent="0.25">
      <c r="B21" s="551" t="str">
        <f>IF(LOG_ST!F20="","",VLOOKUP(LOG_ST!F20,DATA_BASE!$A$46:$C$57,2,FALSE))</f>
        <v/>
      </c>
      <c r="C21" s="570" t="str">
        <f>IF(LOG_ST!G20="","",VLOOKUP(LOG_ST!G20,DATA_HDG,2,FALSE))</f>
        <v/>
      </c>
      <c r="D21" s="571" t="str">
        <f>IF(LOG_ST!H20="","",LOG_ST!H20)</f>
        <v/>
      </c>
      <c r="E21" s="570" t="str">
        <f>IF(LOG_ST!I20="","",VLOOKUP(LOG_ST!I20,DATA_COP,2,FALSE))</f>
        <v/>
      </c>
      <c r="F21" s="573" t="str">
        <f>IF(LOG_ST!J20="","",LOG_ST!J20)</f>
        <v/>
      </c>
      <c r="G21" s="570" t="str">
        <f>IF(LOG_ST!K20="","",VLOOKUP(LOG_ST!K20,DATA_SCIES,2,FALSE))</f>
        <v/>
      </c>
      <c r="H21" s="570" t="str">
        <f>IF(LOG_ST!L20="","",VLOOKUP(LOG_ST!L20,DATA_ST!$U$7:$V$64,2,FALSE))</f>
        <v/>
      </c>
      <c r="I21" s="570" t="str">
        <f>IF(LOG_ST!M20="","",LOG_ST!M20)</f>
        <v/>
      </c>
      <c r="J21" s="570" t="str">
        <f>IF(LOG_ST!N20="","",LOG_ST!N20)</f>
        <v/>
      </c>
      <c r="K21" s="573" t="str">
        <f>IF(LOG_ST!O20="","",LOG_ST!O20)</f>
        <v/>
      </c>
      <c r="L21" s="573" t="str">
        <f>IF(LOG_ST!P20="","",LOG_ST!P20)</f>
        <v/>
      </c>
      <c r="M21" s="574" t="str">
        <f>IF($L21="","",IF(LOG_ST!Q20=1,"OK",IF(LOG_ST!Q20=2,"NR",IF(OR(LOG_ST!Q20=0,LOG_ST!Q20="X"),"N/A"))))</f>
        <v/>
      </c>
      <c r="N21" s="574" t="str">
        <f>IF($L21="","",IF(LOG_ST!R20=1,"OK",IF(LOG_ST!R20=2,"NR",IF(OR(LOG_ST!R20=0,LOG_ST!R20="X"),"N/A"))))</f>
        <v/>
      </c>
      <c r="O21" s="574" t="str">
        <f>IF($L21="","",IF(LOG_ST!S20=1,"OK",IF(LOG_ST!S20=2,"NR",IF(OR(LOG_ST!S20=0,LOG_ST!S20="X"),"N/A"))))</f>
        <v/>
      </c>
      <c r="P21" s="574" t="str">
        <f>IF($L21="","",IF(LOG_ST!T20=1,"OK",IF(LOG_ST!T20=2,"NR",IF(OR(LOG_ST!T20=0,LOG_ST!T20="X"),"N/A"))))</f>
        <v/>
      </c>
      <c r="Q21" s="574" t="str">
        <f>IF($L21="","",IF(LOG_ST!U20=1,"OK",IF(LOG_ST!U20=2,"NR",IF(OR(LOG_ST!U20=0,LOG_ST!U20="X"),"N/A"))))</f>
        <v/>
      </c>
      <c r="R21" s="574" t="str">
        <f>IF($L21="","",IF(LOG_ST!V20=1,"OK",IF(LOG_ST!V20=2,"NR",IF(OR(LOG_ST!V20=0,LOG_ST!V20="X"),"N/A"))))</f>
        <v/>
      </c>
      <c r="S21" s="574" t="str">
        <f>IF($L21="","",IF(LOG_ST!W20=1,"OK",IF(LOG_ST!W20=2,"NR",IF(OR(LOG_ST!W20=0,LOG_ST!W20="X"),"N/A"))))</f>
        <v/>
      </c>
      <c r="T21" s="574" t="str">
        <f>IF($L21="","",IF(LOG_ST!X20=1,"OK",IF(LOG_ST!X20=2,"NR",IF(OR(LOG_ST!X20=0,LOG_ST!X20="X"),"N/A"))))</f>
        <v/>
      </c>
      <c r="U21" s="574" t="str">
        <f>IF($L21="","",IF(LOG_ST!Y20=1,"OK",IF(LOG_ST!Y20=2,"NR",IF(OR(LOG_ST!Y20=0,LOG_ST!Y20="X"),"N/A"))))</f>
        <v/>
      </c>
      <c r="V21" s="574" t="str">
        <f>IF($L21="","",IF(LOG_ST!Z20=1,"OK",IF(LOG_ST!Z20=2,"NR",IF(OR(LOG_ST!Z20=0,LOG_ST!Z20="X"),"N/A"))))</f>
        <v/>
      </c>
      <c r="W21" s="574" t="str">
        <f>IF($L21="","",IF(LOG_ST!AA20=1,"OK",IF(LOG_ST!AA20=2,"NR",IF(OR(LOG_ST!AA20=0,LOG_ST!AA20="X"),"N/A"))))</f>
        <v/>
      </c>
      <c r="X21" s="574" t="str">
        <f>IF($L21="","",IF(LOG_ST!AB20=1,"OK",IF(LOG_ST!AB20=2,"NR",IF(OR(LOG_ST!AB20=0,LOG_ST!AB20="X"),"N/A"))))</f>
        <v/>
      </c>
      <c r="Y21" s="574" t="str">
        <f>IF($L21="","",IF(LOG_ST!AC20=1,"OK",IF(LOG_ST!AC20=2,"NR",IF(OR(LOG_ST!AC20=0,LOG_ST!AC20="X"),"N/A"))))</f>
        <v/>
      </c>
      <c r="Z21" s="574" t="str">
        <f>IF($L21="","",IF(OR(LOG_ST!AD20=0,LOG_ST!AD20="X"),"N/A",LOG_ST!AD20))</f>
        <v/>
      </c>
      <c r="AA21" s="574" t="str">
        <f>IF($L21="","",IF(LOG_ST!AE20=1,"OK",IF(LOG_ST!AE20=2,"NR",IF(OR(LOG_ST!AE20=0,LOG_ST!AE20="X"),"N/A"))))</f>
        <v/>
      </c>
      <c r="AB21" s="574" t="str">
        <f>IF($L21="","",IF(LOG_ST!AF20=1,"OK",IF(LOG_ST!AF20=2,"NR",IF(OR(LOG_ST!AF20=0,LOG_ST!AF20="X"),"N/A"))))</f>
        <v/>
      </c>
      <c r="AC21" s="574" t="str">
        <f>IF($L21="","",IF(LOG_ST!AG20=1,"OK",IF(LOG_ST!AG20=2,"NR",IF(OR(LOG_ST!AG20=0,LOG_ST!AG20="X"),"N/A"))))</f>
        <v/>
      </c>
      <c r="AD21" s="574" t="str">
        <f>IF($L21="","",IF(OR(LOG_ST!AH20=0,LOG_ST!AH20="X"),"N/A",LOG_ST!AH20))</f>
        <v/>
      </c>
      <c r="AE21" s="574" t="str">
        <f>IF($L21="","",IF(LOG_ST!AI20=1,"OK",IF(LOG_ST!AI20=2,"NR",IF(OR(LOG_ST!AI20=0,LOG_ST!AI20="X"),"N/A"))))</f>
        <v/>
      </c>
      <c r="AF21" s="574" t="str">
        <f>IF($L21="","",IF(LOG_ST!AJ20=1,"OK",IF(LOG_ST!AJ20=2,"NR",IF(OR(LOG_ST!AJ20=0,LOG_ST!AJ20="X"),"N/A"))))</f>
        <v/>
      </c>
      <c r="AG21" s="574" t="str">
        <f>IF($L21="","",IF(LOG_ST!AK20=1,"OK",IF(LOG_ST!AK20=2,"NR",IF(OR(LOG_ST!AK20=0,LOG_ST!AK20="X"),"N/A"))))</f>
        <v/>
      </c>
      <c r="AH21" s="574" t="str">
        <f>IF($L21="","",IF(LOG_ST!AL20=1,"OK",IF(LOG_ST!AL20=2,"NR",IF(OR(LOG_ST!AL20=0,LOG_ST!AL20="X"),"N/A"))))</f>
        <v/>
      </c>
      <c r="AI21" s="574" t="str">
        <f>IF($L21="","",IF(LOG_ST!AM20=1,"OK",IF(LOG_ST!AM20=2,"NR",IF(OR(LOG_ST!AM20=0,LOG_ST!AM20="X"),"N/A"))))</f>
        <v/>
      </c>
      <c r="AJ21" s="574" t="str">
        <f>IF($L21="","",IF(LOG_ST!AN20=1,"OK",IF(LOG_ST!AN20=2,"NR",IF(OR(LOG_ST!AN20=0,LOG_ST!AN20="X"),"N/A"))))</f>
        <v/>
      </c>
      <c r="AK21" s="574" t="str">
        <f>IF($L21="","",IF(LOG_ST!AO20=1,"OK",IF(LOG_ST!AO20=2,"NR",IF(OR(LOG_ST!AO20=0,LOG_ST!AO20="X"),"N/A"))))</f>
        <v/>
      </c>
      <c r="AL21" s="574" t="str">
        <f>IF($L21="","",IF(LOG_ST!AP20=1,"OK",IF(LOG_ST!AP20=2,"NR",IF(OR(LOG_ST!AP20=0,LOG_ST!AP20="X"),"N/A"))))</f>
        <v/>
      </c>
      <c r="AM21" s="574" t="str">
        <f>IF($L21="","",IF(LOG_ST!AQ20=1,"OK",IF(LOG_ST!AQ20=2,"NR",IF(OR(LOG_ST!AQ20=0,LOG_ST!AQ20="X"),"N/A"))))</f>
        <v/>
      </c>
      <c r="AN21" s="550" t="str">
        <f t="shared" si="0"/>
        <v/>
      </c>
    </row>
    <row r="22" spans="2:40" x14ac:dyDescent="0.25">
      <c r="B22" s="551" t="str">
        <f>IF(LOG_ST!F21="","",VLOOKUP(LOG_ST!F21,DATA_BASE!$A$46:$C$57,2,FALSE))</f>
        <v/>
      </c>
      <c r="C22" s="570" t="str">
        <f>IF(LOG_ST!G21="","",VLOOKUP(LOG_ST!G21,DATA_HDG,2,FALSE))</f>
        <v/>
      </c>
      <c r="D22" s="571" t="str">
        <f>IF(LOG_ST!H21="","",LOG_ST!H21)</f>
        <v/>
      </c>
      <c r="E22" s="570" t="str">
        <f>IF(LOG_ST!I21="","",VLOOKUP(LOG_ST!I21,DATA_COP,2,FALSE))</f>
        <v/>
      </c>
      <c r="F22" s="573" t="str">
        <f>IF(LOG_ST!J21="","",LOG_ST!J21)</f>
        <v/>
      </c>
      <c r="G22" s="570" t="str">
        <f>IF(LOG_ST!K21="","",VLOOKUP(LOG_ST!K21,DATA_SCIES,2,FALSE))</f>
        <v/>
      </c>
      <c r="H22" s="570" t="str">
        <f>IF(LOG_ST!L21="","",VLOOKUP(LOG_ST!L21,DATA_ST!$U$7:$V$64,2,FALSE))</f>
        <v/>
      </c>
      <c r="I22" s="570" t="str">
        <f>IF(LOG_ST!M21="","",LOG_ST!M21)</f>
        <v/>
      </c>
      <c r="J22" s="570" t="str">
        <f>IF(LOG_ST!N21="","",LOG_ST!N21)</f>
        <v/>
      </c>
      <c r="K22" s="573" t="str">
        <f>IF(LOG_ST!O21="","",LOG_ST!O21)</f>
        <v/>
      </c>
      <c r="L22" s="573" t="str">
        <f>IF(LOG_ST!P21="","",LOG_ST!P21)</f>
        <v/>
      </c>
      <c r="M22" s="574" t="str">
        <f>IF($L22="","",IF(LOG_ST!Q21=1,"OK",IF(LOG_ST!Q21=2,"NR",IF(OR(LOG_ST!Q21=0,LOG_ST!Q21="X"),"N/A"))))</f>
        <v/>
      </c>
      <c r="N22" s="574" t="str">
        <f>IF($L22="","",IF(LOG_ST!R21=1,"OK",IF(LOG_ST!R21=2,"NR",IF(OR(LOG_ST!R21=0,LOG_ST!R21="X"),"N/A"))))</f>
        <v/>
      </c>
      <c r="O22" s="574" t="str">
        <f>IF($L22="","",IF(LOG_ST!S21=1,"OK",IF(LOG_ST!S21=2,"NR",IF(OR(LOG_ST!S21=0,LOG_ST!S21="X"),"N/A"))))</f>
        <v/>
      </c>
      <c r="P22" s="574" t="str">
        <f>IF($L22="","",IF(LOG_ST!T21=1,"OK",IF(LOG_ST!T21=2,"NR",IF(OR(LOG_ST!T21=0,LOG_ST!T21="X"),"N/A"))))</f>
        <v/>
      </c>
      <c r="Q22" s="574" t="str">
        <f>IF($L22="","",IF(LOG_ST!U21=1,"OK",IF(LOG_ST!U21=2,"NR",IF(OR(LOG_ST!U21=0,LOG_ST!U21="X"),"N/A"))))</f>
        <v/>
      </c>
      <c r="R22" s="574" t="str">
        <f>IF($L22="","",IF(LOG_ST!V21=1,"OK",IF(LOG_ST!V21=2,"NR",IF(OR(LOG_ST!V21=0,LOG_ST!V21="X"),"N/A"))))</f>
        <v/>
      </c>
      <c r="S22" s="574" t="str">
        <f>IF($L22="","",IF(LOG_ST!W21=1,"OK",IF(LOG_ST!W21=2,"NR",IF(OR(LOG_ST!W21=0,LOG_ST!W21="X"),"N/A"))))</f>
        <v/>
      </c>
      <c r="T22" s="574" t="str">
        <f>IF($L22="","",IF(LOG_ST!X21=1,"OK",IF(LOG_ST!X21=2,"NR",IF(OR(LOG_ST!X21=0,LOG_ST!X21="X"),"N/A"))))</f>
        <v/>
      </c>
      <c r="U22" s="574" t="str">
        <f>IF($L22="","",IF(LOG_ST!Y21=1,"OK",IF(LOG_ST!Y21=2,"NR",IF(OR(LOG_ST!Y21=0,LOG_ST!Y21="X"),"N/A"))))</f>
        <v/>
      </c>
      <c r="V22" s="574" t="str">
        <f>IF($L22="","",IF(LOG_ST!Z21=1,"OK",IF(LOG_ST!Z21=2,"NR",IF(OR(LOG_ST!Z21=0,LOG_ST!Z21="X"),"N/A"))))</f>
        <v/>
      </c>
      <c r="W22" s="574" t="str">
        <f>IF($L22="","",IF(LOG_ST!AA21=1,"OK",IF(LOG_ST!AA21=2,"NR",IF(OR(LOG_ST!AA21=0,LOG_ST!AA21="X"),"N/A"))))</f>
        <v/>
      </c>
      <c r="X22" s="574" t="str">
        <f>IF($L22="","",IF(LOG_ST!AB21=1,"OK",IF(LOG_ST!AB21=2,"NR",IF(OR(LOG_ST!AB21=0,LOG_ST!AB21="X"),"N/A"))))</f>
        <v/>
      </c>
      <c r="Y22" s="574" t="str">
        <f>IF($L22="","",IF(LOG_ST!AC21=1,"OK",IF(LOG_ST!AC21=2,"NR",IF(OR(LOG_ST!AC21=0,LOG_ST!AC21="X"),"N/A"))))</f>
        <v/>
      </c>
      <c r="Z22" s="574" t="str">
        <f>IF($L22="","",IF(OR(LOG_ST!AD21=0,LOG_ST!AD21="X"),"N/A",LOG_ST!AD21))</f>
        <v/>
      </c>
      <c r="AA22" s="574" t="str">
        <f>IF($L22="","",IF(LOG_ST!AE21=1,"OK",IF(LOG_ST!AE21=2,"NR",IF(OR(LOG_ST!AE21=0,LOG_ST!AE21="X"),"N/A"))))</f>
        <v/>
      </c>
      <c r="AB22" s="574" t="str">
        <f>IF($L22="","",IF(LOG_ST!AF21=1,"OK",IF(LOG_ST!AF21=2,"NR",IF(OR(LOG_ST!AF21=0,LOG_ST!AF21="X"),"N/A"))))</f>
        <v/>
      </c>
      <c r="AC22" s="574" t="str">
        <f>IF($L22="","",IF(LOG_ST!AG21=1,"OK",IF(LOG_ST!AG21=2,"NR",IF(OR(LOG_ST!AG21=0,LOG_ST!AG21="X"),"N/A"))))</f>
        <v/>
      </c>
      <c r="AD22" s="574" t="str">
        <f>IF($L22="","",IF(OR(LOG_ST!AH21=0,LOG_ST!AH21="X"),"N/A",LOG_ST!AH21))</f>
        <v/>
      </c>
      <c r="AE22" s="574" t="str">
        <f>IF($L22="","",IF(LOG_ST!AI21=1,"OK",IF(LOG_ST!AI21=2,"NR",IF(OR(LOG_ST!AI21=0,LOG_ST!AI21="X"),"N/A"))))</f>
        <v/>
      </c>
      <c r="AF22" s="574" t="str">
        <f>IF($L22="","",IF(LOG_ST!AJ21=1,"OK",IF(LOG_ST!AJ21=2,"NR",IF(OR(LOG_ST!AJ21=0,LOG_ST!AJ21="X"),"N/A"))))</f>
        <v/>
      </c>
      <c r="AG22" s="574" t="str">
        <f>IF($L22="","",IF(LOG_ST!AK21=1,"OK",IF(LOG_ST!AK21=2,"NR",IF(OR(LOG_ST!AK21=0,LOG_ST!AK21="X"),"N/A"))))</f>
        <v/>
      </c>
      <c r="AH22" s="574" t="str">
        <f>IF($L22="","",IF(LOG_ST!AL21=1,"OK",IF(LOG_ST!AL21=2,"NR",IF(OR(LOG_ST!AL21=0,LOG_ST!AL21="X"),"N/A"))))</f>
        <v/>
      </c>
      <c r="AI22" s="574" t="str">
        <f>IF($L22="","",IF(LOG_ST!AM21=1,"OK",IF(LOG_ST!AM21=2,"NR",IF(OR(LOG_ST!AM21=0,LOG_ST!AM21="X"),"N/A"))))</f>
        <v/>
      </c>
      <c r="AJ22" s="574" t="str">
        <f>IF($L22="","",IF(LOG_ST!AN21=1,"OK",IF(LOG_ST!AN21=2,"NR",IF(OR(LOG_ST!AN21=0,LOG_ST!AN21="X"),"N/A"))))</f>
        <v/>
      </c>
      <c r="AK22" s="574" t="str">
        <f>IF($L22="","",IF(LOG_ST!AO21=1,"OK",IF(LOG_ST!AO21=2,"NR",IF(OR(LOG_ST!AO21=0,LOG_ST!AO21="X"),"N/A"))))</f>
        <v/>
      </c>
      <c r="AL22" s="574" t="str">
        <f>IF($L22="","",IF(LOG_ST!AP21=1,"OK",IF(LOG_ST!AP21=2,"NR",IF(OR(LOG_ST!AP21=0,LOG_ST!AP21="X"),"N/A"))))</f>
        <v/>
      </c>
      <c r="AM22" s="574" t="str">
        <f>IF($L22="","",IF(LOG_ST!AQ21=1,"OK",IF(LOG_ST!AQ21=2,"NR",IF(OR(LOG_ST!AQ21=0,LOG_ST!AQ21="X"),"N/A"))))</f>
        <v/>
      </c>
      <c r="AN22" s="550" t="str">
        <f t="shared" si="0"/>
        <v/>
      </c>
    </row>
    <row r="23" spans="2:40" x14ac:dyDescent="0.25">
      <c r="B23" s="551" t="str">
        <f>IF(LOG_ST!F22="","",VLOOKUP(LOG_ST!F22,DATA_BASE!$A$46:$C$57,2,FALSE))</f>
        <v/>
      </c>
      <c r="C23" s="570" t="str">
        <f>IF(LOG_ST!G22="","",VLOOKUP(LOG_ST!G22,DATA_HDG,2,FALSE))</f>
        <v/>
      </c>
      <c r="D23" s="571" t="str">
        <f>IF(LOG_ST!H22="","",LOG_ST!H22)</f>
        <v/>
      </c>
      <c r="E23" s="570" t="str">
        <f>IF(LOG_ST!I22="","",VLOOKUP(LOG_ST!I22,DATA_COP,2,FALSE))</f>
        <v/>
      </c>
      <c r="F23" s="573" t="str">
        <f>IF(LOG_ST!J22="","",LOG_ST!J22)</f>
        <v/>
      </c>
      <c r="G23" s="570" t="str">
        <f>IF(LOG_ST!K22="","",VLOOKUP(LOG_ST!K22,DATA_SCIES,2,FALSE))</f>
        <v/>
      </c>
      <c r="H23" s="570" t="str">
        <f>IF(LOG_ST!L22="","",VLOOKUP(LOG_ST!L22,DATA_ST!$U$7:$V$64,2,FALSE))</f>
        <v/>
      </c>
      <c r="I23" s="570" t="str">
        <f>IF(LOG_ST!M22="","",LOG_ST!M22)</f>
        <v/>
      </c>
      <c r="J23" s="570" t="str">
        <f>IF(LOG_ST!N22="","",LOG_ST!N22)</f>
        <v/>
      </c>
      <c r="K23" s="573" t="str">
        <f>IF(LOG_ST!O22="","",LOG_ST!O22)</f>
        <v/>
      </c>
      <c r="L23" s="573" t="str">
        <f>IF(LOG_ST!P22="","",LOG_ST!P22)</f>
        <v/>
      </c>
      <c r="M23" s="574" t="str">
        <f>IF($L23="","",IF(LOG_ST!Q22=1,"OK",IF(LOG_ST!Q22=2,"NR",IF(OR(LOG_ST!Q22=0,LOG_ST!Q22="X"),"N/A"))))</f>
        <v/>
      </c>
      <c r="N23" s="574" t="str">
        <f>IF($L23="","",IF(LOG_ST!R22=1,"OK",IF(LOG_ST!R22=2,"NR",IF(OR(LOG_ST!R22=0,LOG_ST!R22="X"),"N/A"))))</f>
        <v/>
      </c>
      <c r="O23" s="574" t="str">
        <f>IF($L23="","",IF(LOG_ST!S22=1,"OK",IF(LOG_ST!S22=2,"NR",IF(OR(LOG_ST!S22=0,LOG_ST!S22="X"),"N/A"))))</f>
        <v/>
      </c>
      <c r="P23" s="574" t="str">
        <f>IF($L23="","",IF(LOG_ST!T22=1,"OK",IF(LOG_ST!T22=2,"NR",IF(OR(LOG_ST!T22=0,LOG_ST!T22="X"),"N/A"))))</f>
        <v/>
      </c>
      <c r="Q23" s="574" t="str">
        <f>IF($L23="","",IF(LOG_ST!U22=1,"OK",IF(LOG_ST!U22=2,"NR",IF(OR(LOG_ST!U22=0,LOG_ST!U22="X"),"N/A"))))</f>
        <v/>
      </c>
      <c r="R23" s="574" t="str">
        <f>IF($L23="","",IF(LOG_ST!V22=1,"OK",IF(LOG_ST!V22=2,"NR",IF(OR(LOG_ST!V22=0,LOG_ST!V22="X"),"N/A"))))</f>
        <v/>
      </c>
      <c r="S23" s="574" t="str">
        <f>IF($L23="","",IF(LOG_ST!W22=1,"OK",IF(LOG_ST!W22=2,"NR",IF(OR(LOG_ST!W22=0,LOG_ST!W22="X"),"N/A"))))</f>
        <v/>
      </c>
      <c r="T23" s="574" t="str">
        <f>IF($L23="","",IF(LOG_ST!X22=1,"OK",IF(LOG_ST!X22=2,"NR",IF(OR(LOG_ST!X22=0,LOG_ST!X22="X"),"N/A"))))</f>
        <v/>
      </c>
      <c r="U23" s="574" t="str">
        <f>IF($L23="","",IF(LOG_ST!Y22=1,"OK",IF(LOG_ST!Y22=2,"NR",IF(OR(LOG_ST!Y22=0,LOG_ST!Y22="X"),"N/A"))))</f>
        <v/>
      </c>
      <c r="V23" s="574" t="str">
        <f>IF($L23="","",IF(LOG_ST!Z22=1,"OK",IF(LOG_ST!Z22=2,"NR",IF(OR(LOG_ST!Z22=0,LOG_ST!Z22="X"),"N/A"))))</f>
        <v/>
      </c>
      <c r="W23" s="574" t="str">
        <f>IF($L23="","",IF(LOG_ST!AA22=1,"OK",IF(LOG_ST!AA22=2,"NR",IF(OR(LOG_ST!AA22=0,LOG_ST!AA22="X"),"N/A"))))</f>
        <v/>
      </c>
      <c r="X23" s="574" t="str">
        <f>IF($L23="","",IF(LOG_ST!AB22=1,"OK",IF(LOG_ST!AB22=2,"NR",IF(OR(LOG_ST!AB22=0,LOG_ST!AB22="X"),"N/A"))))</f>
        <v/>
      </c>
      <c r="Y23" s="574" t="str">
        <f>IF($L23="","",IF(LOG_ST!AC22=1,"OK",IF(LOG_ST!AC22=2,"NR",IF(OR(LOG_ST!AC22=0,LOG_ST!AC22="X"),"N/A"))))</f>
        <v/>
      </c>
      <c r="Z23" s="574" t="str">
        <f>IF($L23="","",IF(OR(LOG_ST!AD22=0,LOG_ST!AD22="X"),"N/A",LOG_ST!AD22))</f>
        <v/>
      </c>
      <c r="AA23" s="574" t="str">
        <f>IF($L23="","",IF(LOG_ST!AE22=1,"OK",IF(LOG_ST!AE22=2,"NR",IF(OR(LOG_ST!AE22=0,LOG_ST!AE22="X"),"N/A"))))</f>
        <v/>
      </c>
      <c r="AB23" s="574" t="str">
        <f>IF($L23="","",IF(LOG_ST!AF22=1,"OK",IF(LOG_ST!AF22=2,"NR",IF(OR(LOG_ST!AF22=0,LOG_ST!AF22="X"),"N/A"))))</f>
        <v/>
      </c>
      <c r="AC23" s="574" t="str">
        <f>IF($L23="","",IF(LOG_ST!AG22=1,"OK",IF(LOG_ST!AG22=2,"NR",IF(OR(LOG_ST!AG22=0,LOG_ST!AG22="X"),"N/A"))))</f>
        <v/>
      </c>
      <c r="AD23" s="574" t="str">
        <f>IF($L23="","",IF(OR(LOG_ST!AH22=0,LOG_ST!AH22="X"),"N/A",LOG_ST!AH22))</f>
        <v/>
      </c>
      <c r="AE23" s="574" t="str">
        <f>IF($L23="","",IF(LOG_ST!AI22=1,"OK",IF(LOG_ST!AI22=2,"NR",IF(OR(LOG_ST!AI22=0,LOG_ST!AI22="X"),"N/A"))))</f>
        <v/>
      </c>
      <c r="AF23" s="574" t="str">
        <f>IF($L23="","",IF(LOG_ST!AJ22=1,"OK",IF(LOG_ST!AJ22=2,"NR",IF(OR(LOG_ST!AJ22=0,LOG_ST!AJ22="X"),"N/A"))))</f>
        <v/>
      </c>
      <c r="AG23" s="574" t="str">
        <f>IF($L23="","",IF(LOG_ST!AK22=1,"OK",IF(LOG_ST!AK22=2,"NR",IF(OR(LOG_ST!AK22=0,LOG_ST!AK22="X"),"N/A"))))</f>
        <v/>
      </c>
      <c r="AH23" s="574" t="str">
        <f>IF($L23="","",IF(LOG_ST!AL22=1,"OK",IF(LOG_ST!AL22=2,"NR",IF(OR(LOG_ST!AL22=0,LOG_ST!AL22="X"),"N/A"))))</f>
        <v/>
      </c>
      <c r="AI23" s="574" t="str">
        <f>IF($L23="","",IF(LOG_ST!AM22=1,"OK",IF(LOG_ST!AM22=2,"NR",IF(OR(LOG_ST!AM22=0,LOG_ST!AM22="X"),"N/A"))))</f>
        <v/>
      </c>
      <c r="AJ23" s="574" t="str">
        <f>IF($L23="","",IF(LOG_ST!AN22=1,"OK",IF(LOG_ST!AN22=2,"NR",IF(OR(LOG_ST!AN22=0,LOG_ST!AN22="X"),"N/A"))))</f>
        <v/>
      </c>
      <c r="AK23" s="574" t="str">
        <f>IF($L23="","",IF(LOG_ST!AO22=1,"OK",IF(LOG_ST!AO22=2,"NR",IF(OR(LOG_ST!AO22=0,LOG_ST!AO22="X"),"N/A"))))</f>
        <v/>
      </c>
      <c r="AL23" s="574" t="str">
        <f>IF($L23="","",IF(LOG_ST!AP22=1,"OK",IF(LOG_ST!AP22=2,"NR",IF(OR(LOG_ST!AP22=0,LOG_ST!AP22="X"),"N/A"))))</f>
        <v/>
      </c>
      <c r="AM23" s="574" t="str">
        <f>IF($L23="","",IF(LOG_ST!AQ22=1,"OK",IF(LOG_ST!AQ22=2,"NR",IF(OR(LOG_ST!AQ22=0,LOG_ST!AQ22="X"),"N/A"))))</f>
        <v/>
      </c>
      <c r="AN23" s="550" t="str">
        <f t="shared" si="0"/>
        <v/>
      </c>
    </row>
    <row r="24" spans="2:40" x14ac:dyDescent="0.25">
      <c r="B24" s="551" t="str">
        <f>IF(LOG_ST!F23="","",VLOOKUP(LOG_ST!F23,DATA_BASE!$A$46:$C$57,2,FALSE))</f>
        <v/>
      </c>
      <c r="C24" s="570" t="str">
        <f>IF(LOG_ST!G23="","",VLOOKUP(LOG_ST!G23,DATA_HDG,2,FALSE))</f>
        <v/>
      </c>
      <c r="D24" s="571" t="str">
        <f>IF(LOG_ST!H23="","",LOG_ST!H23)</f>
        <v/>
      </c>
      <c r="E24" s="570" t="str">
        <f>IF(LOG_ST!I23="","",VLOOKUP(LOG_ST!I23,DATA_COP,2,FALSE))</f>
        <v/>
      </c>
      <c r="F24" s="573" t="str">
        <f>IF(LOG_ST!J23="","",LOG_ST!J23)</f>
        <v/>
      </c>
      <c r="G24" s="570" t="str">
        <f>IF(LOG_ST!K23="","",VLOOKUP(LOG_ST!K23,DATA_SCIES,2,FALSE))</f>
        <v/>
      </c>
      <c r="H24" s="570" t="str">
        <f>IF(LOG_ST!L23="","",VLOOKUP(LOG_ST!L23,DATA_ST!$U$7:$V$64,2,FALSE))</f>
        <v/>
      </c>
      <c r="I24" s="570" t="str">
        <f>IF(LOG_ST!M23="","",LOG_ST!M23)</f>
        <v/>
      </c>
      <c r="J24" s="570" t="str">
        <f>IF(LOG_ST!N23="","",LOG_ST!N23)</f>
        <v/>
      </c>
      <c r="K24" s="573" t="str">
        <f>IF(LOG_ST!O23="","",LOG_ST!O23)</f>
        <v/>
      </c>
      <c r="L24" s="573" t="str">
        <f>IF(LOG_ST!P23="","",LOG_ST!P23)</f>
        <v/>
      </c>
      <c r="M24" s="574" t="str">
        <f>IF($L24="","",IF(LOG_ST!Q23=1,"OK",IF(LOG_ST!Q23=2,"NR",IF(OR(LOG_ST!Q23=0,LOG_ST!Q23="X"),"N/A"))))</f>
        <v/>
      </c>
      <c r="N24" s="574" t="str">
        <f>IF($L24="","",IF(LOG_ST!R23=1,"OK",IF(LOG_ST!R23=2,"NR",IF(OR(LOG_ST!R23=0,LOG_ST!R23="X"),"N/A"))))</f>
        <v/>
      </c>
      <c r="O24" s="574" t="str">
        <f>IF($L24="","",IF(LOG_ST!S23=1,"OK",IF(LOG_ST!S23=2,"NR",IF(OR(LOG_ST!S23=0,LOG_ST!S23="X"),"N/A"))))</f>
        <v/>
      </c>
      <c r="P24" s="574" t="str">
        <f>IF($L24="","",IF(LOG_ST!T23=1,"OK",IF(LOG_ST!T23=2,"NR",IF(OR(LOG_ST!T23=0,LOG_ST!T23="X"),"N/A"))))</f>
        <v/>
      </c>
      <c r="Q24" s="574" t="str">
        <f>IF($L24="","",IF(LOG_ST!U23=1,"OK",IF(LOG_ST!U23=2,"NR",IF(OR(LOG_ST!U23=0,LOG_ST!U23="X"),"N/A"))))</f>
        <v/>
      </c>
      <c r="R24" s="574" t="str">
        <f>IF($L24="","",IF(LOG_ST!V23=1,"OK",IF(LOG_ST!V23=2,"NR",IF(OR(LOG_ST!V23=0,LOG_ST!V23="X"),"N/A"))))</f>
        <v/>
      </c>
      <c r="S24" s="574" t="str">
        <f>IF($L24="","",IF(LOG_ST!W23=1,"OK",IF(LOG_ST!W23=2,"NR",IF(OR(LOG_ST!W23=0,LOG_ST!W23="X"),"N/A"))))</f>
        <v/>
      </c>
      <c r="T24" s="574" t="str">
        <f>IF($L24="","",IF(LOG_ST!X23=1,"OK",IF(LOG_ST!X23=2,"NR",IF(OR(LOG_ST!X23=0,LOG_ST!X23="X"),"N/A"))))</f>
        <v/>
      </c>
      <c r="U24" s="574" t="str">
        <f>IF($L24="","",IF(LOG_ST!Y23=1,"OK",IF(LOG_ST!Y23=2,"NR",IF(OR(LOG_ST!Y23=0,LOG_ST!Y23="X"),"N/A"))))</f>
        <v/>
      </c>
      <c r="V24" s="574" t="str">
        <f>IF($L24="","",IF(LOG_ST!Z23=1,"OK",IF(LOG_ST!Z23=2,"NR",IF(OR(LOG_ST!Z23=0,LOG_ST!Z23="X"),"N/A"))))</f>
        <v/>
      </c>
      <c r="W24" s="574" t="str">
        <f>IF($L24="","",IF(LOG_ST!AA23=1,"OK",IF(LOG_ST!AA23=2,"NR",IF(OR(LOG_ST!AA23=0,LOG_ST!AA23="X"),"N/A"))))</f>
        <v/>
      </c>
      <c r="X24" s="574" t="str">
        <f>IF($L24="","",IF(LOG_ST!AB23=1,"OK",IF(LOG_ST!AB23=2,"NR",IF(OR(LOG_ST!AB23=0,LOG_ST!AB23="X"),"N/A"))))</f>
        <v/>
      </c>
      <c r="Y24" s="574" t="str">
        <f>IF($L24="","",IF(LOG_ST!AC23=1,"OK",IF(LOG_ST!AC23=2,"NR",IF(OR(LOG_ST!AC23=0,LOG_ST!AC23="X"),"N/A"))))</f>
        <v/>
      </c>
      <c r="Z24" s="574" t="str">
        <f>IF($L24="","",IF(OR(LOG_ST!AD23=0,LOG_ST!AD23="X"),"N/A",LOG_ST!AD23))</f>
        <v/>
      </c>
      <c r="AA24" s="574" t="str">
        <f>IF($L24="","",IF(LOG_ST!AE23=1,"OK",IF(LOG_ST!AE23=2,"NR",IF(OR(LOG_ST!AE23=0,LOG_ST!AE23="X"),"N/A"))))</f>
        <v/>
      </c>
      <c r="AB24" s="574" t="str">
        <f>IF($L24="","",IF(LOG_ST!AF23=1,"OK",IF(LOG_ST!AF23=2,"NR",IF(OR(LOG_ST!AF23=0,LOG_ST!AF23="X"),"N/A"))))</f>
        <v/>
      </c>
      <c r="AC24" s="574" t="str">
        <f>IF($L24="","",IF(LOG_ST!AG23=1,"OK",IF(LOG_ST!AG23=2,"NR",IF(OR(LOG_ST!AG23=0,LOG_ST!AG23="X"),"N/A"))))</f>
        <v/>
      </c>
      <c r="AD24" s="574" t="str">
        <f>IF($L24="","",IF(OR(LOG_ST!AH23=0,LOG_ST!AH23="X"),"N/A",LOG_ST!AH23))</f>
        <v/>
      </c>
      <c r="AE24" s="574" t="str">
        <f>IF($L24="","",IF(LOG_ST!AI23=1,"OK",IF(LOG_ST!AI23=2,"NR",IF(OR(LOG_ST!AI23=0,LOG_ST!AI23="X"),"N/A"))))</f>
        <v/>
      </c>
      <c r="AF24" s="574" t="str">
        <f>IF($L24="","",IF(LOG_ST!AJ23=1,"OK",IF(LOG_ST!AJ23=2,"NR",IF(OR(LOG_ST!AJ23=0,LOG_ST!AJ23="X"),"N/A"))))</f>
        <v/>
      </c>
      <c r="AG24" s="574" t="str">
        <f>IF($L24="","",IF(LOG_ST!AK23=1,"OK",IF(LOG_ST!AK23=2,"NR",IF(OR(LOG_ST!AK23=0,LOG_ST!AK23="X"),"N/A"))))</f>
        <v/>
      </c>
      <c r="AH24" s="574" t="str">
        <f>IF($L24="","",IF(LOG_ST!AL23=1,"OK",IF(LOG_ST!AL23=2,"NR",IF(OR(LOG_ST!AL23=0,LOG_ST!AL23="X"),"N/A"))))</f>
        <v/>
      </c>
      <c r="AI24" s="574" t="str">
        <f>IF($L24="","",IF(LOG_ST!AM23=1,"OK",IF(LOG_ST!AM23=2,"NR",IF(OR(LOG_ST!AM23=0,LOG_ST!AM23="X"),"N/A"))))</f>
        <v/>
      </c>
      <c r="AJ24" s="574" t="str">
        <f>IF($L24="","",IF(LOG_ST!AN23=1,"OK",IF(LOG_ST!AN23=2,"NR",IF(OR(LOG_ST!AN23=0,LOG_ST!AN23="X"),"N/A"))))</f>
        <v/>
      </c>
      <c r="AK24" s="574" t="str">
        <f>IF($L24="","",IF(LOG_ST!AO23=1,"OK",IF(LOG_ST!AO23=2,"NR",IF(OR(LOG_ST!AO23=0,LOG_ST!AO23="X"),"N/A"))))</f>
        <v/>
      </c>
      <c r="AL24" s="574" t="str">
        <f>IF($L24="","",IF(LOG_ST!AP23=1,"OK",IF(LOG_ST!AP23=2,"NR",IF(OR(LOG_ST!AP23=0,LOG_ST!AP23="X"),"N/A"))))</f>
        <v/>
      </c>
      <c r="AM24" s="574" t="str">
        <f>IF($L24="","",IF(LOG_ST!AQ23=1,"OK",IF(LOG_ST!AQ23=2,"NR",IF(OR(LOG_ST!AQ23=0,LOG_ST!AQ23="X"),"N/A"))))</f>
        <v/>
      </c>
      <c r="AN24" s="550" t="str">
        <f t="shared" si="0"/>
        <v/>
      </c>
    </row>
    <row r="25" spans="2:40" x14ac:dyDescent="0.25">
      <c r="B25" s="551" t="str">
        <f>IF(LOG_ST!F24="","",VLOOKUP(LOG_ST!F24,DATA_BASE!$A$46:$C$57,2,FALSE))</f>
        <v/>
      </c>
      <c r="C25" s="570" t="str">
        <f>IF(LOG_ST!G24="","",VLOOKUP(LOG_ST!G24,DATA_HDG,2,FALSE))</f>
        <v/>
      </c>
      <c r="D25" s="571" t="str">
        <f>IF(LOG_ST!H24="","",LOG_ST!H24)</f>
        <v/>
      </c>
      <c r="E25" s="570" t="str">
        <f>IF(LOG_ST!I24="","",VLOOKUP(LOG_ST!I24,DATA_COP,2,FALSE))</f>
        <v/>
      </c>
      <c r="F25" s="573" t="str">
        <f>IF(LOG_ST!J24="","",LOG_ST!J24)</f>
        <v/>
      </c>
      <c r="G25" s="570" t="str">
        <f>IF(LOG_ST!K24="","",VLOOKUP(LOG_ST!K24,DATA_SCIES,2,FALSE))</f>
        <v/>
      </c>
      <c r="H25" s="570" t="str">
        <f>IF(LOG_ST!L24="","",VLOOKUP(LOG_ST!L24,DATA_ST!$U$7:$V$64,2,FALSE))</f>
        <v/>
      </c>
      <c r="I25" s="570" t="str">
        <f>IF(LOG_ST!M24="","",LOG_ST!M24)</f>
        <v/>
      </c>
      <c r="J25" s="570" t="str">
        <f>IF(LOG_ST!N24="","",LOG_ST!N24)</f>
        <v/>
      </c>
      <c r="K25" s="573" t="str">
        <f>IF(LOG_ST!O24="","",LOG_ST!O24)</f>
        <v/>
      </c>
      <c r="L25" s="573" t="str">
        <f>IF(LOG_ST!P24="","",LOG_ST!P24)</f>
        <v/>
      </c>
      <c r="M25" s="574" t="str">
        <f>IF($L25="","",IF(LOG_ST!Q24=1,"OK",IF(LOG_ST!Q24=2,"NR",IF(OR(LOG_ST!Q24=0,LOG_ST!Q24="X"),"N/A"))))</f>
        <v/>
      </c>
      <c r="N25" s="574" t="str">
        <f>IF($L25="","",IF(LOG_ST!R24=1,"OK",IF(LOG_ST!R24=2,"NR",IF(OR(LOG_ST!R24=0,LOG_ST!R24="X"),"N/A"))))</f>
        <v/>
      </c>
      <c r="O25" s="574" t="str">
        <f>IF($L25="","",IF(LOG_ST!S24=1,"OK",IF(LOG_ST!S24=2,"NR",IF(OR(LOG_ST!S24=0,LOG_ST!S24="X"),"N/A"))))</f>
        <v/>
      </c>
      <c r="P25" s="574" t="str">
        <f>IF($L25="","",IF(LOG_ST!T24=1,"OK",IF(LOG_ST!T24=2,"NR",IF(OR(LOG_ST!T24=0,LOG_ST!T24="X"),"N/A"))))</f>
        <v/>
      </c>
      <c r="Q25" s="574" t="str">
        <f>IF($L25="","",IF(LOG_ST!U24=1,"OK",IF(LOG_ST!U24=2,"NR",IF(OR(LOG_ST!U24=0,LOG_ST!U24="X"),"N/A"))))</f>
        <v/>
      </c>
      <c r="R25" s="574" t="str">
        <f>IF($L25="","",IF(LOG_ST!V24=1,"OK",IF(LOG_ST!V24=2,"NR",IF(OR(LOG_ST!V24=0,LOG_ST!V24="X"),"N/A"))))</f>
        <v/>
      </c>
      <c r="S25" s="574" t="str">
        <f>IF($L25="","",IF(LOG_ST!W24=1,"OK",IF(LOG_ST!W24=2,"NR",IF(OR(LOG_ST!W24=0,LOG_ST!W24="X"),"N/A"))))</f>
        <v/>
      </c>
      <c r="T25" s="574" t="str">
        <f>IF($L25="","",IF(LOG_ST!X24=1,"OK",IF(LOG_ST!X24=2,"NR",IF(OR(LOG_ST!X24=0,LOG_ST!X24="X"),"N/A"))))</f>
        <v/>
      </c>
      <c r="U25" s="574" t="str">
        <f>IF($L25="","",IF(LOG_ST!Y24=1,"OK",IF(LOG_ST!Y24=2,"NR",IF(OR(LOG_ST!Y24=0,LOG_ST!Y24="X"),"N/A"))))</f>
        <v/>
      </c>
      <c r="V25" s="574" t="str">
        <f>IF($L25="","",IF(LOG_ST!Z24=1,"OK",IF(LOG_ST!Z24=2,"NR",IF(OR(LOG_ST!Z24=0,LOG_ST!Z24="X"),"N/A"))))</f>
        <v/>
      </c>
      <c r="W25" s="574" t="str">
        <f>IF($L25="","",IF(LOG_ST!AA24=1,"OK",IF(LOG_ST!AA24=2,"NR",IF(OR(LOG_ST!AA24=0,LOG_ST!AA24="X"),"N/A"))))</f>
        <v/>
      </c>
      <c r="X25" s="574" t="str">
        <f>IF($L25="","",IF(LOG_ST!AB24=1,"OK",IF(LOG_ST!AB24=2,"NR",IF(OR(LOG_ST!AB24=0,LOG_ST!AB24="X"),"N/A"))))</f>
        <v/>
      </c>
      <c r="Y25" s="574" t="str">
        <f>IF($L25="","",IF(LOG_ST!AC24=1,"OK",IF(LOG_ST!AC24=2,"NR",IF(OR(LOG_ST!AC24=0,LOG_ST!AC24="X"),"N/A"))))</f>
        <v/>
      </c>
      <c r="Z25" s="574" t="str">
        <f>IF($L25="","",IF(OR(LOG_ST!AD24=0,LOG_ST!AD24="X"),"N/A",LOG_ST!AD24))</f>
        <v/>
      </c>
      <c r="AA25" s="574" t="str">
        <f>IF($L25="","",IF(LOG_ST!AE24=1,"OK",IF(LOG_ST!AE24=2,"NR",IF(OR(LOG_ST!AE24=0,LOG_ST!AE24="X"),"N/A"))))</f>
        <v/>
      </c>
      <c r="AB25" s="574" t="str">
        <f>IF($L25="","",IF(LOG_ST!AF24=1,"OK",IF(LOG_ST!AF24=2,"NR",IF(OR(LOG_ST!AF24=0,LOG_ST!AF24="X"),"N/A"))))</f>
        <v/>
      </c>
      <c r="AC25" s="574" t="str">
        <f>IF($L25="","",IF(LOG_ST!AG24=1,"OK",IF(LOG_ST!AG24=2,"NR",IF(OR(LOG_ST!AG24=0,LOG_ST!AG24="X"),"N/A"))))</f>
        <v/>
      </c>
      <c r="AD25" s="574" t="str">
        <f>IF($L25="","",IF(OR(LOG_ST!AH24=0,LOG_ST!AH24="X"),"N/A",LOG_ST!AH24))</f>
        <v/>
      </c>
      <c r="AE25" s="574" t="str">
        <f>IF($L25="","",IF(LOG_ST!AI24=1,"OK",IF(LOG_ST!AI24=2,"NR",IF(OR(LOG_ST!AI24=0,LOG_ST!AI24="X"),"N/A"))))</f>
        <v/>
      </c>
      <c r="AF25" s="574" t="str">
        <f>IF($L25="","",IF(LOG_ST!AJ24=1,"OK",IF(LOG_ST!AJ24=2,"NR",IF(OR(LOG_ST!AJ24=0,LOG_ST!AJ24="X"),"N/A"))))</f>
        <v/>
      </c>
      <c r="AG25" s="574" t="str">
        <f>IF($L25="","",IF(LOG_ST!AK24=1,"OK",IF(LOG_ST!AK24=2,"NR",IF(OR(LOG_ST!AK24=0,LOG_ST!AK24="X"),"N/A"))))</f>
        <v/>
      </c>
      <c r="AH25" s="574" t="str">
        <f>IF($L25="","",IF(LOG_ST!AL24=1,"OK",IF(LOG_ST!AL24=2,"NR",IF(OR(LOG_ST!AL24=0,LOG_ST!AL24="X"),"N/A"))))</f>
        <v/>
      </c>
      <c r="AI25" s="574" t="str">
        <f>IF($L25="","",IF(LOG_ST!AM24=1,"OK",IF(LOG_ST!AM24=2,"NR",IF(OR(LOG_ST!AM24=0,LOG_ST!AM24="X"),"N/A"))))</f>
        <v/>
      </c>
      <c r="AJ25" s="574" t="str">
        <f>IF($L25="","",IF(LOG_ST!AN24=1,"OK",IF(LOG_ST!AN24=2,"NR",IF(OR(LOG_ST!AN24=0,LOG_ST!AN24="X"),"N/A"))))</f>
        <v/>
      </c>
      <c r="AK25" s="574" t="str">
        <f>IF($L25="","",IF(LOG_ST!AO24=1,"OK",IF(LOG_ST!AO24=2,"NR",IF(OR(LOG_ST!AO24=0,LOG_ST!AO24="X"),"N/A"))))</f>
        <v/>
      </c>
      <c r="AL25" s="574" t="str">
        <f>IF($L25="","",IF(LOG_ST!AP24=1,"OK",IF(LOG_ST!AP24=2,"NR",IF(OR(LOG_ST!AP24=0,LOG_ST!AP24="X"),"N/A"))))</f>
        <v/>
      </c>
      <c r="AM25" s="574" t="str">
        <f>IF($L25="","",IF(LOG_ST!AQ24=1,"OK",IF(LOG_ST!AQ24=2,"NR",IF(OR(LOG_ST!AQ24=0,LOG_ST!AQ24="X"),"N/A"))))</f>
        <v/>
      </c>
      <c r="AN25" s="550" t="str">
        <f t="shared" si="0"/>
        <v/>
      </c>
    </row>
    <row r="26" spans="2:40" x14ac:dyDescent="0.25">
      <c r="B26" s="551" t="str">
        <f>IF(LOG_ST!F25="","",VLOOKUP(LOG_ST!F25,DATA_BASE!$A$46:$C$57,2,FALSE))</f>
        <v/>
      </c>
      <c r="C26" s="570" t="str">
        <f>IF(LOG_ST!G25="","",VLOOKUP(LOG_ST!G25,DATA_HDG,2,FALSE))</f>
        <v/>
      </c>
      <c r="D26" s="571" t="str">
        <f>IF(LOG_ST!H25="","",LOG_ST!H25)</f>
        <v/>
      </c>
      <c r="E26" s="570" t="str">
        <f>IF(LOG_ST!I25="","",VLOOKUP(LOG_ST!I25,DATA_COP,2,FALSE))</f>
        <v/>
      </c>
      <c r="F26" s="573" t="str">
        <f>IF(LOG_ST!J25="","",LOG_ST!J25)</f>
        <v/>
      </c>
      <c r="G26" s="570" t="str">
        <f>IF(LOG_ST!K25="","",VLOOKUP(LOG_ST!K25,DATA_SCIES,2,FALSE))</f>
        <v/>
      </c>
      <c r="H26" s="570" t="str">
        <f>IF(LOG_ST!L25="","",VLOOKUP(LOG_ST!L25,DATA_ST!$U$7:$V$64,2,FALSE))</f>
        <v/>
      </c>
      <c r="I26" s="570" t="str">
        <f>IF(LOG_ST!M25="","",LOG_ST!M25)</f>
        <v/>
      </c>
      <c r="J26" s="570" t="str">
        <f>IF(LOG_ST!N25="","",LOG_ST!N25)</f>
        <v/>
      </c>
      <c r="K26" s="573" t="str">
        <f>IF(LOG_ST!O25="","",LOG_ST!O25)</f>
        <v/>
      </c>
      <c r="L26" s="573" t="str">
        <f>IF(LOG_ST!P25="","",LOG_ST!P25)</f>
        <v/>
      </c>
      <c r="M26" s="574" t="str">
        <f>IF($L26="","",IF(LOG_ST!Q25=1,"OK",IF(LOG_ST!Q25=2,"NR",IF(OR(LOG_ST!Q25=0,LOG_ST!Q25="X"),"N/A"))))</f>
        <v/>
      </c>
      <c r="N26" s="574" t="str">
        <f>IF($L26="","",IF(LOG_ST!R25=1,"OK",IF(LOG_ST!R25=2,"NR",IF(OR(LOG_ST!R25=0,LOG_ST!R25="X"),"N/A"))))</f>
        <v/>
      </c>
      <c r="O26" s="574" t="str">
        <f>IF($L26="","",IF(LOG_ST!S25=1,"OK",IF(LOG_ST!S25=2,"NR",IF(OR(LOG_ST!S25=0,LOG_ST!S25="X"),"N/A"))))</f>
        <v/>
      </c>
      <c r="P26" s="574" t="str">
        <f>IF($L26="","",IF(LOG_ST!T25=1,"OK",IF(LOG_ST!T25=2,"NR",IF(OR(LOG_ST!T25=0,LOG_ST!T25="X"),"N/A"))))</f>
        <v/>
      </c>
      <c r="Q26" s="574" t="str">
        <f>IF($L26="","",IF(LOG_ST!U25=1,"OK",IF(LOG_ST!U25=2,"NR",IF(OR(LOG_ST!U25=0,LOG_ST!U25="X"),"N/A"))))</f>
        <v/>
      </c>
      <c r="R26" s="574" t="str">
        <f>IF($L26="","",IF(LOG_ST!V25=1,"OK",IF(LOG_ST!V25=2,"NR",IF(OR(LOG_ST!V25=0,LOG_ST!V25="X"),"N/A"))))</f>
        <v/>
      </c>
      <c r="S26" s="574" t="str">
        <f>IF($L26="","",IF(LOG_ST!W25=1,"OK",IF(LOG_ST!W25=2,"NR",IF(OR(LOG_ST!W25=0,LOG_ST!W25="X"),"N/A"))))</f>
        <v/>
      </c>
      <c r="T26" s="574" t="str">
        <f>IF($L26="","",IF(LOG_ST!X25=1,"OK",IF(LOG_ST!X25=2,"NR",IF(OR(LOG_ST!X25=0,LOG_ST!X25="X"),"N/A"))))</f>
        <v/>
      </c>
      <c r="U26" s="574" t="str">
        <f>IF($L26="","",IF(LOG_ST!Y25=1,"OK",IF(LOG_ST!Y25=2,"NR",IF(OR(LOG_ST!Y25=0,LOG_ST!Y25="X"),"N/A"))))</f>
        <v/>
      </c>
      <c r="V26" s="574" t="str">
        <f>IF($L26="","",IF(LOG_ST!Z25=1,"OK",IF(LOG_ST!Z25=2,"NR",IF(OR(LOG_ST!Z25=0,LOG_ST!Z25="X"),"N/A"))))</f>
        <v/>
      </c>
      <c r="W26" s="574" t="str">
        <f>IF($L26="","",IF(LOG_ST!AA25=1,"OK",IF(LOG_ST!AA25=2,"NR",IF(OR(LOG_ST!AA25=0,LOG_ST!AA25="X"),"N/A"))))</f>
        <v/>
      </c>
      <c r="X26" s="574" t="str">
        <f>IF($L26="","",IF(LOG_ST!AB25=1,"OK",IF(LOG_ST!AB25=2,"NR",IF(OR(LOG_ST!AB25=0,LOG_ST!AB25="X"),"N/A"))))</f>
        <v/>
      </c>
      <c r="Y26" s="574" t="str">
        <f>IF($L26="","",IF(LOG_ST!AC25=1,"OK",IF(LOG_ST!AC25=2,"NR",IF(OR(LOG_ST!AC25=0,LOG_ST!AC25="X"),"N/A"))))</f>
        <v/>
      </c>
      <c r="Z26" s="574" t="str">
        <f>IF($L26="","",IF(OR(LOG_ST!AD25=0,LOG_ST!AD25="X"),"N/A",LOG_ST!AD25))</f>
        <v/>
      </c>
      <c r="AA26" s="574" t="str">
        <f>IF($L26="","",IF(LOG_ST!AE25=1,"OK",IF(LOG_ST!AE25=2,"NR",IF(OR(LOG_ST!AE25=0,LOG_ST!AE25="X"),"N/A"))))</f>
        <v/>
      </c>
      <c r="AB26" s="574" t="str">
        <f>IF($L26="","",IF(LOG_ST!AF25=1,"OK",IF(LOG_ST!AF25=2,"NR",IF(OR(LOG_ST!AF25=0,LOG_ST!AF25="X"),"N/A"))))</f>
        <v/>
      </c>
      <c r="AC26" s="574" t="str">
        <f>IF($L26="","",IF(LOG_ST!AG25=1,"OK",IF(LOG_ST!AG25=2,"NR",IF(OR(LOG_ST!AG25=0,LOG_ST!AG25="X"),"N/A"))))</f>
        <v/>
      </c>
      <c r="AD26" s="574" t="str">
        <f>IF($L26="","",IF(OR(LOG_ST!AH25=0,LOG_ST!AH25="X"),"N/A",LOG_ST!AH25))</f>
        <v/>
      </c>
      <c r="AE26" s="574" t="str">
        <f>IF($L26="","",IF(LOG_ST!AI25=1,"OK",IF(LOG_ST!AI25=2,"NR",IF(OR(LOG_ST!AI25=0,LOG_ST!AI25="X"),"N/A"))))</f>
        <v/>
      </c>
      <c r="AF26" s="574" t="str">
        <f>IF($L26="","",IF(LOG_ST!AJ25=1,"OK",IF(LOG_ST!AJ25=2,"NR",IF(OR(LOG_ST!AJ25=0,LOG_ST!AJ25="X"),"N/A"))))</f>
        <v/>
      </c>
      <c r="AG26" s="574" t="str">
        <f>IF($L26="","",IF(LOG_ST!AK25=1,"OK",IF(LOG_ST!AK25=2,"NR",IF(OR(LOG_ST!AK25=0,LOG_ST!AK25="X"),"N/A"))))</f>
        <v/>
      </c>
      <c r="AH26" s="574" t="str">
        <f>IF($L26="","",IF(LOG_ST!AL25=1,"OK",IF(LOG_ST!AL25=2,"NR",IF(OR(LOG_ST!AL25=0,LOG_ST!AL25="X"),"N/A"))))</f>
        <v/>
      </c>
      <c r="AI26" s="574" t="str">
        <f>IF($L26="","",IF(LOG_ST!AM25=1,"OK",IF(LOG_ST!AM25=2,"NR",IF(OR(LOG_ST!AM25=0,LOG_ST!AM25="X"),"N/A"))))</f>
        <v/>
      </c>
      <c r="AJ26" s="574" t="str">
        <f>IF($L26="","",IF(LOG_ST!AN25=1,"OK",IF(LOG_ST!AN25=2,"NR",IF(OR(LOG_ST!AN25=0,LOG_ST!AN25="X"),"N/A"))))</f>
        <v/>
      </c>
      <c r="AK26" s="574" t="str">
        <f>IF($L26="","",IF(LOG_ST!AO25=1,"OK",IF(LOG_ST!AO25=2,"NR",IF(OR(LOG_ST!AO25=0,LOG_ST!AO25="X"),"N/A"))))</f>
        <v/>
      </c>
      <c r="AL26" s="574" t="str">
        <f>IF($L26="","",IF(LOG_ST!AP25=1,"OK",IF(LOG_ST!AP25=2,"NR",IF(OR(LOG_ST!AP25=0,LOG_ST!AP25="X"),"N/A"))))</f>
        <v/>
      </c>
      <c r="AM26" s="574" t="str">
        <f>IF($L26="","",IF(LOG_ST!AQ25=1,"OK",IF(LOG_ST!AQ25=2,"NR",IF(OR(LOG_ST!AQ25=0,LOG_ST!AQ25="X"),"N/A"))))</f>
        <v/>
      </c>
      <c r="AN26" s="550" t="str">
        <f t="shared" si="0"/>
        <v/>
      </c>
    </row>
    <row r="27" spans="2:40" x14ac:dyDescent="0.25">
      <c r="B27" s="551" t="str">
        <f>IF(LOG_ST!F26="","",VLOOKUP(LOG_ST!F26,DATA_BASE!$A$46:$C$57,2,FALSE))</f>
        <v/>
      </c>
      <c r="C27" s="570" t="str">
        <f>IF(LOG_ST!G26="","",VLOOKUP(LOG_ST!G26,DATA_HDG,2,FALSE))</f>
        <v/>
      </c>
      <c r="D27" s="571" t="str">
        <f>IF(LOG_ST!H26="","",LOG_ST!H26)</f>
        <v/>
      </c>
      <c r="E27" s="570" t="str">
        <f>IF(LOG_ST!I26="","",VLOOKUP(LOG_ST!I26,DATA_COP,2,FALSE))</f>
        <v/>
      </c>
      <c r="F27" s="573" t="str">
        <f>IF(LOG_ST!J26="","",LOG_ST!J26)</f>
        <v/>
      </c>
      <c r="G27" s="570" t="str">
        <f>IF(LOG_ST!K26="","",VLOOKUP(LOG_ST!K26,DATA_SCIES,2,FALSE))</f>
        <v/>
      </c>
      <c r="H27" s="570" t="str">
        <f>IF(LOG_ST!L26="","",VLOOKUP(LOG_ST!L26,DATA_ST!$U$7:$V$64,2,FALSE))</f>
        <v/>
      </c>
      <c r="I27" s="570" t="str">
        <f>IF(LOG_ST!M26="","",LOG_ST!M26)</f>
        <v/>
      </c>
      <c r="J27" s="570" t="str">
        <f>IF(LOG_ST!N26="","",LOG_ST!N26)</f>
        <v/>
      </c>
      <c r="K27" s="573" t="str">
        <f>IF(LOG_ST!O26="","",LOG_ST!O26)</f>
        <v/>
      </c>
      <c r="L27" s="573" t="str">
        <f>IF(LOG_ST!P26="","",LOG_ST!P26)</f>
        <v/>
      </c>
      <c r="M27" s="574" t="str">
        <f>IF($L27="","",IF(LOG_ST!Q26=1,"OK",IF(LOG_ST!Q26=2,"NR",IF(OR(LOG_ST!Q26=0,LOG_ST!Q26="X"),"N/A"))))</f>
        <v/>
      </c>
      <c r="N27" s="574" t="str">
        <f>IF($L27="","",IF(LOG_ST!R26=1,"OK",IF(LOG_ST!R26=2,"NR",IF(OR(LOG_ST!R26=0,LOG_ST!R26="X"),"N/A"))))</f>
        <v/>
      </c>
      <c r="O27" s="574" t="str">
        <f>IF($L27="","",IF(LOG_ST!S26=1,"OK",IF(LOG_ST!S26=2,"NR",IF(OR(LOG_ST!S26=0,LOG_ST!S26="X"),"N/A"))))</f>
        <v/>
      </c>
      <c r="P27" s="574" t="str">
        <f>IF($L27="","",IF(LOG_ST!T26=1,"OK",IF(LOG_ST!T26=2,"NR",IF(OR(LOG_ST!T26=0,LOG_ST!T26="X"),"N/A"))))</f>
        <v/>
      </c>
      <c r="Q27" s="574" t="str">
        <f>IF($L27="","",IF(LOG_ST!U26=1,"OK",IF(LOG_ST!U26=2,"NR",IF(OR(LOG_ST!U26=0,LOG_ST!U26="X"),"N/A"))))</f>
        <v/>
      </c>
      <c r="R27" s="574" t="str">
        <f>IF($L27="","",IF(LOG_ST!V26=1,"OK",IF(LOG_ST!V26=2,"NR",IF(OR(LOG_ST!V26=0,LOG_ST!V26="X"),"N/A"))))</f>
        <v/>
      </c>
      <c r="S27" s="574" t="str">
        <f>IF($L27="","",IF(LOG_ST!W26=1,"OK",IF(LOG_ST!W26=2,"NR",IF(OR(LOG_ST!W26=0,LOG_ST!W26="X"),"N/A"))))</f>
        <v/>
      </c>
      <c r="T27" s="574" t="str">
        <f>IF($L27="","",IF(LOG_ST!X26=1,"OK",IF(LOG_ST!X26=2,"NR",IF(OR(LOG_ST!X26=0,LOG_ST!X26="X"),"N/A"))))</f>
        <v/>
      </c>
      <c r="U27" s="574" t="str">
        <f>IF($L27="","",IF(LOG_ST!Y26=1,"OK",IF(LOG_ST!Y26=2,"NR",IF(OR(LOG_ST!Y26=0,LOG_ST!Y26="X"),"N/A"))))</f>
        <v/>
      </c>
      <c r="V27" s="574" t="str">
        <f>IF($L27="","",IF(LOG_ST!Z26=1,"OK",IF(LOG_ST!Z26=2,"NR",IF(OR(LOG_ST!Z26=0,LOG_ST!Z26="X"),"N/A"))))</f>
        <v/>
      </c>
      <c r="W27" s="574" t="str">
        <f>IF($L27="","",IF(LOG_ST!AA26=1,"OK",IF(LOG_ST!AA26=2,"NR",IF(OR(LOG_ST!AA26=0,LOG_ST!AA26="X"),"N/A"))))</f>
        <v/>
      </c>
      <c r="X27" s="574" t="str">
        <f>IF($L27="","",IF(LOG_ST!AB26=1,"OK",IF(LOG_ST!AB26=2,"NR",IF(OR(LOG_ST!AB26=0,LOG_ST!AB26="X"),"N/A"))))</f>
        <v/>
      </c>
      <c r="Y27" s="574" t="str">
        <f>IF($L27="","",IF(LOG_ST!AC26=1,"OK",IF(LOG_ST!AC26=2,"NR",IF(OR(LOG_ST!AC26=0,LOG_ST!AC26="X"),"N/A"))))</f>
        <v/>
      </c>
      <c r="Z27" s="574" t="str">
        <f>IF($L27="","",IF(OR(LOG_ST!AD26=0,LOG_ST!AD26="X"),"N/A",LOG_ST!AD26))</f>
        <v/>
      </c>
      <c r="AA27" s="574" t="str">
        <f>IF($L27="","",IF(LOG_ST!AE26=1,"OK",IF(LOG_ST!AE26=2,"NR",IF(OR(LOG_ST!AE26=0,LOG_ST!AE26="X"),"N/A"))))</f>
        <v/>
      </c>
      <c r="AB27" s="574" t="str">
        <f>IF($L27="","",IF(LOG_ST!AF26=1,"OK",IF(LOG_ST!AF26=2,"NR",IF(OR(LOG_ST!AF26=0,LOG_ST!AF26="X"),"N/A"))))</f>
        <v/>
      </c>
      <c r="AC27" s="574" t="str">
        <f>IF($L27="","",IF(LOG_ST!AG26=1,"OK",IF(LOG_ST!AG26=2,"NR",IF(OR(LOG_ST!AG26=0,LOG_ST!AG26="X"),"N/A"))))</f>
        <v/>
      </c>
      <c r="AD27" s="574" t="str">
        <f>IF($L27="","",IF(OR(LOG_ST!AH26=0,LOG_ST!AH26="X"),"N/A",LOG_ST!AH26))</f>
        <v/>
      </c>
      <c r="AE27" s="574" t="str">
        <f>IF($L27="","",IF(LOG_ST!AI26=1,"OK",IF(LOG_ST!AI26=2,"NR",IF(OR(LOG_ST!AI26=0,LOG_ST!AI26="X"),"N/A"))))</f>
        <v/>
      </c>
      <c r="AF27" s="574" t="str">
        <f>IF($L27="","",IF(LOG_ST!AJ26=1,"OK",IF(LOG_ST!AJ26=2,"NR",IF(OR(LOG_ST!AJ26=0,LOG_ST!AJ26="X"),"N/A"))))</f>
        <v/>
      </c>
      <c r="AG27" s="574" t="str">
        <f>IF($L27="","",IF(LOG_ST!AK26=1,"OK",IF(LOG_ST!AK26=2,"NR",IF(OR(LOG_ST!AK26=0,LOG_ST!AK26="X"),"N/A"))))</f>
        <v/>
      </c>
      <c r="AH27" s="574" t="str">
        <f>IF($L27="","",IF(LOG_ST!AL26=1,"OK",IF(LOG_ST!AL26=2,"NR",IF(OR(LOG_ST!AL26=0,LOG_ST!AL26="X"),"N/A"))))</f>
        <v/>
      </c>
      <c r="AI27" s="574" t="str">
        <f>IF($L27="","",IF(LOG_ST!AM26=1,"OK",IF(LOG_ST!AM26=2,"NR",IF(OR(LOG_ST!AM26=0,LOG_ST!AM26="X"),"N/A"))))</f>
        <v/>
      </c>
      <c r="AJ27" s="574" t="str">
        <f>IF($L27="","",IF(LOG_ST!AN26=1,"OK",IF(LOG_ST!AN26=2,"NR",IF(OR(LOG_ST!AN26=0,LOG_ST!AN26="X"),"N/A"))))</f>
        <v/>
      </c>
      <c r="AK27" s="574" t="str">
        <f>IF($L27="","",IF(LOG_ST!AO26=1,"OK",IF(LOG_ST!AO26=2,"NR",IF(OR(LOG_ST!AO26=0,LOG_ST!AO26="X"),"N/A"))))</f>
        <v/>
      </c>
      <c r="AL27" s="574" t="str">
        <f>IF($L27="","",IF(LOG_ST!AP26=1,"OK",IF(LOG_ST!AP26=2,"NR",IF(OR(LOG_ST!AP26=0,LOG_ST!AP26="X"),"N/A"))))</f>
        <v/>
      </c>
      <c r="AM27" s="574" t="str">
        <f>IF($L27="","",IF(LOG_ST!AQ26=1,"OK",IF(LOG_ST!AQ26=2,"NR",IF(OR(LOG_ST!AQ26=0,LOG_ST!AQ26="X"),"N/A"))))</f>
        <v/>
      </c>
      <c r="AN27" s="550" t="str">
        <f t="shared" si="0"/>
        <v/>
      </c>
    </row>
    <row r="28" spans="2:40" x14ac:dyDescent="0.25">
      <c r="B28" s="551" t="str">
        <f>IF(LOG_ST!F27="","",VLOOKUP(LOG_ST!F27,DATA_BASE!$A$46:$C$57,2,FALSE))</f>
        <v/>
      </c>
      <c r="C28" s="570" t="str">
        <f>IF(LOG_ST!G27="","",VLOOKUP(LOG_ST!G27,DATA_HDG,2,FALSE))</f>
        <v/>
      </c>
      <c r="D28" s="571" t="str">
        <f>IF(LOG_ST!H27="","",LOG_ST!H27)</f>
        <v/>
      </c>
      <c r="E28" s="570" t="str">
        <f>IF(LOG_ST!I27="","",VLOOKUP(LOG_ST!I27,DATA_COP,2,FALSE))</f>
        <v/>
      </c>
      <c r="F28" s="573" t="str">
        <f>IF(LOG_ST!J27="","",LOG_ST!J27)</f>
        <v/>
      </c>
      <c r="G28" s="570" t="str">
        <f>IF(LOG_ST!K27="","",VLOOKUP(LOG_ST!K27,DATA_SCIES,2,FALSE))</f>
        <v/>
      </c>
      <c r="H28" s="570" t="str">
        <f>IF(LOG_ST!L27="","",VLOOKUP(LOG_ST!L27,DATA_ST!$U$7:$V$64,2,FALSE))</f>
        <v/>
      </c>
      <c r="I28" s="570" t="str">
        <f>IF(LOG_ST!M27="","",LOG_ST!M27)</f>
        <v/>
      </c>
      <c r="J28" s="570" t="str">
        <f>IF(LOG_ST!N27="","",LOG_ST!N27)</f>
        <v/>
      </c>
      <c r="K28" s="573" t="str">
        <f>IF(LOG_ST!O27="","",LOG_ST!O27)</f>
        <v/>
      </c>
      <c r="L28" s="573" t="str">
        <f>IF(LOG_ST!P27="","",LOG_ST!P27)</f>
        <v/>
      </c>
      <c r="M28" s="574" t="str">
        <f>IF($L28="","",IF(LOG_ST!Q27=1,"OK",IF(LOG_ST!Q27=2,"NR",IF(OR(LOG_ST!Q27=0,LOG_ST!Q27="X"),"N/A"))))</f>
        <v/>
      </c>
      <c r="N28" s="574" t="str">
        <f>IF($L28="","",IF(LOG_ST!R27=1,"OK",IF(LOG_ST!R27=2,"NR",IF(OR(LOG_ST!R27=0,LOG_ST!R27="X"),"N/A"))))</f>
        <v/>
      </c>
      <c r="O28" s="574" t="str">
        <f>IF($L28="","",IF(LOG_ST!S27=1,"OK",IF(LOG_ST!S27=2,"NR",IF(OR(LOG_ST!S27=0,LOG_ST!S27="X"),"N/A"))))</f>
        <v/>
      </c>
      <c r="P28" s="574" t="str">
        <f>IF($L28="","",IF(LOG_ST!T27=1,"OK",IF(LOG_ST!T27=2,"NR",IF(OR(LOG_ST!T27=0,LOG_ST!T27="X"),"N/A"))))</f>
        <v/>
      </c>
      <c r="Q28" s="574" t="str">
        <f>IF($L28="","",IF(LOG_ST!U27=1,"OK",IF(LOG_ST!U27=2,"NR",IF(OR(LOG_ST!U27=0,LOG_ST!U27="X"),"N/A"))))</f>
        <v/>
      </c>
      <c r="R28" s="574" t="str">
        <f>IF($L28="","",IF(LOG_ST!V27=1,"OK",IF(LOG_ST!V27=2,"NR",IF(OR(LOG_ST!V27=0,LOG_ST!V27="X"),"N/A"))))</f>
        <v/>
      </c>
      <c r="S28" s="574" t="str">
        <f>IF($L28="","",IF(LOG_ST!W27=1,"OK",IF(LOG_ST!W27=2,"NR",IF(OR(LOG_ST!W27=0,LOG_ST!W27="X"),"N/A"))))</f>
        <v/>
      </c>
      <c r="T28" s="574" t="str">
        <f>IF($L28="","",IF(LOG_ST!X27=1,"OK",IF(LOG_ST!X27=2,"NR",IF(OR(LOG_ST!X27=0,LOG_ST!X27="X"),"N/A"))))</f>
        <v/>
      </c>
      <c r="U28" s="574" t="str">
        <f>IF($L28="","",IF(LOG_ST!Y27=1,"OK",IF(LOG_ST!Y27=2,"NR",IF(OR(LOG_ST!Y27=0,LOG_ST!Y27="X"),"N/A"))))</f>
        <v/>
      </c>
      <c r="V28" s="574" t="str">
        <f>IF($L28="","",IF(LOG_ST!Z27=1,"OK",IF(LOG_ST!Z27=2,"NR",IF(OR(LOG_ST!Z27=0,LOG_ST!Z27="X"),"N/A"))))</f>
        <v/>
      </c>
      <c r="W28" s="574" t="str">
        <f>IF($L28="","",IF(LOG_ST!AA27=1,"OK",IF(LOG_ST!AA27=2,"NR",IF(OR(LOG_ST!AA27=0,LOG_ST!AA27="X"),"N/A"))))</f>
        <v/>
      </c>
      <c r="X28" s="574" t="str">
        <f>IF($L28="","",IF(LOG_ST!AB27=1,"OK",IF(LOG_ST!AB27=2,"NR",IF(OR(LOG_ST!AB27=0,LOG_ST!AB27="X"),"N/A"))))</f>
        <v/>
      </c>
      <c r="Y28" s="574" t="str">
        <f>IF($L28="","",IF(LOG_ST!AC27=1,"OK",IF(LOG_ST!AC27=2,"NR",IF(OR(LOG_ST!AC27=0,LOG_ST!AC27="X"),"N/A"))))</f>
        <v/>
      </c>
      <c r="Z28" s="574" t="str">
        <f>IF($L28="","",IF(OR(LOG_ST!AD27=0,LOG_ST!AD27="X"),"N/A",LOG_ST!AD27))</f>
        <v/>
      </c>
      <c r="AA28" s="574" t="str">
        <f>IF($L28="","",IF(LOG_ST!AE27=1,"OK",IF(LOG_ST!AE27=2,"NR",IF(OR(LOG_ST!AE27=0,LOG_ST!AE27="X"),"N/A"))))</f>
        <v/>
      </c>
      <c r="AB28" s="574" t="str">
        <f>IF($L28="","",IF(LOG_ST!AF27=1,"OK",IF(LOG_ST!AF27=2,"NR",IF(OR(LOG_ST!AF27=0,LOG_ST!AF27="X"),"N/A"))))</f>
        <v/>
      </c>
      <c r="AC28" s="574" t="str">
        <f>IF($L28="","",IF(LOG_ST!AG27=1,"OK",IF(LOG_ST!AG27=2,"NR",IF(OR(LOG_ST!AG27=0,LOG_ST!AG27="X"),"N/A"))))</f>
        <v/>
      </c>
      <c r="AD28" s="574" t="str">
        <f>IF($L28="","",IF(OR(LOG_ST!AH27=0,LOG_ST!AH27="X"),"N/A",LOG_ST!AH27))</f>
        <v/>
      </c>
      <c r="AE28" s="574" t="str">
        <f>IF($L28="","",IF(LOG_ST!AI27=1,"OK",IF(LOG_ST!AI27=2,"NR",IF(OR(LOG_ST!AI27=0,LOG_ST!AI27="X"),"N/A"))))</f>
        <v/>
      </c>
      <c r="AF28" s="574" t="str">
        <f>IF($L28="","",IF(LOG_ST!AJ27=1,"OK",IF(LOG_ST!AJ27=2,"NR",IF(OR(LOG_ST!AJ27=0,LOG_ST!AJ27="X"),"N/A"))))</f>
        <v/>
      </c>
      <c r="AG28" s="574" t="str">
        <f>IF($L28="","",IF(LOG_ST!AK27=1,"OK",IF(LOG_ST!AK27=2,"NR",IF(OR(LOG_ST!AK27=0,LOG_ST!AK27="X"),"N/A"))))</f>
        <v/>
      </c>
      <c r="AH28" s="574" t="str">
        <f>IF($L28="","",IF(LOG_ST!AL27=1,"OK",IF(LOG_ST!AL27=2,"NR",IF(OR(LOG_ST!AL27=0,LOG_ST!AL27="X"),"N/A"))))</f>
        <v/>
      </c>
      <c r="AI28" s="574" t="str">
        <f>IF($L28="","",IF(LOG_ST!AM27=1,"OK",IF(LOG_ST!AM27=2,"NR",IF(OR(LOG_ST!AM27=0,LOG_ST!AM27="X"),"N/A"))))</f>
        <v/>
      </c>
      <c r="AJ28" s="574" t="str">
        <f>IF($L28="","",IF(LOG_ST!AN27=1,"OK",IF(LOG_ST!AN27=2,"NR",IF(OR(LOG_ST!AN27=0,LOG_ST!AN27="X"),"N/A"))))</f>
        <v/>
      </c>
      <c r="AK28" s="574" t="str">
        <f>IF($L28="","",IF(LOG_ST!AO27=1,"OK",IF(LOG_ST!AO27=2,"NR",IF(OR(LOG_ST!AO27=0,LOG_ST!AO27="X"),"N/A"))))</f>
        <v/>
      </c>
      <c r="AL28" s="574" t="str">
        <f>IF($L28="","",IF(LOG_ST!AP27=1,"OK",IF(LOG_ST!AP27=2,"NR",IF(OR(LOG_ST!AP27=0,LOG_ST!AP27="X"),"N/A"))))</f>
        <v/>
      </c>
      <c r="AM28" s="574" t="str">
        <f>IF($L28="","",IF(LOG_ST!AQ27=1,"OK",IF(LOG_ST!AQ27=2,"NR",IF(OR(LOG_ST!AQ27=0,LOG_ST!AQ27="X"),"N/A"))))</f>
        <v/>
      </c>
      <c r="AN28" s="550" t="str">
        <f t="shared" si="0"/>
        <v/>
      </c>
    </row>
    <row r="29" spans="2:40" x14ac:dyDescent="0.25">
      <c r="B29" s="551" t="str">
        <f>IF(LOG_ST!F28="","",VLOOKUP(LOG_ST!F28,DATA_BASE!$A$46:$C$57,2,FALSE))</f>
        <v/>
      </c>
      <c r="C29" s="570" t="str">
        <f>IF(LOG_ST!G28="","",VLOOKUP(LOG_ST!G28,DATA_HDG,2,FALSE))</f>
        <v/>
      </c>
      <c r="D29" s="571" t="str">
        <f>IF(LOG_ST!H28="","",LOG_ST!H28)</f>
        <v/>
      </c>
      <c r="E29" s="570" t="str">
        <f>IF(LOG_ST!I28="","",VLOOKUP(LOG_ST!I28,DATA_COP,2,FALSE))</f>
        <v/>
      </c>
      <c r="F29" s="573" t="str">
        <f>IF(LOG_ST!J28="","",LOG_ST!J28)</f>
        <v/>
      </c>
      <c r="G29" s="570" t="str">
        <f>IF(LOG_ST!K28="","",VLOOKUP(LOG_ST!K28,DATA_SCIES,2,FALSE))</f>
        <v/>
      </c>
      <c r="H29" s="570" t="str">
        <f>IF(LOG_ST!L28="","",VLOOKUP(LOG_ST!L28,DATA_ST!$U$7:$V$64,2,FALSE))</f>
        <v/>
      </c>
      <c r="I29" s="570" t="str">
        <f>IF(LOG_ST!M28="","",LOG_ST!M28)</f>
        <v/>
      </c>
      <c r="J29" s="570" t="str">
        <f>IF(LOG_ST!N28="","",LOG_ST!N28)</f>
        <v/>
      </c>
      <c r="K29" s="573" t="str">
        <f>IF(LOG_ST!O28="","",LOG_ST!O28)</f>
        <v/>
      </c>
      <c r="L29" s="573" t="str">
        <f>IF(LOG_ST!P28="","",LOG_ST!P28)</f>
        <v/>
      </c>
      <c r="M29" s="574" t="str">
        <f>IF($L29="","",IF(LOG_ST!Q28=1,"OK",IF(LOG_ST!Q28=2,"NR",IF(OR(LOG_ST!Q28=0,LOG_ST!Q28="X"),"N/A"))))</f>
        <v/>
      </c>
      <c r="N29" s="574" t="str">
        <f>IF($L29="","",IF(LOG_ST!R28=1,"OK",IF(LOG_ST!R28=2,"NR",IF(OR(LOG_ST!R28=0,LOG_ST!R28="X"),"N/A"))))</f>
        <v/>
      </c>
      <c r="O29" s="574" t="str">
        <f>IF($L29="","",IF(LOG_ST!S28=1,"OK",IF(LOG_ST!S28=2,"NR",IF(OR(LOG_ST!S28=0,LOG_ST!S28="X"),"N/A"))))</f>
        <v/>
      </c>
      <c r="P29" s="574" t="str">
        <f>IF($L29="","",IF(LOG_ST!T28=1,"OK",IF(LOG_ST!T28=2,"NR",IF(OR(LOG_ST!T28=0,LOG_ST!T28="X"),"N/A"))))</f>
        <v/>
      </c>
      <c r="Q29" s="574" t="str">
        <f>IF($L29="","",IF(LOG_ST!U28=1,"OK",IF(LOG_ST!U28=2,"NR",IF(OR(LOG_ST!U28=0,LOG_ST!U28="X"),"N/A"))))</f>
        <v/>
      </c>
      <c r="R29" s="574" t="str">
        <f>IF($L29="","",IF(LOG_ST!V28=1,"OK",IF(LOG_ST!V28=2,"NR",IF(OR(LOG_ST!V28=0,LOG_ST!V28="X"),"N/A"))))</f>
        <v/>
      </c>
      <c r="S29" s="574" t="str">
        <f>IF($L29="","",IF(LOG_ST!W28=1,"OK",IF(LOG_ST!W28=2,"NR",IF(OR(LOG_ST!W28=0,LOG_ST!W28="X"),"N/A"))))</f>
        <v/>
      </c>
      <c r="T29" s="574" t="str">
        <f>IF($L29="","",IF(LOG_ST!X28=1,"OK",IF(LOG_ST!X28=2,"NR",IF(OR(LOG_ST!X28=0,LOG_ST!X28="X"),"N/A"))))</f>
        <v/>
      </c>
      <c r="U29" s="574" t="str">
        <f>IF($L29="","",IF(LOG_ST!Y28=1,"OK",IF(LOG_ST!Y28=2,"NR",IF(OR(LOG_ST!Y28=0,LOG_ST!Y28="X"),"N/A"))))</f>
        <v/>
      </c>
      <c r="V29" s="574" t="str">
        <f>IF($L29="","",IF(LOG_ST!Z28=1,"OK",IF(LOG_ST!Z28=2,"NR",IF(OR(LOG_ST!Z28=0,LOG_ST!Z28="X"),"N/A"))))</f>
        <v/>
      </c>
      <c r="W29" s="574" t="str">
        <f>IF($L29="","",IF(LOG_ST!AA28=1,"OK",IF(LOG_ST!AA28=2,"NR",IF(OR(LOG_ST!AA28=0,LOG_ST!AA28="X"),"N/A"))))</f>
        <v/>
      </c>
      <c r="X29" s="574" t="str">
        <f>IF($L29="","",IF(LOG_ST!AB28=1,"OK",IF(LOG_ST!AB28=2,"NR",IF(OR(LOG_ST!AB28=0,LOG_ST!AB28="X"),"N/A"))))</f>
        <v/>
      </c>
      <c r="Y29" s="574" t="str">
        <f>IF($L29="","",IF(LOG_ST!AC28=1,"OK",IF(LOG_ST!AC28=2,"NR",IF(OR(LOG_ST!AC28=0,LOG_ST!AC28="X"),"N/A"))))</f>
        <v/>
      </c>
      <c r="Z29" s="574" t="str">
        <f>IF($L29="","",IF(OR(LOG_ST!AD28=0,LOG_ST!AD28="X"),"N/A",LOG_ST!AD28))</f>
        <v/>
      </c>
      <c r="AA29" s="574" t="str">
        <f>IF($L29="","",IF(LOG_ST!AE28=1,"OK",IF(LOG_ST!AE28=2,"NR",IF(OR(LOG_ST!AE28=0,LOG_ST!AE28="X"),"N/A"))))</f>
        <v/>
      </c>
      <c r="AB29" s="574" t="str">
        <f>IF($L29="","",IF(LOG_ST!AF28=1,"OK",IF(LOG_ST!AF28=2,"NR",IF(OR(LOG_ST!AF28=0,LOG_ST!AF28="X"),"N/A"))))</f>
        <v/>
      </c>
      <c r="AC29" s="574" t="str">
        <f>IF($L29="","",IF(LOG_ST!AG28=1,"OK",IF(LOG_ST!AG28=2,"NR",IF(OR(LOG_ST!AG28=0,LOG_ST!AG28="X"),"N/A"))))</f>
        <v/>
      </c>
      <c r="AD29" s="574" t="str">
        <f>IF($L29="","",IF(OR(LOG_ST!AH28=0,LOG_ST!AH28="X"),"N/A",LOG_ST!AH28))</f>
        <v/>
      </c>
      <c r="AE29" s="574" t="str">
        <f>IF($L29="","",IF(LOG_ST!AI28=1,"OK",IF(LOG_ST!AI28=2,"NR",IF(OR(LOG_ST!AI28=0,LOG_ST!AI28="X"),"N/A"))))</f>
        <v/>
      </c>
      <c r="AF29" s="574" t="str">
        <f>IF($L29="","",IF(LOG_ST!AJ28=1,"OK",IF(LOG_ST!AJ28=2,"NR",IF(OR(LOG_ST!AJ28=0,LOG_ST!AJ28="X"),"N/A"))))</f>
        <v/>
      </c>
      <c r="AG29" s="574" t="str">
        <f>IF($L29="","",IF(LOG_ST!AK28=1,"OK",IF(LOG_ST!AK28=2,"NR",IF(OR(LOG_ST!AK28=0,LOG_ST!AK28="X"),"N/A"))))</f>
        <v/>
      </c>
      <c r="AH29" s="574" t="str">
        <f>IF($L29="","",IF(LOG_ST!AL28=1,"OK",IF(LOG_ST!AL28=2,"NR",IF(OR(LOG_ST!AL28=0,LOG_ST!AL28="X"),"N/A"))))</f>
        <v/>
      </c>
      <c r="AI29" s="574" t="str">
        <f>IF($L29="","",IF(LOG_ST!AM28=1,"OK",IF(LOG_ST!AM28=2,"NR",IF(OR(LOG_ST!AM28=0,LOG_ST!AM28="X"),"N/A"))))</f>
        <v/>
      </c>
      <c r="AJ29" s="574" t="str">
        <f>IF($L29="","",IF(LOG_ST!AN28=1,"OK",IF(LOG_ST!AN28=2,"NR",IF(OR(LOG_ST!AN28=0,LOG_ST!AN28="X"),"N/A"))))</f>
        <v/>
      </c>
      <c r="AK29" s="574" t="str">
        <f>IF($L29="","",IF(LOG_ST!AO28=1,"OK",IF(LOG_ST!AO28=2,"NR",IF(OR(LOG_ST!AO28=0,LOG_ST!AO28="X"),"N/A"))))</f>
        <v/>
      </c>
      <c r="AL29" s="574" t="str">
        <f>IF($L29="","",IF(LOG_ST!AP28=1,"OK",IF(LOG_ST!AP28=2,"NR",IF(OR(LOG_ST!AP28=0,LOG_ST!AP28="X"),"N/A"))))</f>
        <v/>
      </c>
      <c r="AM29" s="574" t="str">
        <f>IF($L29="","",IF(LOG_ST!AQ28=1,"OK",IF(LOG_ST!AQ28=2,"NR",IF(OR(LOG_ST!AQ28=0,LOG_ST!AQ28="X"),"N/A"))))</f>
        <v/>
      </c>
      <c r="AN29" s="550" t="str">
        <f t="shared" si="0"/>
        <v/>
      </c>
    </row>
    <row r="30" spans="2:40" x14ac:dyDescent="0.25">
      <c r="B30" s="551" t="str">
        <f>IF(LOG_ST!F29="","",VLOOKUP(LOG_ST!F29,DATA_BASE!$A$46:$C$57,2,FALSE))</f>
        <v/>
      </c>
      <c r="C30" s="570" t="str">
        <f>IF(LOG_ST!G29="","",VLOOKUP(LOG_ST!G29,DATA_HDG,2,FALSE))</f>
        <v/>
      </c>
      <c r="D30" s="571" t="str">
        <f>IF(LOG_ST!H29="","",LOG_ST!H29)</f>
        <v/>
      </c>
      <c r="E30" s="570" t="str">
        <f>IF(LOG_ST!I29="","",VLOOKUP(LOG_ST!I29,DATA_COP,2,FALSE))</f>
        <v/>
      </c>
      <c r="F30" s="573" t="str">
        <f>IF(LOG_ST!J29="","",LOG_ST!J29)</f>
        <v/>
      </c>
      <c r="G30" s="570" t="str">
        <f>IF(LOG_ST!K29="","",VLOOKUP(LOG_ST!K29,DATA_SCIES,2,FALSE))</f>
        <v/>
      </c>
      <c r="H30" s="570" t="str">
        <f>IF(LOG_ST!L29="","",VLOOKUP(LOG_ST!L29,DATA_ST!$U$7:$V$64,2,FALSE))</f>
        <v/>
      </c>
      <c r="I30" s="570" t="str">
        <f>IF(LOG_ST!M29="","",LOG_ST!M29)</f>
        <v/>
      </c>
      <c r="J30" s="570" t="str">
        <f>IF(LOG_ST!N29="","",LOG_ST!N29)</f>
        <v/>
      </c>
      <c r="K30" s="573" t="str">
        <f>IF(LOG_ST!O29="","",LOG_ST!O29)</f>
        <v/>
      </c>
      <c r="L30" s="573" t="str">
        <f>IF(LOG_ST!P29="","",LOG_ST!P29)</f>
        <v/>
      </c>
      <c r="M30" s="574" t="str">
        <f>IF($L30="","",IF(LOG_ST!Q29=1,"OK",IF(LOG_ST!Q29=2,"NR",IF(OR(LOG_ST!Q29=0,LOG_ST!Q29="X"),"N/A"))))</f>
        <v/>
      </c>
      <c r="N30" s="574" t="str">
        <f>IF($L30="","",IF(LOG_ST!R29=1,"OK",IF(LOG_ST!R29=2,"NR",IF(OR(LOG_ST!R29=0,LOG_ST!R29="X"),"N/A"))))</f>
        <v/>
      </c>
      <c r="O30" s="574" t="str">
        <f>IF($L30="","",IF(LOG_ST!S29=1,"OK",IF(LOG_ST!S29=2,"NR",IF(OR(LOG_ST!S29=0,LOG_ST!S29="X"),"N/A"))))</f>
        <v/>
      </c>
      <c r="P30" s="574" t="str">
        <f>IF($L30="","",IF(LOG_ST!T29=1,"OK",IF(LOG_ST!T29=2,"NR",IF(OR(LOG_ST!T29=0,LOG_ST!T29="X"),"N/A"))))</f>
        <v/>
      </c>
      <c r="Q30" s="574" t="str">
        <f>IF($L30="","",IF(LOG_ST!U29=1,"OK",IF(LOG_ST!U29=2,"NR",IF(OR(LOG_ST!U29=0,LOG_ST!U29="X"),"N/A"))))</f>
        <v/>
      </c>
      <c r="R30" s="574" t="str">
        <f>IF($L30="","",IF(LOG_ST!V29=1,"OK",IF(LOG_ST!V29=2,"NR",IF(OR(LOG_ST!V29=0,LOG_ST!V29="X"),"N/A"))))</f>
        <v/>
      </c>
      <c r="S30" s="574" t="str">
        <f>IF($L30="","",IF(LOG_ST!W29=1,"OK",IF(LOG_ST!W29=2,"NR",IF(OR(LOG_ST!W29=0,LOG_ST!W29="X"),"N/A"))))</f>
        <v/>
      </c>
      <c r="T30" s="574" t="str">
        <f>IF($L30="","",IF(LOG_ST!X29=1,"OK",IF(LOG_ST!X29=2,"NR",IF(OR(LOG_ST!X29=0,LOG_ST!X29="X"),"N/A"))))</f>
        <v/>
      </c>
      <c r="U30" s="574" t="str">
        <f>IF($L30="","",IF(LOG_ST!Y29=1,"OK",IF(LOG_ST!Y29=2,"NR",IF(OR(LOG_ST!Y29=0,LOG_ST!Y29="X"),"N/A"))))</f>
        <v/>
      </c>
      <c r="V30" s="574" t="str">
        <f>IF($L30="","",IF(LOG_ST!Z29=1,"OK",IF(LOG_ST!Z29=2,"NR",IF(OR(LOG_ST!Z29=0,LOG_ST!Z29="X"),"N/A"))))</f>
        <v/>
      </c>
      <c r="W30" s="574" t="str">
        <f>IF($L30="","",IF(LOG_ST!AA29=1,"OK",IF(LOG_ST!AA29=2,"NR",IF(OR(LOG_ST!AA29=0,LOG_ST!AA29="X"),"N/A"))))</f>
        <v/>
      </c>
      <c r="X30" s="574" t="str">
        <f>IF($L30="","",IF(LOG_ST!AB29=1,"OK",IF(LOG_ST!AB29=2,"NR",IF(OR(LOG_ST!AB29=0,LOG_ST!AB29="X"),"N/A"))))</f>
        <v/>
      </c>
      <c r="Y30" s="574" t="str">
        <f>IF($L30="","",IF(LOG_ST!AC29=1,"OK",IF(LOG_ST!AC29=2,"NR",IF(OR(LOG_ST!AC29=0,LOG_ST!AC29="X"),"N/A"))))</f>
        <v/>
      </c>
      <c r="Z30" s="574" t="str">
        <f>IF($L30="","",IF(OR(LOG_ST!AD29=0,LOG_ST!AD29="X"),"N/A",LOG_ST!AD29))</f>
        <v/>
      </c>
      <c r="AA30" s="574" t="str">
        <f>IF($L30="","",IF(LOG_ST!AE29=1,"OK",IF(LOG_ST!AE29=2,"NR",IF(OR(LOG_ST!AE29=0,LOG_ST!AE29="X"),"N/A"))))</f>
        <v/>
      </c>
      <c r="AB30" s="574" t="str">
        <f>IF($L30="","",IF(LOG_ST!AF29=1,"OK",IF(LOG_ST!AF29=2,"NR",IF(OR(LOG_ST!AF29=0,LOG_ST!AF29="X"),"N/A"))))</f>
        <v/>
      </c>
      <c r="AC30" s="574" t="str">
        <f>IF($L30="","",IF(LOG_ST!AG29=1,"OK",IF(LOG_ST!AG29=2,"NR",IF(OR(LOG_ST!AG29=0,LOG_ST!AG29="X"),"N/A"))))</f>
        <v/>
      </c>
      <c r="AD30" s="574" t="str">
        <f>IF($L30="","",IF(OR(LOG_ST!AH29=0,LOG_ST!AH29="X"),"N/A",LOG_ST!AH29))</f>
        <v/>
      </c>
      <c r="AE30" s="574" t="str">
        <f>IF($L30="","",IF(LOG_ST!AI29=1,"OK",IF(LOG_ST!AI29=2,"NR",IF(OR(LOG_ST!AI29=0,LOG_ST!AI29="X"),"N/A"))))</f>
        <v/>
      </c>
      <c r="AF30" s="574" t="str">
        <f>IF($L30="","",IF(LOG_ST!AJ29=1,"OK",IF(LOG_ST!AJ29=2,"NR",IF(OR(LOG_ST!AJ29=0,LOG_ST!AJ29="X"),"N/A"))))</f>
        <v/>
      </c>
      <c r="AG30" s="574" t="str">
        <f>IF($L30="","",IF(LOG_ST!AK29=1,"OK",IF(LOG_ST!AK29=2,"NR",IF(OR(LOG_ST!AK29=0,LOG_ST!AK29="X"),"N/A"))))</f>
        <v/>
      </c>
      <c r="AH30" s="574" t="str">
        <f>IF($L30="","",IF(LOG_ST!AL29=1,"OK",IF(LOG_ST!AL29=2,"NR",IF(OR(LOG_ST!AL29=0,LOG_ST!AL29="X"),"N/A"))))</f>
        <v/>
      </c>
      <c r="AI30" s="574" t="str">
        <f>IF($L30="","",IF(LOG_ST!AM29=1,"OK",IF(LOG_ST!AM29=2,"NR",IF(OR(LOG_ST!AM29=0,LOG_ST!AM29="X"),"N/A"))))</f>
        <v/>
      </c>
      <c r="AJ30" s="574" t="str">
        <f>IF($L30="","",IF(LOG_ST!AN29=1,"OK",IF(LOG_ST!AN29=2,"NR",IF(OR(LOG_ST!AN29=0,LOG_ST!AN29="X"),"N/A"))))</f>
        <v/>
      </c>
      <c r="AK30" s="574" t="str">
        <f>IF($L30="","",IF(LOG_ST!AO29=1,"OK",IF(LOG_ST!AO29=2,"NR",IF(OR(LOG_ST!AO29=0,LOG_ST!AO29="X"),"N/A"))))</f>
        <v/>
      </c>
      <c r="AL30" s="574" t="str">
        <f>IF($L30="","",IF(LOG_ST!AP29=1,"OK",IF(LOG_ST!AP29=2,"NR",IF(OR(LOG_ST!AP29=0,LOG_ST!AP29="X"),"N/A"))))</f>
        <v/>
      </c>
      <c r="AM30" s="574" t="str">
        <f>IF($L30="","",IF(LOG_ST!AQ29=1,"OK",IF(LOG_ST!AQ29=2,"NR",IF(OR(LOG_ST!AQ29=0,LOG_ST!AQ29="X"),"N/A"))))</f>
        <v/>
      </c>
      <c r="AN30" s="550" t="str">
        <f t="shared" si="0"/>
        <v/>
      </c>
    </row>
    <row r="31" spans="2:40" x14ac:dyDescent="0.25">
      <c r="B31" s="551" t="str">
        <f>IF(LOG_ST!F30="","",VLOOKUP(LOG_ST!F30,DATA_BASE!$A$46:$C$57,2,FALSE))</f>
        <v/>
      </c>
      <c r="C31" s="570" t="str">
        <f>IF(LOG_ST!G30="","",VLOOKUP(LOG_ST!G30,DATA_HDG,2,FALSE))</f>
        <v/>
      </c>
      <c r="D31" s="571" t="str">
        <f>IF(LOG_ST!H30="","",LOG_ST!H30)</f>
        <v/>
      </c>
      <c r="E31" s="570" t="str">
        <f>IF(LOG_ST!I30="","",VLOOKUP(LOG_ST!I30,DATA_COP,2,FALSE))</f>
        <v/>
      </c>
      <c r="F31" s="573" t="str">
        <f>IF(LOG_ST!J30="","",LOG_ST!J30)</f>
        <v/>
      </c>
      <c r="G31" s="570" t="str">
        <f>IF(LOG_ST!K30="","",VLOOKUP(LOG_ST!K30,DATA_SCIES,2,FALSE))</f>
        <v/>
      </c>
      <c r="H31" s="570" t="str">
        <f>IF(LOG_ST!L30="","",VLOOKUP(LOG_ST!L30,DATA_ST!$U$7:$V$64,2,FALSE))</f>
        <v/>
      </c>
      <c r="I31" s="570" t="str">
        <f>IF(LOG_ST!M30="","",LOG_ST!M30)</f>
        <v/>
      </c>
      <c r="J31" s="570" t="str">
        <f>IF(LOG_ST!N30="","",LOG_ST!N30)</f>
        <v/>
      </c>
      <c r="K31" s="573" t="str">
        <f>IF(LOG_ST!O30="","",LOG_ST!O30)</f>
        <v/>
      </c>
      <c r="L31" s="573" t="str">
        <f>IF(LOG_ST!P30="","",LOG_ST!P30)</f>
        <v/>
      </c>
      <c r="M31" s="574" t="str">
        <f>IF($L31="","",IF(LOG_ST!Q30=1,"OK",IF(LOG_ST!Q30=2,"NR",IF(OR(LOG_ST!Q30=0,LOG_ST!Q30="X"),"N/A"))))</f>
        <v/>
      </c>
      <c r="N31" s="574" t="str">
        <f>IF($L31="","",IF(LOG_ST!R30=1,"OK",IF(LOG_ST!R30=2,"NR",IF(OR(LOG_ST!R30=0,LOG_ST!R30="X"),"N/A"))))</f>
        <v/>
      </c>
      <c r="O31" s="574" t="str">
        <f>IF($L31="","",IF(LOG_ST!S30=1,"OK",IF(LOG_ST!S30=2,"NR",IF(OR(LOG_ST!S30=0,LOG_ST!S30="X"),"N/A"))))</f>
        <v/>
      </c>
      <c r="P31" s="574" t="str">
        <f>IF($L31="","",IF(LOG_ST!T30=1,"OK",IF(LOG_ST!T30=2,"NR",IF(OR(LOG_ST!T30=0,LOG_ST!T30="X"),"N/A"))))</f>
        <v/>
      </c>
      <c r="Q31" s="574" t="str">
        <f>IF($L31="","",IF(LOG_ST!U30=1,"OK",IF(LOG_ST!U30=2,"NR",IF(OR(LOG_ST!U30=0,LOG_ST!U30="X"),"N/A"))))</f>
        <v/>
      </c>
      <c r="R31" s="574" t="str">
        <f>IF($L31="","",IF(LOG_ST!V30=1,"OK",IF(LOG_ST!V30=2,"NR",IF(OR(LOG_ST!V30=0,LOG_ST!V30="X"),"N/A"))))</f>
        <v/>
      </c>
      <c r="S31" s="574" t="str">
        <f>IF($L31="","",IF(LOG_ST!W30=1,"OK",IF(LOG_ST!W30=2,"NR",IF(OR(LOG_ST!W30=0,LOG_ST!W30="X"),"N/A"))))</f>
        <v/>
      </c>
      <c r="T31" s="574" t="str">
        <f>IF($L31="","",IF(LOG_ST!X30=1,"OK",IF(LOG_ST!X30=2,"NR",IF(OR(LOG_ST!X30=0,LOG_ST!X30="X"),"N/A"))))</f>
        <v/>
      </c>
      <c r="U31" s="574" t="str">
        <f>IF($L31="","",IF(LOG_ST!Y30=1,"OK",IF(LOG_ST!Y30=2,"NR",IF(OR(LOG_ST!Y30=0,LOG_ST!Y30="X"),"N/A"))))</f>
        <v/>
      </c>
      <c r="V31" s="574" t="str">
        <f>IF($L31="","",IF(LOG_ST!Z30=1,"OK",IF(LOG_ST!Z30=2,"NR",IF(OR(LOG_ST!Z30=0,LOG_ST!Z30="X"),"N/A"))))</f>
        <v/>
      </c>
      <c r="W31" s="574" t="str">
        <f>IF($L31="","",IF(LOG_ST!AA30=1,"OK",IF(LOG_ST!AA30=2,"NR",IF(OR(LOG_ST!AA30=0,LOG_ST!AA30="X"),"N/A"))))</f>
        <v/>
      </c>
      <c r="X31" s="574" t="str">
        <f>IF($L31="","",IF(LOG_ST!AB30=1,"OK",IF(LOG_ST!AB30=2,"NR",IF(OR(LOG_ST!AB30=0,LOG_ST!AB30="X"),"N/A"))))</f>
        <v/>
      </c>
      <c r="Y31" s="574" t="str">
        <f>IF($L31="","",IF(LOG_ST!AC30=1,"OK",IF(LOG_ST!AC30=2,"NR",IF(OR(LOG_ST!AC30=0,LOG_ST!AC30="X"),"N/A"))))</f>
        <v/>
      </c>
      <c r="Z31" s="574" t="str">
        <f>IF($L31="","",IF(OR(LOG_ST!AD30=0,LOG_ST!AD30="X"),"N/A",LOG_ST!AD30))</f>
        <v/>
      </c>
      <c r="AA31" s="574" t="str">
        <f>IF($L31="","",IF(LOG_ST!AE30=1,"OK",IF(LOG_ST!AE30=2,"NR",IF(OR(LOG_ST!AE30=0,LOG_ST!AE30="X"),"N/A"))))</f>
        <v/>
      </c>
      <c r="AB31" s="574" t="str">
        <f>IF($L31="","",IF(LOG_ST!AF30=1,"OK",IF(LOG_ST!AF30=2,"NR",IF(OR(LOG_ST!AF30=0,LOG_ST!AF30="X"),"N/A"))))</f>
        <v/>
      </c>
      <c r="AC31" s="574" t="str">
        <f>IF($L31="","",IF(LOG_ST!AG30=1,"OK",IF(LOG_ST!AG30=2,"NR",IF(OR(LOG_ST!AG30=0,LOG_ST!AG30="X"),"N/A"))))</f>
        <v/>
      </c>
      <c r="AD31" s="574" t="str">
        <f>IF($L31="","",IF(OR(LOG_ST!AH30=0,LOG_ST!AH30="X"),"N/A",LOG_ST!AH30))</f>
        <v/>
      </c>
      <c r="AE31" s="574" t="str">
        <f>IF($L31="","",IF(LOG_ST!AI30=1,"OK",IF(LOG_ST!AI30=2,"NR",IF(OR(LOG_ST!AI30=0,LOG_ST!AI30="X"),"N/A"))))</f>
        <v/>
      </c>
      <c r="AF31" s="574" t="str">
        <f>IF($L31="","",IF(LOG_ST!AJ30=1,"OK",IF(LOG_ST!AJ30=2,"NR",IF(OR(LOG_ST!AJ30=0,LOG_ST!AJ30="X"),"N/A"))))</f>
        <v/>
      </c>
      <c r="AG31" s="574" t="str">
        <f>IF($L31="","",IF(LOG_ST!AK30=1,"OK",IF(LOG_ST!AK30=2,"NR",IF(OR(LOG_ST!AK30=0,LOG_ST!AK30="X"),"N/A"))))</f>
        <v/>
      </c>
      <c r="AH31" s="574" t="str">
        <f>IF($L31="","",IF(LOG_ST!AL30=1,"OK",IF(LOG_ST!AL30=2,"NR",IF(OR(LOG_ST!AL30=0,LOG_ST!AL30="X"),"N/A"))))</f>
        <v/>
      </c>
      <c r="AI31" s="574" t="str">
        <f>IF($L31="","",IF(LOG_ST!AM30=1,"OK",IF(LOG_ST!AM30=2,"NR",IF(OR(LOG_ST!AM30=0,LOG_ST!AM30="X"),"N/A"))))</f>
        <v/>
      </c>
      <c r="AJ31" s="574" t="str">
        <f>IF($L31="","",IF(LOG_ST!AN30=1,"OK",IF(LOG_ST!AN30=2,"NR",IF(OR(LOG_ST!AN30=0,LOG_ST!AN30="X"),"N/A"))))</f>
        <v/>
      </c>
      <c r="AK31" s="574" t="str">
        <f>IF($L31="","",IF(LOG_ST!AO30=1,"OK",IF(LOG_ST!AO30=2,"NR",IF(OR(LOG_ST!AO30=0,LOG_ST!AO30="X"),"N/A"))))</f>
        <v/>
      </c>
      <c r="AL31" s="574" t="str">
        <f>IF($L31="","",IF(LOG_ST!AP30=1,"OK",IF(LOG_ST!AP30=2,"NR",IF(OR(LOG_ST!AP30=0,LOG_ST!AP30="X"),"N/A"))))</f>
        <v/>
      </c>
      <c r="AM31" s="574" t="str">
        <f>IF($L31="","",IF(LOG_ST!AQ30=1,"OK",IF(LOG_ST!AQ30=2,"NR",IF(OR(LOG_ST!AQ30=0,LOG_ST!AQ30="X"),"N/A"))))</f>
        <v/>
      </c>
      <c r="AN31" s="550" t="str">
        <f t="shared" si="0"/>
        <v/>
      </c>
    </row>
    <row r="32" spans="2:40" x14ac:dyDescent="0.25">
      <c r="B32" s="551" t="str">
        <f>IF(LOG_ST!F31="","",VLOOKUP(LOG_ST!F31,DATA_BASE!$A$46:$C$57,2,FALSE))</f>
        <v/>
      </c>
      <c r="C32" s="570" t="str">
        <f>IF(LOG_ST!G31="","",VLOOKUP(LOG_ST!G31,DATA_HDG,2,FALSE))</f>
        <v/>
      </c>
      <c r="D32" s="571" t="str">
        <f>IF(LOG_ST!H31="","",LOG_ST!H31)</f>
        <v/>
      </c>
      <c r="E32" s="570" t="str">
        <f>IF(LOG_ST!I31="","",VLOOKUP(LOG_ST!I31,DATA_COP,2,FALSE))</f>
        <v/>
      </c>
      <c r="F32" s="573" t="str">
        <f>IF(LOG_ST!J31="","",LOG_ST!J31)</f>
        <v/>
      </c>
      <c r="G32" s="570" t="str">
        <f>IF(LOG_ST!K31="","",VLOOKUP(LOG_ST!K31,DATA_SCIES,2,FALSE))</f>
        <v/>
      </c>
      <c r="H32" s="570" t="str">
        <f>IF(LOG_ST!L31="","",VLOOKUP(LOG_ST!L31,DATA_ST!$U$7:$V$64,2,FALSE))</f>
        <v/>
      </c>
      <c r="I32" s="570" t="str">
        <f>IF(LOG_ST!M31="","",LOG_ST!M31)</f>
        <v/>
      </c>
      <c r="J32" s="570" t="str">
        <f>IF(LOG_ST!N31="","",LOG_ST!N31)</f>
        <v/>
      </c>
      <c r="K32" s="573" t="str">
        <f>IF(LOG_ST!O31="","",LOG_ST!O31)</f>
        <v/>
      </c>
      <c r="L32" s="573" t="str">
        <f>IF(LOG_ST!P31="","",LOG_ST!P31)</f>
        <v/>
      </c>
      <c r="M32" s="574" t="str">
        <f>IF($L32="","",IF(LOG_ST!Q31=1,"OK",IF(LOG_ST!Q31=2,"NR",IF(OR(LOG_ST!Q31=0,LOG_ST!Q31="X"),"N/A"))))</f>
        <v/>
      </c>
      <c r="N32" s="574" t="str">
        <f>IF($L32="","",IF(LOG_ST!R31=1,"OK",IF(LOG_ST!R31=2,"NR",IF(OR(LOG_ST!R31=0,LOG_ST!R31="X"),"N/A"))))</f>
        <v/>
      </c>
      <c r="O32" s="574" t="str">
        <f>IF($L32="","",IF(LOG_ST!S31=1,"OK",IF(LOG_ST!S31=2,"NR",IF(OR(LOG_ST!S31=0,LOG_ST!S31="X"),"N/A"))))</f>
        <v/>
      </c>
      <c r="P32" s="574" t="str">
        <f>IF($L32="","",IF(LOG_ST!T31=1,"OK",IF(LOG_ST!T31=2,"NR",IF(OR(LOG_ST!T31=0,LOG_ST!T31="X"),"N/A"))))</f>
        <v/>
      </c>
      <c r="Q32" s="574" t="str">
        <f>IF($L32="","",IF(LOG_ST!U31=1,"OK",IF(LOG_ST!U31=2,"NR",IF(OR(LOG_ST!U31=0,LOG_ST!U31="X"),"N/A"))))</f>
        <v/>
      </c>
      <c r="R32" s="574" t="str">
        <f>IF($L32="","",IF(LOG_ST!V31=1,"OK",IF(LOG_ST!V31=2,"NR",IF(OR(LOG_ST!V31=0,LOG_ST!V31="X"),"N/A"))))</f>
        <v/>
      </c>
      <c r="S32" s="574" t="str">
        <f>IF($L32="","",IF(LOG_ST!W31=1,"OK",IF(LOG_ST!W31=2,"NR",IF(OR(LOG_ST!W31=0,LOG_ST!W31="X"),"N/A"))))</f>
        <v/>
      </c>
      <c r="T32" s="574" t="str">
        <f>IF($L32="","",IF(LOG_ST!X31=1,"OK",IF(LOG_ST!X31=2,"NR",IF(OR(LOG_ST!X31=0,LOG_ST!X31="X"),"N/A"))))</f>
        <v/>
      </c>
      <c r="U32" s="574" t="str">
        <f>IF($L32="","",IF(LOG_ST!Y31=1,"OK",IF(LOG_ST!Y31=2,"NR",IF(OR(LOG_ST!Y31=0,LOG_ST!Y31="X"),"N/A"))))</f>
        <v/>
      </c>
      <c r="V32" s="574" t="str">
        <f>IF($L32="","",IF(LOG_ST!Z31=1,"OK",IF(LOG_ST!Z31=2,"NR",IF(OR(LOG_ST!Z31=0,LOG_ST!Z31="X"),"N/A"))))</f>
        <v/>
      </c>
      <c r="W32" s="574" t="str">
        <f>IF($L32="","",IF(LOG_ST!AA31=1,"OK",IF(LOG_ST!AA31=2,"NR",IF(OR(LOG_ST!AA31=0,LOG_ST!AA31="X"),"N/A"))))</f>
        <v/>
      </c>
      <c r="X32" s="574" t="str">
        <f>IF($L32="","",IF(LOG_ST!AB31=1,"OK",IF(LOG_ST!AB31=2,"NR",IF(OR(LOG_ST!AB31=0,LOG_ST!AB31="X"),"N/A"))))</f>
        <v/>
      </c>
      <c r="Y32" s="574" t="str">
        <f>IF($L32="","",IF(LOG_ST!AC31=1,"OK",IF(LOG_ST!AC31=2,"NR",IF(OR(LOG_ST!AC31=0,LOG_ST!AC31="X"),"N/A"))))</f>
        <v/>
      </c>
      <c r="Z32" s="574" t="str">
        <f>IF($L32="","",IF(OR(LOG_ST!AD31=0,LOG_ST!AD31="X"),"N/A",LOG_ST!AD31))</f>
        <v/>
      </c>
      <c r="AA32" s="574" t="str">
        <f>IF($L32="","",IF(LOG_ST!AE31=1,"OK",IF(LOG_ST!AE31=2,"NR",IF(OR(LOG_ST!AE31=0,LOG_ST!AE31="X"),"N/A"))))</f>
        <v/>
      </c>
      <c r="AB32" s="574" t="str">
        <f>IF($L32="","",IF(LOG_ST!AF31=1,"OK",IF(LOG_ST!AF31=2,"NR",IF(OR(LOG_ST!AF31=0,LOG_ST!AF31="X"),"N/A"))))</f>
        <v/>
      </c>
      <c r="AC32" s="574" t="str">
        <f>IF($L32="","",IF(LOG_ST!AG31=1,"OK",IF(LOG_ST!AG31=2,"NR",IF(OR(LOG_ST!AG31=0,LOG_ST!AG31="X"),"N/A"))))</f>
        <v/>
      </c>
      <c r="AD32" s="574" t="str">
        <f>IF($L32="","",IF(OR(LOG_ST!AH31=0,LOG_ST!AH31="X"),"N/A",LOG_ST!AH31))</f>
        <v/>
      </c>
      <c r="AE32" s="574" t="str">
        <f>IF($L32="","",IF(LOG_ST!AI31=1,"OK",IF(LOG_ST!AI31=2,"NR",IF(OR(LOG_ST!AI31=0,LOG_ST!AI31="X"),"N/A"))))</f>
        <v/>
      </c>
      <c r="AF32" s="574" t="str">
        <f>IF($L32="","",IF(LOG_ST!AJ31=1,"OK",IF(LOG_ST!AJ31=2,"NR",IF(OR(LOG_ST!AJ31=0,LOG_ST!AJ31="X"),"N/A"))))</f>
        <v/>
      </c>
      <c r="AG32" s="574" t="str">
        <f>IF($L32="","",IF(LOG_ST!AK31=1,"OK",IF(LOG_ST!AK31=2,"NR",IF(OR(LOG_ST!AK31=0,LOG_ST!AK31="X"),"N/A"))))</f>
        <v/>
      </c>
      <c r="AH32" s="574" t="str">
        <f>IF($L32="","",IF(LOG_ST!AL31=1,"OK",IF(LOG_ST!AL31=2,"NR",IF(OR(LOG_ST!AL31=0,LOG_ST!AL31="X"),"N/A"))))</f>
        <v/>
      </c>
      <c r="AI32" s="574" t="str">
        <f>IF($L32="","",IF(LOG_ST!AM31=1,"OK",IF(LOG_ST!AM31=2,"NR",IF(OR(LOG_ST!AM31=0,LOG_ST!AM31="X"),"N/A"))))</f>
        <v/>
      </c>
      <c r="AJ32" s="574" t="str">
        <f>IF($L32="","",IF(LOG_ST!AN31=1,"OK",IF(LOG_ST!AN31=2,"NR",IF(OR(LOG_ST!AN31=0,LOG_ST!AN31="X"),"N/A"))))</f>
        <v/>
      </c>
      <c r="AK32" s="574" t="str">
        <f>IF($L32="","",IF(LOG_ST!AO31=1,"OK",IF(LOG_ST!AO31=2,"NR",IF(OR(LOG_ST!AO31=0,LOG_ST!AO31="X"),"N/A"))))</f>
        <v/>
      </c>
      <c r="AL32" s="574" t="str">
        <f>IF($L32="","",IF(LOG_ST!AP31=1,"OK",IF(LOG_ST!AP31=2,"NR",IF(OR(LOG_ST!AP31=0,LOG_ST!AP31="X"),"N/A"))))</f>
        <v/>
      </c>
      <c r="AM32" s="574" t="str">
        <f>IF($L32="","",IF(LOG_ST!AQ31=1,"OK",IF(LOG_ST!AQ31=2,"NR",IF(OR(LOG_ST!AQ31=0,LOG_ST!AQ31="X"),"N/A"))))</f>
        <v/>
      </c>
      <c r="AN32" s="550" t="str">
        <f t="shared" si="0"/>
        <v/>
      </c>
    </row>
    <row r="33" spans="2:40" x14ac:dyDescent="0.25">
      <c r="B33" s="551" t="str">
        <f>IF(LOG_ST!F32="","",VLOOKUP(LOG_ST!F32,DATA_BASE!$A$46:$C$57,2,FALSE))</f>
        <v/>
      </c>
      <c r="C33" s="570" t="str">
        <f>IF(LOG_ST!G32="","",VLOOKUP(LOG_ST!G32,DATA_HDG,2,FALSE))</f>
        <v/>
      </c>
      <c r="D33" s="571" t="str">
        <f>IF(LOG_ST!H32="","",LOG_ST!H32)</f>
        <v/>
      </c>
      <c r="E33" s="570" t="str">
        <f>IF(LOG_ST!I32="","",VLOOKUP(LOG_ST!I32,DATA_COP,2,FALSE))</f>
        <v/>
      </c>
      <c r="F33" s="573" t="str">
        <f>IF(LOG_ST!J32="","",LOG_ST!J32)</f>
        <v/>
      </c>
      <c r="G33" s="570" t="str">
        <f>IF(LOG_ST!K32="","",VLOOKUP(LOG_ST!K32,DATA_SCIES,2,FALSE))</f>
        <v/>
      </c>
      <c r="H33" s="570" t="str">
        <f>IF(LOG_ST!L32="","",VLOOKUP(LOG_ST!L32,DATA_ST!$U$7:$V$64,2,FALSE))</f>
        <v/>
      </c>
      <c r="I33" s="570" t="str">
        <f>IF(LOG_ST!M32="","",LOG_ST!M32)</f>
        <v/>
      </c>
      <c r="J33" s="570" t="str">
        <f>IF(LOG_ST!N32="","",LOG_ST!N32)</f>
        <v/>
      </c>
      <c r="K33" s="573" t="str">
        <f>IF(LOG_ST!O32="","",LOG_ST!O32)</f>
        <v/>
      </c>
      <c r="L33" s="573" t="str">
        <f>IF(LOG_ST!P32="","",LOG_ST!P32)</f>
        <v/>
      </c>
      <c r="M33" s="574" t="str">
        <f>IF($L33="","",IF(LOG_ST!Q32=1,"OK",IF(LOG_ST!Q32=2,"NR",IF(OR(LOG_ST!Q32=0,LOG_ST!Q32="X"),"N/A"))))</f>
        <v/>
      </c>
      <c r="N33" s="574" t="str">
        <f>IF($L33="","",IF(LOG_ST!R32=1,"OK",IF(LOG_ST!R32=2,"NR",IF(OR(LOG_ST!R32=0,LOG_ST!R32="X"),"N/A"))))</f>
        <v/>
      </c>
      <c r="O33" s="574" t="str">
        <f>IF($L33="","",IF(LOG_ST!S32=1,"OK",IF(LOG_ST!S32=2,"NR",IF(OR(LOG_ST!S32=0,LOG_ST!S32="X"),"N/A"))))</f>
        <v/>
      </c>
      <c r="P33" s="574" t="str">
        <f>IF($L33="","",IF(LOG_ST!T32=1,"OK",IF(LOG_ST!T32=2,"NR",IF(OR(LOG_ST!T32=0,LOG_ST!T32="X"),"N/A"))))</f>
        <v/>
      </c>
      <c r="Q33" s="574" t="str">
        <f>IF($L33="","",IF(LOG_ST!U32=1,"OK",IF(LOG_ST!U32=2,"NR",IF(OR(LOG_ST!U32=0,LOG_ST!U32="X"),"N/A"))))</f>
        <v/>
      </c>
      <c r="R33" s="574" t="str">
        <f>IF($L33="","",IF(LOG_ST!V32=1,"OK",IF(LOG_ST!V32=2,"NR",IF(OR(LOG_ST!V32=0,LOG_ST!V32="X"),"N/A"))))</f>
        <v/>
      </c>
      <c r="S33" s="574" t="str">
        <f>IF($L33="","",IF(LOG_ST!W32=1,"OK",IF(LOG_ST!W32=2,"NR",IF(OR(LOG_ST!W32=0,LOG_ST!W32="X"),"N/A"))))</f>
        <v/>
      </c>
      <c r="T33" s="574" t="str">
        <f>IF($L33="","",IF(LOG_ST!X32=1,"OK",IF(LOG_ST!X32=2,"NR",IF(OR(LOG_ST!X32=0,LOG_ST!X32="X"),"N/A"))))</f>
        <v/>
      </c>
      <c r="U33" s="574" t="str">
        <f>IF($L33="","",IF(LOG_ST!Y32=1,"OK",IF(LOG_ST!Y32=2,"NR",IF(OR(LOG_ST!Y32=0,LOG_ST!Y32="X"),"N/A"))))</f>
        <v/>
      </c>
      <c r="V33" s="574" t="str">
        <f>IF($L33="","",IF(LOG_ST!Z32=1,"OK",IF(LOG_ST!Z32=2,"NR",IF(OR(LOG_ST!Z32=0,LOG_ST!Z32="X"),"N/A"))))</f>
        <v/>
      </c>
      <c r="W33" s="574" t="str">
        <f>IF($L33="","",IF(LOG_ST!AA32=1,"OK",IF(LOG_ST!AA32=2,"NR",IF(OR(LOG_ST!AA32=0,LOG_ST!AA32="X"),"N/A"))))</f>
        <v/>
      </c>
      <c r="X33" s="574" t="str">
        <f>IF($L33="","",IF(LOG_ST!AB32=1,"OK",IF(LOG_ST!AB32=2,"NR",IF(OR(LOG_ST!AB32=0,LOG_ST!AB32="X"),"N/A"))))</f>
        <v/>
      </c>
      <c r="Y33" s="574" t="str">
        <f>IF($L33="","",IF(LOG_ST!AC32=1,"OK",IF(LOG_ST!AC32=2,"NR",IF(OR(LOG_ST!AC32=0,LOG_ST!AC32="X"),"N/A"))))</f>
        <v/>
      </c>
      <c r="Z33" s="574" t="str">
        <f>IF($L33="","",IF(OR(LOG_ST!AD32=0,LOG_ST!AD32="X"),"N/A",LOG_ST!AD32))</f>
        <v/>
      </c>
      <c r="AA33" s="574" t="str">
        <f>IF($L33="","",IF(LOG_ST!AE32=1,"OK",IF(LOG_ST!AE32=2,"NR",IF(OR(LOG_ST!AE32=0,LOG_ST!AE32="X"),"N/A"))))</f>
        <v/>
      </c>
      <c r="AB33" s="574" t="str">
        <f>IF($L33="","",IF(LOG_ST!AF32=1,"OK",IF(LOG_ST!AF32=2,"NR",IF(OR(LOG_ST!AF32=0,LOG_ST!AF32="X"),"N/A"))))</f>
        <v/>
      </c>
      <c r="AC33" s="574" t="str">
        <f>IF($L33="","",IF(LOG_ST!AG32=1,"OK",IF(LOG_ST!AG32=2,"NR",IF(OR(LOG_ST!AG32=0,LOG_ST!AG32="X"),"N/A"))))</f>
        <v/>
      </c>
      <c r="AD33" s="574" t="str">
        <f>IF($L33="","",IF(OR(LOG_ST!AH32=0,LOG_ST!AH32="X"),"N/A",LOG_ST!AH32))</f>
        <v/>
      </c>
      <c r="AE33" s="574" t="str">
        <f>IF($L33="","",IF(LOG_ST!AI32=1,"OK",IF(LOG_ST!AI32=2,"NR",IF(OR(LOG_ST!AI32=0,LOG_ST!AI32="X"),"N/A"))))</f>
        <v/>
      </c>
      <c r="AF33" s="574" t="str">
        <f>IF($L33="","",IF(LOG_ST!AJ32=1,"OK",IF(LOG_ST!AJ32=2,"NR",IF(OR(LOG_ST!AJ32=0,LOG_ST!AJ32="X"),"N/A"))))</f>
        <v/>
      </c>
      <c r="AG33" s="574" t="str">
        <f>IF($L33="","",IF(LOG_ST!AK32=1,"OK",IF(LOG_ST!AK32=2,"NR",IF(OR(LOG_ST!AK32=0,LOG_ST!AK32="X"),"N/A"))))</f>
        <v/>
      </c>
      <c r="AH33" s="574" t="str">
        <f>IF($L33="","",IF(LOG_ST!AL32=1,"OK",IF(LOG_ST!AL32=2,"NR",IF(OR(LOG_ST!AL32=0,LOG_ST!AL32="X"),"N/A"))))</f>
        <v/>
      </c>
      <c r="AI33" s="574" t="str">
        <f>IF($L33="","",IF(LOG_ST!AM32=1,"OK",IF(LOG_ST!AM32=2,"NR",IF(OR(LOG_ST!AM32=0,LOG_ST!AM32="X"),"N/A"))))</f>
        <v/>
      </c>
      <c r="AJ33" s="574" t="str">
        <f>IF($L33="","",IF(LOG_ST!AN32=1,"OK",IF(LOG_ST!AN32=2,"NR",IF(OR(LOG_ST!AN32=0,LOG_ST!AN32="X"),"N/A"))))</f>
        <v/>
      </c>
      <c r="AK33" s="574" t="str">
        <f>IF($L33="","",IF(LOG_ST!AO32=1,"OK",IF(LOG_ST!AO32=2,"NR",IF(OR(LOG_ST!AO32=0,LOG_ST!AO32="X"),"N/A"))))</f>
        <v/>
      </c>
      <c r="AL33" s="574" t="str">
        <f>IF($L33="","",IF(LOG_ST!AP32=1,"OK",IF(LOG_ST!AP32=2,"NR",IF(OR(LOG_ST!AP32=0,LOG_ST!AP32="X"),"N/A"))))</f>
        <v/>
      </c>
      <c r="AM33" s="574" t="str">
        <f>IF($L33="","",IF(LOG_ST!AQ32=1,"OK",IF(LOG_ST!AQ32=2,"NR",IF(OR(LOG_ST!AQ32=0,LOG_ST!AQ32="X"),"N/A"))))</f>
        <v/>
      </c>
      <c r="AN33" s="550" t="str">
        <f t="shared" si="0"/>
        <v/>
      </c>
    </row>
    <row r="34" spans="2:40" x14ac:dyDescent="0.25">
      <c r="B34" s="551" t="str">
        <f>IF(LOG_ST!F33="","",VLOOKUP(LOG_ST!F33,DATA_BASE!$A$46:$C$57,2,FALSE))</f>
        <v/>
      </c>
      <c r="C34" s="570" t="str">
        <f>IF(LOG_ST!G33="","",VLOOKUP(LOG_ST!G33,DATA_HDG,2,FALSE))</f>
        <v/>
      </c>
      <c r="D34" s="571" t="str">
        <f>IF(LOG_ST!H33="","",LOG_ST!H33)</f>
        <v/>
      </c>
      <c r="E34" s="570" t="str">
        <f>IF(LOG_ST!I33="","",VLOOKUP(LOG_ST!I33,DATA_COP,2,FALSE))</f>
        <v/>
      </c>
      <c r="F34" s="573" t="str">
        <f>IF(LOG_ST!J33="","",LOG_ST!J33)</f>
        <v/>
      </c>
      <c r="G34" s="570" t="str">
        <f>IF(LOG_ST!K33="","",VLOOKUP(LOG_ST!K33,DATA_SCIES,2,FALSE))</f>
        <v/>
      </c>
      <c r="H34" s="570" t="str">
        <f>IF(LOG_ST!L33="","",VLOOKUP(LOG_ST!L33,DATA_ST!$U$7:$V$64,2,FALSE))</f>
        <v/>
      </c>
      <c r="I34" s="570" t="str">
        <f>IF(LOG_ST!M33="","",LOG_ST!M33)</f>
        <v/>
      </c>
      <c r="J34" s="570" t="str">
        <f>IF(LOG_ST!N33="","",LOG_ST!N33)</f>
        <v/>
      </c>
      <c r="K34" s="573" t="str">
        <f>IF(LOG_ST!O33="","",LOG_ST!O33)</f>
        <v/>
      </c>
      <c r="L34" s="573" t="str">
        <f>IF(LOG_ST!P33="","",LOG_ST!P33)</f>
        <v/>
      </c>
      <c r="M34" s="574" t="str">
        <f>IF($L34="","",IF(LOG_ST!Q33=1,"OK",IF(LOG_ST!Q33=2,"NR",IF(OR(LOG_ST!Q33=0,LOG_ST!Q33="X"),"N/A"))))</f>
        <v/>
      </c>
      <c r="N34" s="574" t="str">
        <f>IF($L34="","",IF(LOG_ST!R33=1,"OK",IF(LOG_ST!R33=2,"NR",IF(OR(LOG_ST!R33=0,LOG_ST!R33="X"),"N/A"))))</f>
        <v/>
      </c>
      <c r="O34" s="574" t="str">
        <f>IF($L34="","",IF(LOG_ST!S33=1,"OK",IF(LOG_ST!S33=2,"NR",IF(OR(LOG_ST!S33=0,LOG_ST!S33="X"),"N/A"))))</f>
        <v/>
      </c>
      <c r="P34" s="574" t="str">
        <f>IF($L34="","",IF(LOG_ST!T33=1,"OK",IF(LOG_ST!T33=2,"NR",IF(OR(LOG_ST!T33=0,LOG_ST!T33="X"),"N/A"))))</f>
        <v/>
      </c>
      <c r="Q34" s="574" t="str">
        <f>IF($L34="","",IF(LOG_ST!U33=1,"OK",IF(LOG_ST!U33=2,"NR",IF(OR(LOG_ST!U33=0,LOG_ST!U33="X"),"N/A"))))</f>
        <v/>
      </c>
      <c r="R34" s="574" t="str">
        <f>IF($L34="","",IF(LOG_ST!V33=1,"OK",IF(LOG_ST!V33=2,"NR",IF(OR(LOG_ST!V33=0,LOG_ST!V33="X"),"N/A"))))</f>
        <v/>
      </c>
      <c r="S34" s="574" t="str">
        <f>IF($L34="","",IF(LOG_ST!W33=1,"OK",IF(LOG_ST!W33=2,"NR",IF(OR(LOG_ST!W33=0,LOG_ST!W33="X"),"N/A"))))</f>
        <v/>
      </c>
      <c r="T34" s="574" t="str">
        <f>IF($L34="","",IF(LOG_ST!X33=1,"OK",IF(LOG_ST!X33=2,"NR",IF(OR(LOG_ST!X33=0,LOG_ST!X33="X"),"N/A"))))</f>
        <v/>
      </c>
      <c r="U34" s="574" t="str">
        <f>IF($L34="","",IF(LOG_ST!Y33=1,"OK",IF(LOG_ST!Y33=2,"NR",IF(OR(LOG_ST!Y33=0,LOG_ST!Y33="X"),"N/A"))))</f>
        <v/>
      </c>
      <c r="V34" s="574" t="str">
        <f>IF($L34="","",IF(LOG_ST!Z33=1,"OK",IF(LOG_ST!Z33=2,"NR",IF(OR(LOG_ST!Z33=0,LOG_ST!Z33="X"),"N/A"))))</f>
        <v/>
      </c>
      <c r="W34" s="574" t="str">
        <f>IF($L34="","",IF(LOG_ST!AA33=1,"OK",IF(LOG_ST!AA33=2,"NR",IF(OR(LOG_ST!AA33=0,LOG_ST!AA33="X"),"N/A"))))</f>
        <v/>
      </c>
      <c r="X34" s="574" t="str">
        <f>IF($L34="","",IF(LOG_ST!AB33=1,"OK",IF(LOG_ST!AB33=2,"NR",IF(OR(LOG_ST!AB33=0,LOG_ST!AB33="X"),"N/A"))))</f>
        <v/>
      </c>
      <c r="Y34" s="574" t="str">
        <f>IF($L34="","",IF(LOG_ST!AC33=1,"OK",IF(LOG_ST!AC33=2,"NR",IF(OR(LOG_ST!AC33=0,LOG_ST!AC33="X"),"N/A"))))</f>
        <v/>
      </c>
      <c r="Z34" s="574" t="str">
        <f>IF($L34="","",IF(OR(LOG_ST!AD33=0,LOG_ST!AD33="X"),"N/A",LOG_ST!AD33))</f>
        <v/>
      </c>
      <c r="AA34" s="574" t="str">
        <f>IF($L34="","",IF(LOG_ST!AE33=1,"OK",IF(LOG_ST!AE33=2,"NR",IF(OR(LOG_ST!AE33=0,LOG_ST!AE33="X"),"N/A"))))</f>
        <v/>
      </c>
      <c r="AB34" s="574" t="str">
        <f>IF($L34="","",IF(LOG_ST!AF33=1,"OK",IF(LOG_ST!AF33=2,"NR",IF(OR(LOG_ST!AF33=0,LOG_ST!AF33="X"),"N/A"))))</f>
        <v/>
      </c>
      <c r="AC34" s="574" t="str">
        <f>IF($L34="","",IF(LOG_ST!AG33=1,"OK",IF(LOG_ST!AG33=2,"NR",IF(OR(LOG_ST!AG33=0,LOG_ST!AG33="X"),"N/A"))))</f>
        <v/>
      </c>
      <c r="AD34" s="574" t="str">
        <f>IF($L34="","",IF(OR(LOG_ST!AH33=0,LOG_ST!AH33="X"),"N/A",LOG_ST!AH33))</f>
        <v/>
      </c>
      <c r="AE34" s="574" t="str">
        <f>IF($L34="","",IF(LOG_ST!AI33=1,"OK",IF(LOG_ST!AI33=2,"NR",IF(OR(LOG_ST!AI33=0,LOG_ST!AI33="X"),"N/A"))))</f>
        <v/>
      </c>
      <c r="AF34" s="574" t="str">
        <f>IF($L34="","",IF(LOG_ST!AJ33=1,"OK",IF(LOG_ST!AJ33=2,"NR",IF(OR(LOG_ST!AJ33=0,LOG_ST!AJ33="X"),"N/A"))))</f>
        <v/>
      </c>
      <c r="AG34" s="574" t="str">
        <f>IF($L34="","",IF(LOG_ST!AK33=1,"OK",IF(LOG_ST!AK33=2,"NR",IF(OR(LOG_ST!AK33=0,LOG_ST!AK33="X"),"N/A"))))</f>
        <v/>
      </c>
      <c r="AH34" s="574" t="str">
        <f>IF($L34="","",IF(LOG_ST!AL33=1,"OK",IF(LOG_ST!AL33=2,"NR",IF(OR(LOG_ST!AL33=0,LOG_ST!AL33="X"),"N/A"))))</f>
        <v/>
      </c>
      <c r="AI34" s="574" t="str">
        <f>IF($L34="","",IF(LOG_ST!AM33=1,"OK",IF(LOG_ST!AM33=2,"NR",IF(OR(LOG_ST!AM33=0,LOG_ST!AM33="X"),"N/A"))))</f>
        <v/>
      </c>
      <c r="AJ34" s="574" t="str">
        <f>IF($L34="","",IF(LOG_ST!AN33=1,"OK",IF(LOG_ST!AN33=2,"NR",IF(OR(LOG_ST!AN33=0,LOG_ST!AN33="X"),"N/A"))))</f>
        <v/>
      </c>
      <c r="AK34" s="574" t="str">
        <f>IF($L34="","",IF(LOG_ST!AO33=1,"OK",IF(LOG_ST!AO33=2,"NR",IF(OR(LOG_ST!AO33=0,LOG_ST!AO33="X"),"N/A"))))</f>
        <v/>
      </c>
      <c r="AL34" s="574" t="str">
        <f>IF($L34="","",IF(LOG_ST!AP33=1,"OK",IF(LOG_ST!AP33=2,"NR",IF(OR(LOG_ST!AP33=0,LOG_ST!AP33="X"),"N/A"))))</f>
        <v/>
      </c>
      <c r="AM34" s="574" t="str">
        <f>IF($L34="","",IF(LOG_ST!AQ33=1,"OK",IF(LOG_ST!AQ33=2,"NR",IF(OR(LOG_ST!AQ33=0,LOG_ST!AQ33="X"),"N/A"))))</f>
        <v/>
      </c>
      <c r="AN34" s="550" t="str">
        <f t="shared" si="0"/>
        <v/>
      </c>
    </row>
    <row r="35" spans="2:40" x14ac:dyDescent="0.25">
      <c r="B35" s="551" t="str">
        <f>IF(LOG_ST!F34="","",VLOOKUP(LOG_ST!F34,DATA_BASE!$A$46:$C$57,2,FALSE))</f>
        <v/>
      </c>
      <c r="C35" s="570" t="str">
        <f>IF(LOG_ST!G34="","",VLOOKUP(LOG_ST!G34,DATA_HDG,2,FALSE))</f>
        <v/>
      </c>
      <c r="D35" s="571" t="str">
        <f>IF(LOG_ST!H34="","",LOG_ST!H34)</f>
        <v/>
      </c>
      <c r="E35" s="570" t="str">
        <f>IF(LOG_ST!I34="","",VLOOKUP(LOG_ST!I34,DATA_COP,2,FALSE))</f>
        <v/>
      </c>
      <c r="F35" s="573" t="str">
        <f>IF(LOG_ST!J34="","",LOG_ST!J34)</f>
        <v/>
      </c>
      <c r="G35" s="570" t="str">
        <f>IF(LOG_ST!K34="","",VLOOKUP(LOG_ST!K34,DATA_SCIES,2,FALSE))</f>
        <v/>
      </c>
      <c r="H35" s="570" t="str">
        <f>IF(LOG_ST!L34="","",VLOOKUP(LOG_ST!L34,DATA_ST!$U$7:$V$64,2,FALSE))</f>
        <v/>
      </c>
      <c r="I35" s="570" t="str">
        <f>IF(LOG_ST!M34="","",LOG_ST!M34)</f>
        <v/>
      </c>
      <c r="J35" s="570" t="str">
        <f>IF(LOG_ST!N34="","",LOG_ST!N34)</f>
        <v/>
      </c>
      <c r="K35" s="573" t="str">
        <f>IF(LOG_ST!O34="","",LOG_ST!O34)</f>
        <v/>
      </c>
      <c r="L35" s="573" t="str">
        <f>IF(LOG_ST!P34="","",LOG_ST!P34)</f>
        <v/>
      </c>
      <c r="M35" s="574" t="str">
        <f>IF($L35="","",IF(LOG_ST!Q34=1,"OK",IF(LOG_ST!Q34=2,"NR",IF(OR(LOG_ST!Q34=0,LOG_ST!Q34="X"),"N/A"))))</f>
        <v/>
      </c>
      <c r="N35" s="574" t="str">
        <f>IF($L35="","",IF(LOG_ST!R34=1,"OK",IF(LOG_ST!R34=2,"NR",IF(OR(LOG_ST!R34=0,LOG_ST!R34="X"),"N/A"))))</f>
        <v/>
      </c>
      <c r="O35" s="574" t="str">
        <f>IF($L35="","",IF(LOG_ST!S34=1,"OK",IF(LOG_ST!S34=2,"NR",IF(OR(LOG_ST!S34=0,LOG_ST!S34="X"),"N/A"))))</f>
        <v/>
      </c>
      <c r="P35" s="574" t="str">
        <f>IF($L35="","",IF(LOG_ST!T34=1,"OK",IF(LOG_ST!T34=2,"NR",IF(OR(LOG_ST!T34=0,LOG_ST!T34="X"),"N/A"))))</f>
        <v/>
      </c>
      <c r="Q35" s="574" t="str">
        <f>IF($L35="","",IF(LOG_ST!U34=1,"OK",IF(LOG_ST!U34=2,"NR",IF(OR(LOG_ST!U34=0,LOG_ST!U34="X"),"N/A"))))</f>
        <v/>
      </c>
      <c r="R35" s="574" t="str">
        <f>IF($L35="","",IF(LOG_ST!V34=1,"OK",IF(LOG_ST!V34=2,"NR",IF(OR(LOG_ST!V34=0,LOG_ST!V34="X"),"N/A"))))</f>
        <v/>
      </c>
      <c r="S35" s="574" t="str">
        <f>IF($L35="","",IF(LOG_ST!W34=1,"OK",IF(LOG_ST!W34=2,"NR",IF(OR(LOG_ST!W34=0,LOG_ST!W34="X"),"N/A"))))</f>
        <v/>
      </c>
      <c r="T35" s="574" t="str">
        <f>IF($L35="","",IF(LOG_ST!X34=1,"OK",IF(LOG_ST!X34=2,"NR",IF(OR(LOG_ST!X34=0,LOG_ST!X34="X"),"N/A"))))</f>
        <v/>
      </c>
      <c r="U35" s="574" t="str">
        <f>IF($L35="","",IF(LOG_ST!Y34=1,"OK",IF(LOG_ST!Y34=2,"NR",IF(OR(LOG_ST!Y34=0,LOG_ST!Y34="X"),"N/A"))))</f>
        <v/>
      </c>
      <c r="V35" s="574" t="str">
        <f>IF($L35="","",IF(LOG_ST!Z34=1,"OK",IF(LOG_ST!Z34=2,"NR",IF(OR(LOG_ST!Z34=0,LOG_ST!Z34="X"),"N/A"))))</f>
        <v/>
      </c>
      <c r="W35" s="574" t="str">
        <f>IF($L35="","",IF(LOG_ST!AA34=1,"OK",IF(LOG_ST!AA34=2,"NR",IF(OR(LOG_ST!AA34=0,LOG_ST!AA34="X"),"N/A"))))</f>
        <v/>
      </c>
      <c r="X35" s="574" t="str">
        <f>IF($L35="","",IF(LOG_ST!AB34=1,"OK",IF(LOG_ST!AB34=2,"NR",IF(OR(LOG_ST!AB34=0,LOG_ST!AB34="X"),"N/A"))))</f>
        <v/>
      </c>
      <c r="Y35" s="574" t="str">
        <f>IF($L35="","",IF(LOG_ST!AC34=1,"OK",IF(LOG_ST!AC34=2,"NR",IF(OR(LOG_ST!AC34=0,LOG_ST!AC34="X"),"N/A"))))</f>
        <v/>
      </c>
      <c r="Z35" s="574" t="str">
        <f>IF($L35="","",IF(OR(LOG_ST!AD34=0,LOG_ST!AD34="X"),"N/A",LOG_ST!AD34))</f>
        <v/>
      </c>
      <c r="AA35" s="574" t="str">
        <f>IF($L35="","",IF(LOG_ST!AE34=1,"OK",IF(LOG_ST!AE34=2,"NR",IF(OR(LOG_ST!AE34=0,LOG_ST!AE34="X"),"N/A"))))</f>
        <v/>
      </c>
      <c r="AB35" s="574" t="str">
        <f>IF($L35="","",IF(LOG_ST!AF34=1,"OK",IF(LOG_ST!AF34=2,"NR",IF(OR(LOG_ST!AF34=0,LOG_ST!AF34="X"),"N/A"))))</f>
        <v/>
      </c>
      <c r="AC35" s="574" t="str">
        <f>IF($L35="","",IF(LOG_ST!AG34=1,"OK",IF(LOG_ST!AG34=2,"NR",IF(OR(LOG_ST!AG34=0,LOG_ST!AG34="X"),"N/A"))))</f>
        <v/>
      </c>
      <c r="AD35" s="574" t="str">
        <f>IF($L35="","",IF(OR(LOG_ST!AH34=0,LOG_ST!AH34="X"),"N/A",LOG_ST!AH34))</f>
        <v/>
      </c>
      <c r="AE35" s="574" t="str">
        <f>IF($L35="","",IF(LOG_ST!AI34=1,"OK",IF(LOG_ST!AI34=2,"NR",IF(OR(LOG_ST!AI34=0,LOG_ST!AI34="X"),"N/A"))))</f>
        <v/>
      </c>
      <c r="AF35" s="574" t="str">
        <f>IF($L35="","",IF(LOG_ST!AJ34=1,"OK",IF(LOG_ST!AJ34=2,"NR",IF(OR(LOG_ST!AJ34=0,LOG_ST!AJ34="X"),"N/A"))))</f>
        <v/>
      </c>
      <c r="AG35" s="574" t="str">
        <f>IF($L35="","",IF(LOG_ST!AK34=1,"OK",IF(LOG_ST!AK34=2,"NR",IF(OR(LOG_ST!AK34=0,LOG_ST!AK34="X"),"N/A"))))</f>
        <v/>
      </c>
      <c r="AH35" s="574" t="str">
        <f>IF($L35="","",IF(LOG_ST!AL34=1,"OK",IF(LOG_ST!AL34=2,"NR",IF(OR(LOG_ST!AL34=0,LOG_ST!AL34="X"),"N/A"))))</f>
        <v/>
      </c>
      <c r="AI35" s="574" t="str">
        <f>IF($L35="","",IF(LOG_ST!AM34=1,"OK",IF(LOG_ST!AM34=2,"NR",IF(OR(LOG_ST!AM34=0,LOG_ST!AM34="X"),"N/A"))))</f>
        <v/>
      </c>
      <c r="AJ35" s="574" t="str">
        <f>IF($L35="","",IF(LOG_ST!AN34=1,"OK",IF(LOG_ST!AN34=2,"NR",IF(OR(LOG_ST!AN34=0,LOG_ST!AN34="X"),"N/A"))))</f>
        <v/>
      </c>
      <c r="AK35" s="574" t="str">
        <f>IF($L35="","",IF(LOG_ST!AO34=1,"OK",IF(LOG_ST!AO34=2,"NR",IF(OR(LOG_ST!AO34=0,LOG_ST!AO34="X"),"N/A"))))</f>
        <v/>
      </c>
      <c r="AL35" s="574" t="str">
        <f>IF($L35="","",IF(LOG_ST!AP34=1,"OK",IF(LOG_ST!AP34=2,"NR",IF(OR(LOG_ST!AP34=0,LOG_ST!AP34="X"),"N/A"))))</f>
        <v/>
      </c>
      <c r="AM35" s="574" t="str">
        <f>IF($L35="","",IF(LOG_ST!AQ34=1,"OK",IF(LOG_ST!AQ34=2,"NR",IF(OR(LOG_ST!AQ34=0,LOG_ST!AQ34="X"),"N/A"))))</f>
        <v/>
      </c>
      <c r="AN35" s="550" t="str">
        <f t="shared" si="0"/>
        <v/>
      </c>
    </row>
    <row r="36" spans="2:40" x14ac:dyDescent="0.25">
      <c r="B36" s="551" t="str">
        <f>IF(LOG_ST!F35="","",VLOOKUP(LOG_ST!F35,DATA_BASE!$A$46:$C$57,2,FALSE))</f>
        <v/>
      </c>
      <c r="C36" s="570" t="str">
        <f>IF(LOG_ST!G35="","",VLOOKUP(LOG_ST!G35,DATA_HDG,2,FALSE))</f>
        <v/>
      </c>
      <c r="D36" s="571" t="str">
        <f>IF(LOG_ST!H35="","",LOG_ST!H35)</f>
        <v/>
      </c>
      <c r="E36" s="570" t="str">
        <f>IF(LOG_ST!I35="","",VLOOKUP(LOG_ST!I35,DATA_COP,2,FALSE))</f>
        <v/>
      </c>
      <c r="F36" s="573" t="str">
        <f>IF(LOG_ST!J35="","",LOG_ST!J35)</f>
        <v/>
      </c>
      <c r="G36" s="570" t="str">
        <f>IF(LOG_ST!K35="","",VLOOKUP(LOG_ST!K35,DATA_SCIES,2,FALSE))</f>
        <v/>
      </c>
      <c r="H36" s="570" t="str">
        <f>IF(LOG_ST!L35="","",VLOOKUP(LOG_ST!L35,DATA_ST!$U$7:$V$64,2,FALSE))</f>
        <v/>
      </c>
      <c r="I36" s="570" t="str">
        <f>IF(LOG_ST!M35="","",LOG_ST!M35)</f>
        <v/>
      </c>
      <c r="J36" s="570" t="str">
        <f>IF(LOG_ST!N35="","",LOG_ST!N35)</f>
        <v/>
      </c>
      <c r="K36" s="573" t="str">
        <f>IF(LOG_ST!O35="","",LOG_ST!O35)</f>
        <v/>
      </c>
      <c r="L36" s="573" t="str">
        <f>IF(LOG_ST!P35="","",LOG_ST!P35)</f>
        <v/>
      </c>
      <c r="M36" s="574" t="str">
        <f>IF($L36="","",IF(LOG_ST!Q35=1,"OK",IF(LOG_ST!Q35=2,"NR",IF(OR(LOG_ST!Q35=0,LOG_ST!Q35="X"),"N/A"))))</f>
        <v/>
      </c>
      <c r="N36" s="574" t="str">
        <f>IF($L36="","",IF(LOG_ST!R35=1,"OK",IF(LOG_ST!R35=2,"NR",IF(OR(LOG_ST!R35=0,LOG_ST!R35="X"),"N/A"))))</f>
        <v/>
      </c>
      <c r="O36" s="574" t="str">
        <f>IF($L36="","",IF(LOG_ST!S35=1,"OK",IF(LOG_ST!S35=2,"NR",IF(OR(LOG_ST!S35=0,LOG_ST!S35="X"),"N/A"))))</f>
        <v/>
      </c>
      <c r="P36" s="574" t="str">
        <f>IF($L36="","",IF(LOG_ST!T35=1,"OK",IF(LOG_ST!T35=2,"NR",IF(OR(LOG_ST!T35=0,LOG_ST!T35="X"),"N/A"))))</f>
        <v/>
      </c>
      <c r="Q36" s="574" t="str">
        <f>IF($L36="","",IF(LOG_ST!U35=1,"OK",IF(LOG_ST!U35=2,"NR",IF(OR(LOG_ST!U35=0,LOG_ST!U35="X"),"N/A"))))</f>
        <v/>
      </c>
      <c r="R36" s="574" t="str">
        <f>IF($L36="","",IF(LOG_ST!V35=1,"OK",IF(LOG_ST!V35=2,"NR",IF(OR(LOG_ST!V35=0,LOG_ST!V35="X"),"N/A"))))</f>
        <v/>
      </c>
      <c r="S36" s="574" t="str">
        <f>IF($L36="","",IF(LOG_ST!W35=1,"OK",IF(LOG_ST!W35=2,"NR",IF(OR(LOG_ST!W35=0,LOG_ST!W35="X"),"N/A"))))</f>
        <v/>
      </c>
      <c r="T36" s="574" t="str">
        <f>IF($L36="","",IF(LOG_ST!X35=1,"OK",IF(LOG_ST!X35=2,"NR",IF(OR(LOG_ST!X35=0,LOG_ST!X35="X"),"N/A"))))</f>
        <v/>
      </c>
      <c r="U36" s="574" t="str">
        <f>IF($L36="","",IF(LOG_ST!Y35=1,"OK",IF(LOG_ST!Y35=2,"NR",IF(OR(LOG_ST!Y35=0,LOG_ST!Y35="X"),"N/A"))))</f>
        <v/>
      </c>
      <c r="V36" s="574" t="str">
        <f>IF($L36="","",IF(LOG_ST!Z35=1,"OK",IF(LOG_ST!Z35=2,"NR",IF(OR(LOG_ST!Z35=0,LOG_ST!Z35="X"),"N/A"))))</f>
        <v/>
      </c>
      <c r="W36" s="574" t="str">
        <f>IF($L36="","",IF(LOG_ST!AA35=1,"OK",IF(LOG_ST!AA35=2,"NR",IF(OR(LOG_ST!AA35=0,LOG_ST!AA35="X"),"N/A"))))</f>
        <v/>
      </c>
      <c r="X36" s="574" t="str">
        <f>IF($L36="","",IF(LOG_ST!AB35=1,"OK",IF(LOG_ST!AB35=2,"NR",IF(OR(LOG_ST!AB35=0,LOG_ST!AB35="X"),"N/A"))))</f>
        <v/>
      </c>
      <c r="Y36" s="574" t="str">
        <f>IF($L36="","",IF(LOG_ST!AC35=1,"OK",IF(LOG_ST!AC35=2,"NR",IF(OR(LOG_ST!AC35=0,LOG_ST!AC35="X"),"N/A"))))</f>
        <v/>
      </c>
      <c r="Z36" s="574" t="str">
        <f>IF($L36="","",IF(OR(LOG_ST!AD35=0,LOG_ST!AD35="X"),"N/A",LOG_ST!AD35))</f>
        <v/>
      </c>
      <c r="AA36" s="574" t="str">
        <f>IF($L36="","",IF(LOG_ST!AE35=1,"OK",IF(LOG_ST!AE35=2,"NR",IF(OR(LOG_ST!AE35=0,LOG_ST!AE35="X"),"N/A"))))</f>
        <v/>
      </c>
      <c r="AB36" s="574" t="str">
        <f>IF($L36="","",IF(LOG_ST!AF35=1,"OK",IF(LOG_ST!AF35=2,"NR",IF(OR(LOG_ST!AF35=0,LOG_ST!AF35="X"),"N/A"))))</f>
        <v/>
      </c>
      <c r="AC36" s="574" t="str">
        <f>IF($L36="","",IF(LOG_ST!AG35=1,"OK",IF(LOG_ST!AG35=2,"NR",IF(OR(LOG_ST!AG35=0,LOG_ST!AG35="X"),"N/A"))))</f>
        <v/>
      </c>
      <c r="AD36" s="574" t="str">
        <f>IF($L36="","",IF(OR(LOG_ST!AH35=0,LOG_ST!AH35="X"),"N/A",LOG_ST!AH35))</f>
        <v/>
      </c>
      <c r="AE36" s="574" t="str">
        <f>IF($L36="","",IF(LOG_ST!AI35=1,"OK",IF(LOG_ST!AI35=2,"NR",IF(OR(LOG_ST!AI35=0,LOG_ST!AI35="X"),"N/A"))))</f>
        <v/>
      </c>
      <c r="AF36" s="574" t="str">
        <f>IF($L36="","",IF(LOG_ST!AJ35=1,"OK",IF(LOG_ST!AJ35=2,"NR",IF(OR(LOG_ST!AJ35=0,LOG_ST!AJ35="X"),"N/A"))))</f>
        <v/>
      </c>
      <c r="AG36" s="574" t="str">
        <f>IF($L36="","",IF(LOG_ST!AK35=1,"OK",IF(LOG_ST!AK35=2,"NR",IF(OR(LOG_ST!AK35=0,LOG_ST!AK35="X"),"N/A"))))</f>
        <v/>
      </c>
      <c r="AH36" s="574" t="str">
        <f>IF($L36="","",IF(LOG_ST!AL35=1,"OK",IF(LOG_ST!AL35=2,"NR",IF(OR(LOG_ST!AL35=0,LOG_ST!AL35="X"),"N/A"))))</f>
        <v/>
      </c>
      <c r="AI36" s="574" t="str">
        <f>IF($L36="","",IF(LOG_ST!AM35=1,"OK",IF(LOG_ST!AM35=2,"NR",IF(OR(LOG_ST!AM35=0,LOG_ST!AM35="X"),"N/A"))))</f>
        <v/>
      </c>
      <c r="AJ36" s="574" t="str">
        <f>IF($L36="","",IF(LOG_ST!AN35=1,"OK",IF(LOG_ST!AN35=2,"NR",IF(OR(LOG_ST!AN35=0,LOG_ST!AN35="X"),"N/A"))))</f>
        <v/>
      </c>
      <c r="AK36" s="574" t="str">
        <f>IF($L36="","",IF(LOG_ST!AO35=1,"OK",IF(LOG_ST!AO35=2,"NR",IF(OR(LOG_ST!AO35=0,LOG_ST!AO35="X"),"N/A"))))</f>
        <v/>
      </c>
      <c r="AL36" s="574" t="str">
        <f>IF($L36="","",IF(LOG_ST!AP35=1,"OK",IF(LOG_ST!AP35=2,"NR",IF(OR(LOG_ST!AP35=0,LOG_ST!AP35="X"),"N/A"))))</f>
        <v/>
      </c>
      <c r="AM36" s="574" t="str">
        <f>IF($L36="","",IF(LOG_ST!AQ35=1,"OK",IF(LOG_ST!AQ35=2,"NR",IF(OR(LOG_ST!AQ35=0,LOG_ST!AQ35="X"),"N/A"))))</f>
        <v/>
      </c>
      <c r="AN36" s="550" t="str">
        <f t="shared" si="0"/>
        <v/>
      </c>
    </row>
    <row r="37" spans="2:40" x14ac:dyDescent="0.25">
      <c r="B37" s="551" t="str">
        <f>IF(LOG_ST!F36="","",VLOOKUP(LOG_ST!F36,DATA_BASE!$A$46:$C$57,2,FALSE))</f>
        <v/>
      </c>
      <c r="C37" s="570" t="str">
        <f>IF(LOG_ST!G36="","",VLOOKUP(LOG_ST!G36,DATA_HDG,2,FALSE))</f>
        <v/>
      </c>
      <c r="D37" s="571" t="str">
        <f>IF(LOG_ST!H36="","",LOG_ST!H36)</f>
        <v/>
      </c>
      <c r="E37" s="570" t="str">
        <f>IF(LOG_ST!I36="","",VLOOKUP(LOG_ST!I36,DATA_COP,2,FALSE))</f>
        <v/>
      </c>
      <c r="F37" s="573" t="str">
        <f>IF(LOG_ST!J36="","",LOG_ST!J36)</f>
        <v/>
      </c>
      <c r="G37" s="570" t="str">
        <f>IF(LOG_ST!K36="","",VLOOKUP(LOG_ST!K36,DATA_SCIES,2,FALSE))</f>
        <v/>
      </c>
      <c r="H37" s="570" t="str">
        <f>IF(LOG_ST!L36="","",VLOOKUP(LOG_ST!L36,DATA_ST!$U$7:$V$64,2,FALSE))</f>
        <v/>
      </c>
      <c r="I37" s="570" t="str">
        <f>IF(LOG_ST!M36="","",LOG_ST!M36)</f>
        <v/>
      </c>
      <c r="J37" s="570" t="str">
        <f>IF(LOG_ST!N36="","",LOG_ST!N36)</f>
        <v/>
      </c>
      <c r="K37" s="573" t="str">
        <f>IF(LOG_ST!O36="","",LOG_ST!O36)</f>
        <v/>
      </c>
      <c r="L37" s="573" t="str">
        <f>IF(LOG_ST!P36="","",LOG_ST!P36)</f>
        <v/>
      </c>
      <c r="M37" s="574" t="str">
        <f>IF($L37="","",IF(LOG_ST!Q36=1,"OK",IF(LOG_ST!Q36=2,"NR",IF(OR(LOG_ST!Q36=0,LOG_ST!Q36="X"),"N/A"))))</f>
        <v/>
      </c>
      <c r="N37" s="574" t="str">
        <f>IF($L37="","",IF(LOG_ST!R36=1,"OK",IF(LOG_ST!R36=2,"NR",IF(OR(LOG_ST!R36=0,LOG_ST!R36="X"),"N/A"))))</f>
        <v/>
      </c>
      <c r="O37" s="574" t="str">
        <f>IF($L37="","",IF(LOG_ST!S36=1,"OK",IF(LOG_ST!S36=2,"NR",IF(OR(LOG_ST!S36=0,LOG_ST!S36="X"),"N/A"))))</f>
        <v/>
      </c>
      <c r="P37" s="574" t="str">
        <f>IF($L37="","",IF(LOG_ST!T36=1,"OK",IF(LOG_ST!T36=2,"NR",IF(OR(LOG_ST!T36=0,LOG_ST!T36="X"),"N/A"))))</f>
        <v/>
      </c>
      <c r="Q37" s="574" t="str">
        <f>IF($L37="","",IF(LOG_ST!U36=1,"OK",IF(LOG_ST!U36=2,"NR",IF(OR(LOG_ST!U36=0,LOG_ST!U36="X"),"N/A"))))</f>
        <v/>
      </c>
      <c r="R37" s="574" t="str">
        <f>IF($L37="","",IF(LOG_ST!V36=1,"OK",IF(LOG_ST!V36=2,"NR",IF(OR(LOG_ST!V36=0,LOG_ST!V36="X"),"N/A"))))</f>
        <v/>
      </c>
      <c r="S37" s="574" t="str">
        <f>IF($L37="","",IF(LOG_ST!W36=1,"OK",IF(LOG_ST!W36=2,"NR",IF(OR(LOG_ST!W36=0,LOG_ST!W36="X"),"N/A"))))</f>
        <v/>
      </c>
      <c r="T37" s="574" t="str">
        <f>IF($L37="","",IF(LOG_ST!X36=1,"OK",IF(LOG_ST!X36=2,"NR",IF(OR(LOG_ST!X36=0,LOG_ST!X36="X"),"N/A"))))</f>
        <v/>
      </c>
      <c r="U37" s="574" t="str">
        <f>IF($L37="","",IF(LOG_ST!Y36=1,"OK",IF(LOG_ST!Y36=2,"NR",IF(OR(LOG_ST!Y36=0,LOG_ST!Y36="X"),"N/A"))))</f>
        <v/>
      </c>
      <c r="V37" s="574" t="str">
        <f>IF($L37="","",IF(LOG_ST!Z36=1,"OK",IF(LOG_ST!Z36=2,"NR",IF(OR(LOG_ST!Z36=0,LOG_ST!Z36="X"),"N/A"))))</f>
        <v/>
      </c>
      <c r="W37" s="574" t="str">
        <f>IF($L37="","",IF(LOG_ST!AA36=1,"OK",IF(LOG_ST!AA36=2,"NR",IF(OR(LOG_ST!AA36=0,LOG_ST!AA36="X"),"N/A"))))</f>
        <v/>
      </c>
      <c r="X37" s="574" t="str">
        <f>IF($L37="","",IF(LOG_ST!AB36=1,"OK",IF(LOG_ST!AB36=2,"NR",IF(OR(LOG_ST!AB36=0,LOG_ST!AB36="X"),"N/A"))))</f>
        <v/>
      </c>
      <c r="Y37" s="574" t="str">
        <f>IF($L37="","",IF(LOG_ST!AC36=1,"OK",IF(LOG_ST!AC36=2,"NR",IF(OR(LOG_ST!AC36=0,LOG_ST!AC36="X"),"N/A"))))</f>
        <v/>
      </c>
      <c r="Z37" s="574" t="str">
        <f>IF($L37="","",IF(OR(LOG_ST!AD36=0,LOG_ST!AD36="X"),"N/A",LOG_ST!AD36))</f>
        <v/>
      </c>
      <c r="AA37" s="574" t="str">
        <f>IF($L37="","",IF(LOG_ST!AE36=1,"OK",IF(LOG_ST!AE36=2,"NR",IF(OR(LOG_ST!AE36=0,LOG_ST!AE36="X"),"N/A"))))</f>
        <v/>
      </c>
      <c r="AB37" s="574" t="str">
        <f>IF($L37="","",IF(LOG_ST!AF36=1,"OK",IF(LOG_ST!AF36=2,"NR",IF(OR(LOG_ST!AF36=0,LOG_ST!AF36="X"),"N/A"))))</f>
        <v/>
      </c>
      <c r="AC37" s="574" t="str">
        <f>IF($L37="","",IF(LOG_ST!AG36=1,"OK",IF(LOG_ST!AG36=2,"NR",IF(OR(LOG_ST!AG36=0,LOG_ST!AG36="X"),"N/A"))))</f>
        <v/>
      </c>
      <c r="AD37" s="574" t="str">
        <f>IF($L37="","",IF(OR(LOG_ST!AH36=0,LOG_ST!AH36="X"),"N/A",LOG_ST!AH36))</f>
        <v/>
      </c>
      <c r="AE37" s="574" t="str">
        <f>IF($L37="","",IF(LOG_ST!AI36=1,"OK",IF(LOG_ST!AI36=2,"NR",IF(OR(LOG_ST!AI36=0,LOG_ST!AI36="X"),"N/A"))))</f>
        <v/>
      </c>
      <c r="AF37" s="574" t="str">
        <f>IF($L37="","",IF(LOG_ST!AJ36=1,"OK",IF(LOG_ST!AJ36=2,"NR",IF(OR(LOG_ST!AJ36=0,LOG_ST!AJ36="X"),"N/A"))))</f>
        <v/>
      </c>
      <c r="AG37" s="574" t="str">
        <f>IF($L37="","",IF(LOG_ST!AK36=1,"OK",IF(LOG_ST!AK36=2,"NR",IF(OR(LOG_ST!AK36=0,LOG_ST!AK36="X"),"N/A"))))</f>
        <v/>
      </c>
      <c r="AH37" s="574" t="str">
        <f>IF($L37="","",IF(LOG_ST!AL36=1,"OK",IF(LOG_ST!AL36=2,"NR",IF(OR(LOG_ST!AL36=0,LOG_ST!AL36="X"),"N/A"))))</f>
        <v/>
      </c>
      <c r="AI37" s="574" t="str">
        <f>IF($L37="","",IF(LOG_ST!AM36=1,"OK",IF(LOG_ST!AM36=2,"NR",IF(OR(LOG_ST!AM36=0,LOG_ST!AM36="X"),"N/A"))))</f>
        <v/>
      </c>
      <c r="AJ37" s="574" t="str">
        <f>IF($L37="","",IF(LOG_ST!AN36=1,"OK",IF(LOG_ST!AN36=2,"NR",IF(OR(LOG_ST!AN36=0,LOG_ST!AN36="X"),"N/A"))))</f>
        <v/>
      </c>
      <c r="AK37" s="574" t="str">
        <f>IF($L37="","",IF(LOG_ST!AO36=1,"OK",IF(LOG_ST!AO36=2,"NR",IF(OR(LOG_ST!AO36=0,LOG_ST!AO36="X"),"N/A"))))</f>
        <v/>
      </c>
      <c r="AL37" s="574" t="str">
        <f>IF($L37="","",IF(LOG_ST!AP36=1,"OK",IF(LOG_ST!AP36=2,"NR",IF(OR(LOG_ST!AP36=0,LOG_ST!AP36="X"),"N/A"))))</f>
        <v/>
      </c>
      <c r="AM37" s="574" t="str">
        <f>IF($L37="","",IF(LOG_ST!AQ36=1,"OK",IF(LOG_ST!AQ36=2,"NR",IF(OR(LOG_ST!AQ36=0,LOG_ST!AQ36="X"),"N/A"))))</f>
        <v/>
      </c>
      <c r="AN37" s="550" t="str">
        <f t="shared" si="0"/>
        <v/>
      </c>
    </row>
    <row r="38" spans="2:40" x14ac:dyDescent="0.25">
      <c r="B38" s="551" t="str">
        <f>IF(LOG_ST!F37="","",VLOOKUP(LOG_ST!F37,DATA_BASE!$A$46:$C$57,2,FALSE))</f>
        <v/>
      </c>
      <c r="C38" s="570" t="str">
        <f>IF(LOG_ST!G37="","",VLOOKUP(LOG_ST!G37,DATA_HDG,2,FALSE))</f>
        <v/>
      </c>
      <c r="D38" s="571" t="str">
        <f>IF(LOG_ST!H37="","",LOG_ST!H37)</f>
        <v/>
      </c>
      <c r="E38" s="570" t="str">
        <f>IF(LOG_ST!I37="","",VLOOKUP(LOG_ST!I37,DATA_COP,2,FALSE))</f>
        <v/>
      </c>
      <c r="F38" s="573" t="str">
        <f>IF(LOG_ST!J37="","",LOG_ST!J37)</f>
        <v/>
      </c>
      <c r="G38" s="570" t="str">
        <f>IF(LOG_ST!K37="","",VLOOKUP(LOG_ST!K37,DATA_SCIES,2,FALSE))</f>
        <v/>
      </c>
      <c r="H38" s="570" t="str">
        <f>IF(LOG_ST!L37="","",VLOOKUP(LOG_ST!L37,DATA_ST!$U$7:$V$64,2,FALSE))</f>
        <v/>
      </c>
      <c r="I38" s="570" t="str">
        <f>IF(LOG_ST!M37="","",LOG_ST!M37)</f>
        <v/>
      </c>
      <c r="J38" s="570" t="str">
        <f>IF(LOG_ST!N37="","",LOG_ST!N37)</f>
        <v/>
      </c>
      <c r="K38" s="573" t="str">
        <f>IF(LOG_ST!O37="","",LOG_ST!O37)</f>
        <v/>
      </c>
      <c r="L38" s="573" t="str">
        <f>IF(LOG_ST!P37="","",LOG_ST!P37)</f>
        <v/>
      </c>
      <c r="M38" s="574" t="str">
        <f>IF($L38="","",IF(LOG_ST!Q37=1,"OK",IF(LOG_ST!Q37=2,"NR",IF(OR(LOG_ST!Q37=0,LOG_ST!Q37="X"),"N/A"))))</f>
        <v/>
      </c>
      <c r="N38" s="574" t="str">
        <f>IF($L38="","",IF(LOG_ST!R37=1,"OK",IF(LOG_ST!R37=2,"NR",IF(OR(LOG_ST!R37=0,LOG_ST!R37="X"),"N/A"))))</f>
        <v/>
      </c>
      <c r="O38" s="574" t="str">
        <f>IF($L38="","",IF(LOG_ST!S37=1,"OK",IF(LOG_ST!S37=2,"NR",IF(OR(LOG_ST!S37=0,LOG_ST!S37="X"),"N/A"))))</f>
        <v/>
      </c>
      <c r="P38" s="574" t="str">
        <f>IF($L38="","",IF(LOG_ST!T37=1,"OK",IF(LOG_ST!T37=2,"NR",IF(OR(LOG_ST!T37=0,LOG_ST!T37="X"),"N/A"))))</f>
        <v/>
      </c>
      <c r="Q38" s="574" t="str">
        <f>IF($L38="","",IF(LOG_ST!U37=1,"OK",IF(LOG_ST!U37=2,"NR",IF(OR(LOG_ST!U37=0,LOG_ST!U37="X"),"N/A"))))</f>
        <v/>
      </c>
      <c r="R38" s="574" t="str">
        <f>IF($L38="","",IF(LOG_ST!V37=1,"OK",IF(LOG_ST!V37=2,"NR",IF(OR(LOG_ST!V37=0,LOG_ST!V37="X"),"N/A"))))</f>
        <v/>
      </c>
      <c r="S38" s="574" t="str">
        <f>IF($L38="","",IF(LOG_ST!W37=1,"OK",IF(LOG_ST!W37=2,"NR",IF(OR(LOG_ST!W37=0,LOG_ST!W37="X"),"N/A"))))</f>
        <v/>
      </c>
      <c r="T38" s="574" t="str">
        <f>IF($L38="","",IF(LOG_ST!X37=1,"OK",IF(LOG_ST!X37=2,"NR",IF(OR(LOG_ST!X37=0,LOG_ST!X37="X"),"N/A"))))</f>
        <v/>
      </c>
      <c r="U38" s="574" t="str">
        <f>IF($L38="","",IF(LOG_ST!Y37=1,"OK",IF(LOG_ST!Y37=2,"NR",IF(OR(LOG_ST!Y37=0,LOG_ST!Y37="X"),"N/A"))))</f>
        <v/>
      </c>
      <c r="V38" s="574" t="str">
        <f>IF($L38="","",IF(LOG_ST!Z37=1,"OK",IF(LOG_ST!Z37=2,"NR",IF(OR(LOG_ST!Z37=0,LOG_ST!Z37="X"),"N/A"))))</f>
        <v/>
      </c>
      <c r="W38" s="574" t="str">
        <f>IF($L38="","",IF(LOG_ST!AA37=1,"OK",IF(LOG_ST!AA37=2,"NR",IF(OR(LOG_ST!AA37=0,LOG_ST!AA37="X"),"N/A"))))</f>
        <v/>
      </c>
      <c r="X38" s="574" t="str">
        <f>IF($L38="","",IF(LOG_ST!AB37=1,"OK",IF(LOG_ST!AB37=2,"NR",IF(OR(LOG_ST!AB37=0,LOG_ST!AB37="X"),"N/A"))))</f>
        <v/>
      </c>
      <c r="Y38" s="574" t="str">
        <f>IF($L38="","",IF(LOG_ST!AC37=1,"OK",IF(LOG_ST!AC37=2,"NR",IF(OR(LOG_ST!AC37=0,LOG_ST!AC37="X"),"N/A"))))</f>
        <v/>
      </c>
      <c r="Z38" s="574" t="str">
        <f>IF($L38="","",IF(OR(LOG_ST!AD37=0,LOG_ST!AD37="X"),"N/A",LOG_ST!AD37))</f>
        <v/>
      </c>
      <c r="AA38" s="574" t="str">
        <f>IF($L38="","",IF(LOG_ST!AE37=1,"OK",IF(LOG_ST!AE37=2,"NR",IF(OR(LOG_ST!AE37=0,LOG_ST!AE37="X"),"N/A"))))</f>
        <v/>
      </c>
      <c r="AB38" s="574" t="str">
        <f>IF($L38="","",IF(LOG_ST!AF37=1,"OK",IF(LOG_ST!AF37=2,"NR",IF(OR(LOG_ST!AF37=0,LOG_ST!AF37="X"),"N/A"))))</f>
        <v/>
      </c>
      <c r="AC38" s="574" t="str">
        <f>IF($L38="","",IF(LOG_ST!AG37=1,"OK",IF(LOG_ST!AG37=2,"NR",IF(OR(LOG_ST!AG37=0,LOG_ST!AG37="X"),"N/A"))))</f>
        <v/>
      </c>
      <c r="AD38" s="574" t="str">
        <f>IF($L38="","",IF(OR(LOG_ST!AH37=0,LOG_ST!AH37="X"),"N/A",LOG_ST!AH37))</f>
        <v/>
      </c>
      <c r="AE38" s="574" t="str">
        <f>IF($L38="","",IF(LOG_ST!AI37=1,"OK",IF(LOG_ST!AI37=2,"NR",IF(OR(LOG_ST!AI37=0,LOG_ST!AI37="X"),"N/A"))))</f>
        <v/>
      </c>
      <c r="AF38" s="574" t="str">
        <f>IF($L38="","",IF(LOG_ST!AJ37=1,"OK",IF(LOG_ST!AJ37=2,"NR",IF(OR(LOG_ST!AJ37=0,LOG_ST!AJ37="X"),"N/A"))))</f>
        <v/>
      </c>
      <c r="AG38" s="574" t="str">
        <f>IF($L38="","",IF(LOG_ST!AK37=1,"OK",IF(LOG_ST!AK37=2,"NR",IF(OR(LOG_ST!AK37=0,LOG_ST!AK37="X"),"N/A"))))</f>
        <v/>
      </c>
      <c r="AH38" s="574" t="str">
        <f>IF($L38="","",IF(LOG_ST!AL37=1,"OK",IF(LOG_ST!AL37=2,"NR",IF(OR(LOG_ST!AL37=0,LOG_ST!AL37="X"),"N/A"))))</f>
        <v/>
      </c>
      <c r="AI38" s="574" t="str">
        <f>IF($L38="","",IF(LOG_ST!AM37=1,"OK",IF(LOG_ST!AM37=2,"NR",IF(OR(LOG_ST!AM37=0,LOG_ST!AM37="X"),"N/A"))))</f>
        <v/>
      </c>
      <c r="AJ38" s="574" t="str">
        <f>IF($L38="","",IF(LOG_ST!AN37=1,"OK",IF(LOG_ST!AN37=2,"NR",IF(OR(LOG_ST!AN37=0,LOG_ST!AN37="X"),"N/A"))))</f>
        <v/>
      </c>
      <c r="AK38" s="574" t="str">
        <f>IF($L38="","",IF(LOG_ST!AO37=1,"OK",IF(LOG_ST!AO37=2,"NR",IF(OR(LOG_ST!AO37=0,LOG_ST!AO37="X"),"N/A"))))</f>
        <v/>
      </c>
      <c r="AL38" s="574" t="str">
        <f>IF($L38="","",IF(LOG_ST!AP37=1,"OK",IF(LOG_ST!AP37=2,"NR",IF(OR(LOG_ST!AP37=0,LOG_ST!AP37="X"),"N/A"))))</f>
        <v/>
      </c>
      <c r="AM38" s="574" t="str">
        <f>IF($L38="","",IF(LOG_ST!AQ37=1,"OK",IF(LOG_ST!AQ37=2,"NR",IF(OR(LOG_ST!AQ37=0,LOG_ST!AQ37="X"),"N/A"))))</f>
        <v/>
      </c>
      <c r="AN38" s="550" t="str">
        <f t="shared" si="0"/>
        <v/>
      </c>
    </row>
    <row r="39" spans="2:40" x14ac:dyDescent="0.25">
      <c r="B39" s="551" t="str">
        <f>IF(LOG_ST!F38="","",VLOOKUP(LOG_ST!F38,DATA_BASE!$A$46:$C$57,2,FALSE))</f>
        <v/>
      </c>
      <c r="C39" s="570" t="str">
        <f>IF(LOG_ST!G38="","",VLOOKUP(LOG_ST!G38,DATA_HDG,2,FALSE))</f>
        <v/>
      </c>
      <c r="D39" s="571" t="str">
        <f>IF(LOG_ST!H38="","",LOG_ST!H38)</f>
        <v/>
      </c>
      <c r="E39" s="570" t="str">
        <f>IF(LOG_ST!I38="","",VLOOKUP(LOG_ST!I38,DATA_COP,2,FALSE))</f>
        <v/>
      </c>
      <c r="F39" s="573" t="str">
        <f>IF(LOG_ST!J38="","",LOG_ST!J38)</f>
        <v/>
      </c>
      <c r="G39" s="570" t="str">
        <f>IF(LOG_ST!K38="","",VLOOKUP(LOG_ST!K38,DATA_SCIES,2,FALSE))</f>
        <v/>
      </c>
      <c r="H39" s="570" t="str">
        <f>IF(LOG_ST!L38="","",VLOOKUP(LOG_ST!L38,DATA_ST!$U$7:$V$64,2,FALSE))</f>
        <v/>
      </c>
      <c r="I39" s="570" t="str">
        <f>IF(LOG_ST!M38="","",LOG_ST!M38)</f>
        <v/>
      </c>
      <c r="J39" s="570" t="str">
        <f>IF(LOG_ST!N38="","",LOG_ST!N38)</f>
        <v/>
      </c>
      <c r="K39" s="573" t="str">
        <f>IF(LOG_ST!O38="","",LOG_ST!O38)</f>
        <v/>
      </c>
      <c r="L39" s="573" t="str">
        <f>IF(LOG_ST!P38="","",LOG_ST!P38)</f>
        <v/>
      </c>
      <c r="M39" s="574" t="str">
        <f>IF($L39="","",IF(LOG_ST!Q38=1,"OK",IF(LOG_ST!Q38=2,"NR",IF(OR(LOG_ST!Q38=0,LOG_ST!Q38="X"),"N/A"))))</f>
        <v/>
      </c>
      <c r="N39" s="574" t="str">
        <f>IF($L39="","",IF(LOG_ST!R38=1,"OK",IF(LOG_ST!R38=2,"NR",IF(OR(LOG_ST!R38=0,LOG_ST!R38="X"),"N/A"))))</f>
        <v/>
      </c>
      <c r="O39" s="574" t="str">
        <f>IF($L39="","",IF(LOG_ST!S38=1,"OK",IF(LOG_ST!S38=2,"NR",IF(OR(LOG_ST!S38=0,LOG_ST!S38="X"),"N/A"))))</f>
        <v/>
      </c>
      <c r="P39" s="574" t="str">
        <f>IF($L39="","",IF(LOG_ST!T38=1,"OK",IF(LOG_ST!T38=2,"NR",IF(OR(LOG_ST!T38=0,LOG_ST!T38="X"),"N/A"))))</f>
        <v/>
      </c>
      <c r="Q39" s="574" t="str">
        <f>IF($L39="","",IF(LOG_ST!U38=1,"OK",IF(LOG_ST!U38=2,"NR",IF(OR(LOG_ST!U38=0,LOG_ST!U38="X"),"N/A"))))</f>
        <v/>
      </c>
      <c r="R39" s="574" t="str">
        <f>IF($L39="","",IF(LOG_ST!V38=1,"OK",IF(LOG_ST!V38=2,"NR",IF(OR(LOG_ST!V38=0,LOG_ST!V38="X"),"N/A"))))</f>
        <v/>
      </c>
      <c r="S39" s="574" t="str">
        <f>IF($L39="","",IF(LOG_ST!W38=1,"OK",IF(LOG_ST!W38=2,"NR",IF(OR(LOG_ST!W38=0,LOG_ST!W38="X"),"N/A"))))</f>
        <v/>
      </c>
      <c r="T39" s="574" t="str">
        <f>IF($L39="","",IF(LOG_ST!X38=1,"OK",IF(LOG_ST!X38=2,"NR",IF(OR(LOG_ST!X38=0,LOG_ST!X38="X"),"N/A"))))</f>
        <v/>
      </c>
      <c r="U39" s="574" t="str">
        <f>IF($L39="","",IF(LOG_ST!Y38=1,"OK",IF(LOG_ST!Y38=2,"NR",IF(OR(LOG_ST!Y38=0,LOG_ST!Y38="X"),"N/A"))))</f>
        <v/>
      </c>
      <c r="V39" s="574" t="str">
        <f>IF($L39="","",IF(LOG_ST!Z38=1,"OK",IF(LOG_ST!Z38=2,"NR",IF(OR(LOG_ST!Z38=0,LOG_ST!Z38="X"),"N/A"))))</f>
        <v/>
      </c>
      <c r="W39" s="574" t="str">
        <f>IF($L39="","",IF(LOG_ST!AA38=1,"OK",IF(LOG_ST!AA38=2,"NR",IF(OR(LOG_ST!AA38=0,LOG_ST!AA38="X"),"N/A"))))</f>
        <v/>
      </c>
      <c r="X39" s="574" t="str">
        <f>IF($L39="","",IF(LOG_ST!AB38=1,"OK",IF(LOG_ST!AB38=2,"NR",IF(OR(LOG_ST!AB38=0,LOG_ST!AB38="X"),"N/A"))))</f>
        <v/>
      </c>
      <c r="Y39" s="574" t="str">
        <f>IF($L39="","",IF(LOG_ST!AC38=1,"OK",IF(LOG_ST!AC38=2,"NR",IF(OR(LOG_ST!AC38=0,LOG_ST!AC38="X"),"N/A"))))</f>
        <v/>
      </c>
      <c r="Z39" s="574" t="str">
        <f>IF($L39="","",IF(OR(LOG_ST!AD38=0,LOG_ST!AD38="X"),"N/A",LOG_ST!AD38))</f>
        <v/>
      </c>
      <c r="AA39" s="574" t="str">
        <f>IF($L39="","",IF(LOG_ST!AE38=1,"OK",IF(LOG_ST!AE38=2,"NR",IF(OR(LOG_ST!AE38=0,LOG_ST!AE38="X"),"N/A"))))</f>
        <v/>
      </c>
      <c r="AB39" s="574" t="str">
        <f>IF($L39="","",IF(LOG_ST!AF38=1,"OK",IF(LOG_ST!AF38=2,"NR",IF(OR(LOG_ST!AF38=0,LOG_ST!AF38="X"),"N/A"))))</f>
        <v/>
      </c>
      <c r="AC39" s="574" t="str">
        <f>IF($L39="","",IF(LOG_ST!AG38=1,"OK",IF(LOG_ST!AG38=2,"NR",IF(OR(LOG_ST!AG38=0,LOG_ST!AG38="X"),"N/A"))))</f>
        <v/>
      </c>
      <c r="AD39" s="574" t="str">
        <f>IF($L39="","",IF(OR(LOG_ST!AH38=0,LOG_ST!AH38="X"),"N/A",LOG_ST!AH38))</f>
        <v/>
      </c>
      <c r="AE39" s="574" t="str">
        <f>IF($L39="","",IF(LOG_ST!AI38=1,"OK",IF(LOG_ST!AI38=2,"NR",IF(OR(LOG_ST!AI38=0,LOG_ST!AI38="X"),"N/A"))))</f>
        <v/>
      </c>
      <c r="AF39" s="574" t="str">
        <f>IF($L39="","",IF(LOG_ST!AJ38=1,"OK",IF(LOG_ST!AJ38=2,"NR",IF(OR(LOG_ST!AJ38=0,LOG_ST!AJ38="X"),"N/A"))))</f>
        <v/>
      </c>
      <c r="AG39" s="574" t="str">
        <f>IF($L39="","",IF(LOG_ST!AK38=1,"OK",IF(LOG_ST!AK38=2,"NR",IF(OR(LOG_ST!AK38=0,LOG_ST!AK38="X"),"N/A"))))</f>
        <v/>
      </c>
      <c r="AH39" s="574" t="str">
        <f>IF($L39="","",IF(LOG_ST!AL38=1,"OK",IF(LOG_ST!AL38=2,"NR",IF(OR(LOG_ST!AL38=0,LOG_ST!AL38="X"),"N/A"))))</f>
        <v/>
      </c>
      <c r="AI39" s="574" t="str">
        <f>IF($L39="","",IF(LOG_ST!AM38=1,"OK",IF(LOG_ST!AM38=2,"NR",IF(OR(LOG_ST!AM38=0,LOG_ST!AM38="X"),"N/A"))))</f>
        <v/>
      </c>
      <c r="AJ39" s="574" t="str">
        <f>IF($L39="","",IF(LOG_ST!AN38=1,"OK",IF(LOG_ST!AN38=2,"NR",IF(OR(LOG_ST!AN38=0,LOG_ST!AN38="X"),"N/A"))))</f>
        <v/>
      </c>
      <c r="AK39" s="574" t="str">
        <f>IF($L39="","",IF(LOG_ST!AO38=1,"OK",IF(LOG_ST!AO38=2,"NR",IF(OR(LOG_ST!AO38=0,LOG_ST!AO38="X"),"N/A"))))</f>
        <v/>
      </c>
      <c r="AL39" s="574" t="str">
        <f>IF($L39="","",IF(LOG_ST!AP38=1,"OK",IF(LOG_ST!AP38=2,"NR",IF(OR(LOG_ST!AP38=0,LOG_ST!AP38="X"),"N/A"))))</f>
        <v/>
      </c>
      <c r="AM39" s="574" t="str">
        <f>IF($L39="","",IF(LOG_ST!AQ38=1,"OK",IF(LOG_ST!AQ38=2,"NR",IF(OR(LOG_ST!AQ38=0,LOG_ST!AQ38="X"),"N/A"))))</f>
        <v/>
      </c>
      <c r="AN39" s="550" t="str">
        <f t="shared" si="0"/>
        <v/>
      </c>
    </row>
    <row r="40" spans="2:40" x14ac:dyDescent="0.25">
      <c r="B40" s="551" t="str">
        <f>IF(LOG_ST!F39="","",VLOOKUP(LOG_ST!F39,DATA_BASE!$A$46:$C$57,2,FALSE))</f>
        <v/>
      </c>
      <c r="C40" s="570" t="str">
        <f>IF(LOG_ST!G39="","",VLOOKUP(LOG_ST!G39,DATA_HDG,2,FALSE))</f>
        <v/>
      </c>
      <c r="D40" s="571" t="str">
        <f>IF(LOG_ST!H39="","",LOG_ST!H39)</f>
        <v/>
      </c>
      <c r="E40" s="570" t="str">
        <f>IF(LOG_ST!I39="","",VLOOKUP(LOG_ST!I39,DATA_COP,2,FALSE))</f>
        <v/>
      </c>
      <c r="F40" s="573" t="str">
        <f>IF(LOG_ST!J39="","",LOG_ST!J39)</f>
        <v/>
      </c>
      <c r="G40" s="570" t="str">
        <f>IF(LOG_ST!K39="","",VLOOKUP(LOG_ST!K39,DATA_SCIES,2,FALSE))</f>
        <v/>
      </c>
      <c r="H40" s="570" t="str">
        <f>IF(LOG_ST!L39="","",VLOOKUP(LOG_ST!L39,DATA_ST!$U$7:$V$64,2,FALSE))</f>
        <v/>
      </c>
      <c r="I40" s="570" t="str">
        <f>IF(LOG_ST!M39="","",LOG_ST!M39)</f>
        <v/>
      </c>
      <c r="J40" s="570" t="str">
        <f>IF(LOG_ST!N39="","",LOG_ST!N39)</f>
        <v/>
      </c>
      <c r="K40" s="573" t="str">
        <f>IF(LOG_ST!O39="","",LOG_ST!O39)</f>
        <v/>
      </c>
      <c r="L40" s="573" t="str">
        <f>IF(LOG_ST!P39="","",LOG_ST!P39)</f>
        <v/>
      </c>
      <c r="M40" s="574" t="str">
        <f>IF($L40="","",IF(LOG_ST!Q39=1,"OK",IF(LOG_ST!Q39=2,"NR",IF(OR(LOG_ST!Q39=0,LOG_ST!Q39="X"),"N/A"))))</f>
        <v/>
      </c>
      <c r="N40" s="574" t="str">
        <f>IF($L40="","",IF(LOG_ST!R39=1,"OK",IF(LOG_ST!R39=2,"NR",IF(OR(LOG_ST!R39=0,LOG_ST!R39="X"),"N/A"))))</f>
        <v/>
      </c>
      <c r="O40" s="574" t="str">
        <f>IF($L40="","",IF(LOG_ST!S39=1,"OK",IF(LOG_ST!S39=2,"NR",IF(OR(LOG_ST!S39=0,LOG_ST!S39="X"),"N/A"))))</f>
        <v/>
      </c>
      <c r="P40" s="574" t="str">
        <f>IF($L40="","",IF(LOG_ST!T39=1,"OK",IF(LOG_ST!T39=2,"NR",IF(OR(LOG_ST!T39=0,LOG_ST!T39="X"),"N/A"))))</f>
        <v/>
      </c>
      <c r="Q40" s="574" t="str">
        <f>IF($L40="","",IF(LOG_ST!U39=1,"OK",IF(LOG_ST!U39=2,"NR",IF(OR(LOG_ST!U39=0,LOG_ST!U39="X"),"N/A"))))</f>
        <v/>
      </c>
      <c r="R40" s="574" t="str">
        <f>IF($L40="","",IF(LOG_ST!V39=1,"OK",IF(LOG_ST!V39=2,"NR",IF(OR(LOG_ST!V39=0,LOG_ST!V39="X"),"N/A"))))</f>
        <v/>
      </c>
      <c r="S40" s="574" t="str">
        <f>IF($L40="","",IF(LOG_ST!W39=1,"OK",IF(LOG_ST!W39=2,"NR",IF(OR(LOG_ST!W39=0,LOG_ST!W39="X"),"N/A"))))</f>
        <v/>
      </c>
      <c r="T40" s="574" t="str">
        <f>IF($L40="","",IF(LOG_ST!X39=1,"OK",IF(LOG_ST!X39=2,"NR",IF(OR(LOG_ST!X39=0,LOG_ST!X39="X"),"N/A"))))</f>
        <v/>
      </c>
      <c r="U40" s="574" t="str">
        <f>IF($L40="","",IF(LOG_ST!Y39=1,"OK",IF(LOG_ST!Y39=2,"NR",IF(OR(LOG_ST!Y39=0,LOG_ST!Y39="X"),"N/A"))))</f>
        <v/>
      </c>
      <c r="V40" s="574" t="str">
        <f>IF($L40="","",IF(LOG_ST!Z39=1,"OK",IF(LOG_ST!Z39=2,"NR",IF(OR(LOG_ST!Z39=0,LOG_ST!Z39="X"),"N/A"))))</f>
        <v/>
      </c>
      <c r="W40" s="574" t="str">
        <f>IF($L40="","",IF(LOG_ST!AA39=1,"OK",IF(LOG_ST!AA39=2,"NR",IF(OR(LOG_ST!AA39=0,LOG_ST!AA39="X"),"N/A"))))</f>
        <v/>
      </c>
      <c r="X40" s="574" t="str">
        <f>IF($L40="","",IF(LOG_ST!AB39=1,"OK",IF(LOG_ST!AB39=2,"NR",IF(OR(LOG_ST!AB39=0,LOG_ST!AB39="X"),"N/A"))))</f>
        <v/>
      </c>
      <c r="Y40" s="574" t="str">
        <f>IF($L40="","",IF(LOG_ST!AC39=1,"OK",IF(LOG_ST!AC39=2,"NR",IF(OR(LOG_ST!AC39=0,LOG_ST!AC39="X"),"N/A"))))</f>
        <v/>
      </c>
      <c r="Z40" s="574" t="str">
        <f>IF($L40="","",IF(OR(LOG_ST!AD39=0,LOG_ST!AD39="X"),"N/A",LOG_ST!AD39))</f>
        <v/>
      </c>
      <c r="AA40" s="574" t="str">
        <f>IF($L40="","",IF(LOG_ST!AE39=1,"OK",IF(LOG_ST!AE39=2,"NR",IF(OR(LOG_ST!AE39=0,LOG_ST!AE39="X"),"N/A"))))</f>
        <v/>
      </c>
      <c r="AB40" s="574" t="str">
        <f>IF($L40="","",IF(LOG_ST!AF39=1,"OK",IF(LOG_ST!AF39=2,"NR",IF(OR(LOG_ST!AF39=0,LOG_ST!AF39="X"),"N/A"))))</f>
        <v/>
      </c>
      <c r="AC40" s="574" t="str">
        <f>IF($L40="","",IF(LOG_ST!AG39=1,"OK",IF(LOG_ST!AG39=2,"NR",IF(OR(LOG_ST!AG39=0,LOG_ST!AG39="X"),"N/A"))))</f>
        <v/>
      </c>
      <c r="AD40" s="574" t="str">
        <f>IF($L40="","",IF(OR(LOG_ST!AH39=0,LOG_ST!AH39="X"),"N/A",LOG_ST!AH39))</f>
        <v/>
      </c>
      <c r="AE40" s="574" t="str">
        <f>IF($L40="","",IF(LOG_ST!AI39=1,"OK",IF(LOG_ST!AI39=2,"NR",IF(OR(LOG_ST!AI39=0,LOG_ST!AI39="X"),"N/A"))))</f>
        <v/>
      </c>
      <c r="AF40" s="574" t="str">
        <f>IF($L40="","",IF(LOG_ST!AJ39=1,"OK",IF(LOG_ST!AJ39=2,"NR",IF(OR(LOG_ST!AJ39=0,LOG_ST!AJ39="X"),"N/A"))))</f>
        <v/>
      </c>
      <c r="AG40" s="574" t="str">
        <f>IF($L40="","",IF(LOG_ST!AK39=1,"OK",IF(LOG_ST!AK39=2,"NR",IF(OR(LOG_ST!AK39=0,LOG_ST!AK39="X"),"N/A"))))</f>
        <v/>
      </c>
      <c r="AH40" s="574" t="str">
        <f>IF($L40="","",IF(LOG_ST!AL39=1,"OK",IF(LOG_ST!AL39=2,"NR",IF(OR(LOG_ST!AL39=0,LOG_ST!AL39="X"),"N/A"))))</f>
        <v/>
      </c>
      <c r="AI40" s="574" t="str">
        <f>IF($L40="","",IF(LOG_ST!AM39=1,"OK",IF(LOG_ST!AM39=2,"NR",IF(OR(LOG_ST!AM39=0,LOG_ST!AM39="X"),"N/A"))))</f>
        <v/>
      </c>
      <c r="AJ40" s="574" t="str">
        <f>IF($L40="","",IF(LOG_ST!AN39=1,"OK",IF(LOG_ST!AN39=2,"NR",IF(OR(LOG_ST!AN39=0,LOG_ST!AN39="X"),"N/A"))))</f>
        <v/>
      </c>
      <c r="AK40" s="574" t="str">
        <f>IF($L40="","",IF(LOG_ST!AO39=1,"OK",IF(LOG_ST!AO39=2,"NR",IF(OR(LOG_ST!AO39=0,LOG_ST!AO39="X"),"N/A"))))</f>
        <v/>
      </c>
      <c r="AL40" s="574" t="str">
        <f>IF($L40="","",IF(LOG_ST!AP39=1,"OK",IF(LOG_ST!AP39=2,"NR",IF(OR(LOG_ST!AP39=0,LOG_ST!AP39="X"),"N/A"))))</f>
        <v/>
      </c>
      <c r="AM40" s="574" t="str">
        <f>IF($L40="","",IF(LOG_ST!AQ39=1,"OK",IF(LOG_ST!AQ39=2,"NR",IF(OR(LOG_ST!AQ39=0,LOG_ST!AQ39="X"),"N/A"))))</f>
        <v/>
      </c>
      <c r="AN40" s="550" t="str">
        <f t="shared" si="0"/>
        <v/>
      </c>
    </row>
    <row r="41" spans="2:40" x14ac:dyDescent="0.25">
      <c r="B41" s="551" t="str">
        <f>IF(LOG_ST!F40="","",VLOOKUP(LOG_ST!F40,DATA_BASE!$A$46:$C$57,2,FALSE))</f>
        <v/>
      </c>
      <c r="C41" s="570" t="str">
        <f>IF(LOG_ST!G40="","",VLOOKUP(LOG_ST!G40,DATA_HDG,2,FALSE))</f>
        <v/>
      </c>
      <c r="D41" s="571" t="str">
        <f>IF(LOG_ST!H40="","",LOG_ST!H40)</f>
        <v/>
      </c>
      <c r="E41" s="570" t="str">
        <f>IF(LOG_ST!I40="","",VLOOKUP(LOG_ST!I40,DATA_COP,2,FALSE))</f>
        <v/>
      </c>
      <c r="F41" s="573" t="str">
        <f>IF(LOG_ST!J40="","",LOG_ST!J40)</f>
        <v/>
      </c>
      <c r="G41" s="570" t="str">
        <f>IF(LOG_ST!K40="","",VLOOKUP(LOG_ST!K40,DATA_SCIES,2,FALSE))</f>
        <v/>
      </c>
      <c r="H41" s="570" t="str">
        <f>IF(LOG_ST!L40="","",VLOOKUP(LOG_ST!L40,DATA_ST!$U$7:$V$64,2,FALSE))</f>
        <v/>
      </c>
      <c r="I41" s="570" t="str">
        <f>IF(LOG_ST!M40="","",LOG_ST!M40)</f>
        <v/>
      </c>
      <c r="J41" s="570" t="str">
        <f>IF(LOG_ST!N40="","",LOG_ST!N40)</f>
        <v/>
      </c>
      <c r="K41" s="573" t="str">
        <f>IF(LOG_ST!O40="","",LOG_ST!O40)</f>
        <v/>
      </c>
      <c r="L41" s="573" t="str">
        <f>IF(LOG_ST!P40="","",LOG_ST!P40)</f>
        <v/>
      </c>
      <c r="M41" s="574" t="str">
        <f>IF($L41="","",IF(LOG_ST!Q40=1,"OK",IF(LOG_ST!Q40=2,"NR",IF(OR(LOG_ST!Q40=0,LOG_ST!Q40="X"),"N/A"))))</f>
        <v/>
      </c>
      <c r="N41" s="574" t="str">
        <f>IF($L41="","",IF(LOG_ST!R40=1,"OK",IF(LOG_ST!R40=2,"NR",IF(OR(LOG_ST!R40=0,LOG_ST!R40="X"),"N/A"))))</f>
        <v/>
      </c>
      <c r="O41" s="574" t="str">
        <f>IF($L41="","",IF(LOG_ST!S40=1,"OK",IF(LOG_ST!S40=2,"NR",IF(OR(LOG_ST!S40=0,LOG_ST!S40="X"),"N/A"))))</f>
        <v/>
      </c>
      <c r="P41" s="574" t="str">
        <f>IF($L41="","",IF(LOG_ST!T40=1,"OK",IF(LOG_ST!T40=2,"NR",IF(OR(LOG_ST!T40=0,LOG_ST!T40="X"),"N/A"))))</f>
        <v/>
      </c>
      <c r="Q41" s="574" t="str">
        <f>IF($L41="","",IF(LOG_ST!U40=1,"OK",IF(LOG_ST!U40=2,"NR",IF(OR(LOG_ST!U40=0,LOG_ST!U40="X"),"N/A"))))</f>
        <v/>
      </c>
      <c r="R41" s="574" t="str">
        <f>IF($L41="","",IF(LOG_ST!V40=1,"OK",IF(LOG_ST!V40=2,"NR",IF(OR(LOG_ST!V40=0,LOG_ST!V40="X"),"N/A"))))</f>
        <v/>
      </c>
      <c r="S41" s="574" t="str">
        <f>IF($L41="","",IF(LOG_ST!W40=1,"OK",IF(LOG_ST!W40=2,"NR",IF(OR(LOG_ST!W40=0,LOG_ST!W40="X"),"N/A"))))</f>
        <v/>
      </c>
      <c r="T41" s="574" t="str">
        <f>IF($L41="","",IF(LOG_ST!X40=1,"OK",IF(LOG_ST!X40=2,"NR",IF(OR(LOG_ST!X40=0,LOG_ST!X40="X"),"N/A"))))</f>
        <v/>
      </c>
      <c r="U41" s="574" t="str">
        <f>IF($L41="","",IF(LOG_ST!Y40=1,"OK",IF(LOG_ST!Y40=2,"NR",IF(OR(LOG_ST!Y40=0,LOG_ST!Y40="X"),"N/A"))))</f>
        <v/>
      </c>
      <c r="V41" s="574" t="str">
        <f>IF($L41="","",IF(LOG_ST!Z40=1,"OK",IF(LOG_ST!Z40=2,"NR",IF(OR(LOG_ST!Z40=0,LOG_ST!Z40="X"),"N/A"))))</f>
        <v/>
      </c>
      <c r="W41" s="574" t="str">
        <f>IF($L41="","",IF(LOG_ST!AA40=1,"OK",IF(LOG_ST!AA40=2,"NR",IF(OR(LOG_ST!AA40=0,LOG_ST!AA40="X"),"N/A"))))</f>
        <v/>
      </c>
      <c r="X41" s="574" t="str">
        <f>IF($L41="","",IF(LOG_ST!AB40=1,"OK",IF(LOG_ST!AB40=2,"NR",IF(OR(LOG_ST!AB40=0,LOG_ST!AB40="X"),"N/A"))))</f>
        <v/>
      </c>
      <c r="Y41" s="574" t="str">
        <f>IF($L41="","",IF(LOG_ST!AC40=1,"OK",IF(LOG_ST!AC40=2,"NR",IF(OR(LOG_ST!AC40=0,LOG_ST!AC40="X"),"N/A"))))</f>
        <v/>
      </c>
      <c r="Z41" s="574" t="str">
        <f>IF($L41="","",IF(OR(LOG_ST!AD40=0,LOG_ST!AD40="X"),"N/A",LOG_ST!AD40))</f>
        <v/>
      </c>
      <c r="AA41" s="574" t="str">
        <f>IF($L41="","",IF(LOG_ST!AE40=1,"OK",IF(LOG_ST!AE40=2,"NR",IF(OR(LOG_ST!AE40=0,LOG_ST!AE40="X"),"N/A"))))</f>
        <v/>
      </c>
      <c r="AB41" s="574" t="str">
        <f>IF($L41="","",IF(LOG_ST!AF40=1,"OK",IF(LOG_ST!AF40=2,"NR",IF(OR(LOG_ST!AF40=0,LOG_ST!AF40="X"),"N/A"))))</f>
        <v/>
      </c>
      <c r="AC41" s="574" t="str">
        <f>IF($L41="","",IF(LOG_ST!AG40=1,"OK",IF(LOG_ST!AG40=2,"NR",IF(OR(LOG_ST!AG40=0,LOG_ST!AG40="X"),"N/A"))))</f>
        <v/>
      </c>
      <c r="AD41" s="574" t="str">
        <f>IF($L41="","",IF(OR(LOG_ST!AH40=0,LOG_ST!AH40="X"),"N/A",LOG_ST!AH40))</f>
        <v/>
      </c>
      <c r="AE41" s="574" t="str">
        <f>IF($L41="","",IF(LOG_ST!AI40=1,"OK",IF(LOG_ST!AI40=2,"NR",IF(OR(LOG_ST!AI40=0,LOG_ST!AI40="X"),"N/A"))))</f>
        <v/>
      </c>
      <c r="AF41" s="574" t="str">
        <f>IF($L41="","",IF(LOG_ST!AJ40=1,"OK",IF(LOG_ST!AJ40=2,"NR",IF(OR(LOG_ST!AJ40=0,LOG_ST!AJ40="X"),"N/A"))))</f>
        <v/>
      </c>
      <c r="AG41" s="574" t="str">
        <f>IF($L41="","",IF(LOG_ST!AK40=1,"OK",IF(LOG_ST!AK40=2,"NR",IF(OR(LOG_ST!AK40=0,LOG_ST!AK40="X"),"N/A"))))</f>
        <v/>
      </c>
      <c r="AH41" s="574" t="str">
        <f>IF($L41="","",IF(LOG_ST!AL40=1,"OK",IF(LOG_ST!AL40=2,"NR",IF(OR(LOG_ST!AL40=0,LOG_ST!AL40="X"),"N/A"))))</f>
        <v/>
      </c>
      <c r="AI41" s="574" t="str">
        <f>IF($L41="","",IF(LOG_ST!AM40=1,"OK",IF(LOG_ST!AM40=2,"NR",IF(OR(LOG_ST!AM40=0,LOG_ST!AM40="X"),"N/A"))))</f>
        <v/>
      </c>
      <c r="AJ41" s="574" t="str">
        <f>IF($L41="","",IF(LOG_ST!AN40=1,"OK",IF(LOG_ST!AN40=2,"NR",IF(OR(LOG_ST!AN40=0,LOG_ST!AN40="X"),"N/A"))))</f>
        <v/>
      </c>
      <c r="AK41" s="574" t="str">
        <f>IF($L41="","",IF(LOG_ST!AO40=1,"OK",IF(LOG_ST!AO40=2,"NR",IF(OR(LOG_ST!AO40=0,LOG_ST!AO40="X"),"N/A"))))</f>
        <v/>
      </c>
      <c r="AL41" s="574" t="str">
        <f>IF($L41="","",IF(LOG_ST!AP40=1,"OK",IF(LOG_ST!AP40=2,"NR",IF(OR(LOG_ST!AP40=0,LOG_ST!AP40="X"),"N/A"))))</f>
        <v/>
      </c>
      <c r="AM41" s="574" t="str">
        <f>IF($L41="","",IF(LOG_ST!AQ40=1,"OK",IF(LOG_ST!AQ40=2,"NR",IF(OR(LOG_ST!AQ40=0,LOG_ST!AQ40="X"),"N/A"))))</f>
        <v/>
      </c>
      <c r="AN41" s="550" t="str">
        <f t="shared" si="0"/>
        <v/>
      </c>
    </row>
    <row r="42" spans="2:40" x14ac:dyDescent="0.25">
      <c r="B42" s="551" t="str">
        <f>IF(LOG_ST!F41="","",VLOOKUP(LOG_ST!F41,DATA_BASE!$A$46:$C$57,2,FALSE))</f>
        <v/>
      </c>
      <c r="C42" s="570" t="str">
        <f>IF(LOG_ST!G41="","",VLOOKUP(LOG_ST!G41,DATA_HDG,2,FALSE))</f>
        <v/>
      </c>
      <c r="D42" s="571" t="str">
        <f>IF(LOG_ST!H41="","",LOG_ST!H41)</f>
        <v/>
      </c>
      <c r="E42" s="570" t="str">
        <f>IF(LOG_ST!I41="","",VLOOKUP(LOG_ST!I41,DATA_COP,2,FALSE))</f>
        <v/>
      </c>
      <c r="F42" s="573" t="str">
        <f>IF(LOG_ST!J41="","",LOG_ST!J41)</f>
        <v/>
      </c>
      <c r="G42" s="570" t="str">
        <f>IF(LOG_ST!K41="","",VLOOKUP(LOG_ST!K41,DATA_SCIES,2,FALSE))</f>
        <v/>
      </c>
      <c r="H42" s="570" t="str">
        <f>IF(LOG_ST!L41="","",VLOOKUP(LOG_ST!L41,DATA_ST!$U$7:$V$64,2,FALSE))</f>
        <v/>
      </c>
      <c r="I42" s="570" t="str">
        <f>IF(LOG_ST!M41="","",LOG_ST!M41)</f>
        <v/>
      </c>
      <c r="J42" s="570" t="str">
        <f>IF(LOG_ST!N41="","",LOG_ST!N41)</f>
        <v/>
      </c>
      <c r="K42" s="573" t="str">
        <f>IF(LOG_ST!O41="","",LOG_ST!O41)</f>
        <v/>
      </c>
      <c r="L42" s="573" t="str">
        <f>IF(LOG_ST!P41="","",LOG_ST!P41)</f>
        <v/>
      </c>
      <c r="M42" s="574" t="str">
        <f>IF($L42="","",IF(LOG_ST!Q41=1,"OK",IF(LOG_ST!Q41=2,"NR",IF(OR(LOG_ST!Q41=0,LOG_ST!Q41="X"),"N/A"))))</f>
        <v/>
      </c>
      <c r="N42" s="574" t="str">
        <f>IF($L42="","",IF(LOG_ST!R41=1,"OK",IF(LOG_ST!R41=2,"NR",IF(OR(LOG_ST!R41=0,LOG_ST!R41="X"),"N/A"))))</f>
        <v/>
      </c>
      <c r="O42" s="574" t="str">
        <f>IF($L42="","",IF(LOG_ST!S41=1,"OK",IF(LOG_ST!S41=2,"NR",IF(OR(LOG_ST!S41=0,LOG_ST!S41="X"),"N/A"))))</f>
        <v/>
      </c>
      <c r="P42" s="574" t="str">
        <f>IF($L42="","",IF(LOG_ST!T41=1,"OK",IF(LOG_ST!T41=2,"NR",IF(OR(LOG_ST!T41=0,LOG_ST!T41="X"),"N/A"))))</f>
        <v/>
      </c>
      <c r="Q42" s="574" t="str">
        <f>IF($L42="","",IF(LOG_ST!U41=1,"OK",IF(LOG_ST!U41=2,"NR",IF(OR(LOG_ST!U41=0,LOG_ST!U41="X"),"N/A"))))</f>
        <v/>
      </c>
      <c r="R42" s="574" t="str">
        <f>IF($L42="","",IF(LOG_ST!V41=1,"OK",IF(LOG_ST!V41=2,"NR",IF(OR(LOG_ST!V41=0,LOG_ST!V41="X"),"N/A"))))</f>
        <v/>
      </c>
      <c r="S42" s="574" t="str">
        <f>IF($L42="","",IF(LOG_ST!W41=1,"OK",IF(LOG_ST!W41=2,"NR",IF(OR(LOG_ST!W41=0,LOG_ST!W41="X"),"N/A"))))</f>
        <v/>
      </c>
      <c r="T42" s="574" t="str">
        <f>IF($L42="","",IF(LOG_ST!X41=1,"OK",IF(LOG_ST!X41=2,"NR",IF(OR(LOG_ST!X41=0,LOG_ST!X41="X"),"N/A"))))</f>
        <v/>
      </c>
      <c r="U42" s="574" t="str">
        <f>IF($L42="","",IF(LOG_ST!Y41=1,"OK",IF(LOG_ST!Y41=2,"NR",IF(OR(LOG_ST!Y41=0,LOG_ST!Y41="X"),"N/A"))))</f>
        <v/>
      </c>
      <c r="V42" s="574" t="str">
        <f>IF($L42="","",IF(LOG_ST!Z41=1,"OK",IF(LOG_ST!Z41=2,"NR",IF(OR(LOG_ST!Z41=0,LOG_ST!Z41="X"),"N/A"))))</f>
        <v/>
      </c>
      <c r="W42" s="574" t="str">
        <f>IF($L42="","",IF(LOG_ST!AA41=1,"OK",IF(LOG_ST!AA41=2,"NR",IF(OR(LOG_ST!AA41=0,LOG_ST!AA41="X"),"N/A"))))</f>
        <v/>
      </c>
      <c r="X42" s="574" t="str">
        <f>IF($L42="","",IF(LOG_ST!AB41=1,"OK",IF(LOG_ST!AB41=2,"NR",IF(OR(LOG_ST!AB41=0,LOG_ST!AB41="X"),"N/A"))))</f>
        <v/>
      </c>
      <c r="Y42" s="574" t="str">
        <f>IF($L42="","",IF(LOG_ST!AC41=1,"OK",IF(LOG_ST!AC41=2,"NR",IF(OR(LOG_ST!AC41=0,LOG_ST!AC41="X"),"N/A"))))</f>
        <v/>
      </c>
      <c r="Z42" s="574" t="str">
        <f>IF($L42="","",IF(OR(LOG_ST!AD41=0,LOG_ST!AD41="X"),"N/A",LOG_ST!AD41))</f>
        <v/>
      </c>
      <c r="AA42" s="574" t="str">
        <f>IF($L42="","",IF(LOG_ST!AE41=1,"OK",IF(LOG_ST!AE41=2,"NR",IF(OR(LOG_ST!AE41=0,LOG_ST!AE41="X"),"N/A"))))</f>
        <v/>
      </c>
      <c r="AB42" s="574" t="str">
        <f>IF($L42="","",IF(LOG_ST!AF41=1,"OK",IF(LOG_ST!AF41=2,"NR",IF(OR(LOG_ST!AF41=0,LOG_ST!AF41="X"),"N/A"))))</f>
        <v/>
      </c>
      <c r="AC42" s="574" t="str">
        <f>IF($L42="","",IF(LOG_ST!AG41=1,"OK",IF(LOG_ST!AG41=2,"NR",IF(OR(LOG_ST!AG41=0,LOG_ST!AG41="X"),"N/A"))))</f>
        <v/>
      </c>
      <c r="AD42" s="574" t="str">
        <f>IF($L42="","",IF(OR(LOG_ST!AH41=0,LOG_ST!AH41="X"),"N/A",LOG_ST!AH41))</f>
        <v/>
      </c>
      <c r="AE42" s="574" t="str">
        <f>IF($L42="","",IF(LOG_ST!AI41=1,"OK",IF(LOG_ST!AI41=2,"NR",IF(OR(LOG_ST!AI41=0,LOG_ST!AI41="X"),"N/A"))))</f>
        <v/>
      </c>
      <c r="AF42" s="574" t="str">
        <f>IF($L42="","",IF(LOG_ST!AJ41=1,"OK",IF(LOG_ST!AJ41=2,"NR",IF(OR(LOG_ST!AJ41=0,LOG_ST!AJ41="X"),"N/A"))))</f>
        <v/>
      </c>
      <c r="AG42" s="574" t="str">
        <f>IF($L42="","",IF(LOG_ST!AK41=1,"OK",IF(LOG_ST!AK41=2,"NR",IF(OR(LOG_ST!AK41=0,LOG_ST!AK41="X"),"N/A"))))</f>
        <v/>
      </c>
      <c r="AH42" s="574" t="str">
        <f>IF($L42="","",IF(LOG_ST!AL41=1,"OK",IF(LOG_ST!AL41=2,"NR",IF(OR(LOG_ST!AL41=0,LOG_ST!AL41="X"),"N/A"))))</f>
        <v/>
      </c>
      <c r="AI42" s="574" t="str">
        <f>IF($L42="","",IF(LOG_ST!AM41=1,"OK",IF(LOG_ST!AM41=2,"NR",IF(OR(LOG_ST!AM41=0,LOG_ST!AM41="X"),"N/A"))))</f>
        <v/>
      </c>
      <c r="AJ42" s="574" t="str">
        <f>IF($L42="","",IF(LOG_ST!AN41=1,"OK",IF(LOG_ST!AN41=2,"NR",IF(OR(LOG_ST!AN41=0,LOG_ST!AN41="X"),"N/A"))))</f>
        <v/>
      </c>
      <c r="AK42" s="574" t="str">
        <f>IF($L42="","",IF(LOG_ST!AO41=1,"OK",IF(LOG_ST!AO41=2,"NR",IF(OR(LOG_ST!AO41=0,LOG_ST!AO41="X"),"N/A"))))</f>
        <v/>
      </c>
      <c r="AL42" s="574" t="str">
        <f>IF($L42="","",IF(LOG_ST!AP41=1,"OK",IF(LOG_ST!AP41=2,"NR",IF(OR(LOG_ST!AP41=0,LOG_ST!AP41="X"),"N/A"))))</f>
        <v/>
      </c>
      <c r="AM42" s="574" t="str">
        <f>IF($L42="","",IF(LOG_ST!AQ41=1,"OK",IF(LOG_ST!AQ41=2,"NR",IF(OR(LOG_ST!AQ41=0,LOG_ST!AQ41="X"),"N/A"))))</f>
        <v/>
      </c>
      <c r="AN42" s="550" t="str">
        <f t="shared" si="0"/>
        <v/>
      </c>
    </row>
    <row r="43" spans="2:40" x14ac:dyDescent="0.25">
      <c r="B43" s="551" t="str">
        <f>IF(LOG_ST!F42="","",VLOOKUP(LOG_ST!F42,DATA_BASE!$A$46:$C$57,2,FALSE))</f>
        <v/>
      </c>
      <c r="C43" s="570" t="str">
        <f>IF(LOG_ST!G42="","",VLOOKUP(LOG_ST!G42,DATA_HDG,2,FALSE))</f>
        <v/>
      </c>
      <c r="D43" s="571" t="str">
        <f>IF(LOG_ST!H42="","",LOG_ST!H42)</f>
        <v/>
      </c>
      <c r="E43" s="570" t="str">
        <f>IF(LOG_ST!I42="","",VLOOKUP(LOG_ST!I42,DATA_COP,2,FALSE))</f>
        <v/>
      </c>
      <c r="F43" s="573" t="str">
        <f>IF(LOG_ST!J42="","",LOG_ST!J42)</f>
        <v/>
      </c>
      <c r="G43" s="570" t="str">
        <f>IF(LOG_ST!K42="","",VLOOKUP(LOG_ST!K42,DATA_SCIES,2,FALSE))</f>
        <v/>
      </c>
      <c r="H43" s="570" t="str">
        <f>IF(LOG_ST!L42="","",VLOOKUP(LOG_ST!L42,DATA_ST!$U$7:$V$64,2,FALSE))</f>
        <v/>
      </c>
      <c r="I43" s="570" t="str">
        <f>IF(LOG_ST!M42="","",LOG_ST!M42)</f>
        <v/>
      </c>
      <c r="J43" s="570" t="str">
        <f>IF(LOG_ST!N42="","",LOG_ST!N42)</f>
        <v/>
      </c>
      <c r="K43" s="573" t="str">
        <f>IF(LOG_ST!O42="","",LOG_ST!O42)</f>
        <v/>
      </c>
      <c r="L43" s="573" t="str">
        <f>IF(LOG_ST!P42="","",LOG_ST!P42)</f>
        <v/>
      </c>
      <c r="M43" s="574" t="str">
        <f>IF($L43="","",IF(LOG_ST!Q42=1,"OK",IF(LOG_ST!Q42=2,"NR",IF(OR(LOG_ST!Q42=0,LOG_ST!Q42="X"),"N/A"))))</f>
        <v/>
      </c>
      <c r="N43" s="574" t="str">
        <f>IF($L43="","",IF(LOG_ST!R42=1,"OK",IF(LOG_ST!R42=2,"NR",IF(OR(LOG_ST!R42=0,LOG_ST!R42="X"),"N/A"))))</f>
        <v/>
      </c>
      <c r="O43" s="574" t="str">
        <f>IF($L43="","",IF(LOG_ST!S42=1,"OK",IF(LOG_ST!S42=2,"NR",IF(OR(LOG_ST!S42=0,LOG_ST!S42="X"),"N/A"))))</f>
        <v/>
      </c>
      <c r="P43" s="574" t="str">
        <f>IF($L43="","",IF(LOG_ST!T42=1,"OK",IF(LOG_ST!T42=2,"NR",IF(OR(LOG_ST!T42=0,LOG_ST!T42="X"),"N/A"))))</f>
        <v/>
      </c>
      <c r="Q43" s="574" t="str">
        <f>IF($L43="","",IF(LOG_ST!U42=1,"OK",IF(LOG_ST!U42=2,"NR",IF(OR(LOG_ST!U42=0,LOG_ST!U42="X"),"N/A"))))</f>
        <v/>
      </c>
      <c r="R43" s="574" t="str">
        <f>IF($L43="","",IF(LOG_ST!V42=1,"OK",IF(LOG_ST!V42=2,"NR",IF(OR(LOG_ST!V42=0,LOG_ST!V42="X"),"N/A"))))</f>
        <v/>
      </c>
      <c r="S43" s="574" t="str">
        <f>IF($L43="","",IF(LOG_ST!W42=1,"OK",IF(LOG_ST!W42=2,"NR",IF(OR(LOG_ST!W42=0,LOG_ST!W42="X"),"N/A"))))</f>
        <v/>
      </c>
      <c r="T43" s="574" t="str">
        <f>IF($L43="","",IF(LOG_ST!X42=1,"OK",IF(LOG_ST!X42=2,"NR",IF(OR(LOG_ST!X42=0,LOG_ST!X42="X"),"N/A"))))</f>
        <v/>
      </c>
      <c r="U43" s="574" t="str">
        <f>IF($L43="","",IF(LOG_ST!Y42=1,"OK",IF(LOG_ST!Y42=2,"NR",IF(OR(LOG_ST!Y42=0,LOG_ST!Y42="X"),"N/A"))))</f>
        <v/>
      </c>
      <c r="V43" s="574" t="str">
        <f>IF($L43="","",IF(LOG_ST!Z42=1,"OK",IF(LOG_ST!Z42=2,"NR",IF(OR(LOG_ST!Z42=0,LOG_ST!Z42="X"),"N/A"))))</f>
        <v/>
      </c>
      <c r="W43" s="574" t="str">
        <f>IF($L43="","",IF(LOG_ST!AA42=1,"OK",IF(LOG_ST!AA42=2,"NR",IF(OR(LOG_ST!AA42=0,LOG_ST!AA42="X"),"N/A"))))</f>
        <v/>
      </c>
      <c r="X43" s="574" t="str">
        <f>IF($L43="","",IF(LOG_ST!AB42=1,"OK",IF(LOG_ST!AB42=2,"NR",IF(OR(LOG_ST!AB42=0,LOG_ST!AB42="X"),"N/A"))))</f>
        <v/>
      </c>
      <c r="Y43" s="574" t="str">
        <f>IF($L43="","",IF(LOG_ST!AC42=1,"OK",IF(LOG_ST!AC42=2,"NR",IF(OR(LOG_ST!AC42=0,LOG_ST!AC42="X"),"N/A"))))</f>
        <v/>
      </c>
      <c r="Z43" s="574" t="str">
        <f>IF($L43="","",IF(OR(LOG_ST!AD42=0,LOG_ST!AD42="X"),"N/A",LOG_ST!AD42))</f>
        <v/>
      </c>
      <c r="AA43" s="574" t="str">
        <f>IF($L43="","",IF(LOG_ST!AE42=1,"OK",IF(LOG_ST!AE42=2,"NR",IF(OR(LOG_ST!AE42=0,LOG_ST!AE42="X"),"N/A"))))</f>
        <v/>
      </c>
      <c r="AB43" s="574" t="str">
        <f>IF($L43="","",IF(LOG_ST!AF42=1,"OK",IF(LOG_ST!AF42=2,"NR",IF(OR(LOG_ST!AF42=0,LOG_ST!AF42="X"),"N/A"))))</f>
        <v/>
      </c>
      <c r="AC43" s="574" t="str">
        <f>IF($L43="","",IF(LOG_ST!AG42=1,"OK",IF(LOG_ST!AG42=2,"NR",IF(OR(LOG_ST!AG42=0,LOG_ST!AG42="X"),"N/A"))))</f>
        <v/>
      </c>
      <c r="AD43" s="574" t="str">
        <f>IF($L43="","",IF(OR(LOG_ST!AH42=0,LOG_ST!AH42="X"),"N/A",LOG_ST!AH42))</f>
        <v/>
      </c>
      <c r="AE43" s="574" t="str">
        <f>IF($L43="","",IF(LOG_ST!AI42=1,"OK",IF(LOG_ST!AI42=2,"NR",IF(OR(LOG_ST!AI42=0,LOG_ST!AI42="X"),"N/A"))))</f>
        <v/>
      </c>
      <c r="AF43" s="574" t="str">
        <f>IF($L43="","",IF(LOG_ST!AJ42=1,"OK",IF(LOG_ST!AJ42=2,"NR",IF(OR(LOG_ST!AJ42=0,LOG_ST!AJ42="X"),"N/A"))))</f>
        <v/>
      </c>
      <c r="AG43" s="574" t="str">
        <f>IF($L43="","",IF(LOG_ST!AK42=1,"OK",IF(LOG_ST!AK42=2,"NR",IF(OR(LOG_ST!AK42=0,LOG_ST!AK42="X"),"N/A"))))</f>
        <v/>
      </c>
      <c r="AH43" s="574" t="str">
        <f>IF($L43="","",IF(LOG_ST!AL42=1,"OK",IF(LOG_ST!AL42=2,"NR",IF(OR(LOG_ST!AL42=0,LOG_ST!AL42="X"),"N/A"))))</f>
        <v/>
      </c>
      <c r="AI43" s="574" t="str">
        <f>IF($L43="","",IF(LOG_ST!AM42=1,"OK",IF(LOG_ST!AM42=2,"NR",IF(OR(LOG_ST!AM42=0,LOG_ST!AM42="X"),"N/A"))))</f>
        <v/>
      </c>
      <c r="AJ43" s="574" t="str">
        <f>IF($L43="","",IF(LOG_ST!AN42=1,"OK",IF(LOG_ST!AN42=2,"NR",IF(OR(LOG_ST!AN42=0,LOG_ST!AN42="X"),"N/A"))))</f>
        <v/>
      </c>
      <c r="AK43" s="574" t="str">
        <f>IF($L43="","",IF(LOG_ST!AO42=1,"OK",IF(LOG_ST!AO42=2,"NR",IF(OR(LOG_ST!AO42=0,LOG_ST!AO42="X"),"N/A"))))</f>
        <v/>
      </c>
      <c r="AL43" s="574" t="str">
        <f>IF($L43="","",IF(LOG_ST!AP42=1,"OK",IF(LOG_ST!AP42=2,"NR",IF(OR(LOG_ST!AP42=0,LOG_ST!AP42="X"),"N/A"))))</f>
        <v/>
      </c>
      <c r="AM43" s="574" t="str">
        <f>IF($L43="","",IF(LOG_ST!AQ42=1,"OK",IF(LOG_ST!AQ42=2,"NR",IF(OR(LOG_ST!AQ42=0,LOG_ST!AQ42="X"),"N/A"))))</f>
        <v/>
      </c>
      <c r="AN43" s="550" t="str">
        <f t="shared" si="0"/>
        <v/>
      </c>
    </row>
    <row r="44" spans="2:40" x14ac:dyDescent="0.25">
      <c r="B44" s="551" t="str">
        <f>IF(LOG_ST!F43="","",VLOOKUP(LOG_ST!F43,DATA_BASE!$A$46:$C$57,2,FALSE))</f>
        <v/>
      </c>
      <c r="C44" s="570" t="str">
        <f>IF(LOG_ST!G43="","",VLOOKUP(LOG_ST!G43,DATA_HDG,2,FALSE))</f>
        <v/>
      </c>
      <c r="D44" s="571" t="str">
        <f>IF(LOG_ST!H43="","",LOG_ST!H43)</f>
        <v/>
      </c>
      <c r="E44" s="570" t="str">
        <f>IF(LOG_ST!I43="","",VLOOKUP(LOG_ST!I43,DATA_COP,2,FALSE))</f>
        <v/>
      </c>
      <c r="F44" s="573" t="str">
        <f>IF(LOG_ST!J43="","",LOG_ST!J43)</f>
        <v/>
      </c>
      <c r="G44" s="570" t="str">
        <f>IF(LOG_ST!K43="","",VLOOKUP(LOG_ST!K43,DATA_SCIES,2,FALSE))</f>
        <v/>
      </c>
      <c r="H44" s="570" t="str">
        <f>IF(LOG_ST!L43="","",VLOOKUP(LOG_ST!L43,DATA_ST!$U$7:$V$64,2,FALSE))</f>
        <v/>
      </c>
      <c r="I44" s="570" t="str">
        <f>IF(LOG_ST!M43="","",LOG_ST!M43)</f>
        <v/>
      </c>
      <c r="J44" s="570" t="str">
        <f>IF(LOG_ST!N43="","",LOG_ST!N43)</f>
        <v/>
      </c>
      <c r="K44" s="573" t="str">
        <f>IF(LOG_ST!O43="","",LOG_ST!O43)</f>
        <v/>
      </c>
      <c r="L44" s="573" t="str">
        <f>IF(LOG_ST!P43="","",LOG_ST!P43)</f>
        <v/>
      </c>
      <c r="M44" s="574" t="str">
        <f>IF($L44="","",IF(LOG_ST!Q43=1,"OK",IF(LOG_ST!Q43=2,"NR",IF(OR(LOG_ST!Q43=0,LOG_ST!Q43="X"),"N/A"))))</f>
        <v/>
      </c>
      <c r="N44" s="574" t="str">
        <f>IF($L44="","",IF(LOG_ST!R43=1,"OK",IF(LOG_ST!R43=2,"NR",IF(OR(LOG_ST!R43=0,LOG_ST!R43="X"),"N/A"))))</f>
        <v/>
      </c>
      <c r="O44" s="574" t="str">
        <f>IF($L44="","",IF(LOG_ST!S43=1,"OK",IF(LOG_ST!S43=2,"NR",IF(OR(LOG_ST!S43=0,LOG_ST!S43="X"),"N/A"))))</f>
        <v/>
      </c>
      <c r="P44" s="574" t="str">
        <f>IF($L44="","",IF(LOG_ST!T43=1,"OK",IF(LOG_ST!T43=2,"NR",IF(OR(LOG_ST!T43=0,LOG_ST!T43="X"),"N/A"))))</f>
        <v/>
      </c>
      <c r="Q44" s="574" t="str">
        <f>IF($L44="","",IF(LOG_ST!U43=1,"OK",IF(LOG_ST!U43=2,"NR",IF(OR(LOG_ST!U43=0,LOG_ST!U43="X"),"N/A"))))</f>
        <v/>
      </c>
      <c r="R44" s="574" t="str">
        <f>IF($L44="","",IF(LOG_ST!V43=1,"OK",IF(LOG_ST!V43=2,"NR",IF(OR(LOG_ST!V43=0,LOG_ST!V43="X"),"N/A"))))</f>
        <v/>
      </c>
      <c r="S44" s="574" t="str">
        <f>IF($L44="","",IF(LOG_ST!W43=1,"OK",IF(LOG_ST!W43=2,"NR",IF(OR(LOG_ST!W43=0,LOG_ST!W43="X"),"N/A"))))</f>
        <v/>
      </c>
      <c r="T44" s="574" t="str">
        <f>IF($L44="","",IF(LOG_ST!X43=1,"OK",IF(LOG_ST!X43=2,"NR",IF(OR(LOG_ST!X43=0,LOG_ST!X43="X"),"N/A"))))</f>
        <v/>
      </c>
      <c r="U44" s="574" t="str">
        <f>IF($L44="","",IF(LOG_ST!Y43=1,"OK",IF(LOG_ST!Y43=2,"NR",IF(OR(LOG_ST!Y43=0,LOG_ST!Y43="X"),"N/A"))))</f>
        <v/>
      </c>
      <c r="V44" s="574" t="str">
        <f>IF($L44="","",IF(LOG_ST!Z43=1,"OK",IF(LOG_ST!Z43=2,"NR",IF(OR(LOG_ST!Z43=0,LOG_ST!Z43="X"),"N/A"))))</f>
        <v/>
      </c>
      <c r="W44" s="574" t="str">
        <f>IF($L44="","",IF(LOG_ST!AA43=1,"OK",IF(LOG_ST!AA43=2,"NR",IF(OR(LOG_ST!AA43=0,LOG_ST!AA43="X"),"N/A"))))</f>
        <v/>
      </c>
      <c r="X44" s="574" t="str">
        <f>IF($L44="","",IF(LOG_ST!AB43=1,"OK",IF(LOG_ST!AB43=2,"NR",IF(OR(LOG_ST!AB43=0,LOG_ST!AB43="X"),"N/A"))))</f>
        <v/>
      </c>
      <c r="Y44" s="574" t="str">
        <f>IF($L44="","",IF(LOG_ST!AC43=1,"OK",IF(LOG_ST!AC43=2,"NR",IF(OR(LOG_ST!AC43=0,LOG_ST!AC43="X"),"N/A"))))</f>
        <v/>
      </c>
      <c r="Z44" s="574" t="str">
        <f>IF($L44="","",IF(OR(LOG_ST!AD43=0,LOG_ST!AD43="X"),"N/A",LOG_ST!AD43))</f>
        <v/>
      </c>
      <c r="AA44" s="574" t="str">
        <f>IF($L44="","",IF(LOG_ST!AE43=1,"OK",IF(LOG_ST!AE43=2,"NR",IF(OR(LOG_ST!AE43=0,LOG_ST!AE43="X"),"N/A"))))</f>
        <v/>
      </c>
      <c r="AB44" s="574" t="str">
        <f>IF($L44="","",IF(LOG_ST!AF43=1,"OK",IF(LOG_ST!AF43=2,"NR",IF(OR(LOG_ST!AF43=0,LOG_ST!AF43="X"),"N/A"))))</f>
        <v/>
      </c>
      <c r="AC44" s="574" t="str">
        <f>IF($L44="","",IF(LOG_ST!AG43=1,"OK",IF(LOG_ST!AG43=2,"NR",IF(OR(LOG_ST!AG43=0,LOG_ST!AG43="X"),"N/A"))))</f>
        <v/>
      </c>
      <c r="AD44" s="574" t="str">
        <f>IF($L44="","",IF(OR(LOG_ST!AH43=0,LOG_ST!AH43="X"),"N/A",LOG_ST!AH43))</f>
        <v/>
      </c>
      <c r="AE44" s="574" t="str">
        <f>IF($L44="","",IF(LOG_ST!AI43=1,"OK",IF(LOG_ST!AI43=2,"NR",IF(OR(LOG_ST!AI43=0,LOG_ST!AI43="X"),"N/A"))))</f>
        <v/>
      </c>
      <c r="AF44" s="574" t="str">
        <f>IF($L44="","",IF(LOG_ST!AJ43=1,"OK",IF(LOG_ST!AJ43=2,"NR",IF(OR(LOG_ST!AJ43=0,LOG_ST!AJ43="X"),"N/A"))))</f>
        <v/>
      </c>
      <c r="AG44" s="574" t="str">
        <f>IF($L44="","",IF(LOG_ST!AK43=1,"OK",IF(LOG_ST!AK43=2,"NR",IF(OR(LOG_ST!AK43=0,LOG_ST!AK43="X"),"N/A"))))</f>
        <v/>
      </c>
      <c r="AH44" s="574" t="str">
        <f>IF($L44="","",IF(LOG_ST!AL43=1,"OK",IF(LOG_ST!AL43=2,"NR",IF(OR(LOG_ST!AL43=0,LOG_ST!AL43="X"),"N/A"))))</f>
        <v/>
      </c>
      <c r="AI44" s="574" t="str">
        <f>IF($L44="","",IF(LOG_ST!AM43=1,"OK",IF(LOG_ST!AM43=2,"NR",IF(OR(LOG_ST!AM43=0,LOG_ST!AM43="X"),"N/A"))))</f>
        <v/>
      </c>
      <c r="AJ44" s="574" t="str">
        <f>IF($L44="","",IF(LOG_ST!AN43=1,"OK",IF(LOG_ST!AN43=2,"NR",IF(OR(LOG_ST!AN43=0,LOG_ST!AN43="X"),"N/A"))))</f>
        <v/>
      </c>
      <c r="AK44" s="574" t="str">
        <f>IF($L44="","",IF(LOG_ST!AO43=1,"OK",IF(LOG_ST!AO43=2,"NR",IF(OR(LOG_ST!AO43=0,LOG_ST!AO43="X"),"N/A"))))</f>
        <v/>
      </c>
      <c r="AL44" s="574" t="str">
        <f>IF($L44="","",IF(LOG_ST!AP43=1,"OK",IF(LOG_ST!AP43=2,"NR",IF(OR(LOG_ST!AP43=0,LOG_ST!AP43="X"),"N/A"))))</f>
        <v/>
      </c>
      <c r="AM44" s="574" t="str">
        <f>IF($L44="","",IF(LOG_ST!AQ43=1,"OK",IF(LOG_ST!AQ43=2,"NR",IF(OR(LOG_ST!AQ43=0,LOG_ST!AQ43="X"),"N/A"))))</f>
        <v/>
      </c>
      <c r="AN44" s="550" t="str">
        <f t="shared" si="0"/>
        <v/>
      </c>
    </row>
    <row r="45" spans="2:40" x14ac:dyDescent="0.25">
      <c r="B45" s="551" t="str">
        <f>IF(LOG_ST!F44="","",VLOOKUP(LOG_ST!F44,DATA_BASE!$A$46:$C$57,2,FALSE))</f>
        <v/>
      </c>
      <c r="C45" s="570" t="str">
        <f>IF(LOG_ST!G44="","",VLOOKUP(LOG_ST!G44,DATA_HDG,2,FALSE))</f>
        <v/>
      </c>
      <c r="D45" s="571" t="str">
        <f>IF(LOG_ST!H44="","",LOG_ST!H44)</f>
        <v/>
      </c>
      <c r="E45" s="570" t="str">
        <f>IF(LOG_ST!I44="","",VLOOKUP(LOG_ST!I44,DATA_COP,2,FALSE))</f>
        <v/>
      </c>
      <c r="F45" s="573" t="str">
        <f>IF(LOG_ST!J44="","",LOG_ST!J44)</f>
        <v/>
      </c>
      <c r="G45" s="570" t="str">
        <f>IF(LOG_ST!K44="","",VLOOKUP(LOG_ST!K44,DATA_SCIES,2,FALSE))</f>
        <v/>
      </c>
      <c r="H45" s="570" t="str">
        <f>IF(LOG_ST!L44="","",VLOOKUP(LOG_ST!L44,DATA_ST!$U$7:$V$64,2,FALSE))</f>
        <v/>
      </c>
      <c r="I45" s="570" t="str">
        <f>IF(LOG_ST!M44="","",LOG_ST!M44)</f>
        <v/>
      </c>
      <c r="J45" s="570" t="str">
        <f>IF(LOG_ST!N44="","",LOG_ST!N44)</f>
        <v/>
      </c>
      <c r="K45" s="573" t="str">
        <f>IF(LOG_ST!O44="","",LOG_ST!O44)</f>
        <v/>
      </c>
      <c r="L45" s="573" t="str">
        <f>IF(LOG_ST!P44="","",LOG_ST!P44)</f>
        <v/>
      </c>
      <c r="M45" s="574" t="str">
        <f>IF($L45="","",IF(LOG_ST!Q44=1,"OK",IF(LOG_ST!Q44=2,"NR",IF(OR(LOG_ST!Q44=0,LOG_ST!Q44="X"),"N/A"))))</f>
        <v/>
      </c>
      <c r="N45" s="574" t="str">
        <f>IF($L45="","",IF(LOG_ST!R44=1,"OK",IF(LOG_ST!R44=2,"NR",IF(OR(LOG_ST!R44=0,LOG_ST!R44="X"),"N/A"))))</f>
        <v/>
      </c>
      <c r="O45" s="574" t="str">
        <f>IF($L45="","",IF(LOG_ST!S44=1,"OK",IF(LOG_ST!S44=2,"NR",IF(OR(LOG_ST!S44=0,LOG_ST!S44="X"),"N/A"))))</f>
        <v/>
      </c>
      <c r="P45" s="574" t="str">
        <f>IF($L45="","",IF(LOG_ST!T44=1,"OK",IF(LOG_ST!T44=2,"NR",IF(OR(LOG_ST!T44=0,LOG_ST!T44="X"),"N/A"))))</f>
        <v/>
      </c>
      <c r="Q45" s="574" t="str">
        <f>IF($L45="","",IF(LOG_ST!U44=1,"OK",IF(LOG_ST!U44=2,"NR",IF(OR(LOG_ST!U44=0,LOG_ST!U44="X"),"N/A"))))</f>
        <v/>
      </c>
      <c r="R45" s="574" t="str">
        <f>IF($L45="","",IF(LOG_ST!V44=1,"OK",IF(LOG_ST!V44=2,"NR",IF(OR(LOG_ST!V44=0,LOG_ST!V44="X"),"N/A"))))</f>
        <v/>
      </c>
      <c r="S45" s="574" t="str">
        <f>IF($L45="","",IF(LOG_ST!W44=1,"OK",IF(LOG_ST!W44=2,"NR",IF(OR(LOG_ST!W44=0,LOG_ST!W44="X"),"N/A"))))</f>
        <v/>
      </c>
      <c r="T45" s="574" t="str">
        <f>IF($L45="","",IF(LOG_ST!X44=1,"OK",IF(LOG_ST!X44=2,"NR",IF(OR(LOG_ST!X44=0,LOG_ST!X44="X"),"N/A"))))</f>
        <v/>
      </c>
      <c r="U45" s="574" t="str">
        <f>IF($L45="","",IF(LOG_ST!Y44=1,"OK",IF(LOG_ST!Y44=2,"NR",IF(OR(LOG_ST!Y44=0,LOG_ST!Y44="X"),"N/A"))))</f>
        <v/>
      </c>
      <c r="V45" s="574" t="str">
        <f>IF($L45="","",IF(LOG_ST!Z44=1,"OK",IF(LOG_ST!Z44=2,"NR",IF(OR(LOG_ST!Z44=0,LOG_ST!Z44="X"),"N/A"))))</f>
        <v/>
      </c>
      <c r="W45" s="574" t="str">
        <f>IF($L45="","",IF(LOG_ST!AA44=1,"OK",IF(LOG_ST!AA44=2,"NR",IF(OR(LOG_ST!AA44=0,LOG_ST!AA44="X"),"N/A"))))</f>
        <v/>
      </c>
      <c r="X45" s="574" t="str">
        <f>IF($L45="","",IF(LOG_ST!AB44=1,"OK",IF(LOG_ST!AB44=2,"NR",IF(OR(LOG_ST!AB44=0,LOG_ST!AB44="X"),"N/A"))))</f>
        <v/>
      </c>
      <c r="Y45" s="574" t="str">
        <f>IF($L45="","",IF(LOG_ST!AC44=1,"OK",IF(LOG_ST!AC44=2,"NR",IF(OR(LOG_ST!AC44=0,LOG_ST!AC44="X"),"N/A"))))</f>
        <v/>
      </c>
      <c r="Z45" s="574" t="str">
        <f>IF($L45="","",IF(OR(LOG_ST!AD44=0,LOG_ST!AD44="X"),"N/A",LOG_ST!AD44))</f>
        <v/>
      </c>
      <c r="AA45" s="574" t="str">
        <f>IF($L45="","",IF(LOG_ST!AE44=1,"OK",IF(LOG_ST!AE44=2,"NR",IF(OR(LOG_ST!AE44=0,LOG_ST!AE44="X"),"N/A"))))</f>
        <v/>
      </c>
      <c r="AB45" s="574" t="str">
        <f>IF($L45="","",IF(LOG_ST!AF44=1,"OK",IF(LOG_ST!AF44=2,"NR",IF(OR(LOG_ST!AF44=0,LOG_ST!AF44="X"),"N/A"))))</f>
        <v/>
      </c>
      <c r="AC45" s="574" t="str">
        <f>IF($L45="","",IF(LOG_ST!AG44=1,"OK",IF(LOG_ST!AG44=2,"NR",IF(OR(LOG_ST!AG44=0,LOG_ST!AG44="X"),"N/A"))))</f>
        <v/>
      </c>
      <c r="AD45" s="574" t="str">
        <f>IF($L45="","",IF(OR(LOG_ST!AH44=0,LOG_ST!AH44="X"),"N/A",LOG_ST!AH44))</f>
        <v/>
      </c>
      <c r="AE45" s="574" t="str">
        <f>IF($L45="","",IF(LOG_ST!AI44=1,"OK",IF(LOG_ST!AI44=2,"NR",IF(OR(LOG_ST!AI44=0,LOG_ST!AI44="X"),"N/A"))))</f>
        <v/>
      </c>
      <c r="AF45" s="574" t="str">
        <f>IF($L45="","",IF(LOG_ST!AJ44=1,"OK",IF(LOG_ST!AJ44=2,"NR",IF(OR(LOG_ST!AJ44=0,LOG_ST!AJ44="X"),"N/A"))))</f>
        <v/>
      </c>
      <c r="AG45" s="574" t="str">
        <f>IF($L45="","",IF(LOG_ST!AK44=1,"OK",IF(LOG_ST!AK44=2,"NR",IF(OR(LOG_ST!AK44=0,LOG_ST!AK44="X"),"N/A"))))</f>
        <v/>
      </c>
      <c r="AH45" s="574" t="str">
        <f>IF($L45="","",IF(LOG_ST!AL44=1,"OK",IF(LOG_ST!AL44=2,"NR",IF(OR(LOG_ST!AL44=0,LOG_ST!AL44="X"),"N/A"))))</f>
        <v/>
      </c>
      <c r="AI45" s="574" t="str">
        <f>IF($L45="","",IF(LOG_ST!AM44=1,"OK",IF(LOG_ST!AM44=2,"NR",IF(OR(LOG_ST!AM44=0,LOG_ST!AM44="X"),"N/A"))))</f>
        <v/>
      </c>
      <c r="AJ45" s="574" t="str">
        <f>IF($L45="","",IF(LOG_ST!AN44=1,"OK",IF(LOG_ST!AN44=2,"NR",IF(OR(LOG_ST!AN44=0,LOG_ST!AN44="X"),"N/A"))))</f>
        <v/>
      </c>
      <c r="AK45" s="574" t="str">
        <f>IF($L45="","",IF(LOG_ST!AO44=1,"OK",IF(LOG_ST!AO44=2,"NR",IF(OR(LOG_ST!AO44=0,LOG_ST!AO44="X"),"N/A"))))</f>
        <v/>
      </c>
      <c r="AL45" s="574" t="str">
        <f>IF($L45="","",IF(LOG_ST!AP44=1,"OK",IF(LOG_ST!AP44=2,"NR",IF(OR(LOG_ST!AP44=0,LOG_ST!AP44="X"),"N/A"))))</f>
        <v/>
      </c>
      <c r="AM45" s="574" t="str">
        <f>IF($L45="","",IF(LOG_ST!AQ44=1,"OK",IF(LOG_ST!AQ44=2,"NR",IF(OR(LOG_ST!AQ44=0,LOG_ST!AQ44="X"),"N/A"))))</f>
        <v/>
      </c>
      <c r="AN45" s="550" t="str">
        <f t="shared" si="0"/>
        <v/>
      </c>
    </row>
    <row r="46" spans="2:40" x14ac:dyDescent="0.25">
      <c r="B46" s="551" t="str">
        <f>IF(LOG_ST!F45="","",VLOOKUP(LOG_ST!F45,DATA_BASE!$A$46:$C$57,2,FALSE))</f>
        <v/>
      </c>
      <c r="C46" s="570" t="str">
        <f>IF(LOG_ST!G45="","",VLOOKUP(LOG_ST!G45,DATA_HDG,2,FALSE))</f>
        <v/>
      </c>
      <c r="D46" s="571" t="str">
        <f>IF(LOG_ST!H45="","",LOG_ST!H45)</f>
        <v/>
      </c>
      <c r="E46" s="570" t="str">
        <f>IF(LOG_ST!I45="","",VLOOKUP(LOG_ST!I45,DATA_COP,2,FALSE))</f>
        <v/>
      </c>
      <c r="F46" s="573" t="str">
        <f>IF(LOG_ST!J45="","",LOG_ST!J45)</f>
        <v/>
      </c>
      <c r="G46" s="570" t="str">
        <f>IF(LOG_ST!K45="","",VLOOKUP(LOG_ST!K45,DATA_SCIES,2,FALSE))</f>
        <v/>
      </c>
      <c r="H46" s="570" t="str">
        <f>IF(LOG_ST!L45="","",VLOOKUP(LOG_ST!L45,DATA_ST!$U$7:$V$64,2,FALSE))</f>
        <v/>
      </c>
      <c r="I46" s="570" t="str">
        <f>IF(LOG_ST!M45="","",LOG_ST!M45)</f>
        <v/>
      </c>
      <c r="J46" s="570" t="str">
        <f>IF(LOG_ST!N45="","",LOG_ST!N45)</f>
        <v/>
      </c>
      <c r="K46" s="573" t="str">
        <f>IF(LOG_ST!O45="","",LOG_ST!O45)</f>
        <v/>
      </c>
      <c r="L46" s="573" t="str">
        <f>IF(LOG_ST!P45="","",LOG_ST!P45)</f>
        <v/>
      </c>
      <c r="M46" s="574" t="str">
        <f>IF($L46="","",IF(LOG_ST!Q45=1,"OK",IF(LOG_ST!Q45=2,"NR",IF(OR(LOG_ST!Q45=0,LOG_ST!Q45="X"),"N/A"))))</f>
        <v/>
      </c>
      <c r="N46" s="574" t="str">
        <f>IF($L46="","",IF(LOG_ST!R45=1,"OK",IF(LOG_ST!R45=2,"NR",IF(OR(LOG_ST!R45=0,LOG_ST!R45="X"),"N/A"))))</f>
        <v/>
      </c>
      <c r="O46" s="574" t="str">
        <f>IF($L46="","",IF(LOG_ST!S45=1,"OK",IF(LOG_ST!S45=2,"NR",IF(OR(LOG_ST!S45=0,LOG_ST!S45="X"),"N/A"))))</f>
        <v/>
      </c>
      <c r="P46" s="574" t="str">
        <f>IF($L46="","",IF(LOG_ST!T45=1,"OK",IF(LOG_ST!T45=2,"NR",IF(OR(LOG_ST!T45=0,LOG_ST!T45="X"),"N/A"))))</f>
        <v/>
      </c>
      <c r="Q46" s="574" t="str">
        <f>IF($L46="","",IF(LOG_ST!U45=1,"OK",IF(LOG_ST!U45=2,"NR",IF(OR(LOG_ST!U45=0,LOG_ST!U45="X"),"N/A"))))</f>
        <v/>
      </c>
      <c r="R46" s="574" t="str">
        <f>IF($L46="","",IF(LOG_ST!V45=1,"OK",IF(LOG_ST!V45=2,"NR",IF(OR(LOG_ST!V45=0,LOG_ST!V45="X"),"N/A"))))</f>
        <v/>
      </c>
      <c r="S46" s="574" t="str">
        <f>IF($L46="","",IF(LOG_ST!W45=1,"OK",IF(LOG_ST!W45=2,"NR",IF(OR(LOG_ST!W45=0,LOG_ST!W45="X"),"N/A"))))</f>
        <v/>
      </c>
      <c r="T46" s="574" t="str">
        <f>IF($L46="","",IF(LOG_ST!X45=1,"OK",IF(LOG_ST!X45=2,"NR",IF(OR(LOG_ST!X45=0,LOG_ST!X45="X"),"N/A"))))</f>
        <v/>
      </c>
      <c r="U46" s="574" t="str">
        <f>IF($L46="","",IF(LOG_ST!Y45=1,"OK",IF(LOG_ST!Y45=2,"NR",IF(OR(LOG_ST!Y45=0,LOG_ST!Y45="X"),"N/A"))))</f>
        <v/>
      </c>
      <c r="V46" s="574" t="str">
        <f>IF($L46="","",IF(LOG_ST!Z45=1,"OK",IF(LOG_ST!Z45=2,"NR",IF(OR(LOG_ST!Z45=0,LOG_ST!Z45="X"),"N/A"))))</f>
        <v/>
      </c>
      <c r="W46" s="574" t="str">
        <f>IF($L46="","",IF(LOG_ST!AA45=1,"OK",IF(LOG_ST!AA45=2,"NR",IF(OR(LOG_ST!AA45=0,LOG_ST!AA45="X"),"N/A"))))</f>
        <v/>
      </c>
      <c r="X46" s="574" t="str">
        <f>IF($L46="","",IF(LOG_ST!AB45=1,"OK",IF(LOG_ST!AB45=2,"NR",IF(OR(LOG_ST!AB45=0,LOG_ST!AB45="X"),"N/A"))))</f>
        <v/>
      </c>
      <c r="Y46" s="574" t="str">
        <f>IF($L46="","",IF(LOG_ST!AC45=1,"OK",IF(LOG_ST!AC45=2,"NR",IF(OR(LOG_ST!AC45=0,LOG_ST!AC45="X"),"N/A"))))</f>
        <v/>
      </c>
      <c r="Z46" s="574" t="str">
        <f>IF($L46="","",IF(OR(LOG_ST!AD45=0,LOG_ST!AD45="X"),"N/A",LOG_ST!AD45))</f>
        <v/>
      </c>
      <c r="AA46" s="574" t="str">
        <f>IF($L46="","",IF(LOG_ST!AE45=1,"OK",IF(LOG_ST!AE45=2,"NR",IF(OR(LOG_ST!AE45=0,LOG_ST!AE45="X"),"N/A"))))</f>
        <v/>
      </c>
      <c r="AB46" s="574" t="str">
        <f>IF($L46="","",IF(LOG_ST!AF45=1,"OK",IF(LOG_ST!AF45=2,"NR",IF(OR(LOG_ST!AF45=0,LOG_ST!AF45="X"),"N/A"))))</f>
        <v/>
      </c>
      <c r="AC46" s="574" t="str">
        <f>IF($L46="","",IF(LOG_ST!AG45=1,"OK",IF(LOG_ST!AG45=2,"NR",IF(OR(LOG_ST!AG45=0,LOG_ST!AG45="X"),"N/A"))))</f>
        <v/>
      </c>
      <c r="AD46" s="574" t="str">
        <f>IF($L46="","",IF(OR(LOG_ST!AH45=0,LOG_ST!AH45="X"),"N/A",LOG_ST!AH45))</f>
        <v/>
      </c>
      <c r="AE46" s="574" t="str">
        <f>IF($L46="","",IF(LOG_ST!AI45=1,"OK",IF(LOG_ST!AI45=2,"NR",IF(OR(LOG_ST!AI45=0,LOG_ST!AI45="X"),"N/A"))))</f>
        <v/>
      </c>
      <c r="AF46" s="574" t="str">
        <f>IF($L46="","",IF(LOG_ST!AJ45=1,"OK",IF(LOG_ST!AJ45=2,"NR",IF(OR(LOG_ST!AJ45=0,LOG_ST!AJ45="X"),"N/A"))))</f>
        <v/>
      </c>
      <c r="AG46" s="574" t="str">
        <f>IF($L46="","",IF(LOG_ST!AK45=1,"OK",IF(LOG_ST!AK45=2,"NR",IF(OR(LOG_ST!AK45=0,LOG_ST!AK45="X"),"N/A"))))</f>
        <v/>
      </c>
      <c r="AH46" s="574" t="str">
        <f>IF($L46="","",IF(LOG_ST!AL45=1,"OK",IF(LOG_ST!AL45=2,"NR",IF(OR(LOG_ST!AL45=0,LOG_ST!AL45="X"),"N/A"))))</f>
        <v/>
      </c>
      <c r="AI46" s="574" t="str">
        <f>IF($L46="","",IF(LOG_ST!AM45=1,"OK",IF(LOG_ST!AM45=2,"NR",IF(OR(LOG_ST!AM45=0,LOG_ST!AM45="X"),"N/A"))))</f>
        <v/>
      </c>
      <c r="AJ46" s="574" t="str">
        <f>IF($L46="","",IF(LOG_ST!AN45=1,"OK",IF(LOG_ST!AN45=2,"NR",IF(OR(LOG_ST!AN45=0,LOG_ST!AN45="X"),"N/A"))))</f>
        <v/>
      </c>
      <c r="AK46" s="574" t="str">
        <f>IF($L46="","",IF(LOG_ST!AO45=1,"OK",IF(LOG_ST!AO45=2,"NR",IF(OR(LOG_ST!AO45=0,LOG_ST!AO45="X"),"N/A"))))</f>
        <v/>
      </c>
      <c r="AL46" s="574" t="str">
        <f>IF($L46="","",IF(LOG_ST!AP45=1,"OK",IF(LOG_ST!AP45=2,"NR",IF(OR(LOG_ST!AP45=0,LOG_ST!AP45="X"),"N/A"))))</f>
        <v/>
      </c>
      <c r="AM46" s="574" t="str">
        <f>IF($L46="","",IF(LOG_ST!AQ45=1,"OK",IF(LOG_ST!AQ45=2,"NR",IF(OR(LOG_ST!AQ45=0,LOG_ST!AQ45="X"),"N/A"))))</f>
        <v/>
      </c>
      <c r="AN46" s="550" t="str">
        <f t="shared" si="0"/>
        <v/>
      </c>
    </row>
    <row r="47" spans="2:40" x14ac:dyDescent="0.25">
      <c r="B47" s="551" t="str">
        <f>IF(LOG_ST!F46="","",VLOOKUP(LOG_ST!F46,DATA_BASE!$A$46:$C$57,2,FALSE))</f>
        <v/>
      </c>
      <c r="C47" s="570" t="str">
        <f>IF(LOG_ST!G46="","",VLOOKUP(LOG_ST!G46,DATA_HDG,2,FALSE))</f>
        <v/>
      </c>
      <c r="D47" s="571" t="str">
        <f>IF(LOG_ST!H46="","",LOG_ST!H46)</f>
        <v/>
      </c>
      <c r="E47" s="570" t="str">
        <f>IF(LOG_ST!I46="","",VLOOKUP(LOG_ST!I46,DATA_COP,2,FALSE))</f>
        <v/>
      </c>
      <c r="F47" s="573" t="str">
        <f>IF(LOG_ST!J46="","",LOG_ST!J46)</f>
        <v/>
      </c>
      <c r="G47" s="570" t="str">
        <f>IF(LOG_ST!K46="","",VLOOKUP(LOG_ST!K46,DATA_SCIES,2,FALSE))</f>
        <v/>
      </c>
      <c r="H47" s="570" t="str">
        <f>IF(LOG_ST!L46="","",VLOOKUP(LOG_ST!L46,DATA_ST!$U$7:$V$64,2,FALSE))</f>
        <v/>
      </c>
      <c r="I47" s="570" t="str">
        <f>IF(LOG_ST!M46="","",LOG_ST!M46)</f>
        <v/>
      </c>
      <c r="J47" s="570" t="str">
        <f>IF(LOG_ST!N46="","",LOG_ST!N46)</f>
        <v/>
      </c>
      <c r="K47" s="573" t="str">
        <f>IF(LOG_ST!O46="","",LOG_ST!O46)</f>
        <v/>
      </c>
      <c r="L47" s="573" t="str">
        <f>IF(LOG_ST!P46="","",LOG_ST!P46)</f>
        <v/>
      </c>
      <c r="M47" s="574" t="str">
        <f>IF($L47="","",IF(LOG_ST!Q46=1,"OK",IF(LOG_ST!Q46=2,"NR",IF(OR(LOG_ST!Q46=0,LOG_ST!Q46="X"),"N/A"))))</f>
        <v/>
      </c>
      <c r="N47" s="574" t="str">
        <f>IF($L47="","",IF(LOG_ST!R46=1,"OK",IF(LOG_ST!R46=2,"NR",IF(OR(LOG_ST!R46=0,LOG_ST!R46="X"),"N/A"))))</f>
        <v/>
      </c>
      <c r="O47" s="574" t="str">
        <f>IF($L47="","",IF(LOG_ST!S46=1,"OK",IF(LOG_ST!S46=2,"NR",IF(OR(LOG_ST!S46=0,LOG_ST!S46="X"),"N/A"))))</f>
        <v/>
      </c>
      <c r="P47" s="574" t="str">
        <f>IF($L47="","",IF(LOG_ST!T46=1,"OK",IF(LOG_ST!T46=2,"NR",IF(OR(LOG_ST!T46=0,LOG_ST!T46="X"),"N/A"))))</f>
        <v/>
      </c>
      <c r="Q47" s="574" t="str">
        <f>IF($L47="","",IF(LOG_ST!U46=1,"OK",IF(LOG_ST!U46=2,"NR",IF(OR(LOG_ST!U46=0,LOG_ST!U46="X"),"N/A"))))</f>
        <v/>
      </c>
      <c r="R47" s="574" t="str">
        <f>IF($L47="","",IF(LOG_ST!V46=1,"OK",IF(LOG_ST!V46=2,"NR",IF(OR(LOG_ST!V46=0,LOG_ST!V46="X"),"N/A"))))</f>
        <v/>
      </c>
      <c r="S47" s="574" t="str">
        <f>IF($L47="","",IF(LOG_ST!W46=1,"OK",IF(LOG_ST!W46=2,"NR",IF(OR(LOG_ST!W46=0,LOG_ST!W46="X"),"N/A"))))</f>
        <v/>
      </c>
      <c r="T47" s="574" t="str">
        <f>IF($L47="","",IF(LOG_ST!X46=1,"OK",IF(LOG_ST!X46=2,"NR",IF(OR(LOG_ST!X46=0,LOG_ST!X46="X"),"N/A"))))</f>
        <v/>
      </c>
      <c r="U47" s="574" t="str">
        <f>IF($L47="","",IF(LOG_ST!Y46=1,"OK",IF(LOG_ST!Y46=2,"NR",IF(OR(LOG_ST!Y46=0,LOG_ST!Y46="X"),"N/A"))))</f>
        <v/>
      </c>
      <c r="V47" s="574" t="str">
        <f>IF($L47="","",IF(LOG_ST!Z46=1,"OK",IF(LOG_ST!Z46=2,"NR",IF(OR(LOG_ST!Z46=0,LOG_ST!Z46="X"),"N/A"))))</f>
        <v/>
      </c>
      <c r="W47" s="574" t="str">
        <f>IF($L47="","",IF(LOG_ST!AA46=1,"OK",IF(LOG_ST!AA46=2,"NR",IF(OR(LOG_ST!AA46=0,LOG_ST!AA46="X"),"N/A"))))</f>
        <v/>
      </c>
      <c r="X47" s="574" t="str">
        <f>IF($L47="","",IF(LOG_ST!AB46=1,"OK",IF(LOG_ST!AB46=2,"NR",IF(OR(LOG_ST!AB46=0,LOG_ST!AB46="X"),"N/A"))))</f>
        <v/>
      </c>
      <c r="Y47" s="574" t="str">
        <f>IF($L47="","",IF(LOG_ST!AC46=1,"OK",IF(LOG_ST!AC46=2,"NR",IF(OR(LOG_ST!AC46=0,LOG_ST!AC46="X"),"N/A"))))</f>
        <v/>
      </c>
      <c r="Z47" s="574" t="str">
        <f>IF($L47="","",IF(OR(LOG_ST!AD46=0,LOG_ST!AD46="X"),"N/A",LOG_ST!AD46))</f>
        <v/>
      </c>
      <c r="AA47" s="574" t="str">
        <f>IF($L47="","",IF(LOG_ST!AE46=1,"OK",IF(LOG_ST!AE46=2,"NR",IF(OR(LOG_ST!AE46=0,LOG_ST!AE46="X"),"N/A"))))</f>
        <v/>
      </c>
      <c r="AB47" s="574" t="str">
        <f>IF($L47="","",IF(LOG_ST!AF46=1,"OK",IF(LOG_ST!AF46=2,"NR",IF(OR(LOG_ST!AF46=0,LOG_ST!AF46="X"),"N/A"))))</f>
        <v/>
      </c>
      <c r="AC47" s="574" t="str">
        <f>IF($L47="","",IF(LOG_ST!AG46=1,"OK",IF(LOG_ST!AG46=2,"NR",IF(OR(LOG_ST!AG46=0,LOG_ST!AG46="X"),"N/A"))))</f>
        <v/>
      </c>
      <c r="AD47" s="574" t="str">
        <f>IF($L47="","",IF(OR(LOG_ST!AH46=0,LOG_ST!AH46="X"),"N/A",LOG_ST!AH46))</f>
        <v/>
      </c>
      <c r="AE47" s="574" t="str">
        <f>IF($L47="","",IF(LOG_ST!AI46=1,"OK",IF(LOG_ST!AI46=2,"NR",IF(OR(LOG_ST!AI46=0,LOG_ST!AI46="X"),"N/A"))))</f>
        <v/>
      </c>
      <c r="AF47" s="574" t="str">
        <f>IF($L47="","",IF(LOG_ST!AJ46=1,"OK",IF(LOG_ST!AJ46=2,"NR",IF(OR(LOG_ST!AJ46=0,LOG_ST!AJ46="X"),"N/A"))))</f>
        <v/>
      </c>
      <c r="AG47" s="574" t="str">
        <f>IF($L47="","",IF(LOG_ST!AK46=1,"OK",IF(LOG_ST!AK46=2,"NR",IF(OR(LOG_ST!AK46=0,LOG_ST!AK46="X"),"N/A"))))</f>
        <v/>
      </c>
      <c r="AH47" s="574" t="str">
        <f>IF($L47="","",IF(LOG_ST!AL46=1,"OK",IF(LOG_ST!AL46=2,"NR",IF(OR(LOG_ST!AL46=0,LOG_ST!AL46="X"),"N/A"))))</f>
        <v/>
      </c>
      <c r="AI47" s="574" t="str">
        <f>IF($L47="","",IF(LOG_ST!AM46=1,"OK",IF(LOG_ST!AM46=2,"NR",IF(OR(LOG_ST!AM46=0,LOG_ST!AM46="X"),"N/A"))))</f>
        <v/>
      </c>
      <c r="AJ47" s="574" t="str">
        <f>IF($L47="","",IF(LOG_ST!AN46=1,"OK",IF(LOG_ST!AN46=2,"NR",IF(OR(LOG_ST!AN46=0,LOG_ST!AN46="X"),"N/A"))))</f>
        <v/>
      </c>
      <c r="AK47" s="574" t="str">
        <f>IF($L47="","",IF(LOG_ST!AO46=1,"OK",IF(LOG_ST!AO46=2,"NR",IF(OR(LOG_ST!AO46=0,LOG_ST!AO46="X"),"N/A"))))</f>
        <v/>
      </c>
      <c r="AL47" s="574" t="str">
        <f>IF($L47="","",IF(LOG_ST!AP46=1,"OK",IF(LOG_ST!AP46=2,"NR",IF(OR(LOG_ST!AP46=0,LOG_ST!AP46="X"),"N/A"))))</f>
        <v/>
      </c>
      <c r="AM47" s="574" t="str">
        <f>IF($L47="","",IF(LOG_ST!AQ46=1,"OK",IF(LOG_ST!AQ46=2,"NR",IF(OR(LOG_ST!AQ46=0,LOG_ST!AQ46="X"),"N/A"))))</f>
        <v/>
      </c>
      <c r="AN47" s="550" t="str">
        <f t="shared" si="0"/>
        <v/>
      </c>
    </row>
    <row r="48" spans="2:40" x14ac:dyDescent="0.25">
      <c r="B48" s="551" t="str">
        <f>IF(LOG_ST!F47="","",VLOOKUP(LOG_ST!F47,DATA_BASE!$A$46:$C$57,2,FALSE))</f>
        <v/>
      </c>
      <c r="C48" s="570" t="str">
        <f>IF(LOG_ST!G47="","",VLOOKUP(LOG_ST!G47,DATA_HDG,2,FALSE))</f>
        <v/>
      </c>
      <c r="D48" s="571" t="str">
        <f>IF(LOG_ST!H47="","",LOG_ST!H47)</f>
        <v/>
      </c>
      <c r="E48" s="570" t="str">
        <f>IF(LOG_ST!I47="","",VLOOKUP(LOG_ST!I47,DATA_COP,2,FALSE))</f>
        <v/>
      </c>
      <c r="F48" s="573" t="str">
        <f>IF(LOG_ST!J47="","",LOG_ST!J47)</f>
        <v/>
      </c>
      <c r="G48" s="570" t="str">
        <f>IF(LOG_ST!K47="","",VLOOKUP(LOG_ST!K47,DATA_SCIES,2,FALSE))</f>
        <v/>
      </c>
      <c r="H48" s="570" t="str">
        <f>IF(LOG_ST!L47="","",VLOOKUP(LOG_ST!L47,DATA_ST!$U$7:$V$64,2,FALSE))</f>
        <v/>
      </c>
      <c r="I48" s="570" t="str">
        <f>IF(LOG_ST!M47="","",LOG_ST!M47)</f>
        <v/>
      </c>
      <c r="J48" s="570" t="str">
        <f>IF(LOG_ST!N47="","",LOG_ST!N47)</f>
        <v/>
      </c>
      <c r="K48" s="573" t="str">
        <f>IF(LOG_ST!O47="","",LOG_ST!O47)</f>
        <v/>
      </c>
      <c r="L48" s="573" t="str">
        <f>IF(LOG_ST!P47="","",LOG_ST!P47)</f>
        <v/>
      </c>
      <c r="M48" s="574" t="str">
        <f>IF($L48="","",IF(LOG_ST!Q47=1,"OK",IF(LOG_ST!Q47=2,"NR",IF(OR(LOG_ST!Q47=0,LOG_ST!Q47="X"),"N/A"))))</f>
        <v/>
      </c>
      <c r="N48" s="574" t="str">
        <f>IF($L48="","",IF(LOG_ST!R47=1,"OK",IF(LOG_ST!R47=2,"NR",IF(OR(LOG_ST!R47=0,LOG_ST!R47="X"),"N/A"))))</f>
        <v/>
      </c>
      <c r="O48" s="574" t="str">
        <f>IF($L48="","",IF(LOG_ST!S47=1,"OK",IF(LOG_ST!S47=2,"NR",IF(OR(LOG_ST!S47=0,LOG_ST!S47="X"),"N/A"))))</f>
        <v/>
      </c>
      <c r="P48" s="574" t="str">
        <f>IF($L48="","",IF(LOG_ST!T47=1,"OK",IF(LOG_ST!T47=2,"NR",IF(OR(LOG_ST!T47=0,LOG_ST!T47="X"),"N/A"))))</f>
        <v/>
      </c>
      <c r="Q48" s="574" t="str">
        <f>IF($L48="","",IF(LOG_ST!U47=1,"OK",IF(LOG_ST!U47=2,"NR",IF(OR(LOG_ST!U47=0,LOG_ST!U47="X"),"N/A"))))</f>
        <v/>
      </c>
      <c r="R48" s="574" t="str">
        <f>IF($L48="","",IF(LOG_ST!V47=1,"OK",IF(LOG_ST!V47=2,"NR",IF(OR(LOG_ST!V47=0,LOG_ST!V47="X"),"N/A"))))</f>
        <v/>
      </c>
      <c r="S48" s="574" t="str">
        <f>IF($L48="","",IF(LOG_ST!W47=1,"OK",IF(LOG_ST!W47=2,"NR",IF(OR(LOG_ST!W47=0,LOG_ST!W47="X"),"N/A"))))</f>
        <v/>
      </c>
      <c r="T48" s="574" t="str">
        <f>IF($L48="","",IF(LOG_ST!X47=1,"OK",IF(LOG_ST!X47=2,"NR",IF(OR(LOG_ST!X47=0,LOG_ST!X47="X"),"N/A"))))</f>
        <v/>
      </c>
      <c r="U48" s="574" t="str">
        <f>IF($L48="","",IF(LOG_ST!Y47=1,"OK",IF(LOG_ST!Y47=2,"NR",IF(OR(LOG_ST!Y47=0,LOG_ST!Y47="X"),"N/A"))))</f>
        <v/>
      </c>
      <c r="V48" s="574" t="str">
        <f>IF($L48="","",IF(LOG_ST!Z47=1,"OK",IF(LOG_ST!Z47=2,"NR",IF(OR(LOG_ST!Z47=0,LOG_ST!Z47="X"),"N/A"))))</f>
        <v/>
      </c>
      <c r="W48" s="574" t="str">
        <f>IF($L48="","",IF(LOG_ST!AA47=1,"OK",IF(LOG_ST!AA47=2,"NR",IF(OR(LOG_ST!AA47=0,LOG_ST!AA47="X"),"N/A"))))</f>
        <v/>
      </c>
      <c r="X48" s="574" t="str">
        <f>IF($L48="","",IF(LOG_ST!AB47=1,"OK",IF(LOG_ST!AB47=2,"NR",IF(OR(LOG_ST!AB47=0,LOG_ST!AB47="X"),"N/A"))))</f>
        <v/>
      </c>
      <c r="Y48" s="574" t="str">
        <f>IF($L48="","",IF(LOG_ST!AC47=1,"OK",IF(LOG_ST!AC47=2,"NR",IF(OR(LOG_ST!AC47=0,LOG_ST!AC47="X"),"N/A"))))</f>
        <v/>
      </c>
      <c r="Z48" s="574" t="str">
        <f>IF($L48="","",IF(OR(LOG_ST!AD47=0,LOG_ST!AD47="X"),"N/A",LOG_ST!AD47))</f>
        <v/>
      </c>
      <c r="AA48" s="574" t="str">
        <f>IF($L48="","",IF(LOG_ST!AE47=1,"OK",IF(LOG_ST!AE47=2,"NR",IF(OR(LOG_ST!AE47=0,LOG_ST!AE47="X"),"N/A"))))</f>
        <v/>
      </c>
      <c r="AB48" s="574" t="str">
        <f>IF($L48="","",IF(LOG_ST!AF47=1,"OK",IF(LOG_ST!AF47=2,"NR",IF(OR(LOG_ST!AF47=0,LOG_ST!AF47="X"),"N/A"))))</f>
        <v/>
      </c>
      <c r="AC48" s="574" t="str">
        <f>IF($L48="","",IF(LOG_ST!AG47=1,"OK",IF(LOG_ST!AG47=2,"NR",IF(OR(LOG_ST!AG47=0,LOG_ST!AG47="X"),"N/A"))))</f>
        <v/>
      </c>
      <c r="AD48" s="574" t="str">
        <f>IF($L48="","",IF(OR(LOG_ST!AH47=0,LOG_ST!AH47="X"),"N/A",LOG_ST!AH47))</f>
        <v/>
      </c>
      <c r="AE48" s="574" t="str">
        <f>IF($L48="","",IF(LOG_ST!AI47=1,"OK",IF(LOG_ST!AI47=2,"NR",IF(OR(LOG_ST!AI47=0,LOG_ST!AI47="X"),"N/A"))))</f>
        <v/>
      </c>
      <c r="AF48" s="574" t="str">
        <f>IF($L48="","",IF(LOG_ST!AJ47=1,"OK",IF(LOG_ST!AJ47=2,"NR",IF(OR(LOG_ST!AJ47=0,LOG_ST!AJ47="X"),"N/A"))))</f>
        <v/>
      </c>
      <c r="AG48" s="574" t="str">
        <f>IF($L48="","",IF(LOG_ST!AK47=1,"OK",IF(LOG_ST!AK47=2,"NR",IF(OR(LOG_ST!AK47=0,LOG_ST!AK47="X"),"N/A"))))</f>
        <v/>
      </c>
      <c r="AH48" s="574" t="str">
        <f>IF($L48="","",IF(LOG_ST!AL47=1,"OK",IF(LOG_ST!AL47=2,"NR",IF(OR(LOG_ST!AL47=0,LOG_ST!AL47="X"),"N/A"))))</f>
        <v/>
      </c>
      <c r="AI48" s="574" t="str">
        <f>IF($L48="","",IF(LOG_ST!AM47=1,"OK",IF(LOG_ST!AM47=2,"NR",IF(OR(LOG_ST!AM47=0,LOG_ST!AM47="X"),"N/A"))))</f>
        <v/>
      </c>
      <c r="AJ48" s="574" t="str">
        <f>IF($L48="","",IF(LOG_ST!AN47=1,"OK",IF(LOG_ST!AN47=2,"NR",IF(OR(LOG_ST!AN47=0,LOG_ST!AN47="X"),"N/A"))))</f>
        <v/>
      </c>
      <c r="AK48" s="574" t="str">
        <f>IF($L48="","",IF(LOG_ST!AO47=1,"OK",IF(LOG_ST!AO47=2,"NR",IF(OR(LOG_ST!AO47=0,LOG_ST!AO47="X"),"N/A"))))</f>
        <v/>
      </c>
      <c r="AL48" s="574" t="str">
        <f>IF($L48="","",IF(LOG_ST!AP47=1,"OK",IF(LOG_ST!AP47=2,"NR",IF(OR(LOG_ST!AP47=0,LOG_ST!AP47="X"),"N/A"))))</f>
        <v/>
      </c>
      <c r="AM48" s="574" t="str">
        <f>IF($L48="","",IF(LOG_ST!AQ47=1,"OK",IF(LOG_ST!AQ47=2,"NR",IF(OR(LOG_ST!AQ47=0,LOG_ST!AQ47="X"),"N/A"))))</f>
        <v/>
      </c>
      <c r="AN48" s="550" t="str">
        <f t="shared" si="0"/>
        <v/>
      </c>
    </row>
    <row r="49" spans="2:40" x14ac:dyDescent="0.25">
      <c r="B49" s="551" t="str">
        <f>IF(LOG_ST!F48="","",VLOOKUP(LOG_ST!F48,DATA_BASE!$A$46:$C$57,2,FALSE))</f>
        <v/>
      </c>
      <c r="C49" s="570" t="str">
        <f>IF(LOG_ST!G48="","",VLOOKUP(LOG_ST!G48,DATA_HDG,2,FALSE))</f>
        <v/>
      </c>
      <c r="D49" s="571" t="str">
        <f>IF(LOG_ST!H48="","",LOG_ST!H48)</f>
        <v/>
      </c>
      <c r="E49" s="570" t="str">
        <f>IF(LOG_ST!I48="","",VLOOKUP(LOG_ST!I48,DATA_COP,2,FALSE))</f>
        <v/>
      </c>
      <c r="F49" s="573" t="str">
        <f>IF(LOG_ST!J48="","",LOG_ST!J48)</f>
        <v/>
      </c>
      <c r="G49" s="570" t="str">
        <f>IF(LOG_ST!K48="","",VLOOKUP(LOG_ST!K48,DATA_SCIES,2,FALSE))</f>
        <v/>
      </c>
      <c r="H49" s="570" t="str">
        <f>IF(LOG_ST!L48="","",VLOOKUP(LOG_ST!L48,DATA_ST!$U$7:$V$64,2,FALSE))</f>
        <v/>
      </c>
      <c r="I49" s="570" t="str">
        <f>IF(LOG_ST!M48="","",LOG_ST!M48)</f>
        <v/>
      </c>
      <c r="J49" s="570" t="str">
        <f>IF(LOG_ST!N48="","",LOG_ST!N48)</f>
        <v/>
      </c>
      <c r="K49" s="573" t="str">
        <f>IF(LOG_ST!O48="","",LOG_ST!O48)</f>
        <v/>
      </c>
      <c r="L49" s="573" t="str">
        <f>IF(LOG_ST!P48="","",LOG_ST!P48)</f>
        <v/>
      </c>
      <c r="M49" s="574" t="str">
        <f>IF($L49="","",IF(LOG_ST!Q48=1,"OK",IF(LOG_ST!Q48=2,"NR",IF(OR(LOG_ST!Q48=0,LOG_ST!Q48="X"),"N/A"))))</f>
        <v/>
      </c>
      <c r="N49" s="574" t="str">
        <f>IF($L49="","",IF(LOG_ST!R48=1,"OK",IF(LOG_ST!R48=2,"NR",IF(OR(LOG_ST!R48=0,LOG_ST!R48="X"),"N/A"))))</f>
        <v/>
      </c>
      <c r="O49" s="574" t="str">
        <f>IF($L49="","",IF(LOG_ST!S48=1,"OK",IF(LOG_ST!S48=2,"NR",IF(OR(LOG_ST!S48=0,LOG_ST!S48="X"),"N/A"))))</f>
        <v/>
      </c>
      <c r="P49" s="574" t="str">
        <f>IF($L49="","",IF(LOG_ST!T48=1,"OK",IF(LOG_ST!T48=2,"NR",IF(OR(LOG_ST!T48=0,LOG_ST!T48="X"),"N/A"))))</f>
        <v/>
      </c>
      <c r="Q49" s="574" t="str">
        <f>IF($L49="","",IF(LOG_ST!U48=1,"OK",IF(LOG_ST!U48=2,"NR",IF(OR(LOG_ST!U48=0,LOG_ST!U48="X"),"N/A"))))</f>
        <v/>
      </c>
      <c r="R49" s="574" t="str">
        <f>IF($L49="","",IF(LOG_ST!V48=1,"OK",IF(LOG_ST!V48=2,"NR",IF(OR(LOG_ST!V48=0,LOG_ST!V48="X"),"N/A"))))</f>
        <v/>
      </c>
      <c r="S49" s="574" t="str">
        <f>IF($L49="","",IF(LOG_ST!W48=1,"OK",IF(LOG_ST!W48=2,"NR",IF(OR(LOG_ST!W48=0,LOG_ST!W48="X"),"N/A"))))</f>
        <v/>
      </c>
      <c r="T49" s="574" t="str">
        <f>IF($L49="","",IF(LOG_ST!X48=1,"OK",IF(LOG_ST!X48=2,"NR",IF(OR(LOG_ST!X48=0,LOG_ST!X48="X"),"N/A"))))</f>
        <v/>
      </c>
      <c r="U49" s="574" t="str">
        <f>IF($L49="","",IF(LOG_ST!Y48=1,"OK",IF(LOG_ST!Y48=2,"NR",IF(OR(LOG_ST!Y48=0,LOG_ST!Y48="X"),"N/A"))))</f>
        <v/>
      </c>
      <c r="V49" s="574" t="str">
        <f>IF($L49="","",IF(LOG_ST!Z48=1,"OK",IF(LOG_ST!Z48=2,"NR",IF(OR(LOG_ST!Z48=0,LOG_ST!Z48="X"),"N/A"))))</f>
        <v/>
      </c>
      <c r="W49" s="574" t="str">
        <f>IF($L49="","",IF(LOG_ST!AA48=1,"OK",IF(LOG_ST!AA48=2,"NR",IF(OR(LOG_ST!AA48=0,LOG_ST!AA48="X"),"N/A"))))</f>
        <v/>
      </c>
      <c r="X49" s="574" t="str">
        <f>IF($L49="","",IF(LOG_ST!AB48=1,"OK",IF(LOG_ST!AB48=2,"NR",IF(OR(LOG_ST!AB48=0,LOG_ST!AB48="X"),"N/A"))))</f>
        <v/>
      </c>
      <c r="Y49" s="574" t="str">
        <f>IF($L49="","",IF(LOG_ST!AC48=1,"OK",IF(LOG_ST!AC48=2,"NR",IF(OR(LOG_ST!AC48=0,LOG_ST!AC48="X"),"N/A"))))</f>
        <v/>
      </c>
      <c r="Z49" s="574" t="str">
        <f>IF($L49="","",IF(OR(LOG_ST!AD48=0,LOG_ST!AD48="X"),"N/A",LOG_ST!AD48))</f>
        <v/>
      </c>
      <c r="AA49" s="574" t="str">
        <f>IF($L49="","",IF(LOG_ST!AE48=1,"OK",IF(LOG_ST!AE48=2,"NR",IF(OR(LOG_ST!AE48=0,LOG_ST!AE48="X"),"N/A"))))</f>
        <v/>
      </c>
      <c r="AB49" s="574" t="str">
        <f>IF($L49="","",IF(LOG_ST!AF48=1,"OK",IF(LOG_ST!AF48=2,"NR",IF(OR(LOG_ST!AF48=0,LOG_ST!AF48="X"),"N/A"))))</f>
        <v/>
      </c>
      <c r="AC49" s="574" t="str">
        <f>IF($L49="","",IF(LOG_ST!AG48=1,"OK",IF(LOG_ST!AG48=2,"NR",IF(OR(LOG_ST!AG48=0,LOG_ST!AG48="X"),"N/A"))))</f>
        <v/>
      </c>
      <c r="AD49" s="574" t="str">
        <f>IF($L49="","",IF(OR(LOG_ST!AH48=0,LOG_ST!AH48="X"),"N/A",LOG_ST!AH48))</f>
        <v/>
      </c>
      <c r="AE49" s="574" t="str">
        <f>IF($L49="","",IF(LOG_ST!AI48=1,"OK",IF(LOG_ST!AI48=2,"NR",IF(OR(LOG_ST!AI48=0,LOG_ST!AI48="X"),"N/A"))))</f>
        <v/>
      </c>
      <c r="AF49" s="574" t="str">
        <f>IF($L49="","",IF(LOG_ST!AJ48=1,"OK",IF(LOG_ST!AJ48=2,"NR",IF(OR(LOG_ST!AJ48=0,LOG_ST!AJ48="X"),"N/A"))))</f>
        <v/>
      </c>
      <c r="AG49" s="574" t="str">
        <f>IF($L49="","",IF(LOG_ST!AK48=1,"OK",IF(LOG_ST!AK48=2,"NR",IF(OR(LOG_ST!AK48=0,LOG_ST!AK48="X"),"N/A"))))</f>
        <v/>
      </c>
      <c r="AH49" s="574" t="str">
        <f>IF($L49="","",IF(LOG_ST!AL48=1,"OK",IF(LOG_ST!AL48=2,"NR",IF(OR(LOG_ST!AL48=0,LOG_ST!AL48="X"),"N/A"))))</f>
        <v/>
      </c>
      <c r="AI49" s="574" t="str">
        <f>IF($L49="","",IF(LOG_ST!AM48=1,"OK",IF(LOG_ST!AM48=2,"NR",IF(OR(LOG_ST!AM48=0,LOG_ST!AM48="X"),"N/A"))))</f>
        <v/>
      </c>
      <c r="AJ49" s="574" t="str">
        <f>IF($L49="","",IF(LOG_ST!AN48=1,"OK",IF(LOG_ST!AN48=2,"NR",IF(OR(LOG_ST!AN48=0,LOG_ST!AN48="X"),"N/A"))))</f>
        <v/>
      </c>
      <c r="AK49" s="574" t="str">
        <f>IF($L49="","",IF(LOG_ST!AO48=1,"OK",IF(LOG_ST!AO48=2,"NR",IF(OR(LOG_ST!AO48=0,LOG_ST!AO48="X"),"N/A"))))</f>
        <v/>
      </c>
      <c r="AL49" s="574" t="str">
        <f>IF($L49="","",IF(LOG_ST!AP48=1,"OK",IF(LOG_ST!AP48=2,"NR",IF(OR(LOG_ST!AP48=0,LOG_ST!AP48="X"),"N/A"))))</f>
        <v/>
      </c>
      <c r="AM49" s="574" t="str">
        <f>IF($L49="","",IF(LOG_ST!AQ48=1,"OK",IF(LOG_ST!AQ48=2,"NR",IF(OR(LOG_ST!AQ48=0,LOG_ST!AQ48="X"),"N/A"))))</f>
        <v/>
      </c>
      <c r="AN49" s="550" t="str">
        <f t="shared" si="0"/>
        <v/>
      </c>
    </row>
    <row r="50" spans="2:40" x14ac:dyDescent="0.25">
      <c r="B50" s="551" t="str">
        <f>IF(LOG_ST!F49="","",VLOOKUP(LOG_ST!F49,DATA_BASE!$A$46:$C$57,2,FALSE))</f>
        <v/>
      </c>
      <c r="C50" s="570" t="str">
        <f>IF(LOG_ST!G49="","",VLOOKUP(LOG_ST!G49,DATA_HDG,2,FALSE))</f>
        <v/>
      </c>
      <c r="D50" s="571" t="str">
        <f>IF(LOG_ST!H49="","",LOG_ST!H49)</f>
        <v/>
      </c>
      <c r="E50" s="570" t="str">
        <f>IF(LOG_ST!I49="","",VLOOKUP(LOG_ST!I49,DATA_COP,2,FALSE))</f>
        <v/>
      </c>
      <c r="F50" s="573" t="str">
        <f>IF(LOG_ST!J49="","",LOG_ST!J49)</f>
        <v/>
      </c>
      <c r="G50" s="570" t="str">
        <f>IF(LOG_ST!K49="","",VLOOKUP(LOG_ST!K49,DATA_SCIES,2,FALSE))</f>
        <v/>
      </c>
      <c r="H50" s="570" t="str">
        <f>IF(LOG_ST!L49="","",VLOOKUP(LOG_ST!L49,DATA_ST!$U$7:$V$64,2,FALSE))</f>
        <v/>
      </c>
      <c r="I50" s="570" t="str">
        <f>IF(LOG_ST!M49="","",LOG_ST!M49)</f>
        <v/>
      </c>
      <c r="J50" s="570" t="str">
        <f>IF(LOG_ST!N49="","",LOG_ST!N49)</f>
        <v/>
      </c>
      <c r="K50" s="573" t="str">
        <f>IF(LOG_ST!O49="","",LOG_ST!O49)</f>
        <v/>
      </c>
      <c r="L50" s="573" t="str">
        <f>IF(LOG_ST!P49="","",LOG_ST!P49)</f>
        <v/>
      </c>
      <c r="M50" s="574" t="str">
        <f>IF($L50="","",IF(LOG_ST!Q49=1,"OK",IF(LOG_ST!Q49=2,"NR",IF(OR(LOG_ST!Q49=0,LOG_ST!Q49="X"),"N/A"))))</f>
        <v/>
      </c>
      <c r="N50" s="574" t="str">
        <f>IF($L50="","",IF(LOG_ST!R49=1,"OK",IF(LOG_ST!R49=2,"NR",IF(OR(LOG_ST!R49=0,LOG_ST!R49="X"),"N/A"))))</f>
        <v/>
      </c>
      <c r="O50" s="574" t="str">
        <f>IF($L50="","",IF(LOG_ST!S49=1,"OK",IF(LOG_ST!S49=2,"NR",IF(OR(LOG_ST!S49=0,LOG_ST!S49="X"),"N/A"))))</f>
        <v/>
      </c>
      <c r="P50" s="574" t="str">
        <f>IF($L50="","",IF(LOG_ST!T49=1,"OK",IF(LOG_ST!T49=2,"NR",IF(OR(LOG_ST!T49=0,LOG_ST!T49="X"),"N/A"))))</f>
        <v/>
      </c>
      <c r="Q50" s="574" t="str">
        <f>IF($L50="","",IF(LOG_ST!U49=1,"OK",IF(LOG_ST!U49=2,"NR",IF(OR(LOG_ST!U49=0,LOG_ST!U49="X"),"N/A"))))</f>
        <v/>
      </c>
      <c r="R50" s="574" t="str">
        <f>IF($L50="","",IF(LOG_ST!V49=1,"OK",IF(LOG_ST!V49=2,"NR",IF(OR(LOG_ST!V49=0,LOG_ST!V49="X"),"N/A"))))</f>
        <v/>
      </c>
      <c r="S50" s="574" t="str">
        <f>IF($L50="","",IF(LOG_ST!W49=1,"OK",IF(LOG_ST!W49=2,"NR",IF(OR(LOG_ST!W49=0,LOG_ST!W49="X"),"N/A"))))</f>
        <v/>
      </c>
      <c r="T50" s="574" t="str">
        <f>IF($L50="","",IF(LOG_ST!X49=1,"OK",IF(LOG_ST!X49=2,"NR",IF(OR(LOG_ST!X49=0,LOG_ST!X49="X"),"N/A"))))</f>
        <v/>
      </c>
      <c r="U50" s="574" t="str">
        <f>IF($L50="","",IF(LOG_ST!Y49=1,"OK",IF(LOG_ST!Y49=2,"NR",IF(OR(LOG_ST!Y49=0,LOG_ST!Y49="X"),"N/A"))))</f>
        <v/>
      </c>
      <c r="V50" s="574" t="str">
        <f>IF($L50="","",IF(LOG_ST!Z49=1,"OK",IF(LOG_ST!Z49=2,"NR",IF(OR(LOG_ST!Z49=0,LOG_ST!Z49="X"),"N/A"))))</f>
        <v/>
      </c>
      <c r="W50" s="574" t="str">
        <f>IF($L50="","",IF(LOG_ST!AA49=1,"OK",IF(LOG_ST!AA49=2,"NR",IF(OR(LOG_ST!AA49=0,LOG_ST!AA49="X"),"N/A"))))</f>
        <v/>
      </c>
      <c r="X50" s="574" t="str">
        <f>IF($L50="","",IF(LOG_ST!AB49=1,"OK",IF(LOG_ST!AB49=2,"NR",IF(OR(LOG_ST!AB49=0,LOG_ST!AB49="X"),"N/A"))))</f>
        <v/>
      </c>
      <c r="Y50" s="574" t="str">
        <f>IF($L50="","",IF(LOG_ST!AC49=1,"OK",IF(LOG_ST!AC49=2,"NR",IF(OR(LOG_ST!AC49=0,LOG_ST!AC49="X"),"N/A"))))</f>
        <v/>
      </c>
      <c r="Z50" s="574" t="str">
        <f>IF($L50="","",IF(OR(LOG_ST!AD49=0,LOG_ST!AD49="X"),"N/A",LOG_ST!AD49))</f>
        <v/>
      </c>
      <c r="AA50" s="574" t="str">
        <f>IF($L50="","",IF(LOG_ST!AE49=1,"OK",IF(LOG_ST!AE49=2,"NR",IF(OR(LOG_ST!AE49=0,LOG_ST!AE49="X"),"N/A"))))</f>
        <v/>
      </c>
      <c r="AB50" s="574" t="str">
        <f>IF($L50="","",IF(LOG_ST!AF49=1,"OK",IF(LOG_ST!AF49=2,"NR",IF(OR(LOG_ST!AF49=0,LOG_ST!AF49="X"),"N/A"))))</f>
        <v/>
      </c>
      <c r="AC50" s="574" t="str">
        <f>IF($L50="","",IF(LOG_ST!AG49=1,"OK",IF(LOG_ST!AG49=2,"NR",IF(OR(LOG_ST!AG49=0,LOG_ST!AG49="X"),"N/A"))))</f>
        <v/>
      </c>
      <c r="AD50" s="574" t="str">
        <f>IF($L50="","",IF(OR(LOG_ST!AH49=0,LOG_ST!AH49="X"),"N/A",LOG_ST!AH49))</f>
        <v/>
      </c>
      <c r="AE50" s="574" t="str">
        <f>IF($L50="","",IF(LOG_ST!AI49=1,"OK",IF(LOG_ST!AI49=2,"NR",IF(OR(LOG_ST!AI49=0,LOG_ST!AI49="X"),"N/A"))))</f>
        <v/>
      </c>
      <c r="AF50" s="574" t="str">
        <f>IF($L50="","",IF(LOG_ST!AJ49=1,"OK",IF(LOG_ST!AJ49=2,"NR",IF(OR(LOG_ST!AJ49=0,LOG_ST!AJ49="X"),"N/A"))))</f>
        <v/>
      </c>
      <c r="AG50" s="574" t="str">
        <f>IF($L50="","",IF(LOG_ST!AK49=1,"OK",IF(LOG_ST!AK49=2,"NR",IF(OR(LOG_ST!AK49=0,LOG_ST!AK49="X"),"N/A"))))</f>
        <v/>
      </c>
      <c r="AH50" s="574" t="str">
        <f>IF($L50="","",IF(LOG_ST!AL49=1,"OK",IF(LOG_ST!AL49=2,"NR",IF(OR(LOG_ST!AL49=0,LOG_ST!AL49="X"),"N/A"))))</f>
        <v/>
      </c>
      <c r="AI50" s="574" t="str">
        <f>IF($L50="","",IF(LOG_ST!AM49=1,"OK",IF(LOG_ST!AM49=2,"NR",IF(OR(LOG_ST!AM49=0,LOG_ST!AM49="X"),"N/A"))))</f>
        <v/>
      </c>
      <c r="AJ50" s="574" t="str">
        <f>IF($L50="","",IF(LOG_ST!AN49=1,"OK",IF(LOG_ST!AN49=2,"NR",IF(OR(LOG_ST!AN49=0,LOG_ST!AN49="X"),"N/A"))))</f>
        <v/>
      </c>
      <c r="AK50" s="574" t="str">
        <f>IF($L50="","",IF(LOG_ST!AO49=1,"OK",IF(LOG_ST!AO49=2,"NR",IF(OR(LOG_ST!AO49=0,LOG_ST!AO49="X"),"N/A"))))</f>
        <v/>
      </c>
      <c r="AL50" s="574" t="str">
        <f>IF($L50="","",IF(LOG_ST!AP49=1,"OK",IF(LOG_ST!AP49=2,"NR",IF(OR(LOG_ST!AP49=0,LOG_ST!AP49="X"),"N/A"))))</f>
        <v/>
      </c>
      <c r="AM50" s="574" t="str">
        <f>IF($L50="","",IF(LOG_ST!AQ49=1,"OK",IF(LOG_ST!AQ49=2,"NR",IF(OR(LOG_ST!AQ49=0,LOG_ST!AQ49="X"),"N/A"))))</f>
        <v/>
      </c>
      <c r="AN50" s="550" t="str">
        <f t="shared" si="0"/>
        <v/>
      </c>
    </row>
    <row r="51" spans="2:40" x14ac:dyDescent="0.25">
      <c r="B51" s="551" t="str">
        <f>IF(LOG_ST!F50="","",VLOOKUP(LOG_ST!F50,DATA_BASE!$A$46:$C$57,2,FALSE))</f>
        <v/>
      </c>
      <c r="C51" s="570" t="str">
        <f>IF(LOG_ST!G50="","",VLOOKUP(LOG_ST!G50,DATA_HDG,2,FALSE))</f>
        <v/>
      </c>
      <c r="D51" s="571" t="str">
        <f>IF(LOG_ST!H50="","",LOG_ST!H50)</f>
        <v/>
      </c>
      <c r="E51" s="570" t="str">
        <f>IF(LOG_ST!I50="","",VLOOKUP(LOG_ST!I50,DATA_COP,2,FALSE))</f>
        <v/>
      </c>
      <c r="F51" s="573" t="str">
        <f>IF(LOG_ST!J50="","",LOG_ST!J50)</f>
        <v/>
      </c>
      <c r="G51" s="570" t="str">
        <f>IF(LOG_ST!K50="","",VLOOKUP(LOG_ST!K50,DATA_SCIES,2,FALSE))</f>
        <v/>
      </c>
      <c r="H51" s="570" t="str">
        <f>IF(LOG_ST!L50="","",VLOOKUP(LOG_ST!L50,DATA_ST!$U$7:$V$64,2,FALSE))</f>
        <v/>
      </c>
      <c r="I51" s="570" t="str">
        <f>IF(LOG_ST!M50="","",LOG_ST!M50)</f>
        <v/>
      </c>
      <c r="J51" s="570" t="str">
        <f>IF(LOG_ST!N50="","",LOG_ST!N50)</f>
        <v/>
      </c>
      <c r="K51" s="573" t="str">
        <f>IF(LOG_ST!O50="","",LOG_ST!O50)</f>
        <v/>
      </c>
      <c r="L51" s="573" t="str">
        <f>IF(LOG_ST!P50="","",LOG_ST!P50)</f>
        <v/>
      </c>
      <c r="M51" s="574" t="str">
        <f>IF($L51="","",IF(LOG_ST!Q50=1,"OK",IF(LOG_ST!Q50=2,"NR",IF(OR(LOG_ST!Q50=0,LOG_ST!Q50="X"),"N/A"))))</f>
        <v/>
      </c>
      <c r="N51" s="574" t="str">
        <f>IF($L51="","",IF(LOG_ST!R50=1,"OK",IF(LOG_ST!R50=2,"NR",IF(OR(LOG_ST!R50=0,LOG_ST!R50="X"),"N/A"))))</f>
        <v/>
      </c>
      <c r="O51" s="574" t="str">
        <f>IF($L51="","",IF(LOG_ST!S50=1,"OK",IF(LOG_ST!S50=2,"NR",IF(OR(LOG_ST!S50=0,LOG_ST!S50="X"),"N/A"))))</f>
        <v/>
      </c>
      <c r="P51" s="574" t="str">
        <f>IF($L51="","",IF(LOG_ST!T50=1,"OK",IF(LOG_ST!T50=2,"NR",IF(OR(LOG_ST!T50=0,LOG_ST!T50="X"),"N/A"))))</f>
        <v/>
      </c>
      <c r="Q51" s="574" t="str">
        <f>IF($L51="","",IF(LOG_ST!U50=1,"OK",IF(LOG_ST!U50=2,"NR",IF(OR(LOG_ST!U50=0,LOG_ST!U50="X"),"N/A"))))</f>
        <v/>
      </c>
      <c r="R51" s="574" t="str">
        <f>IF($L51="","",IF(LOG_ST!V50=1,"OK",IF(LOG_ST!V50=2,"NR",IF(OR(LOG_ST!V50=0,LOG_ST!V50="X"),"N/A"))))</f>
        <v/>
      </c>
      <c r="S51" s="574" t="str">
        <f>IF($L51="","",IF(LOG_ST!W50=1,"OK",IF(LOG_ST!W50=2,"NR",IF(OR(LOG_ST!W50=0,LOG_ST!W50="X"),"N/A"))))</f>
        <v/>
      </c>
      <c r="T51" s="574" t="str">
        <f>IF($L51="","",IF(LOG_ST!X50=1,"OK",IF(LOG_ST!X50=2,"NR",IF(OR(LOG_ST!X50=0,LOG_ST!X50="X"),"N/A"))))</f>
        <v/>
      </c>
      <c r="U51" s="574" t="str">
        <f>IF($L51="","",IF(LOG_ST!Y50=1,"OK",IF(LOG_ST!Y50=2,"NR",IF(OR(LOG_ST!Y50=0,LOG_ST!Y50="X"),"N/A"))))</f>
        <v/>
      </c>
      <c r="V51" s="574" t="str">
        <f>IF($L51="","",IF(LOG_ST!Z50=1,"OK",IF(LOG_ST!Z50=2,"NR",IF(OR(LOG_ST!Z50=0,LOG_ST!Z50="X"),"N/A"))))</f>
        <v/>
      </c>
      <c r="W51" s="574" t="str">
        <f>IF($L51="","",IF(LOG_ST!AA50=1,"OK",IF(LOG_ST!AA50=2,"NR",IF(OR(LOG_ST!AA50=0,LOG_ST!AA50="X"),"N/A"))))</f>
        <v/>
      </c>
      <c r="X51" s="574" t="str">
        <f>IF($L51="","",IF(LOG_ST!AB50=1,"OK",IF(LOG_ST!AB50=2,"NR",IF(OR(LOG_ST!AB50=0,LOG_ST!AB50="X"),"N/A"))))</f>
        <v/>
      </c>
      <c r="Y51" s="574" t="str">
        <f>IF($L51="","",IF(LOG_ST!AC50=1,"OK",IF(LOG_ST!AC50=2,"NR",IF(OR(LOG_ST!AC50=0,LOG_ST!AC50="X"),"N/A"))))</f>
        <v/>
      </c>
      <c r="Z51" s="574" t="str">
        <f>IF($L51="","",IF(OR(LOG_ST!AD50=0,LOG_ST!AD50="X"),"N/A",LOG_ST!AD50))</f>
        <v/>
      </c>
      <c r="AA51" s="574" t="str">
        <f>IF($L51="","",IF(LOG_ST!AE50=1,"OK",IF(LOG_ST!AE50=2,"NR",IF(OR(LOG_ST!AE50=0,LOG_ST!AE50="X"),"N/A"))))</f>
        <v/>
      </c>
      <c r="AB51" s="574" t="str">
        <f>IF($L51="","",IF(LOG_ST!AF50=1,"OK",IF(LOG_ST!AF50=2,"NR",IF(OR(LOG_ST!AF50=0,LOG_ST!AF50="X"),"N/A"))))</f>
        <v/>
      </c>
      <c r="AC51" s="574" t="str">
        <f>IF($L51="","",IF(LOG_ST!AG50=1,"OK",IF(LOG_ST!AG50=2,"NR",IF(OR(LOG_ST!AG50=0,LOG_ST!AG50="X"),"N/A"))))</f>
        <v/>
      </c>
      <c r="AD51" s="574" t="str">
        <f>IF($L51="","",IF(OR(LOG_ST!AH50=0,LOG_ST!AH50="X"),"N/A",LOG_ST!AH50))</f>
        <v/>
      </c>
      <c r="AE51" s="574" t="str">
        <f>IF($L51="","",IF(LOG_ST!AI50=1,"OK",IF(LOG_ST!AI50=2,"NR",IF(OR(LOG_ST!AI50=0,LOG_ST!AI50="X"),"N/A"))))</f>
        <v/>
      </c>
      <c r="AF51" s="574" t="str">
        <f>IF($L51="","",IF(LOG_ST!AJ50=1,"OK",IF(LOG_ST!AJ50=2,"NR",IF(OR(LOG_ST!AJ50=0,LOG_ST!AJ50="X"),"N/A"))))</f>
        <v/>
      </c>
      <c r="AG51" s="574" t="str">
        <f>IF($L51="","",IF(LOG_ST!AK50=1,"OK",IF(LOG_ST!AK50=2,"NR",IF(OR(LOG_ST!AK50=0,LOG_ST!AK50="X"),"N/A"))))</f>
        <v/>
      </c>
      <c r="AH51" s="574" t="str">
        <f>IF($L51="","",IF(LOG_ST!AL50=1,"OK",IF(LOG_ST!AL50=2,"NR",IF(OR(LOG_ST!AL50=0,LOG_ST!AL50="X"),"N/A"))))</f>
        <v/>
      </c>
      <c r="AI51" s="574" t="str">
        <f>IF($L51="","",IF(LOG_ST!AM50=1,"OK",IF(LOG_ST!AM50=2,"NR",IF(OR(LOG_ST!AM50=0,LOG_ST!AM50="X"),"N/A"))))</f>
        <v/>
      </c>
      <c r="AJ51" s="574" t="str">
        <f>IF($L51="","",IF(LOG_ST!AN50=1,"OK",IF(LOG_ST!AN50=2,"NR",IF(OR(LOG_ST!AN50=0,LOG_ST!AN50="X"),"N/A"))))</f>
        <v/>
      </c>
      <c r="AK51" s="574" t="str">
        <f>IF($L51="","",IF(LOG_ST!AO50=1,"OK",IF(LOG_ST!AO50=2,"NR",IF(OR(LOG_ST!AO50=0,LOG_ST!AO50="X"),"N/A"))))</f>
        <v/>
      </c>
      <c r="AL51" s="574" t="str">
        <f>IF($L51="","",IF(LOG_ST!AP50=1,"OK",IF(LOG_ST!AP50=2,"NR",IF(OR(LOG_ST!AP50=0,LOG_ST!AP50="X"),"N/A"))))</f>
        <v/>
      </c>
      <c r="AM51" s="574" t="str">
        <f>IF($L51="","",IF(LOG_ST!AQ50=1,"OK",IF(LOG_ST!AQ50=2,"NR",IF(OR(LOG_ST!AQ50=0,LOG_ST!AQ50="X"),"N/A"))))</f>
        <v/>
      </c>
      <c r="AN51" s="550" t="str">
        <f t="shared" si="0"/>
        <v/>
      </c>
    </row>
    <row r="52" spans="2:40" x14ac:dyDescent="0.25">
      <c r="B52" s="551" t="str">
        <f>IF(LOG_ST!F51="","",VLOOKUP(LOG_ST!F51,DATA_BASE!$A$46:$C$57,2,FALSE))</f>
        <v/>
      </c>
      <c r="C52" s="570" t="str">
        <f>IF(LOG_ST!G51="","",VLOOKUP(LOG_ST!G51,DATA_HDG,2,FALSE))</f>
        <v/>
      </c>
      <c r="D52" s="571" t="str">
        <f>IF(LOG_ST!H51="","",LOG_ST!H51)</f>
        <v/>
      </c>
      <c r="E52" s="570" t="str">
        <f>IF(LOG_ST!I51="","",VLOOKUP(LOG_ST!I51,DATA_COP,2,FALSE))</f>
        <v/>
      </c>
      <c r="F52" s="573" t="str">
        <f>IF(LOG_ST!J51="","",LOG_ST!J51)</f>
        <v/>
      </c>
      <c r="G52" s="570" t="str">
        <f>IF(LOG_ST!K51="","",VLOOKUP(LOG_ST!K51,DATA_SCIES,2,FALSE))</f>
        <v/>
      </c>
      <c r="H52" s="570" t="str">
        <f>IF(LOG_ST!L51="","",VLOOKUP(LOG_ST!L51,DATA_ST!$U$7:$V$64,2,FALSE))</f>
        <v/>
      </c>
      <c r="I52" s="570" t="str">
        <f>IF(LOG_ST!M51="","",LOG_ST!M51)</f>
        <v/>
      </c>
      <c r="J52" s="570" t="str">
        <f>IF(LOG_ST!N51="","",LOG_ST!N51)</f>
        <v/>
      </c>
      <c r="K52" s="573" t="str">
        <f>IF(LOG_ST!O51="","",LOG_ST!O51)</f>
        <v/>
      </c>
      <c r="L52" s="573" t="str">
        <f>IF(LOG_ST!P51="","",LOG_ST!P51)</f>
        <v/>
      </c>
      <c r="M52" s="574" t="str">
        <f>IF($L52="","",IF(LOG_ST!Q51=1,"OK",IF(LOG_ST!Q51=2,"NR",IF(OR(LOG_ST!Q51=0,LOG_ST!Q51="X"),"N/A"))))</f>
        <v/>
      </c>
      <c r="N52" s="574" t="str">
        <f>IF($L52="","",IF(LOG_ST!R51=1,"OK",IF(LOG_ST!R51=2,"NR",IF(OR(LOG_ST!R51=0,LOG_ST!R51="X"),"N/A"))))</f>
        <v/>
      </c>
      <c r="O52" s="574" t="str">
        <f>IF($L52="","",IF(LOG_ST!S51=1,"OK",IF(LOG_ST!S51=2,"NR",IF(OR(LOG_ST!S51=0,LOG_ST!S51="X"),"N/A"))))</f>
        <v/>
      </c>
      <c r="P52" s="574" t="str">
        <f>IF($L52="","",IF(LOG_ST!T51=1,"OK",IF(LOG_ST!T51=2,"NR",IF(OR(LOG_ST!T51=0,LOG_ST!T51="X"),"N/A"))))</f>
        <v/>
      </c>
      <c r="Q52" s="574" t="str">
        <f>IF($L52="","",IF(LOG_ST!U51=1,"OK",IF(LOG_ST!U51=2,"NR",IF(OR(LOG_ST!U51=0,LOG_ST!U51="X"),"N/A"))))</f>
        <v/>
      </c>
      <c r="R52" s="574" t="str">
        <f>IF($L52="","",IF(LOG_ST!V51=1,"OK",IF(LOG_ST!V51=2,"NR",IF(OR(LOG_ST!V51=0,LOG_ST!V51="X"),"N/A"))))</f>
        <v/>
      </c>
      <c r="S52" s="574" t="str">
        <f>IF($L52="","",IF(LOG_ST!W51=1,"OK",IF(LOG_ST!W51=2,"NR",IF(OR(LOG_ST!W51=0,LOG_ST!W51="X"),"N/A"))))</f>
        <v/>
      </c>
      <c r="T52" s="574" t="str">
        <f>IF($L52="","",IF(LOG_ST!X51=1,"OK",IF(LOG_ST!X51=2,"NR",IF(OR(LOG_ST!X51=0,LOG_ST!X51="X"),"N/A"))))</f>
        <v/>
      </c>
      <c r="U52" s="574" t="str">
        <f>IF($L52="","",IF(LOG_ST!Y51=1,"OK",IF(LOG_ST!Y51=2,"NR",IF(OR(LOG_ST!Y51=0,LOG_ST!Y51="X"),"N/A"))))</f>
        <v/>
      </c>
      <c r="V52" s="574" t="str">
        <f>IF($L52="","",IF(LOG_ST!Z51=1,"OK",IF(LOG_ST!Z51=2,"NR",IF(OR(LOG_ST!Z51=0,LOG_ST!Z51="X"),"N/A"))))</f>
        <v/>
      </c>
      <c r="W52" s="574" t="str">
        <f>IF($L52="","",IF(LOG_ST!AA51=1,"OK",IF(LOG_ST!AA51=2,"NR",IF(OR(LOG_ST!AA51=0,LOG_ST!AA51="X"),"N/A"))))</f>
        <v/>
      </c>
      <c r="X52" s="574" t="str">
        <f>IF($L52="","",IF(LOG_ST!AB51=1,"OK",IF(LOG_ST!AB51=2,"NR",IF(OR(LOG_ST!AB51=0,LOG_ST!AB51="X"),"N/A"))))</f>
        <v/>
      </c>
      <c r="Y52" s="574" t="str">
        <f>IF($L52="","",IF(LOG_ST!AC51=1,"OK",IF(LOG_ST!AC51=2,"NR",IF(OR(LOG_ST!AC51=0,LOG_ST!AC51="X"),"N/A"))))</f>
        <v/>
      </c>
      <c r="Z52" s="574" t="str">
        <f>IF($L52="","",IF(OR(LOG_ST!AD51=0,LOG_ST!AD51="X"),"N/A",LOG_ST!AD51))</f>
        <v/>
      </c>
      <c r="AA52" s="574" t="str">
        <f>IF($L52="","",IF(LOG_ST!AE51=1,"OK",IF(LOG_ST!AE51=2,"NR",IF(OR(LOG_ST!AE51=0,LOG_ST!AE51="X"),"N/A"))))</f>
        <v/>
      </c>
      <c r="AB52" s="574" t="str">
        <f>IF($L52="","",IF(LOG_ST!AF51=1,"OK",IF(LOG_ST!AF51=2,"NR",IF(OR(LOG_ST!AF51=0,LOG_ST!AF51="X"),"N/A"))))</f>
        <v/>
      </c>
      <c r="AC52" s="574" t="str">
        <f>IF($L52="","",IF(LOG_ST!AG51=1,"OK",IF(LOG_ST!AG51=2,"NR",IF(OR(LOG_ST!AG51=0,LOG_ST!AG51="X"),"N/A"))))</f>
        <v/>
      </c>
      <c r="AD52" s="574" t="str">
        <f>IF($L52="","",IF(OR(LOG_ST!AH51=0,LOG_ST!AH51="X"),"N/A",LOG_ST!AH51))</f>
        <v/>
      </c>
      <c r="AE52" s="574" t="str">
        <f>IF($L52="","",IF(LOG_ST!AI51=1,"OK",IF(LOG_ST!AI51=2,"NR",IF(OR(LOG_ST!AI51=0,LOG_ST!AI51="X"),"N/A"))))</f>
        <v/>
      </c>
      <c r="AF52" s="574" t="str">
        <f>IF($L52="","",IF(LOG_ST!AJ51=1,"OK",IF(LOG_ST!AJ51=2,"NR",IF(OR(LOG_ST!AJ51=0,LOG_ST!AJ51="X"),"N/A"))))</f>
        <v/>
      </c>
      <c r="AG52" s="574" t="str">
        <f>IF($L52="","",IF(LOG_ST!AK51=1,"OK",IF(LOG_ST!AK51=2,"NR",IF(OR(LOG_ST!AK51=0,LOG_ST!AK51="X"),"N/A"))))</f>
        <v/>
      </c>
      <c r="AH52" s="574" t="str">
        <f>IF($L52="","",IF(LOG_ST!AL51=1,"OK",IF(LOG_ST!AL51=2,"NR",IF(OR(LOG_ST!AL51=0,LOG_ST!AL51="X"),"N/A"))))</f>
        <v/>
      </c>
      <c r="AI52" s="574" t="str">
        <f>IF($L52="","",IF(LOG_ST!AM51=1,"OK",IF(LOG_ST!AM51=2,"NR",IF(OR(LOG_ST!AM51=0,LOG_ST!AM51="X"),"N/A"))))</f>
        <v/>
      </c>
      <c r="AJ52" s="574" t="str">
        <f>IF($L52="","",IF(LOG_ST!AN51=1,"OK",IF(LOG_ST!AN51=2,"NR",IF(OR(LOG_ST!AN51=0,LOG_ST!AN51="X"),"N/A"))))</f>
        <v/>
      </c>
      <c r="AK52" s="574" t="str">
        <f>IF($L52="","",IF(LOG_ST!AO51=1,"OK",IF(LOG_ST!AO51=2,"NR",IF(OR(LOG_ST!AO51=0,LOG_ST!AO51="X"),"N/A"))))</f>
        <v/>
      </c>
      <c r="AL52" s="574" t="str">
        <f>IF($L52="","",IF(LOG_ST!AP51=1,"OK",IF(LOG_ST!AP51=2,"NR",IF(OR(LOG_ST!AP51=0,LOG_ST!AP51="X"),"N/A"))))</f>
        <v/>
      </c>
      <c r="AM52" s="574" t="str">
        <f>IF($L52="","",IF(LOG_ST!AQ51=1,"OK",IF(LOG_ST!AQ51=2,"NR",IF(OR(LOG_ST!AQ51=0,LOG_ST!AQ51="X"),"N/A"))))</f>
        <v/>
      </c>
      <c r="AN52" s="550" t="str">
        <f t="shared" si="0"/>
        <v/>
      </c>
    </row>
    <row r="53" spans="2:40" x14ac:dyDescent="0.25">
      <c r="B53" s="551" t="str">
        <f>IF(LOG_ST!F52="","",VLOOKUP(LOG_ST!F52,DATA_BASE!$A$46:$C$57,2,FALSE))</f>
        <v/>
      </c>
      <c r="C53" s="570" t="str">
        <f>IF(LOG_ST!G52="","",VLOOKUP(LOG_ST!G52,DATA_HDG,2,FALSE))</f>
        <v/>
      </c>
      <c r="D53" s="571" t="str">
        <f>IF(LOG_ST!H52="","",LOG_ST!H52)</f>
        <v/>
      </c>
      <c r="E53" s="570" t="str">
        <f>IF(LOG_ST!I52="","",VLOOKUP(LOG_ST!I52,DATA_COP,2,FALSE))</f>
        <v/>
      </c>
      <c r="F53" s="573" t="str">
        <f>IF(LOG_ST!J52="","",LOG_ST!J52)</f>
        <v/>
      </c>
      <c r="G53" s="570" t="str">
        <f>IF(LOG_ST!K52="","",VLOOKUP(LOG_ST!K52,DATA_SCIES,2,FALSE))</f>
        <v/>
      </c>
      <c r="H53" s="570" t="str">
        <f>IF(LOG_ST!L52="","",VLOOKUP(LOG_ST!L52,DATA_ST!$U$7:$V$64,2,FALSE))</f>
        <v/>
      </c>
      <c r="I53" s="570" t="str">
        <f>IF(LOG_ST!M52="","",LOG_ST!M52)</f>
        <v/>
      </c>
      <c r="J53" s="570" t="str">
        <f>IF(LOG_ST!N52="","",LOG_ST!N52)</f>
        <v/>
      </c>
      <c r="K53" s="573" t="str">
        <f>IF(LOG_ST!O52="","",LOG_ST!O52)</f>
        <v/>
      </c>
      <c r="L53" s="573" t="str">
        <f>IF(LOG_ST!P52="","",LOG_ST!P52)</f>
        <v/>
      </c>
      <c r="M53" s="574" t="str">
        <f>IF($L53="","",IF(LOG_ST!Q52=1,"OK",IF(LOG_ST!Q52=2,"NR",IF(OR(LOG_ST!Q52=0,LOG_ST!Q52="X"),"N/A"))))</f>
        <v/>
      </c>
      <c r="N53" s="574" t="str">
        <f>IF($L53="","",IF(LOG_ST!R52=1,"OK",IF(LOG_ST!R52=2,"NR",IF(OR(LOG_ST!R52=0,LOG_ST!R52="X"),"N/A"))))</f>
        <v/>
      </c>
      <c r="O53" s="574" t="str">
        <f>IF($L53="","",IF(LOG_ST!S52=1,"OK",IF(LOG_ST!S52=2,"NR",IF(OR(LOG_ST!S52=0,LOG_ST!S52="X"),"N/A"))))</f>
        <v/>
      </c>
      <c r="P53" s="574" t="str">
        <f>IF($L53="","",IF(LOG_ST!T52=1,"OK",IF(LOG_ST!T52=2,"NR",IF(OR(LOG_ST!T52=0,LOG_ST!T52="X"),"N/A"))))</f>
        <v/>
      </c>
      <c r="Q53" s="574" t="str">
        <f>IF($L53="","",IF(LOG_ST!U52=1,"OK",IF(LOG_ST!U52=2,"NR",IF(OR(LOG_ST!U52=0,LOG_ST!U52="X"),"N/A"))))</f>
        <v/>
      </c>
      <c r="R53" s="574" t="str">
        <f>IF($L53="","",IF(LOG_ST!V52=1,"OK",IF(LOG_ST!V52=2,"NR",IF(OR(LOG_ST!V52=0,LOG_ST!V52="X"),"N/A"))))</f>
        <v/>
      </c>
      <c r="S53" s="574" t="str">
        <f>IF($L53="","",IF(LOG_ST!W52=1,"OK",IF(LOG_ST!W52=2,"NR",IF(OR(LOG_ST!W52=0,LOG_ST!W52="X"),"N/A"))))</f>
        <v/>
      </c>
      <c r="T53" s="574" t="str">
        <f>IF($L53="","",IF(LOG_ST!X52=1,"OK",IF(LOG_ST!X52=2,"NR",IF(OR(LOG_ST!X52=0,LOG_ST!X52="X"),"N/A"))))</f>
        <v/>
      </c>
      <c r="U53" s="574" t="str">
        <f>IF($L53="","",IF(LOG_ST!Y52=1,"OK",IF(LOG_ST!Y52=2,"NR",IF(OR(LOG_ST!Y52=0,LOG_ST!Y52="X"),"N/A"))))</f>
        <v/>
      </c>
      <c r="V53" s="574" t="str">
        <f>IF($L53="","",IF(LOG_ST!Z52=1,"OK",IF(LOG_ST!Z52=2,"NR",IF(OR(LOG_ST!Z52=0,LOG_ST!Z52="X"),"N/A"))))</f>
        <v/>
      </c>
      <c r="W53" s="574" t="str">
        <f>IF($L53="","",IF(LOG_ST!AA52=1,"OK",IF(LOG_ST!AA52=2,"NR",IF(OR(LOG_ST!AA52=0,LOG_ST!AA52="X"),"N/A"))))</f>
        <v/>
      </c>
      <c r="X53" s="574" t="str">
        <f>IF($L53="","",IF(LOG_ST!AB52=1,"OK",IF(LOG_ST!AB52=2,"NR",IF(OR(LOG_ST!AB52=0,LOG_ST!AB52="X"),"N/A"))))</f>
        <v/>
      </c>
      <c r="Y53" s="574" t="str">
        <f>IF($L53="","",IF(LOG_ST!AC52=1,"OK",IF(LOG_ST!AC52=2,"NR",IF(OR(LOG_ST!AC52=0,LOG_ST!AC52="X"),"N/A"))))</f>
        <v/>
      </c>
      <c r="Z53" s="574" t="str">
        <f>IF($L53="","",IF(OR(LOG_ST!AD52=0,LOG_ST!AD52="X"),"N/A",LOG_ST!AD52))</f>
        <v/>
      </c>
      <c r="AA53" s="574" t="str">
        <f>IF($L53="","",IF(LOG_ST!AE52=1,"OK",IF(LOG_ST!AE52=2,"NR",IF(OR(LOG_ST!AE52=0,LOG_ST!AE52="X"),"N/A"))))</f>
        <v/>
      </c>
      <c r="AB53" s="574" t="str">
        <f>IF($L53="","",IF(LOG_ST!AF52=1,"OK",IF(LOG_ST!AF52=2,"NR",IF(OR(LOG_ST!AF52=0,LOG_ST!AF52="X"),"N/A"))))</f>
        <v/>
      </c>
      <c r="AC53" s="574" t="str">
        <f>IF($L53="","",IF(LOG_ST!AG52=1,"OK",IF(LOG_ST!AG52=2,"NR",IF(OR(LOG_ST!AG52=0,LOG_ST!AG52="X"),"N/A"))))</f>
        <v/>
      </c>
      <c r="AD53" s="574" t="str">
        <f>IF($L53="","",IF(OR(LOG_ST!AH52=0,LOG_ST!AH52="X"),"N/A",LOG_ST!AH52))</f>
        <v/>
      </c>
      <c r="AE53" s="574" t="str">
        <f>IF($L53="","",IF(LOG_ST!AI52=1,"OK",IF(LOG_ST!AI52=2,"NR",IF(OR(LOG_ST!AI52=0,LOG_ST!AI52="X"),"N/A"))))</f>
        <v/>
      </c>
      <c r="AF53" s="574" t="str">
        <f>IF($L53="","",IF(LOG_ST!AJ52=1,"OK",IF(LOG_ST!AJ52=2,"NR",IF(OR(LOG_ST!AJ52=0,LOG_ST!AJ52="X"),"N/A"))))</f>
        <v/>
      </c>
      <c r="AG53" s="574" t="str">
        <f>IF($L53="","",IF(LOG_ST!AK52=1,"OK",IF(LOG_ST!AK52=2,"NR",IF(OR(LOG_ST!AK52=0,LOG_ST!AK52="X"),"N/A"))))</f>
        <v/>
      </c>
      <c r="AH53" s="574" t="str">
        <f>IF($L53="","",IF(LOG_ST!AL52=1,"OK",IF(LOG_ST!AL52=2,"NR",IF(OR(LOG_ST!AL52=0,LOG_ST!AL52="X"),"N/A"))))</f>
        <v/>
      </c>
      <c r="AI53" s="574" t="str">
        <f>IF($L53="","",IF(LOG_ST!AM52=1,"OK",IF(LOG_ST!AM52=2,"NR",IF(OR(LOG_ST!AM52=0,LOG_ST!AM52="X"),"N/A"))))</f>
        <v/>
      </c>
      <c r="AJ53" s="574" t="str">
        <f>IF($L53="","",IF(LOG_ST!AN52=1,"OK",IF(LOG_ST!AN52=2,"NR",IF(OR(LOG_ST!AN52=0,LOG_ST!AN52="X"),"N/A"))))</f>
        <v/>
      </c>
      <c r="AK53" s="574" t="str">
        <f>IF($L53="","",IF(LOG_ST!AO52=1,"OK",IF(LOG_ST!AO52=2,"NR",IF(OR(LOG_ST!AO52=0,LOG_ST!AO52="X"),"N/A"))))</f>
        <v/>
      </c>
      <c r="AL53" s="574" t="str">
        <f>IF($L53="","",IF(LOG_ST!AP52=1,"OK",IF(LOG_ST!AP52=2,"NR",IF(OR(LOG_ST!AP52=0,LOG_ST!AP52="X"),"N/A"))))</f>
        <v/>
      </c>
      <c r="AM53" s="574" t="str">
        <f>IF($L53="","",IF(LOG_ST!AQ52=1,"OK",IF(LOG_ST!AQ52=2,"NR",IF(OR(LOG_ST!AQ52=0,LOG_ST!AQ52="X"),"N/A"))))</f>
        <v/>
      </c>
      <c r="AN53" s="550" t="str">
        <f t="shared" si="0"/>
        <v/>
      </c>
    </row>
    <row r="54" spans="2:40" x14ac:dyDescent="0.25">
      <c r="B54" s="551" t="str">
        <f>IF(LOG_ST!F53="","",VLOOKUP(LOG_ST!F53,DATA_BASE!$A$46:$C$57,2,FALSE))</f>
        <v/>
      </c>
      <c r="C54" s="570" t="str">
        <f>IF(LOG_ST!G53="","",VLOOKUP(LOG_ST!G53,DATA_HDG,2,FALSE))</f>
        <v/>
      </c>
      <c r="D54" s="571" t="str">
        <f>IF(LOG_ST!H53="","",LOG_ST!H53)</f>
        <v/>
      </c>
      <c r="E54" s="570" t="str">
        <f>IF(LOG_ST!I53="","",VLOOKUP(LOG_ST!I53,DATA_COP,2,FALSE))</f>
        <v/>
      </c>
      <c r="F54" s="573" t="str">
        <f>IF(LOG_ST!J53="","",LOG_ST!J53)</f>
        <v/>
      </c>
      <c r="G54" s="570" t="str">
        <f>IF(LOG_ST!K53="","",VLOOKUP(LOG_ST!K53,DATA_SCIES,2,FALSE))</f>
        <v/>
      </c>
      <c r="H54" s="570" t="str">
        <f>IF(LOG_ST!L53="","",VLOOKUP(LOG_ST!L53,DATA_ST!$U$7:$V$64,2,FALSE))</f>
        <v/>
      </c>
      <c r="I54" s="570" t="str">
        <f>IF(LOG_ST!M53="","",LOG_ST!M53)</f>
        <v/>
      </c>
      <c r="J54" s="570" t="str">
        <f>IF(LOG_ST!N53="","",LOG_ST!N53)</f>
        <v/>
      </c>
      <c r="K54" s="573" t="str">
        <f>IF(LOG_ST!O53="","",LOG_ST!O53)</f>
        <v/>
      </c>
      <c r="L54" s="573" t="str">
        <f>IF(LOG_ST!P53="","",LOG_ST!P53)</f>
        <v/>
      </c>
      <c r="M54" s="574" t="str">
        <f>IF($L54="","",IF(LOG_ST!Q53=1,"OK",IF(LOG_ST!Q53=2,"NR",IF(OR(LOG_ST!Q53=0,LOG_ST!Q53="X"),"N/A"))))</f>
        <v/>
      </c>
      <c r="N54" s="574" t="str">
        <f>IF($L54="","",IF(LOG_ST!R53=1,"OK",IF(LOG_ST!R53=2,"NR",IF(OR(LOG_ST!R53=0,LOG_ST!R53="X"),"N/A"))))</f>
        <v/>
      </c>
      <c r="O54" s="574" t="str">
        <f>IF($L54="","",IF(LOG_ST!S53=1,"OK",IF(LOG_ST!S53=2,"NR",IF(OR(LOG_ST!S53=0,LOG_ST!S53="X"),"N/A"))))</f>
        <v/>
      </c>
      <c r="P54" s="574" t="str">
        <f>IF($L54="","",IF(LOG_ST!T53=1,"OK",IF(LOG_ST!T53=2,"NR",IF(OR(LOG_ST!T53=0,LOG_ST!T53="X"),"N/A"))))</f>
        <v/>
      </c>
      <c r="Q54" s="574" t="str">
        <f>IF($L54="","",IF(LOG_ST!U53=1,"OK",IF(LOG_ST!U53=2,"NR",IF(OR(LOG_ST!U53=0,LOG_ST!U53="X"),"N/A"))))</f>
        <v/>
      </c>
      <c r="R54" s="574" t="str">
        <f>IF($L54="","",IF(LOG_ST!V53=1,"OK",IF(LOG_ST!V53=2,"NR",IF(OR(LOG_ST!V53=0,LOG_ST!V53="X"),"N/A"))))</f>
        <v/>
      </c>
      <c r="S54" s="574" t="str">
        <f>IF($L54="","",IF(LOG_ST!W53=1,"OK",IF(LOG_ST!W53=2,"NR",IF(OR(LOG_ST!W53=0,LOG_ST!W53="X"),"N/A"))))</f>
        <v/>
      </c>
      <c r="T54" s="574" t="str">
        <f>IF($L54="","",IF(LOG_ST!X53=1,"OK",IF(LOG_ST!X53=2,"NR",IF(OR(LOG_ST!X53=0,LOG_ST!X53="X"),"N/A"))))</f>
        <v/>
      </c>
      <c r="U54" s="574" t="str">
        <f>IF($L54="","",IF(LOG_ST!Y53=1,"OK",IF(LOG_ST!Y53=2,"NR",IF(OR(LOG_ST!Y53=0,LOG_ST!Y53="X"),"N/A"))))</f>
        <v/>
      </c>
      <c r="V54" s="574" t="str">
        <f>IF($L54="","",IF(LOG_ST!Z53=1,"OK",IF(LOG_ST!Z53=2,"NR",IF(OR(LOG_ST!Z53=0,LOG_ST!Z53="X"),"N/A"))))</f>
        <v/>
      </c>
      <c r="W54" s="574" t="str">
        <f>IF($L54="","",IF(LOG_ST!AA53=1,"OK",IF(LOG_ST!AA53=2,"NR",IF(OR(LOG_ST!AA53=0,LOG_ST!AA53="X"),"N/A"))))</f>
        <v/>
      </c>
      <c r="X54" s="574" t="str">
        <f>IF($L54="","",IF(LOG_ST!AB53=1,"OK",IF(LOG_ST!AB53=2,"NR",IF(OR(LOG_ST!AB53=0,LOG_ST!AB53="X"),"N/A"))))</f>
        <v/>
      </c>
      <c r="Y54" s="574" t="str">
        <f>IF($L54="","",IF(LOG_ST!AC53=1,"OK",IF(LOG_ST!AC53=2,"NR",IF(OR(LOG_ST!AC53=0,LOG_ST!AC53="X"),"N/A"))))</f>
        <v/>
      </c>
      <c r="Z54" s="574" t="str">
        <f>IF($L54="","",IF(OR(LOG_ST!AD53=0,LOG_ST!AD53="X"),"N/A",LOG_ST!AD53))</f>
        <v/>
      </c>
      <c r="AA54" s="574" t="str">
        <f>IF($L54="","",IF(LOG_ST!AE53=1,"OK",IF(LOG_ST!AE53=2,"NR",IF(OR(LOG_ST!AE53=0,LOG_ST!AE53="X"),"N/A"))))</f>
        <v/>
      </c>
      <c r="AB54" s="574" t="str">
        <f>IF($L54="","",IF(LOG_ST!AF53=1,"OK",IF(LOG_ST!AF53=2,"NR",IF(OR(LOG_ST!AF53=0,LOG_ST!AF53="X"),"N/A"))))</f>
        <v/>
      </c>
      <c r="AC54" s="574" t="str">
        <f>IF($L54="","",IF(LOG_ST!AG53=1,"OK",IF(LOG_ST!AG53=2,"NR",IF(OR(LOG_ST!AG53=0,LOG_ST!AG53="X"),"N/A"))))</f>
        <v/>
      </c>
      <c r="AD54" s="574" t="str">
        <f>IF($L54="","",IF(OR(LOG_ST!AH53=0,LOG_ST!AH53="X"),"N/A",LOG_ST!AH53))</f>
        <v/>
      </c>
      <c r="AE54" s="574" t="str">
        <f>IF($L54="","",IF(LOG_ST!AI53=1,"OK",IF(LOG_ST!AI53=2,"NR",IF(OR(LOG_ST!AI53=0,LOG_ST!AI53="X"),"N/A"))))</f>
        <v/>
      </c>
      <c r="AF54" s="574" t="str">
        <f>IF($L54="","",IF(LOG_ST!AJ53=1,"OK",IF(LOG_ST!AJ53=2,"NR",IF(OR(LOG_ST!AJ53=0,LOG_ST!AJ53="X"),"N/A"))))</f>
        <v/>
      </c>
      <c r="AG54" s="574" t="str">
        <f>IF($L54="","",IF(LOG_ST!AK53=1,"OK",IF(LOG_ST!AK53=2,"NR",IF(OR(LOG_ST!AK53=0,LOG_ST!AK53="X"),"N/A"))))</f>
        <v/>
      </c>
      <c r="AH54" s="574" t="str">
        <f>IF($L54="","",IF(LOG_ST!AL53=1,"OK",IF(LOG_ST!AL53=2,"NR",IF(OR(LOG_ST!AL53=0,LOG_ST!AL53="X"),"N/A"))))</f>
        <v/>
      </c>
      <c r="AI54" s="574" t="str">
        <f>IF($L54="","",IF(LOG_ST!AM53=1,"OK",IF(LOG_ST!AM53=2,"NR",IF(OR(LOG_ST!AM53=0,LOG_ST!AM53="X"),"N/A"))))</f>
        <v/>
      </c>
      <c r="AJ54" s="574" t="str">
        <f>IF($L54="","",IF(LOG_ST!AN53=1,"OK",IF(LOG_ST!AN53=2,"NR",IF(OR(LOG_ST!AN53=0,LOG_ST!AN53="X"),"N/A"))))</f>
        <v/>
      </c>
      <c r="AK54" s="574" t="str">
        <f>IF($L54="","",IF(LOG_ST!AO53=1,"OK",IF(LOG_ST!AO53=2,"NR",IF(OR(LOG_ST!AO53=0,LOG_ST!AO53="X"),"N/A"))))</f>
        <v/>
      </c>
      <c r="AL54" s="574" t="str">
        <f>IF($L54="","",IF(LOG_ST!AP53=1,"OK",IF(LOG_ST!AP53=2,"NR",IF(OR(LOG_ST!AP53=0,LOG_ST!AP53="X"),"N/A"))))</f>
        <v/>
      </c>
      <c r="AM54" s="574" t="str">
        <f>IF($L54="","",IF(LOG_ST!AQ53=1,"OK",IF(LOG_ST!AQ53=2,"NR",IF(OR(LOG_ST!AQ53=0,LOG_ST!AQ53="X"),"N/A"))))</f>
        <v/>
      </c>
      <c r="AN54" s="550" t="str">
        <f t="shared" si="0"/>
        <v/>
      </c>
    </row>
    <row r="55" spans="2:40" x14ac:dyDescent="0.25">
      <c r="B55" s="551" t="str">
        <f>IF(LOG_ST!F54="","",VLOOKUP(LOG_ST!F54,DATA_BASE!$A$46:$C$57,2,FALSE))</f>
        <v/>
      </c>
      <c r="C55" s="570" t="str">
        <f>IF(LOG_ST!G54="","",VLOOKUP(LOG_ST!G54,DATA_HDG,2,FALSE))</f>
        <v/>
      </c>
      <c r="D55" s="571" t="str">
        <f>IF(LOG_ST!H54="","",LOG_ST!H54)</f>
        <v/>
      </c>
      <c r="E55" s="570" t="str">
        <f>IF(LOG_ST!I54="","",VLOOKUP(LOG_ST!I54,DATA_COP,2,FALSE))</f>
        <v/>
      </c>
      <c r="F55" s="573" t="str">
        <f>IF(LOG_ST!J54="","",LOG_ST!J54)</f>
        <v/>
      </c>
      <c r="G55" s="570" t="str">
        <f>IF(LOG_ST!K54="","",VLOOKUP(LOG_ST!K54,DATA_SCIES,2,FALSE))</f>
        <v/>
      </c>
      <c r="H55" s="570" t="str">
        <f>IF(LOG_ST!L54="","",VLOOKUP(LOG_ST!L54,DATA_ST!$U$7:$V$64,2,FALSE))</f>
        <v/>
      </c>
      <c r="I55" s="570" t="str">
        <f>IF(LOG_ST!M54="","",LOG_ST!M54)</f>
        <v/>
      </c>
      <c r="J55" s="570" t="str">
        <f>IF(LOG_ST!N54="","",LOG_ST!N54)</f>
        <v/>
      </c>
      <c r="K55" s="573" t="str">
        <f>IF(LOG_ST!O54="","",LOG_ST!O54)</f>
        <v/>
      </c>
      <c r="L55" s="573" t="str">
        <f>IF(LOG_ST!P54="","",LOG_ST!P54)</f>
        <v/>
      </c>
      <c r="M55" s="574" t="str">
        <f>IF($L55="","",IF(LOG_ST!Q54=1,"OK",IF(LOG_ST!Q54=2,"NR",IF(OR(LOG_ST!Q54=0,LOG_ST!Q54="X"),"N/A"))))</f>
        <v/>
      </c>
      <c r="N55" s="574" t="str">
        <f>IF($L55="","",IF(LOG_ST!R54=1,"OK",IF(LOG_ST!R54=2,"NR",IF(OR(LOG_ST!R54=0,LOG_ST!R54="X"),"N/A"))))</f>
        <v/>
      </c>
      <c r="O55" s="574" t="str">
        <f>IF($L55="","",IF(LOG_ST!S54=1,"OK",IF(LOG_ST!S54=2,"NR",IF(OR(LOG_ST!S54=0,LOG_ST!S54="X"),"N/A"))))</f>
        <v/>
      </c>
      <c r="P55" s="574" t="str">
        <f>IF($L55="","",IF(LOG_ST!T54=1,"OK",IF(LOG_ST!T54=2,"NR",IF(OR(LOG_ST!T54=0,LOG_ST!T54="X"),"N/A"))))</f>
        <v/>
      </c>
      <c r="Q55" s="574" t="str">
        <f>IF($L55="","",IF(LOG_ST!U54=1,"OK",IF(LOG_ST!U54=2,"NR",IF(OR(LOG_ST!U54=0,LOG_ST!U54="X"),"N/A"))))</f>
        <v/>
      </c>
      <c r="R55" s="574" t="str">
        <f>IF($L55="","",IF(LOG_ST!V54=1,"OK",IF(LOG_ST!V54=2,"NR",IF(OR(LOG_ST!V54=0,LOG_ST!V54="X"),"N/A"))))</f>
        <v/>
      </c>
      <c r="S55" s="574" t="str">
        <f>IF($L55="","",IF(LOG_ST!W54=1,"OK",IF(LOG_ST!W54=2,"NR",IF(OR(LOG_ST!W54=0,LOG_ST!W54="X"),"N/A"))))</f>
        <v/>
      </c>
      <c r="T55" s="574" t="str">
        <f>IF($L55="","",IF(LOG_ST!X54=1,"OK",IF(LOG_ST!X54=2,"NR",IF(OR(LOG_ST!X54=0,LOG_ST!X54="X"),"N/A"))))</f>
        <v/>
      </c>
      <c r="U55" s="574" t="str">
        <f>IF($L55="","",IF(LOG_ST!Y54=1,"OK",IF(LOG_ST!Y54=2,"NR",IF(OR(LOG_ST!Y54=0,LOG_ST!Y54="X"),"N/A"))))</f>
        <v/>
      </c>
      <c r="V55" s="574" t="str">
        <f>IF($L55="","",IF(LOG_ST!Z54=1,"OK",IF(LOG_ST!Z54=2,"NR",IF(OR(LOG_ST!Z54=0,LOG_ST!Z54="X"),"N/A"))))</f>
        <v/>
      </c>
      <c r="W55" s="574" t="str">
        <f>IF($L55="","",IF(LOG_ST!AA54=1,"OK",IF(LOG_ST!AA54=2,"NR",IF(OR(LOG_ST!AA54=0,LOG_ST!AA54="X"),"N/A"))))</f>
        <v/>
      </c>
      <c r="X55" s="574" t="str">
        <f>IF($L55="","",IF(LOG_ST!AB54=1,"OK",IF(LOG_ST!AB54=2,"NR",IF(OR(LOG_ST!AB54=0,LOG_ST!AB54="X"),"N/A"))))</f>
        <v/>
      </c>
      <c r="Y55" s="574" t="str">
        <f>IF($L55="","",IF(LOG_ST!AC54=1,"OK",IF(LOG_ST!AC54=2,"NR",IF(OR(LOG_ST!AC54=0,LOG_ST!AC54="X"),"N/A"))))</f>
        <v/>
      </c>
      <c r="Z55" s="574" t="str">
        <f>IF($L55="","",IF(OR(LOG_ST!AD54=0,LOG_ST!AD54="X"),"N/A",LOG_ST!AD54))</f>
        <v/>
      </c>
      <c r="AA55" s="574" t="str">
        <f>IF($L55="","",IF(LOG_ST!AE54=1,"OK",IF(LOG_ST!AE54=2,"NR",IF(OR(LOG_ST!AE54=0,LOG_ST!AE54="X"),"N/A"))))</f>
        <v/>
      </c>
      <c r="AB55" s="574" t="str">
        <f>IF($L55="","",IF(LOG_ST!AF54=1,"OK",IF(LOG_ST!AF54=2,"NR",IF(OR(LOG_ST!AF54=0,LOG_ST!AF54="X"),"N/A"))))</f>
        <v/>
      </c>
      <c r="AC55" s="574" t="str">
        <f>IF($L55="","",IF(LOG_ST!AG54=1,"OK",IF(LOG_ST!AG54=2,"NR",IF(OR(LOG_ST!AG54=0,LOG_ST!AG54="X"),"N/A"))))</f>
        <v/>
      </c>
      <c r="AD55" s="574" t="str">
        <f>IF($L55="","",IF(OR(LOG_ST!AH54=0,LOG_ST!AH54="X"),"N/A",LOG_ST!AH54))</f>
        <v/>
      </c>
      <c r="AE55" s="574" t="str">
        <f>IF($L55="","",IF(LOG_ST!AI54=1,"OK",IF(LOG_ST!AI54=2,"NR",IF(OR(LOG_ST!AI54=0,LOG_ST!AI54="X"),"N/A"))))</f>
        <v/>
      </c>
      <c r="AF55" s="574" t="str">
        <f>IF($L55="","",IF(LOG_ST!AJ54=1,"OK",IF(LOG_ST!AJ54=2,"NR",IF(OR(LOG_ST!AJ54=0,LOG_ST!AJ54="X"),"N/A"))))</f>
        <v/>
      </c>
      <c r="AG55" s="574" t="str">
        <f>IF($L55="","",IF(LOG_ST!AK54=1,"OK",IF(LOG_ST!AK54=2,"NR",IF(OR(LOG_ST!AK54=0,LOG_ST!AK54="X"),"N/A"))))</f>
        <v/>
      </c>
      <c r="AH55" s="574" t="str">
        <f>IF($L55="","",IF(LOG_ST!AL54=1,"OK",IF(LOG_ST!AL54=2,"NR",IF(OR(LOG_ST!AL54=0,LOG_ST!AL54="X"),"N/A"))))</f>
        <v/>
      </c>
      <c r="AI55" s="574" t="str">
        <f>IF($L55="","",IF(LOG_ST!AM54=1,"OK",IF(LOG_ST!AM54=2,"NR",IF(OR(LOG_ST!AM54=0,LOG_ST!AM54="X"),"N/A"))))</f>
        <v/>
      </c>
      <c r="AJ55" s="574" t="str">
        <f>IF($L55="","",IF(LOG_ST!AN54=1,"OK",IF(LOG_ST!AN54=2,"NR",IF(OR(LOG_ST!AN54=0,LOG_ST!AN54="X"),"N/A"))))</f>
        <v/>
      </c>
      <c r="AK55" s="574" t="str">
        <f>IF($L55="","",IF(LOG_ST!AO54=1,"OK",IF(LOG_ST!AO54=2,"NR",IF(OR(LOG_ST!AO54=0,LOG_ST!AO54="X"),"N/A"))))</f>
        <v/>
      </c>
      <c r="AL55" s="574" t="str">
        <f>IF($L55="","",IF(LOG_ST!AP54=1,"OK",IF(LOG_ST!AP54=2,"NR",IF(OR(LOG_ST!AP54=0,LOG_ST!AP54="X"),"N/A"))))</f>
        <v/>
      </c>
      <c r="AM55" s="574" t="str">
        <f>IF($L55="","",IF(LOG_ST!AQ54=1,"OK",IF(LOG_ST!AQ54=2,"NR",IF(OR(LOG_ST!AQ54=0,LOG_ST!AQ54="X"),"N/A"))))</f>
        <v/>
      </c>
      <c r="AN55" s="550" t="str">
        <f t="shared" si="0"/>
        <v/>
      </c>
    </row>
    <row r="56" spans="2:40" x14ac:dyDescent="0.25">
      <c r="B56" s="551" t="str">
        <f>IF(LOG_ST!F55="","",VLOOKUP(LOG_ST!F55,DATA_BASE!$A$46:$C$57,2,FALSE))</f>
        <v/>
      </c>
      <c r="C56" s="570" t="str">
        <f>IF(LOG_ST!G55="","",VLOOKUP(LOG_ST!G55,DATA_HDG,2,FALSE))</f>
        <v/>
      </c>
      <c r="D56" s="571" t="str">
        <f>IF(LOG_ST!H55="","",LOG_ST!H55)</f>
        <v/>
      </c>
      <c r="E56" s="570" t="str">
        <f>IF(LOG_ST!I55="","",VLOOKUP(LOG_ST!I55,DATA_COP,2,FALSE))</f>
        <v/>
      </c>
      <c r="F56" s="573" t="str">
        <f>IF(LOG_ST!J55="","",LOG_ST!J55)</f>
        <v/>
      </c>
      <c r="G56" s="570" t="str">
        <f>IF(LOG_ST!K55="","",VLOOKUP(LOG_ST!K55,DATA_SCIES,2,FALSE))</f>
        <v/>
      </c>
      <c r="H56" s="570" t="str">
        <f>IF(LOG_ST!L55="","",VLOOKUP(LOG_ST!L55,DATA_ST!$U$7:$V$64,2,FALSE))</f>
        <v/>
      </c>
      <c r="I56" s="570" t="str">
        <f>IF(LOG_ST!M55="","",LOG_ST!M55)</f>
        <v/>
      </c>
      <c r="J56" s="570" t="str">
        <f>IF(LOG_ST!N55="","",LOG_ST!N55)</f>
        <v/>
      </c>
      <c r="K56" s="573" t="str">
        <f>IF(LOG_ST!O55="","",LOG_ST!O55)</f>
        <v/>
      </c>
      <c r="L56" s="573" t="str">
        <f>IF(LOG_ST!P55="","",LOG_ST!P55)</f>
        <v/>
      </c>
      <c r="M56" s="574" t="str">
        <f>IF($L56="","",IF(LOG_ST!Q55=1,"OK",IF(LOG_ST!Q55=2,"NR",IF(OR(LOG_ST!Q55=0,LOG_ST!Q55="X"),"N/A"))))</f>
        <v/>
      </c>
      <c r="N56" s="574" t="str">
        <f>IF($L56="","",IF(LOG_ST!R55=1,"OK",IF(LOG_ST!R55=2,"NR",IF(OR(LOG_ST!R55=0,LOG_ST!R55="X"),"N/A"))))</f>
        <v/>
      </c>
      <c r="O56" s="574" t="str">
        <f>IF($L56="","",IF(LOG_ST!S55=1,"OK",IF(LOG_ST!S55=2,"NR",IF(OR(LOG_ST!S55=0,LOG_ST!S55="X"),"N/A"))))</f>
        <v/>
      </c>
      <c r="P56" s="574" t="str">
        <f>IF($L56="","",IF(LOG_ST!T55=1,"OK",IF(LOG_ST!T55=2,"NR",IF(OR(LOG_ST!T55=0,LOG_ST!T55="X"),"N/A"))))</f>
        <v/>
      </c>
      <c r="Q56" s="574" t="str">
        <f>IF($L56="","",IF(LOG_ST!U55=1,"OK",IF(LOG_ST!U55=2,"NR",IF(OR(LOG_ST!U55=0,LOG_ST!U55="X"),"N/A"))))</f>
        <v/>
      </c>
      <c r="R56" s="574" t="str">
        <f>IF($L56="","",IF(LOG_ST!V55=1,"OK",IF(LOG_ST!V55=2,"NR",IF(OR(LOG_ST!V55=0,LOG_ST!V55="X"),"N/A"))))</f>
        <v/>
      </c>
      <c r="S56" s="574" t="str">
        <f>IF($L56="","",IF(LOG_ST!W55=1,"OK",IF(LOG_ST!W55=2,"NR",IF(OR(LOG_ST!W55=0,LOG_ST!W55="X"),"N/A"))))</f>
        <v/>
      </c>
      <c r="T56" s="574" t="str">
        <f>IF($L56="","",IF(LOG_ST!X55=1,"OK",IF(LOG_ST!X55=2,"NR",IF(OR(LOG_ST!X55=0,LOG_ST!X55="X"),"N/A"))))</f>
        <v/>
      </c>
      <c r="U56" s="574" t="str">
        <f>IF($L56="","",IF(LOG_ST!Y55=1,"OK",IF(LOG_ST!Y55=2,"NR",IF(OR(LOG_ST!Y55=0,LOG_ST!Y55="X"),"N/A"))))</f>
        <v/>
      </c>
      <c r="V56" s="574" t="str">
        <f>IF($L56="","",IF(LOG_ST!Z55=1,"OK",IF(LOG_ST!Z55=2,"NR",IF(OR(LOG_ST!Z55=0,LOG_ST!Z55="X"),"N/A"))))</f>
        <v/>
      </c>
      <c r="W56" s="574" t="str">
        <f>IF($L56="","",IF(LOG_ST!AA55=1,"OK",IF(LOG_ST!AA55=2,"NR",IF(OR(LOG_ST!AA55=0,LOG_ST!AA55="X"),"N/A"))))</f>
        <v/>
      </c>
      <c r="X56" s="574" t="str">
        <f>IF($L56="","",IF(LOG_ST!AB55=1,"OK",IF(LOG_ST!AB55=2,"NR",IF(OR(LOG_ST!AB55=0,LOG_ST!AB55="X"),"N/A"))))</f>
        <v/>
      </c>
      <c r="Y56" s="574" t="str">
        <f>IF($L56="","",IF(LOG_ST!AC55=1,"OK",IF(LOG_ST!AC55=2,"NR",IF(OR(LOG_ST!AC55=0,LOG_ST!AC55="X"),"N/A"))))</f>
        <v/>
      </c>
      <c r="Z56" s="574" t="str">
        <f>IF($L56="","",IF(OR(LOG_ST!AD55=0,LOG_ST!AD55="X"),"N/A",LOG_ST!AD55))</f>
        <v/>
      </c>
      <c r="AA56" s="574" t="str">
        <f>IF($L56="","",IF(LOG_ST!AE55=1,"OK",IF(LOG_ST!AE55=2,"NR",IF(OR(LOG_ST!AE55=0,LOG_ST!AE55="X"),"N/A"))))</f>
        <v/>
      </c>
      <c r="AB56" s="574" t="str">
        <f>IF($L56="","",IF(LOG_ST!AF55=1,"OK",IF(LOG_ST!AF55=2,"NR",IF(OR(LOG_ST!AF55=0,LOG_ST!AF55="X"),"N/A"))))</f>
        <v/>
      </c>
      <c r="AC56" s="574" t="str">
        <f>IF($L56="","",IF(LOG_ST!AG55=1,"OK",IF(LOG_ST!AG55=2,"NR",IF(OR(LOG_ST!AG55=0,LOG_ST!AG55="X"),"N/A"))))</f>
        <v/>
      </c>
      <c r="AD56" s="574" t="str">
        <f>IF($L56="","",IF(OR(LOG_ST!AH55=0,LOG_ST!AH55="X"),"N/A",LOG_ST!AH55))</f>
        <v/>
      </c>
      <c r="AE56" s="574" t="str">
        <f>IF($L56="","",IF(LOG_ST!AI55=1,"OK",IF(LOG_ST!AI55=2,"NR",IF(OR(LOG_ST!AI55=0,LOG_ST!AI55="X"),"N/A"))))</f>
        <v/>
      </c>
      <c r="AF56" s="574" t="str">
        <f>IF($L56="","",IF(LOG_ST!AJ55=1,"OK",IF(LOG_ST!AJ55=2,"NR",IF(OR(LOG_ST!AJ55=0,LOG_ST!AJ55="X"),"N/A"))))</f>
        <v/>
      </c>
      <c r="AG56" s="574" t="str">
        <f>IF($L56="","",IF(LOG_ST!AK55=1,"OK",IF(LOG_ST!AK55=2,"NR",IF(OR(LOG_ST!AK55=0,LOG_ST!AK55="X"),"N/A"))))</f>
        <v/>
      </c>
      <c r="AH56" s="574" t="str">
        <f>IF($L56="","",IF(LOG_ST!AL55=1,"OK",IF(LOG_ST!AL55=2,"NR",IF(OR(LOG_ST!AL55=0,LOG_ST!AL55="X"),"N/A"))))</f>
        <v/>
      </c>
      <c r="AI56" s="574" t="str">
        <f>IF($L56="","",IF(LOG_ST!AM55=1,"OK",IF(LOG_ST!AM55=2,"NR",IF(OR(LOG_ST!AM55=0,LOG_ST!AM55="X"),"N/A"))))</f>
        <v/>
      </c>
      <c r="AJ56" s="574" t="str">
        <f>IF($L56="","",IF(LOG_ST!AN55=1,"OK",IF(LOG_ST!AN55=2,"NR",IF(OR(LOG_ST!AN55=0,LOG_ST!AN55="X"),"N/A"))))</f>
        <v/>
      </c>
      <c r="AK56" s="574" t="str">
        <f>IF($L56="","",IF(LOG_ST!AO55=1,"OK",IF(LOG_ST!AO55=2,"NR",IF(OR(LOG_ST!AO55=0,LOG_ST!AO55="X"),"N/A"))))</f>
        <v/>
      </c>
      <c r="AL56" s="574" t="str">
        <f>IF($L56="","",IF(LOG_ST!AP55=1,"OK",IF(LOG_ST!AP55=2,"NR",IF(OR(LOG_ST!AP55=0,LOG_ST!AP55="X"),"N/A"))))</f>
        <v/>
      </c>
      <c r="AM56" s="574" t="str">
        <f>IF($L56="","",IF(LOG_ST!AQ55=1,"OK",IF(LOG_ST!AQ55=2,"NR",IF(OR(LOG_ST!AQ55=0,LOG_ST!AQ55="X"),"N/A"))))</f>
        <v/>
      </c>
      <c r="AN56" s="550" t="str">
        <f t="shared" si="0"/>
        <v/>
      </c>
    </row>
    <row r="57" spans="2:40" x14ac:dyDescent="0.25">
      <c r="B57" s="551" t="str">
        <f>IF(LOG_ST!F56="","",VLOOKUP(LOG_ST!F56,DATA_BASE!$A$46:$C$57,2,FALSE))</f>
        <v/>
      </c>
      <c r="C57" s="570" t="str">
        <f>IF(LOG_ST!G56="","",VLOOKUP(LOG_ST!G56,DATA_HDG,2,FALSE))</f>
        <v/>
      </c>
      <c r="D57" s="571" t="str">
        <f>IF(LOG_ST!H56="","",LOG_ST!H56)</f>
        <v/>
      </c>
      <c r="E57" s="570" t="str">
        <f>IF(LOG_ST!I56="","",VLOOKUP(LOG_ST!I56,DATA_COP,2,FALSE))</f>
        <v/>
      </c>
      <c r="F57" s="573" t="str">
        <f>IF(LOG_ST!J56="","",LOG_ST!J56)</f>
        <v/>
      </c>
      <c r="G57" s="570" t="str">
        <f>IF(LOG_ST!K56="","",VLOOKUP(LOG_ST!K56,DATA_SCIES,2,FALSE))</f>
        <v/>
      </c>
      <c r="H57" s="570" t="str">
        <f>IF(LOG_ST!L56="","",VLOOKUP(LOG_ST!L56,DATA_ST!$U$7:$V$64,2,FALSE))</f>
        <v/>
      </c>
      <c r="I57" s="570" t="str">
        <f>IF(LOG_ST!M56="","",LOG_ST!M56)</f>
        <v/>
      </c>
      <c r="J57" s="570" t="str">
        <f>IF(LOG_ST!N56="","",LOG_ST!N56)</f>
        <v/>
      </c>
      <c r="K57" s="573" t="str">
        <f>IF(LOG_ST!O56="","",LOG_ST!O56)</f>
        <v/>
      </c>
      <c r="L57" s="573" t="str">
        <f>IF(LOG_ST!P56="","",LOG_ST!P56)</f>
        <v/>
      </c>
      <c r="M57" s="574" t="str">
        <f>IF($L57="","",IF(LOG_ST!Q56=1,"OK",IF(LOG_ST!Q56=2,"NR",IF(OR(LOG_ST!Q56=0,LOG_ST!Q56="X"),"N/A"))))</f>
        <v/>
      </c>
      <c r="N57" s="574" t="str">
        <f>IF($L57="","",IF(LOG_ST!R56=1,"OK",IF(LOG_ST!R56=2,"NR",IF(OR(LOG_ST!R56=0,LOG_ST!R56="X"),"N/A"))))</f>
        <v/>
      </c>
      <c r="O57" s="574" t="str">
        <f>IF($L57="","",IF(LOG_ST!S56=1,"OK",IF(LOG_ST!S56=2,"NR",IF(OR(LOG_ST!S56=0,LOG_ST!S56="X"),"N/A"))))</f>
        <v/>
      </c>
      <c r="P57" s="574" t="str">
        <f>IF($L57="","",IF(LOG_ST!T56=1,"OK",IF(LOG_ST!T56=2,"NR",IF(OR(LOG_ST!T56=0,LOG_ST!T56="X"),"N/A"))))</f>
        <v/>
      </c>
      <c r="Q57" s="574" t="str">
        <f>IF($L57="","",IF(LOG_ST!U56=1,"OK",IF(LOG_ST!U56=2,"NR",IF(OR(LOG_ST!U56=0,LOG_ST!U56="X"),"N/A"))))</f>
        <v/>
      </c>
      <c r="R57" s="574" t="str">
        <f>IF($L57="","",IF(LOG_ST!V56=1,"OK",IF(LOG_ST!V56=2,"NR",IF(OR(LOG_ST!V56=0,LOG_ST!V56="X"),"N/A"))))</f>
        <v/>
      </c>
      <c r="S57" s="574" t="str">
        <f>IF($L57="","",IF(LOG_ST!W56=1,"OK",IF(LOG_ST!W56=2,"NR",IF(OR(LOG_ST!W56=0,LOG_ST!W56="X"),"N/A"))))</f>
        <v/>
      </c>
      <c r="T57" s="574" t="str">
        <f>IF($L57="","",IF(LOG_ST!X56=1,"OK",IF(LOG_ST!X56=2,"NR",IF(OR(LOG_ST!X56=0,LOG_ST!X56="X"),"N/A"))))</f>
        <v/>
      </c>
      <c r="U57" s="574" t="str">
        <f>IF($L57="","",IF(LOG_ST!Y56=1,"OK",IF(LOG_ST!Y56=2,"NR",IF(OR(LOG_ST!Y56=0,LOG_ST!Y56="X"),"N/A"))))</f>
        <v/>
      </c>
      <c r="V57" s="574" t="str">
        <f>IF($L57="","",IF(LOG_ST!Z56=1,"OK",IF(LOG_ST!Z56=2,"NR",IF(OR(LOG_ST!Z56=0,LOG_ST!Z56="X"),"N/A"))))</f>
        <v/>
      </c>
      <c r="W57" s="574" t="str">
        <f>IF($L57="","",IF(LOG_ST!AA56=1,"OK",IF(LOG_ST!AA56=2,"NR",IF(OR(LOG_ST!AA56=0,LOG_ST!AA56="X"),"N/A"))))</f>
        <v/>
      </c>
      <c r="X57" s="574" t="str">
        <f>IF($L57="","",IF(LOG_ST!AB56=1,"OK",IF(LOG_ST!AB56=2,"NR",IF(OR(LOG_ST!AB56=0,LOG_ST!AB56="X"),"N/A"))))</f>
        <v/>
      </c>
      <c r="Y57" s="574" t="str">
        <f>IF($L57="","",IF(LOG_ST!AC56=1,"OK",IF(LOG_ST!AC56=2,"NR",IF(OR(LOG_ST!AC56=0,LOG_ST!AC56="X"),"N/A"))))</f>
        <v/>
      </c>
      <c r="Z57" s="574" t="str">
        <f>IF($L57="","",IF(OR(LOG_ST!AD56=0,LOG_ST!AD56="X"),"N/A",LOG_ST!AD56))</f>
        <v/>
      </c>
      <c r="AA57" s="574" t="str">
        <f>IF($L57="","",IF(LOG_ST!AE56=1,"OK",IF(LOG_ST!AE56=2,"NR",IF(OR(LOG_ST!AE56=0,LOG_ST!AE56="X"),"N/A"))))</f>
        <v/>
      </c>
      <c r="AB57" s="574" t="str">
        <f>IF($L57="","",IF(LOG_ST!AF56=1,"OK",IF(LOG_ST!AF56=2,"NR",IF(OR(LOG_ST!AF56=0,LOG_ST!AF56="X"),"N/A"))))</f>
        <v/>
      </c>
      <c r="AC57" s="574" t="str">
        <f>IF($L57="","",IF(LOG_ST!AG56=1,"OK",IF(LOG_ST!AG56=2,"NR",IF(OR(LOG_ST!AG56=0,LOG_ST!AG56="X"),"N/A"))))</f>
        <v/>
      </c>
      <c r="AD57" s="574" t="str">
        <f>IF($L57="","",IF(OR(LOG_ST!AH56=0,LOG_ST!AH56="X"),"N/A",LOG_ST!AH56))</f>
        <v/>
      </c>
      <c r="AE57" s="574" t="str">
        <f>IF($L57="","",IF(LOG_ST!AI56=1,"OK",IF(LOG_ST!AI56=2,"NR",IF(OR(LOG_ST!AI56=0,LOG_ST!AI56="X"),"N/A"))))</f>
        <v/>
      </c>
      <c r="AF57" s="574" t="str">
        <f>IF($L57="","",IF(LOG_ST!AJ56=1,"OK",IF(LOG_ST!AJ56=2,"NR",IF(OR(LOG_ST!AJ56=0,LOG_ST!AJ56="X"),"N/A"))))</f>
        <v/>
      </c>
      <c r="AG57" s="574" t="str">
        <f>IF($L57="","",IF(LOG_ST!AK56=1,"OK",IF(LOG_ST!AK56=2,"NR",IF(OR(LOG_ST!AK56=0,LOG_ST!AK56="X"),"N/A"))))</f>
        <v/>
      </c>
      <c r="AH57" s="574" t="str">
        <f>IF($L57="","",IF(LOG_ST!AL56=1,"OK",IF(LOG_ST!AL56=2,"NR",IF(OR(LOG_ST!AL56=0,LOG_ST!AL56="X"),"N/A"))))</f>
        <v/>
      </c>
      <c r="AI57" s="574" t="str">
        <f>IF($L57="","",IF(LOG_ST!AM56=1,"OK",IF(LOG_ST!AM56=2,"NR",IF(OR(LOG_ST!AM56=0,LOG_ST!AM56="X"),"N/A"))))</f>
        <v/>
      </c>
      <c r="AJ57" s="574" t="str">
        <f>IF($L57="","",IF(LOG_ST!AN56=1,"OK",IF(LOG_ST!AN56=2,"NR",IF(OR(LOG_ST!AN56=0,LOG_ST!AN56="X"),"N/A"))))</f>
        <v/>
      </c>
      <c r="AK57" s="574" t="str">
        <f>IF($L57="","",IF(LOG_ST!AO56=1,"OK",IF(LOG_ST!AO56=2,"NR",IF(OR(LOG_ST!AO56=0,LOG_ST!AO56="X"),"N/A"))))</f>
        <v/>
      </c>
      <c r="AL57" s="574" t="str">
        <f>IF($L57="","",IF(LOG_ST!AP56=1,"OK",IF(LOG_ST!AP56=2,"NR",IF(OR(LOG_ST!AP56=0,LOG_ST!AP56="X"),"N/A"))))</f>
        <v/>
      </c>
      <c r="AM57" s="574" t="str">
        <f>IF($L57="","",IF(LOG_ST!AQ56=1,"OK",IF(LOG_ST!AQ56=2,"NR",IF(OR(LOG_ST!AQ56=0,LOG_ST!AQ56="X"),"N/A"))))</f>
        <v/>
      </c>
      <c r="AN57" s="550" t="str">
        <f t="shared" si="0"/>
        <v/>
      </c>
    </row>
    <row r="58" spans="2:40" x14ac:dyDescent="0.25">
      <c r="B58" s="551" t="str">
        <f>IF(LOG_ST!F57="","",VLOOKUP(LOG_ST!F57,DATA_BASE!$A$46:$C$57,2,FALSE))</f>
        <v/>
      </c>
      <c r="C58" s="570" t="str">
        <f>IF(LOG_ST!G57="","",VLOOKUP(LOG_ST!G57,DATA_HDG,2,FALSE))</f>
        <v/>
      </c>
      <c r="D58" s="571" t="str">
        <f>IF(LOG_ST!H57="","",LOG_ST!H57)</f>
        <v/>
      </c>
      <c r="E58" s="570" t="str">
        <f>IF(LOG_ST!I57="","",VLOOKUP(LOG_ST!I57,DATA_COP,2,FALSE))</f>
        <v/>
      </c>
      <c r="F58" s="573" t="str">
        <f>IF(LOG_ST!J57="","",LOG_ST!J57)</f>
        <v/>
      </c>
      <c r="G58" s="570" t="str">
        <f>IF(LOG_ST!K57="","",VLOOKUP(LOG_ST!K57,DATA_SCIES,2,FALSE))</f>
        <v/>
      </c>
      <c r="H58" s="570" t="str">
        <f>IF(LOG_ST!L57="","",VLOOKUP(LOG_ST!L57,DATA_ST!$U$7:$V$64,2,FALSE))</f>
        <v/>
      </c>
      <c r="I58" s="570" t="str">
        <f>IF(LOG_ST!M57="","",LOG_ST!M57)</f>
        <v/>
      </c>
      <c r="J58" s="570" t="str">
        <f>IF(LOG_ST!N57="","",LOG_ST!N57)</f>
        <v/>
      </c>
      <c r="K58" s="573" t="str">
        <f>IF(LOG_ST!O57="","",LOG_ST!O57)</f>
        <v/>
      </c>
      <c r="L58" s="573" t="str">
        <f>IF(LOG_ST!P57="","",LOG_ST!P57)</f>
        <v/>
      </c>
      <c r="M58" s="574" t="str">
        <f>IF($L58="","",IF(LOG_ST!Q57=1,"OK",IF(LOG_ST!Q57=2,"NR",IF(OR(LOG_ST!Q57=0,LOG_ST!Q57="X"),"N/A"))))</f>
        <v/>
      </c>
      <c r="N58" s="574" t="str">
        <f>IF($L58="","",IF(LOG_ST!R57=1,"OK",IF(LOG_ST!R57=2,"NR",IF(OR(LOG_ST!R57=0,LOG_ST!R57="X"),"N/A"))))</f>
        <v/>
      </c>
      <c r="O58" s="574" t="str">
        <f>IF($L58="","",IF(LOG_ST!S57=1,"OK",IF(LOG_ST!S57=2,"NR",IF(OR(LOG_ST!S57=0,LOG_ST!S57="X"),"N/A"))))</f>
        <v/>
      </c>
      <c r="P58" s="574" t="str">
        <f>IF($L58="","",IF(LOG_ST!T57=1,"OK",IF(LOG_ST!T57=2,"NR",IF(OR(LOG_ST!T57=0,LOG_ST!T57="X"),"N/A"))))</f>
        <v/>
      </c>
      <c r="Q58" s="574" t="str">
        <f>IF($L58="","",IF(LOG_ST!U57=1,"OK",IF(LOG_ST!U57=2,"NR",IF(OR(LOG_ST!U57=0,LOG_ST!U57="X"),"N/A"))))</f>
        <v/>
      </c>
      <c r="R58" s="574" t="str">
        <f>IF($L58="","",IF(LOG_ST!V57=1,"OK",IF(LOG_ST!V57=2,"NR",IF(OR(LOG_ST!V57=0,LOG_ST!V57="X"),"N/A"))))</f>
        <v/>
      </c>
      <c r="S58" s="574" t="str">
        <f>IF($L58="","",IF(LOG_ST!W57=1,"OK",IF(LOG_ST!W57=2,"NR",IF(OR(LOG_ST!W57=0,LOG_ST!W57="X"),"N/A"))))</f>
        <v/>
      </c>
      <c r="T58" s="574" t="str">
        <f>IF($L58="","",IF(LOG_ST!X57=1,"OK",IF(LOG_ST!X57=2,"NR",IF(OR(LOG_ST!X57=0,LOG_ST!X57="X"),"N/A"))))</f>
        <v/>
      </c>
      <c r="U58" s="574" t="str">
        <f>IF($L58="","",IF(LOG_ST!Y57=1,"OK",IF(LOG_ST!Y57=2,"NR",IF(OR(LOG_ST!Y57=0,LOG_ST!Y57="X"),"N/A"))))</f>
        <v/>
      </c>
      <c r="V58" s="574" t="str">
        <f>IF($L58="","",IF(LOG_ST!Z57=1,"OK",IF(LOG_ST!Z57=2,"NR",IF(OR(LOG_ST!Z57=0,LOG_ST!Z57="X"),"N/A"))))</f>
        <v/>
      </c>
      <c r="W58" s="574" t="str">
        <f>IF($L58="","",IF(LOG_ST!AA57=1,"OK",IF(LOG_ST!AA57=2,"NR",IF(OR(LOG_ST!AA57=0,LOG_ST!AA57="X"),"N/A"))))</f>
        <v/>
      </c>
      <c r="X58" s="574" t="str">
        <f>IF($L58="","",IF(LOG_ST!AB57=1,"OK",IF(LOG_ST!AB57=2,"NR",IF(OR(LOG_ST!AB57=0,LOG_ST!AB57="X"),"N/A"))))</f>
        <v/>
      </c>
      <c r="Y58" s="574" t="str">
        <f>IF($L58="","",IF(LOG_ST!AC57=1,"OK",IF(LOG_ST!AC57=2,"NR",IF(OR(LOG_ST!AC57=0,LOG_ST!AC57="X"),"N/A"))))</f>
        <v/>
      </c>
      <c r="Z58" s="574" t="str">
        <f>IF($L58="","",IF(OR(LOG_ST!AD57=0,LOG_ST!AD57="X"),"N/A",LOG_ST!AD57))</f>
        <v/>
      </c>
      <c r="AA58" s="574" t="str">
        <f>IF($L58="","",IF(LOG_ST!AE57=1,"OK",IF(LOG_ST!AE57=2,"NR",IF(OR(LOG_ST!AE57=0,LOG_ST!AE57="X"),"N/A"))))</f>
        <v/>
      </c>
      <c r="AB58" s="574" t="str">
        <f>IF($L58="","",IF(LOG_ST!AF57=1,"OK",IF(LOG_ST!AF57=2,"NR",IF(OR(LOG_ST!AF57=0,LOG_ST!AF57="X"),"N/A"))))</f>
        <v/>
      </c>
      <c r="AC58" s="574" t="str">
        <f>IF($L58="","",IF(LOG_ST!AG57=1,"OK",IF(LOG_ST!AG57=2,"NR",IF(OR(LOG_ST!AG57=0,LOG_ST!AG57="X"),"N/A"))))</f>
        <v/>
      </c>
      <c r="AD58" s="574" t="str">
        <f>IF($L58="","",IF(OR(LOG_ST!AH57=0,LOG_ST!AH57="X"),"N/A",LOG_ST!AH57))</f>
        <v/>
      </c>
      <c r="AE58" s="574" t="str">
        <f>IF($L58="","",IF(LOG_ST!AI57=1,"OK",IF(LOG_ST!AI57=2,"NR",IF(OR(LOG_ST!AI57=0,LOG_ST!AI57="X"),"N/A"))))</f>
        <v/>
      </c>
      <c r="AF58" s="574" t="str">
        <f>IF($L58="","",IF(LOG_ST!AJ57=1,"OK",IF(LOG_ST!AJ57=2,"NR",IF(OR(LOG_ST!AJ57=0,LOG_ST!AJ57="X"),"N/A"))))</f>
        <v/>
      </c>
      <c r="AG58" s="574" t="str">
        <f>IF($L58="","",IF(LOG_ST!AK57=1,"OK",IF(LOG_ST!AK57=2,"NR",IF(OR(LOG_ST!AK57=0,LOG_ST!AK57="X"),"N/A"))))</f>
        <v/>
      </c>
      <c r="AH58" s="574" t="str">
        <f>IF($L58="","",IF(LOG_ST!AL57=1,"OK",IF(LOG_ST!AL57=2,"NR",IF(OR(LOG_ST!AL57=0,LOG_ST!AL57="X"),"N/A"))))</f>
        <v/>
      </c>
      <c r="AI58" s="574" t="str">
        <f>IF($L58="","",IF(LOG_ST!AM57=1,"OK",IF(LOG_ST!AM57=2,"NR",IF(OR(LOG_ST!AM57=0,LOG_ST!AM57="X"),"N/A"))))</f>
        <v/>
      </c>
      <c r="AJ58" s="574" t="str">
        <f>IF($L58="","",IF(LOG_ST!AN57=1,"OK",IF(LOG_ST!AN57=2,"NR",IF(OR(LOG_ST!AN57=0,LOG_ST!AN57="X"),"N/A"))))</f>
        <v/>
      </c>
      <c r="AK58" s="574" t="str">
        <f>IF($L58="","",IF(LOG_ST!AO57=1,"OK",IF(LOG_ST!AO57=2,"NR",IF(OR(LOG_ST!AO57=0,LOG_ST!AO57="X"),"N/A"))))</f>
        <v/>
      </c>
      <c r="AL58" s="574" t="str">
        <f>IF($L58="","",IF(LOG_ST!AP57=1,"OK",IF(LOG_ST!AP57=2,"NR",IF(OR(LOG_ST!AP57=0,LOG_ST!AP57="X"),"N/A"))))</f>
        <v/>
      </c>
      <c r="AM58" s="574" t="str">
        <f>IF($L58="","",IF(LOG_ST!AQ57=1,"OK",IF(LOG_ST!AQ57=2,"NR",IF(OR(LOG_ST!AQ57=0,LOG_ST!AQ57="X"),"N/A"))))</f>
        <v/>
      </c>
      <c r="AN58" s="550" t="str">
        <f t="shared" si="0"/>
        <v/>
      </c>
    </row>
    <row r="59" spans="2:40" x14ac:dyDescent="0.25">
      <c r="B59" s="551" t="str">
        <f>IF(LOG_ST!F58="","",VLOOKUP(LOG_ST!F58,DATA_BASE!$A$46:$C$57,2,FALSE))</f>
        <v/>
      </c>
      <c r="C59" s="570" t="str">
        <f>IF(LOG_ST!G58="","",VLOOKUP(LOG_ST!G58,DATA_HDG,2,FALSE))</f>
        <v/>
      </c>
      <c r="D59" s="571" t="str">
        <f>IF(LOG_ST!H58="","",LOG_ST!H58)</f>
        <v/>
      </c>
      <c r="E59" s="570" t="str">
        <f>IF(LOG_ST!I58="","",VLOOKUP(LOG_ST!I58,DATA_COP,2,FALSE))</f>
        <v/>
      </c>
      <c r="F59" s="573" t="str">
        <f>IF(LOG_ST!J58="","",LOG_ST!J58)</f>
        <v/>
      </c>
      <c r="G59" s="570" t="str">
        <f>IF(LOG_ST!K58="","",VLOOKUP(LOG_ST!K58,DATA_SCIES,2,FALSE))</f>
        <v/>
      </c>
      <c r="H59" s="570" t="str">
        <f>IF(LOG_ST!L58="","",VLOOKUP(LOG_ST!L58,DATA_ST!$U$7:$V$64,2,FALSE))</f>
        <v/>
      </c>
      <c r="I59" s="570" t="str">
        <f>IF(LOG_ST!M58="","",LOG_ST!M58)</f>
        <v/>
      </c>
      <c r="J59" s="570" t="str">
        <f>IF(LOG_ST!N58="","",LOG_ST!N58)</f>
        <v/>
      </c>
      <c r="K59" s="573" t="str">
        <f>IF(LOG_ST!O58="","",LOG_ST!O58)</f>
        <v/>
      </c>
      <c r="L59" s="573" t="str">
        <f>IF(LOG_ST!P58="","",LOG_ST!P58)</f>
        <v/>
      </c>
      <c r="M59" s="574" t="str">
        <f>IF($L59="","",IF(LOG_ST!Q58=1,"OK",IF(LOG_ST!Q58=2,"NR",IF(OR(LOG_ST!Q58=0,LOG_ST!Q58="X"),"N/A"))))</f>
        <v/>
      </c>
      <c r="N59" s="574" t="str">
        <f>IF($L59="","",IF(LOG_ST!R58=1,"OK",IF(LOG_ST!R58=2,"NR",IF(OR(LOG_ST!R58=0,LOG_ST!R58="X"),"N/A"))))</f>
        <v/>
      </c>
      <c r="O59" s="574" t="str">
        <f>IF($L59="","",IF(LOG_ST!S58=1,"OK",IF(LOG_ST!S58=2,"NR",IF(OR(LOG_ST!S58=0,LOG_ST!S58="X"),"N/A"))))</f>
        <v/>
      </c>
      <c r="P59" s="574" t="str">
        <f>IF($L59="","",IF(LOG_ST!T58=1,"OK",IF(LOG_ST!T58=2,"NR",IF(OR(LOG_ST!T58=0,LOG_ST!T58="X"),"N/A"))))</f>
        <v/>
      </c>
      <c r="Q59" s="574" t="str">
        <f>IF($L59="","",IF(LOG_ST!U58=1,"OK",IF(LOG_ST!U58=2,"NR",IF(OR(LOG_ST!U58=0,LOG_ST!U58="X"),"N/A"))))</f>
        <v/>
      </c>
      <c r="R59" s="574" t="str">
        <f>IF($L59="","",IF(LOG_ST!V58=1,"OK",IF(LOG_ST!V58=2,"NR",IF(OR(LOG_ST!V58=0,LOG_ST!V58="X"),"N/A"))))</f>
        <v/>
      </c>
      <c r="S59" s="574" t="str">
        <f>IF($L59="","",IF(LOG_ST!W58=1,"OK",IF(LOG_ST!W58=2,"NR",IF(OR(LOG_ST!W58=0,LOG_ST!W58="X"),"N/A"))))</f>
        <v/>
      </c>
      <c r="T59" s="574" t="str">
        <f>IF($L59="","",IF(LOG_ST!X58=1,"OK",IF(LOG_ST!X58=2,"NR",IF(OR(LOG_ST!X58=0,LOG_ST!X58="X"),"N/A"))))</f>
        <v/>
      </c>
      <c r="U59" s="574" t="str">
        <f>IF($L59="","",IF(LOG_ST!Y58=1,"OK",IF(LOG_ST!Y58=2,"NR",IF(OR(LOG_ST!Y58=0,LOG_ST!Y58="X"),"N/A"))))</f>
        <v/>
      </c>
      <c r="V59" s="574" t="str">
        <f>IF($L59="","",IF(LOG_ST!Z58=1,"OK",IF(LOG_ST!Z58=2,"NR",IF(OR(LOG_ST!Z58=0,LOG_ST!Z58="X"),"N/A"))))</f>
        <v/>
      </c>
      <c r="W59" s="574" t="str">
        <f>IF($L59="","",IF(LOG_ST!AA58=1,"OK",IF(LOG_ST!AA58=2,"NR",IF(OR(LOG_ST!AA58=0,LOG_ST!AA58="X"),"N/A"))))</f>
        <v/>
      </c>
      <c r="X59" s="574" t="str">
        <f>IF($L59="","",IF(LOG_ST!AB58=1,"OK",IF(LOG_ST!AB58=2,"NR",IF(OR(LOG_ST!AB58=0,LOG_ST!AB58="X"),"N/A"))))</f>
        <v/>
      </c>
      <c r="Y59" s="574" t="str">
        <f>IF($L59="","",IF(LOG_ST!AC58=1,"OK",IF(LOG_ST!AC58=2,"NR",IF(OR(LOG_ST!AC58=0,LOG_ST!AC58="X"),"N/A"))))</f>
        <v/>
      </c>
      <c r="Z59" s="574" t="str">
        <f>IF($L59="","",IF(OR(LOG_ST!AD58=0,LOG_ST!AD58="X"),"N/A",LOG_ST!AD58))</f>
        <v/>
      </c>
      <c r="AA59" s="574" t="str">
        <f>IF($L59="","",IF(LOG_ST!AE58=1,"OK",IF(LOG_ST!AE58=2,"NR",IF(OR(LOG_ST!AE58=0,LOG_ST!AE58="X"),"N/A"))))</f>
        <v/>
      </c>
      <c r="AB59" s="574" t="str">
        <f>IF($L59="","",IF(LOG_ST!AF58=1,"OK",IF(LOG_ST!AF58=2,"NR",IF(OR(LOG_ST!AF58=0,LOG_ST!AF58="X"),"N/A"))))</f>
        <v/>
      </c>
      <c r="AC59" s="574" t="str">
        <f>IF($L59="","",IF(LOG_ST!AG58=1,"OK",IF(LOG_ST!AG58=2,"NR",IF(OR(LOG_ST!AG58=0,LOG_ST!AG58="X"),"N/A"))))</f>
        <v/>
      </c>
      <c r="AD59" s="574" t="str">
        <f>IF($L59="","",IF(OR(LOG_ST!AH58=0,LOG_ST!AH58="X"),"N/A",LOG_ST!AH58))</f>
        <v/>
      </c>
      <c r="AE59" s="574" t="str">
        <f>IF($L59="","",IF(LOG_ST!AI58=1,"OK",IF(LOG_ST!AI58=2,"NR",IF(OR(LOG_ST!AI58=0,LOG_ST!AI58="X"),"N/A"))))</f>
        <v/>
      </c>
      <c r="AF59" s="574" t="str">
        <f>IF($L59="","",IF(LOG_ST!AJ58=1,"OK",IF(LOG_ST!AJ58=2,"NR",IF(OR(LOG_ST!AJ58=0,LOG_ST!AJ58="X"),"N/A"))))</f>
        <v/>
      </c>
      <c r="AG59" s="574" t="str">
        <f>IF($L59="","",IF(LOG_ST!AK58=1,"OK",IF(LOG_ST!AK58=2,"NR",IF(OR(LOG_ST!AK58=0,LOG_ST!AK58="X"),"N/A"))))</f>
        <v/>
      </c>
      <c r="AH59" s="574" t="str">
        <f>IF($L59="","",IF(LOG_ST!AL58=1,"OK",IF(LOG_ST!AL58=2,"NR",IF(OR(LOG_ST!AL58=0,LOG_ST!AL58="X"),"N/A"))))</f>
        <v/>
      </c>
      <c r="AI59" s="574" t="str">
        <f>IF($L59="","",IF(LOG_ST!AM58=1,"OK",IF(LOG_ST!AM58=2,"NR",IF(OR(LOG_ST!AM58=0,LOG_ST!AM58="X"),"N/A"))))</f>
        <v/>
      </c>
      <c r="AJ59" s="574" t="str">
        <f>IF($L59="","",IF(LOG_ST!AN58=1,"OK",IF(LOG_ST!AN58=2,"NR",IF(OR(LOG_ST!AN58=0,LOG_ST!AN58="X"),"N/A"))))</f>
        <v/>
      </c>
      <c r="AK59" s="574" t="str">
        <f>IF($L59="","",IF(LOG_ST!AO58=1,"OK",IF(LOG_ST!AO58=2,"NR",IF(OR(LOG_ST!AO58=0,LOG_ST!AO58="X"),"N/A"))))</f>
        <v/>
      </c>
      <c r="AL59" s="574" t="str">
        <f>IF($L59="","",IF(LOG_ST!AP58=1,"OK",IF(LOG_ST!AP58=2,"NR",IF(OR(LOG_ST!AP58=0,LOG_ST!AP58="X"),"N/A"))))</f>
        <v/>
      </c>
      <c r="AM59" s="574" t="str">
        <f>IF($L59="","",IF(LOG_ST!AQ58=1,"OK",IF(LOG_ST!AQ58=2,"NR",IF(OR(LOG_ST!AQ58=0,LOG_ST!AQ58="X"),"N/A"))))</f>
        <v/>
      </c>
      <c r="AN59" s="550" t="str">
        <f t="shared" si="0"/>
        <v/>
      </c>
    </row>
    <row r="60" spans="2:40" x14ac:dyDescent="0.25">
      <c r="B60" s="551" t="str">
        <f>IF(LOG_ST!F59="","",VLOOKUP(LOG_ST!F59,DATA_BASE!$A$46:$C$57,2,FALSE))</f>
        <v/>
      </c>
      <c r="C60" s="570" t="str">
        <f>IF(LOG_ST!G59="","",VLOOKUP(LOG_ST!G59,DATA_HDG,2,FALSE))</f>
        <v/>
      </c>
      <c r="D60" s="571" t="str">
        <f>IF(LOG_ST!H59="","",LOG_ST!H59)</f>
        <v/>
      </c>
      <c r="E60" s="570" t="str">
        <f>IF(LOG_ST!I59="","",VLOOKUP(LOG_ST!I59,DATA_COP,2,FALSE))</f>
        <v/>
      </c>
      <c r="F60" s="573" t="str">
        <f>IF(LOG_ST!J59="","",LOG_ST!J59)</f>
        <v/>
      </c>
      <c r="G60" s="570" t="str">
        <f>IF(LOG_ST!K59="","",VLOOKUP(LOG_ST!K59,DATA_SCIES,2,FALSE))</f>
        <v/>
      </c>
      <c r="H60" s="570" t="str">
        <f>IF(LOG_ST!L59="","",VLOOKUP(LOG_ST!L59,DATA_ST!$U$7:$V$64,2,FALSE))</f>
        <v/>
      </c>
      <c r="I60" s="570" t="str">
        <f>IF(LOG_ST!M59="","",LOG_ST!M59)</f>
        <v/>
      </c>
      <c r="J60" s="570" t="str">
        <f>IF(LOG_ST!N59="","",LOG_ST!N59)</f>
        <v/>
      </c>
      <c r="K60" s="573" t="str">
        <f>IF(LOG_ST!O59="","",LOG_ST!O59)</f>
        <v/>
      </c>
      <c r="L60" s="573" t="str">
        <f>IF(LOG_ST!P59="","",LOG_ST!P59)</f>
        <v/>
      </c>
      <c r="M60" s="574" t="str">
        <f>IF($L60="","",IF(LOG_ST!Q59=1,"OK",IF(LOG_ST!Q59=2,"NR",IF(OR(LOG_ST!Q59=0,LOG_ST!Q59="X"),"N/A"))))</f>
        <v/>
      </c>
      <c r="N60" s="574" t="str">
        <f>IF($L60="","",IF(LOG_ST!R59=1,"OK",IF(LOG_ST!R59=2,"NR",IF(OR(LOG_ST!R59=0,LOG_ST!R59="X"),"N/A"))))</f>
        <v/>
      </c>
      <c r="O60" s="574" t="str">
        <f>IF($L60="","",IF(LOG_ST!S59=1,"OK",IF(LOG_ST!S59=2,"NR",IF(OR(LOG_ST!S59=0,LOG_ST!S59="X"),"N/A"))))</f>
        <v/>
      </c>
      <c r="P60" s="574" t="str">
        <f>IF($L60="","",IF(LOG_ST!T59=1,"OK",IF(LOG_ST!T59=2,"NR",IF(OR(LOG_ST!T59=0,LOG_ST!T59="X"),"N/A"))))</f>
        <v/>
      </c>
      <c r="Q60" s="574" t="str">
        <f>IF($L60="","",IF(LOG_ST!U59=1,"OK",IF(LOG_ST!U59=2,"NR",IF(OR(LOG_ST!U59=0,LOG_ST!U59="X"),"N/A"))))</f>
        <v/>
      </c>
      <c r="R60" s="574" t="str">
        <f>IF($L60="","",IF(LOG_ST!V59=1,"OK",IF(LOG_ST!V59=2,"NR",IF(OR(LOG_ST!V59=0,LOG_ST!V59="X"),"N/A"))))</f>
        <v/>
      </c>
      <c r="S60" s="574" t="str">
        <f>IF($L60="","",IF(LOG_ST!W59=1,"OK",IF(LOG_ST!W59=2,"NR",IF(OR(LOG_ST!W59=0,LOG_ST!W59="X"),"N/A"))))</f>
        <v/>
      </c>
      <c r="T60" s="574" t="str">
        <f>IF($L60="","",IF(LOG_ST!X59=1,"OK",IF(LOG_ST!X59=2,"NR",IF(OR(LOG_ST!X59=0,LOG_ST!X59="X"),"N/A"))))</f>
        <v/>
      </c>
      <c r="U60" s="574" t="str">
        <f>IF($L60="","",IF(LOG_ST!Y59=1,"OK",IF(LOG_ST!Y59=2,"NR",IF(OR(LOG_ST!Y59=0,LOG_ST!Y59="X"),"N/A"))))</f>
        <v/>
      </c>
      <c r="V60" s="574" t="str">
        <f>IF($L60="","",IF(LOG_ST!Z59=1,"OK",IF(LOG_ST!Z59=2,"NR",IF(OR(LOG_ST!Z59=0,LOG_ST!Z59="X"),"N/A"))))</f>
        <v/>
      </c>
      <c r="W60" s="574" t="str">
        <f>IF($L60="","",IF(LOG_ST!AA59=1,"OK",IF(LOG_ST!AA59=2,"NR",IF(OR(LOG_ST!AA59=0,LOG_ST!AA59="X"),"N/A"))))</f>
        <v/>
      </c>
      <c r="X60" s="574" t="str">
        <f>IF($L60="","",IF(LOG_ST!AB59=1,"OK",IF(LOG_ST!AB59=2,"NR",IF(OR(LOG_ST!AB59=0,LOG_ST!AB59="X"),"N/A"))))</f>
        <v/>
      </c>
      <c r="Y60" s="574" t="str">
        <f>IF($L60="","",IF(LOG_ST!AC59=1,"OK",IF(LOG_ST!AC59=2,"NR",IF(OR(LOG_ST!AC59=0,LOG_ST!AC59="X"),"N/A"))))</f>
        <v/>
      </c>
      <c r="Z60" s="574" t="str">
        <f>IF($L60="","",IF(OR(LOG_ST!AD59=0,LOG_ST!AD59="X"),"N/A",LOG_ST!AD59))</f>
        <v/>
      </c>
      <c r="AA60" s="574" t="str">
        <f>IF($L60="","",IF(LOG_ST!AE59=1,"OK",IF(LOG_ST!AE59=2,"NR",IF(OR(LOG_ST!AE59=0,LOG_ST!AE59="X"),"N/A"))))</f>
        <v/>
      </c>
      <c r="AB60" s="574" t="str">
        <f>IF($L60="","",IF(LOG_ST!AF59=1,"OK",IF(LOG_ST!AF59=2,"NR",IF(OR(LOG_ST!AF59=0,LOG_ST!AF59="X"),"N/A"))))</f>
        <v/>
      </c>
      <c r="AC60" s="574" t="str">
        <f>IF($L60="","",IF(LOG_ST!AG59=1,"OK",IF(LOG_ST!AG59=2,"NR",IF(OR(LOG_ST!AG59=0,LOG_ST!AG59="X"),"N/A"))))</f>
        <v/>
      </c>
      <c r="AD60" s="574" t="str">
        <f>IF($L60="","",IF(OR(LOG_ST!AH59=0,LOG_ST!AH59="X"),"N/A",LOG_ST!AH59))</f>
        <v/>
      </c>
      <c r="AE60" s="574" t="str">
        <f>IF($L60="","",IF(LOG_ST!AI59=1,"OK",IF(LOG_ST!AI59=2,"NR",IF(OR(LOG_ST!AI59=0,LOG_ST!AI59="X"),"N/A"))))</f>
        <v/>
      </c>
      <c r="AF60" s="574" t="str">
        <f>IF($L60="","",IF(LOG_ST!AJ59=1,"OK",IF(LOG_ST!AJ59=2,"NR",IF(OR(LOG_ST!AJ59=0,LOG_ST!AJ59="X"),"N/A"))))</f>
        <v/>
      </c>
      <c r="AG60" s="574" t="str">
        <f>IF($L60="","",IF(LOG_ST!AK59=1,"OK",IF(LOG_ST!AK59=2,"NR",IF(OR(LOG_ST!AK59=0,LOG_ST!AK59="X"),"N/A"))))</f>
        <v/>
      </c>
      <c r="AH60" s="574" t="str">
        <f>IF($L60="","",IF(LOG_ST!AL59=1,"OK",IF(LOG_ST!AL59=2,"NR",IF(OR(LOG_ST!AL59=0,LOG_ST!AL59="X"),"N/A"))))</f>
        <v/>
      </c>
      <c r="AI60" s="574" t="str">
        <f>IF($L60="","",IF(LOG_ST!AM59=1,"OK",IF(LOG_ST!AM59=2,"NR",IF(OR(LOG_ST!AM59=0,LOG_ST!AM59="X"),"N/A"))))</f>
        <v/>
      </c>
      <c r="AJ60" s="574" t="str">
        <f>IF($L60="","",IF(LOG_ST!AN59=1,"OK",IF(LOG_ST!AN59=2,"NR",IF(OR(LOG_ST!AN59=0,LOG_ST!AN59="X"),"N/A"))))</f>
        <v/>
      </c>
      <c r="AK60" s="574" t="str">
        <f>IF($L60="","",IF(LOG_ST!AO59=1,"OK",IF(LOG_ST!AO59=2,"NR",IF(OR(LOG_ST!AO59=0,LOG_ST!AO59="X"),"N/A"))))</f>
        <v/>
      </c>
      <c r="AL60" s="574" t="str">
        <f>IF($L60="","",IF(LOG_ST!AP59=1,"OK",IF(LOG_ST!AP59=2,"NR",IF(OR(LOG_ST!AP59=0,LOG_ST!AP59="X"),"N/A"))))</f>
        <v/>
      </c>
      <c r="AM60" s="574" t="str">
        <f>IF($L60="","",IF(LOG_ST!AQ59=1,"OK",IF(LOG_ST!AQ59=2,"NR",IF(OR(LOG_ST!AQ59=0,LOG_ST!AQ59="X"),"N/A"))))</f>
        <v/>
      </c>
      <c r="AN60" s="550" t="str">
        <f t="shared" si="0"/>
        <v/>
      </c>
    </row>
    <row r="61" spans="2:40" x14ac:dyDescent="0.25">
      <c r="B61" s="551" t="str">
        <f>IF(LOG_ST!F60="","",VLOOKUP(LOG_ST!F60,DATA_BASE!$A$46:$C$57,2,FALSE))</f>
        <v/>
      </c>
      <c r="C61" s="570" t="str">
        <f>IF(LOG_ST!G60="","",VLOOKUP(LOG_ST!G60,DATA_HDG,2,FALSE))</f>
        <v/>
      </c>
      <c r="D61" s="571" t="str">
        <f>IF(LOG_ST!H60="","",LOG_ST!H60)</f>
        <v/>
      </c>
      <c r="E61" s="570" t="str">
        <f>IF(LOG_ST!I60="","",VLOOKUP(LOG_ST!I60,DATA_COP,2,FALSE))</f>
        <v/>
      </c>
      <c r="F61" s="573" t="str">
        <f>IF(LOG_ST!J60="","",LOG_ST!J60)</f>
        <v/>
      </c>
      <c r="G61" s="570" t="str">
        <f>IF(LOG_ST!K60="","",VLOOKUP(LOG_ST!K60,DATA_SCIES,2,FALSE))</f>
        <v/>
      </c>
      <c r="H61" s="570" t="str">
        <f>IF(LOG_ST!L60="","",VLOOKUP(LOG_ST!L60,DATA_ST!$U$7:$V$64,2,FALSE))</f>
        <v/>
      </c>
      <c r="I61" s="570" t="str">
        <f>IF(LOG_ST!M60="","",LOG_ST!M60)</f>
        <v/>
      </c>
      <c r="J61" s="570" t="str">
        <f>IF(LOG_ST!N60="","",LOG_ST!N60)</f>
        <v/>
      </c>
      <c r="K61" s="573" t="str">
        <f>IF(LOG_ST!O60="","",LOG_ST!O60)</f>
        <v/>
      </c>
      <c r="L61" s="573" t="str">
        <f>IF(LOG_ST!P60="","",LOG_ST!P60)</f>
        <v/>
      </c>
      <c r="M61" s="574" t="str">
        <f>IF($L61="","",IF(LOG_ST!Q60=1,"OK",IF(LOG_ST!Q60=2,"NR",IF(OR(LOG_ST!Q60=0,LOG_ST!Q60="X"),"N/A"))))</f>
        <v/>
      </c>
      <c r="N61" s="574" t="str">
        <f>IF($L61="","",IF(LOG_ST!R60=1,"OK",IF(LOG_ST!R60=2,"NR",IF(OR(LOG_ST!R60=0,LOG_ST!R60="X"),"N/A"))))</f>
        <v/>
      </c>
      <c r="O61" s="574" t="str">
        <f>IF($L61="","",IF(LOG_ST!S60=1,"OK",IF(LOG_ST!S60=2,"NR",IF(OR(LOG_ST!S60=0,LOG_ST!S60="X"),"N/A"))))</f>
        <v/>
      </c>
      <c r="P61" s="574" t="str">
        <f>IF($L61="","",IF(LOG_ST!T60=1,"OK",IF(LOG_ST!T60=2,"NR",IF(OR(LOG_ST!T60=0,LOG_ST!T60="X"),"N/A"))))</f>
        <v/>
      </c>
      <c r="Q61" s="574" t="str">
        <f>IF($L61="","",IF(LOG_ST!U60=1,"OK",IF(LOG_ST!U60=2,"NR",IF(OR(LOG_ST!U60=0,LOG_ST!U60="X"),"N/A"))))</f>
        <v/>
      </c>
      <c r="R61" s="574" t="str">
        <f>IF($L61="","",IF(LOG_ST!V60=1,"OK",IF(LOG_ST!V60=2,"NR",IF(OR(LOG_ST!V60=0,LOG_ST!V60="X"),"N/A"))))</f>
        <v/>
      </c>
      <c r="S61" s="574" t="str">
        <f>IF($L61="","",IF(LOG_ST!W60=1,"OK",IF(LOG_ST!W60=2,"NR",IF(OR(LOG_ST!W60=0,LOG_ST!W60="X"),"N/A"))))</f>
        <v/>
      </c>
      <c r="T61" s="574" t="str">
        <f>IF($L61="","",IF(LOG_ST!X60=1,"OK",IF(LOG_ST!X60=2,"NR",IF(OR(LOG_ST!X60=0,LOG_ST!X60="X"),"N/A"))))</f>
        <v/>
      </c>
      <c r="U61" s="574" t="str">
        <f>IF($L61="","",IF(LOG_ST!Y60=1,"OK",IF(LOG_ST!Y60=2,"NR",IF(OR(LOG_ST!Y60=0,LOG_ST!Y60="X"),"N/A"))))</f>
        <v/>
      </c>
      <c r="V61" s="574" t="str">
        <f>IF($L61="","",IF(LOG_ST!Z60=1,"OK",IF(LOG_ST!Z60=2,"NR",IF(OR(LOG_ST!Z60=0,LOG_ST!Z60="X"),"N/A"))))</f>
        <v/>
      </c>
      <c r="W61" s="574" t="str">
        <f>IF($L61="","",IF(LOG_ST!AA60=1,"OK",IF(LOG_ST!AA60=2,"NR",IF(OR(LOG_ST!AA60=0,LOG_ST!AA60="X"),"N/A"))))</f>
        <v/>
      </c>
      <c r="X61" s="574" t="str">
        <f>IF($L61="","",IF(LOG_ST!AB60=1,"OK",IF(LOG_ST!AB60=2,"NR",IF(OR(LOG_ST!AB60=0,LOG_ST!AB60="X"),"N/A"))))</f>
        <v/>
      </c>
      <c r="Y61" s="574" t="str">
        <f>IF($L61="","",IF(LOG_ST!AC60=1,"OK",IF(LOG_ST!AC60=2,"NR",IF(OR(LOG_ST!AC60=0,LOG_ST!AC60="X"),"N/A"))))</f>
        <v/>
      </c>
      <c r="Z61" s="574" t="str">
        <f>IF($L61="","",IF(OR(LOG_ST!AD60=0,LOG_ST!AD60="X"),"N/A",LOG_ST!AD60))</f>
        <v/>
      </c>
      <c r="AA61" s="574" t="str">
        <f>IF($L61="","",IF(LOG_ST!AE60=1,"OK",IF(LOG_ST!AE60=2,"NR",IF(OR(LOG_ST!AE60=0,LOG_ST!AE60="X"),"N/A"))))</f>
        <v/>
      </c>
      <c r="AB61" s="574" t="str">
        <f>IF($L61="","",IF(LOG_ST!AF60=1,"OK",IF(LOG_ST!AF60=2,"NR",IF(OR(LOG_ST!AF60=0,LOG_ST!AF60="X"),"N/A"))))</f>
        <v/>
      </c>
      <c r="AC61" s="574" t="str">
        <f>IF($L61="","",IF(LOG_ST!AG60=1,"OK",IF(LOG_ST!AG60=2,"NR",IF(OR(LOG_ST!AG60=0,LOG_ST!AG60="X"),"N/A"))))</f>
        <v/>
      </c>
      <c r="AD61" s="574" t="str">
        <f>IF($L61="","",IF(OR(LOG_ST!AH60=0,LOG_ST!AH60="X"),"N/A",LOG_ST!AH60))</f>
        <v/>
      </c>
      <c r="AE61" s="574" t="str">
        <f>IF($L61="","",IF(LOG_ST!AI60=1,"OK",IF(LOG_ST!AI60=2,"NR",IF(OR(LOG_ST!AI60=0,LOG_ST!AI60="X"),"N/A"))))</f>
        <v/>
      </c>
      <c r="AF61" s="574" t="str">
        <f>IF($L61="","",IF(LOG_ST!AJ60=1,"OK",IF(LOG_ST!AJ60=2,"NR",IF(OR(LOG_ST!AJ60=0,LOG_ST!AJ60="X"),"N/A"))))</f>
        <v/>
      </c>
      <c r="AG61" s="574" t="str">
        <f>IF($L61="","",IF(LOG_ST!AK60=1,"OK",IF(LOG_ST!AK60=2,"NR",IF(OR(LOG_ST!AK60=0,LOG_ST!AK60="X"),"N/A"))))</f>
        <v/>
      </c>
      <c r="AH61" s="574" t="str">
        <f>IF($L61="","",IF(LOG_ST!AL60=1,"OK",IF(LOG_ST!AL60=2,"NR",IF(OR(LOG_ST!AL60=0,LOG_ST!AL60="X"),"N/A"))))</f>
        <v/>
      </c>
      <c r="AI61" s="574" t="str">
        <f>IF($L61="","",IF(LOG_ST!AM60=1,"OK",IF(LOG_ST!AM60=2,"NR",IF(OR(LOG_ST!AM60=0,LOG_ST!AM60="X"),"N/A"))))</f>
        <v/>
      </c>
      <c r="AJ61" s="574" t="str">
        <f>IF($L61="","",IF(LOG_ST!AN60=1,"OK",IF(LOG_ST!AN60=2,"NR",IF(OR(LOG_ST!AN60=0,LOG_ST!AN60="X"),"N/A"))))</f>
        <v/>
      </c>
      <c r="AK61" s="574" t="str">
        <f>IF($L61="","",IF(LOG_ST!AO60=1,"OK",IF(LOG_ST!AO60=2,"NR",IF(OR(LOG_ST!AO60=0,LOG_ST!AO60="X"),"N/A"))))</f>
        <v/>
      </c>
      <c r="AL61" s="574" t="str">
        <f>IF($L61="","",IF(LOG_ST!AP60=1,"OK",IF(LOG_ST!AP60=2,"NR",IF(OR(LOG_ST!AP60=0,LOG_ST!AP60="X"),"N/A"))))</f>
        <v/>
      </c>
      <c r="AM61" s="574" t="str">
        <f>IF($L61="","",IF(LOG_ST!AQ60=1,"OK",IF(LOG_ST!AQ60=2,"NR",IF(OR(LOG_ST!AQ60=0,LOG_ST!AQ60="X"),"N/A"))))</f>
        <v/>
      </c>
      <c r="AN61" s="550" t="str">
        <f t="shared" si="0"/>
        <v/>
      </c>
    </row>
    <row r="62" spans="2:40" x14ac:dyDescent="0.25">
      <c r="B62" s="551" t="str">
        <f>IF(LOG_ST!F61="","",VLOOKUP(LOG_ST!F61,DATA_BASE!$A$46:$C$57,2,FALSE))</f>
        <v/>
      </c>
      <c r="C62" s="570" t="str">
        <f>IF(LOG_ST!G61="","",VLOOKUP(LOG_ST!G61,DATA_HDG,2,FALSE))</f>
        <v/>
      </c>
      <c r="D62" s="571" t="str">
        <f>IF(LOG_ST!H61="","",LOG_ST!H61)</f>
        <v/>
      </c>
      <c r="E62" s="570" t="str">
        <f>IF(LOG_ST!I61="","",VLOOKUP(LOG_ST!I61,DATA_COP,2,FALSE))</f>
        <v/>
      </c>
      <c r="F62" s="573" t="str">
        <f>IF(LOG_ST!J61="","",LOG_ST!J61)</f>
        <v/>
      </c>
      <c r="G62" s="570" t="str">
        <f>IF(LOG_ST!K61="","",VLOOKUP(LOG_ST!K61,DATA_SCIES,2,FALSE))</f>
        <v/>
      </c>
      <c r="H62" s="570" t="str">
        <f>IF(LOG_ST!L61="","",VLOOKUP(LOG_ST!L61,DATA_ST!$U$7:$V$64,2,FALSE))</f>
        <v/>
      </c>
      <c r="I62" s="570" t="str">
        <f>IF(LOG_ST!M61="","",LOG_ST!M61)</f>
        <v/>
      </c>
      <c r="J62" s="570" t="str">
        <f>IF(LOG_ST!N61="","",LOG_ST!N61)</f>
        <v/>
      </c>
      <c r="K62" s="573" t="str">
        <f>IF(LOG_ST!O61="","",LOG_ST!O61)</f>
        <v/>
      </c>
      <c r="L62" s="573" t="str">
        <f>IF(LOG_ST!P61="","",LOG_ST!P61)</f>
        <v/>
      </c>
      <c r="M62" s="574" t="str">
        <f>IF($L62="","",IF(LOG_ST!Q61=1,"OK",IF(LOG_ST!Q61=2,"NR",IF(OR(LOG_ST!Q61=0,LOG_ST!Q61="X"),"N/A"))))</f>
        <v/>
      </c>
      <c r="N62" s="574" t="str">
        <f>IF($L62="","",IF(LOG_ST!R61=1,"OK",IF(LOG_ST!R61=2,"NR",IF(OR(LOG_ST!R61=0,LOG_ST!R61="X"),"N/A"))))</f>
        <v/>
      </c>
      <c r="O62" s="574" t="str">
        <f>IF($L62="","",IF(LOG_ST!S61=1,"OK",IF(LOG_ST!S61=2,"NR",IF(OR(LOG_ST!S61=0,LOG_ST!S61="X"),"N/A"))))</f>
        <v/>
      </c>
      <c r="P62" s="574" t="str">
        <f>IF($L62="","",IF(LOG_ST!T61=1,"OK",IF(LOG_ST!T61=2,"NR",IF(OR(LOG_ST!T61=0,LOG_ST!T61="X"),"N/A"))))</f>
        <v/>
      </c>
      <c r="Q62" s="574" t="str">
        <f>IF($L62="","",IF(LOG_ST!U61=1,"OK",IF(LOG_ST!U61=2,"NR",IF(OR(LOG_ST!U61=0,LOG_ST!U61="X"),"N/A"))))</f>
        <v/>
      </c>
      <c r="R62" s="574" t="str">
        <f>IF($L62="","",IF(LOG_ST!V61=1,"OK",IF(LOG_ST!V61=2,"NR",IF(OR(LOG_ST!V61=0,LOG_ST!V61="X"),"N/A"))))</f>
        <v/>
      </c>
      <c r="S62" s="574" t="str">
        <f>IF($L62="","",IF(LOG_ST!W61=1,"OK",IF(LOG_ST!W61=2,"NR",IF(OR(LOG_ST!W61=0,LOG_ST!W61="X"),"N/A"))))</f>
        <v/>
      </c>
      <c r="T62" s="574" t="str">
        <f>IF($L62="","",IF(LOG_ST!X61=1,"OK",IF(LOG_ST!X61=2,"NR",IF(OR(LOG_ST!X61=0,LOG_ST!X61="X"),"N/A"))))</f>
        <v/>
      </c>
      <c r="U62" s="574" t="str">
        <f>IF($L62="","",IF(LOG_ST!Y61=1,"OK",IF(LOG_ST!Y61=2,"NR",IF(OR(LOG_ST!Y61=0,LOG_ST!Y61="X"),"N/A"))))</f>
        <v/>
      </c>
      <c r="V62" s="574" t="str">
        <f>IF($L62="","",IF(LOG_ST!Z61=1,"OK",IF(LOG_ST!Z61=2,"NR",IF(OR(LOG_ST!Z61=0,LOG_ST!Z61="X"),"N/A"))))</f>
        <v/>
      </c>
      <c r="W62" s="574" t="str">
        <f>IF($L62="","",IF(LOG_ST!AA61=1,"OK",IF(LOG_ST!AA61=2,"NR",IF(OR(LOG_ST!AA61=0,LOG_ST!AA61="X"),"N/A"))))</f>
        <v/>
      </c>
      <c r="X62" s="574" t="str">
        <f>IF($L62="","",IF(LOG_ST!AB61=1,"OK",IF(LOG_ST!AB61=2,"NR",IF(OR(LOG_ST!AB61=0,LOG_ST!AB61="X"),"N/A"))))</f>
        <v/>
      </c>
      <c r="Y62" s="574" t="str">
        <f>IF($L62="","",IF(LOG_ST!AC61=1,"OK",IF(LOG_ST!AC61=2,"NR",IF(OR(LOG_ST!AC61=0,LOG_ST!AC61="X"),"N/A"))))</f>
        <v/>
      </c>
      <c r="Z62" s="574" t="str">
        <f>IF($L62="","",IF(OR(LOG_ST!AD61=0,LOG_ST!AD61="X"),"N/A",LOG_ST!AD61))</f>
        <v/>
      </c>
      <c r="AA62" s="574" t="str">
        <f>IF($L62="","",IF(LOG_ST!AE61=1,"OK",IF(LOG_ST!AE61=2,"NR",IF(OR(LOG_ST!AE61=0,LOG_ST!AE61="X"),"N/A"))))</f>
        <v/>
      </c>
      <c r="AB62" s="574" t="str">
        <f>IF($L62="","",IF(LOG_ST!AF61=1,"OK",IF(LOG_ST!AF61=2,"NR",IF(OR(LOG_ST!AF61=0,LOG_ST!AF61="X"),"N/A"))))</f>
        <v/>
      </c>
      <c r="AC62" s="574" t="str">
        <f>IF($L62="","",IF(LOG_ST!AG61=1,"OK",IF(LOG_ST!AG61=2,"NR",IF(OR(LOG_ST!AG61=0,LOG_ST!AG61="X"),"N/A"))))</f>
        <v/>
      </c>
      <c r="AD62" s="574" t="str">
        <f>IF($L62="","",IF(OR(LOG_ST!AH61=0,LOG_ST!AH61="X"),"N/A",LOG_ST!AH61))</f>
        <v/>
      </c>
      <c r="AE62" s="574" t="str">
        <f>IF($L62="","",IF(LOG_ST!AI61=1,"OK",IF(LOG_ST!AI61=2,"NR",IF(OR(LOG_ST!AI61=0,LOG_ST!AI61="X"),"N/A"))))</f>
        <v/>
      </c>
      <c r="AF62" s="574" t="str">
        <f>IF($L62="","",IF(LOG_ST!AJ61=1,"OK",IF(LOG_ST!AJ61=2,"NR",IF(OR(LOG_ST!AJ61=0,LOG_ST!AJ61="X"),"N/A"))))</f>
        <v/>
      </c>
      <c r="AG62" s="574" t="str">
        <f>IF($L62="","",IF(LOG_ST!AK61=1,"OK",IF(LOG_ST!AK61=2,"NR",IF(OR(LOG_ST!AK61=0,LOG_ST!AK61="X"),"N/A"))))</f>
        <v/>
      </c>
      <c r="AH62" s="574" t="str">
        <f>IF($L62="","",IF(LOG_ST!AL61=1,"OK",IF(LOG_ST!AL61=2,"NR",IF(OR(LOG_ST!AL61=0,LOG_ST!AL61="X"),"N/A"))))</f>
        <v/>
      </c>
      <c r="AI62" s="574" t="str">
        <f>IF($L62="","",IF(LOG_ST!AM61=1,"OK",IF(LOG_ST!AM61=2,"NR",IF(OR(LOG_ST!AM61=0,LOG_ST!AM61="X"),"N/A"))))</f>
        <v/>
      </c>
      <c r="AJ62" s="574" t="str">
        <f>IF($L62="","",IF(LOG_ST!AN61=1,"OK",IF(LOG_ST!AN61=2,"NR",IF(OR(LOG_ST!AN61=0,LOG_ST!AN61="X"),"N/A"))))</f>
        <v/>
      </c>
      <c r="AK62" s="574" t="str">
        <f>IF($L62="","",IF(LOG_ST!AO61=1,"OK",IF(LOG_ST!AO61=2,"NR",IF(OR(LOG_ST!AO61=0,LOG_ST!AO61="X"),"N/A"))))</f>
        <v/>
      </c>
      <c r="AL62" s="574" t="str">
        <f>IF($L62="","",IF(LOG_ST!AP61=1,"OK",IF(LOG_ST!AP61=2,"NR",IF(OR(LOG_ST!AP61=0,LOG_ST!AP61="X"),"N/A"))))</f>
        <v/>
      </c>
      <c r="AM62" s="574" t="str">
        <f>IF($L62="","",IF(LOG_ST!AQ61=1,"OK",IF(LOG_ST!AQ61=2,"NR",IF(OR(LOG_ST!AQ61=0,LOG_ST!AQ61="X"),"N/A"))))</f>
        <v/>
      </c>
      <c r="AN62" s="550" t="str">
        <f t="shared" si="0"/>
        <v/>
      </c>
    </row>
    <row r="63" spans="2:40" x14ac:dyDescent="0.25">
      <c r="B63" s="551" t="str">
        <f>IF(LOG_ST!F62="","",VLOOKUP(LOG_ST!F62,DATA_BASE!$A$46:$C$57,2,FALSE))</f>
        <v/>
      </c>
      <c r="C63" s="570" t="str">
        <f>IF(LOG_ST!G62="","",VLOOKUP(LOG_ST!G62,DATA_HDG,2,FALSE))</f>
        <v/>
      </c>
      <c r="D63" s="571" t="str">
        <f>IF(LOG_ST!H62="","",LOG_ST!H62)</f>
        <v/>
      </c>
      <c r="E63" s="570" t="str">
        <f>IF(LOG_ST!I62="","",VLOOKUP(LOG_ST!I62,DATA_COP,2,FALSE))</f>
        <v/>
      </c>
      <c r="F63" s="573" t="str">
        <f>IF(LOG_ST!J62="","",LOG_ST!J62)</f>
        <v/>
      </c>
      <c r="G63" s="570" t="str">
        <f>IF(LOG_ST!K62="","",VLOOKUP(LOG_ST!K62,DATA_SCIES,2,FALSE))</f>
        <v/>
      </c>
      <c r="H63" s="570" t="str">
        <f>IF(LOG_ST!L62="","",VLOOKUP(LOG_ST!L62,DATA_ST!$U$7:$V$64,2,FALSE))</f>
        <v/>
      </c>
      <c r="I63" s="570" t="str">
        <f>IF(LOG_ST!M62="","",LOG_ST!M62)</f>
        <v/>
      </c>
      <c r="J63" s="570" t="str">
        <f>IF(LOG_ST!N62="","",LOG_ST!N62)</f>
        <v/>
      </c>
      <c r="K63" s="573" t="str">
        <f>IF(LOG_ST!O62="","",LOG_ST!O62)</f>
        <v/>
      </c>
      <c r="L63" s="573" t="str">
        <f>IF(LOG_ST!P62="","",LOG_ST!P62)</f>
        <v/>
      </c>
      <c r="M63" s="574" t="str">
        <f>IF($L63="","",IF(LOG_ST!Q62=1,"OK",IF(LOG_ST!Q62=2,"NR",IF(OR(LOG_ST!Q62=0,LOG_ST!Q62="X"),"N/A"))))</f>
        <v/>
      </c>
      <c r="N63" s="574" t="str">
        <f>IF($L63="","",IF(LOG_ST!R62=1,"OK",IF(LOG_ST!R62=2,"NR",IF(OR(LOG_ST!R62=0,LOG_ST!R62="X"),"N/A"))))</f>
        <v/>
      </c>
      <c r="O63" s="574" t="str">
        <f>IF($L63="","",IF(LOG_ST!S62=1,"OK",IF(LOG_ST!S62=2,"NR",IF(OR(LOG_ST!S62=0,LOG_ST!S62="X"),"N/A"))))</f>
        <v/>
      </c>
      <c r="P63" s="574" t="str">
        <f>IF($L63="","",IF(LOG_ST!T62=1,"OK",IF(LOG_ST!T62=2,"NR",IF(OR(LOG_ST!T62=0,LOG_ST!T62="X"),"N/A"))))</f>
        <v/>
      </c>
      <c r="Q63" s="574" t="str">
        <f>IF($L63="","",IF(LOG_ST!U62=1,"OK",IF(LOG_ST!U62=2,"NR",IF(OR(LOG_ST!U62=0,LOG_ST!U62="X"),"N/A"))))</f>
        <v/>
      </c>
      <c r="R63" s="574" t="str">
        <f>IF($L63="","",IF(LOG_ST!V62=1,"OK",IF(LOG_ST!V62=2,"NR",IF(OR(LOG_ST!V62=0,LOG_ST!V62="X"),"N/A"))))</f>
        <v/>
      </c>
      <c r="S63" s="574" t="str">
        <f>IF($L63="","",IF(LOG_ST!W62=1,"OK",IF(LOG_ST!W62=2,"NR",IF(OR(LOG_ST!W62=0,LOG_ST!W62="X"),"N/A"))))</f>
        <v/>
      </c>
      <c r="T63" s="574" t="str">
        <f>IF($L63="","",IF(LOG_ST!X62=1,"OK",IF(LOG_ST!X62=2,"NR",IF(OR(LOG_ST!X62=0,LOG_ST!X62="X"),"N/A"))))</f>
        <v/>
      </c>
      <c r="U63" s="574" t="str">
        <f>IF($L63="","",IF(LOG_ST!Y62=1,"OK",IF(LOG_ST!Y62=2,"NR",IF(OR(LOG_ST!Y62=0,LOG_ST!Y62="X"),"N/A"))))</f>
        <v/>
      </c>
      <c r="V63" s="574" t="str">
        <f>IF($L63="","",IF(LOG_ST!Z62=1,"OK",IF(LOG_ST!Z62=2,"NR",IF(OR(LOG_ST!Z62=0,LOG_ST!Z62="X"),"N/A"))))</f>
        <v/>
      </c>
      <c r="W63" s="574" t="str">
        <f>IF($L63="","",IF(LOG_ST!AA62=1,"OK",IF(LOG_ST!AA62=2,"NR",IF(OR(LOG_ST!AA62=0,LOG_ST!AA62="X"),"N/A"))))</f>
        <v/>
      </c>
      <c r="X63" s="574" t="str">
        <f>IF($L63="","",IF(LOG_ST!AB62=1,"OK",IF(LOG_ST!AB62=2,"NR",IF(OR(LOG_ST!AB62=0,LOG_ST!AB62="X"),"N/A"))))</f>
        <v/>
      </c>
      <c r="Y63" s="574" t="str">
        <f>IF($L63="","",IF(LOG_ST!AC62=1,"OK",IF(LOG_ST!AC62=2,"NR",IF(OR(LOG_ST!AC62=0,LOG_ST!AC62="X"),"N/A"))))</f>
        <v/>
      </c>
      <c r="Z63" s="574" t="str">
        <f>IF($L63="","",IF(OR(LOG_ST!AD62=0,LOG_ST!AD62="X"),"N/A",LOG_ST!AD62))</f>
        <v/>
      </c>
      <c r="AA63" s="574" t="str">
        <f>IF($L63="","",IF(LOG_ST!AE62=1,"OK",IF(LOG_ST!AE62=2,"NR",IF(OR(LOG_ST!AE62=0,LOG_ST!AE62="X"),"N/A"))))</f>
        <v/>
      </c>
      <c r="AB63" s="574" t="str">
        <f>IF($L63="","",IF(LOG_ST!AF62=1,"OK",IF(LOG_ST!AF62=2,"NR",IF(OR(LOG_ST!AF62=0,LOG_ST!AF62="X"),"N/A"))))</f>
        <v/>
      </c>
      <c r="AC63" s="574" t="str">
        <f>IF($L63="","",IF(LOG_ST!AG62=1,"OK",IF(LOG_ST!AG62=2,"NR",IF(OR(LOG_ST!AG62=0,LOG_ST!AG62="X"),"N/A"))))</f>
        <v/>
      </c>
      <c r="AD63" s="574" t="str">
        <f>IF($L63="","",IF(OR(LOG_ST!AH62=0,LOG_ST!AH62="X"),"N/A",LOG_ST!AH62))</f>
        <v/>
      </c>
      <c r="AE63" s="574" t="str">
        <f>IF($L63="","",IF(LOG_ST!AI62=1,"OK",IF(LOG_ST!AI62=2,"NR",IF(OR(LOG_ST!AI62=0,LOG_ST!AI62="X"),"N/A"))))</f>
        <v/>
      </c>
      <c r="AF63" s="574" t="str">
        <f>IF($L63="","",IF(LOG_ST!AJ62=1,"OK",IF(LOG_ST!AJ62=2,"NR",IF(OR(LOG_ST!AJ62=0,LOG_ST!AJ62="X"),"N/A"))))</f>
        <v/>
      </c>
      <c r="AG63" s="574" t="str">
        <f>IF($L63="","",IF(LOG_ST!AK62=1,"OK",IF(LOG_ST!AK62=2,"NR",IF(OR(LOG_ST!AK62=0,LOG_ST!AK62="X"),"N/A"))))</f>
        <v/>
      </c>
      <c r="AH63" s="574" t="str">
        <f>IF($L63="","",IF(LOG_ST!AL62=1,"OK",IF(LOG_ST!AL62=2,"NR",IF(OR(LOG_ST!AL62=0,LOG_ST!AL62="X"),"N/A"))))</f>
        <v/>
      </c>
      <c r="AI63" s="574" t="str">
        <f>IF($L63="","",IF(LOG_ST!AM62=1,"OK",IF(LOG_ST!AM62=2,"NR",IF(OR(LOG_ST!AM62=0,LOG_ST!AM62="X"),"N/A"))))</f>
        <v/>
      </c>
      <c r="AJ63" s="574" t="str">
        <f>IF($L63="","",IF(LOG_ST!AN62=1,"OK",IF(LOG_ST!AN62=2,"NR",IF(OR(LOG_ST!AN62=0,LOG_ST!AN62="X"),"N/A"))))</f>
        <v/>
      </c>
      <c r="AK63" s="574" t="str">
        <f>IF($L63="","",IF(LOG_ST!AO62=1,"OK",IF(LOG_ST!AO62=2,"NR",IF(OR(LOG_ST!AO62=0,LOG_ST!AO62="X"),"N/A"))))</f>
        <v/>
      </c>
      <c r="AL63" s="574" t="str">
        <f>IF($L63="","",IF(LOG_ST!AP62=1,"OK",IF(LOG_ST!AP62=2,"NR",IF(OR(LOG_ST!AP62=0,LOG_ST!AP62="X"),"N/A"))))</f>
        <v/>
      </c>
      <c r="AM63" s="574" t="str">
        <f>IF($L63="","",IF(LOG_ST!AQ62=1,"OK",IF(LOG_ST!AQ62=2,"NR",IF(OR(LOG_ST!AQ62=0,LOG_ST!AQ62="X"),"N/A"))))</f>
        <v/>
      </c>
      <c r="AN63" s="550" t="str">
        <f t="shared" si="0"/>
        <v/>
      </c>
    </row>
    <row r="64" spans="2:40" x14ac:dyDescent="0.25">
      <c r="B64" s="551" t="str">
        <f>IF(LOG_ST!F63="","",VLOOKUP(LOG_ST!F63,DATA_BASE!$A$46:$C$57,2,FALSE))</f>
        <v/>
      </c>
      <c r="C64" s="570" t="str">
        <f>IF(LOG_ST!G63="","",VLOOKUP(LOG_ST!G63,DATA_HDG,2,FALSE))</f>
        <v/>
      </c>
      <c r="D64" s="571" t="str">
        <f>IF(LOG_ST!H63="","",LOG_ST!H63)</f>
        <v/>
      </c>
      <c r="E64" s="570" t="str">
        <f>IF(LOG_ST!I63="","",VLOOKUP(LOG_ST!I63,DATA_COP,2,FALSE))</f>
        <v/>
      </c>
      <c r="F64" s="573" t="str">
        <f>IF(LOG_ST!J63="","",LOG_ST!J63)</f>
        <v/>
      </c>
      <c r="G64" s="570" t="str">
        <f>IF(LOG_ST!K63="","",VLOOKUP(LOG_ST!K63,DATA_SCIES,2,FALSE))</f>
        <v/>
      </c>
      <c r="H64" s="570" t="str">
        <f>IF(LOG_ST!L63="","",VLOOKUP(LOG_ST!L63,DATA_ST!$U$7:$V$64,2,FALSE))</f>
        <v/>
      </c>
      <c r="I64" s="570" t="str">
        <f>IF(LOG_ST!M63="","",LOG_ST!M63)</f>
        <v/>
      </c>
      <c r="J64" s="570" t="str">
        <f>IF(LOG_ST!N63="","",LOG_ST!N63)</f>
        <v/>
      </c>
      <c r="K64" s="573" t="str">
        <f>IF(LOG_ST!O63="","",LOG_ST!O63)</f>
        <v/>
      </c>
      <c r="L64" s="573" t="str">
        <f>IF(LOG_ST!P63="","",LOG_ST!P63)</f>
        <v/>
      </c>
      <c r="M64" s="574" t="str">
        <f>IF($L64="","",IF(LOG_ST!Q63=1,"OK",IF(LOG_ST!Q63=2,"NR",IF(OR(LOG_ST!Q63=0,LOG_ST!Q63="X"),"N/A"))))</f>
        <v/>
      </c>
      <c r="N64" s="574" t="str">
        <f>IF($L64="","",IF(LOG_ST!R63=1,"OK",IF(LOG_ST!R63=2,"NR",IF(OR(LOG_ST!R63=0,LOG_ST!R63="X"),"N/A"))))</f>
        <v/>
      </c>
      <c r="O64" s="574" t="str">
        <f>IF($L64="","",IF(LOG_ST!S63=1,"OK",IF(LOG_ST!S63=2,"NR",IF(OR(LOG_ST!S63=0,LOG_ST!S63="X"),"N/A"))))</f>
        <v/>
      </c>
      <c r="P64" s="574" t="str">
        <f>IF($L64="","",IF(LOG_ST!T63=1,"OK",IF(LOG_ST!T63=2,"NR",IF(OR(LOG_ST!T63=0,LOG_ST!T63="X"),"N/A"))))</f>
        <v/>
      </c>
      <c r="Q64" s="574" t="str">
        <f>IF($L64="","",IF(LOG_ST!U63=1,"OK",IF(LOG_ST!U63=2,"NR",IF(OR(LOG_ST!U63=0,LOG_ST!U63="X"),"N/A"))))</f>
        <v/>
      </c>
      <c r="R64" s="574" t="str">
        <f>IF($L64="","",IF(LOG_ST!V63=1,"OK",IF(LOG_ST!V63=2,"NR",IF(OR(LOG_ST!V63=0,LOG_ST!V63="X"),"N/A"))))</f>
        <v/>
      </c>
      <c r="S64" s="574" t="str">
        <f>IF($L64="","",IF(LOG_ST!W63=1,"OK",IF(LOG_ST!W63=2,"NR",IF(OR(LOG_ST!W63=0,LOG_ST!W63="X"),"N/A"))))</f>
        <v/>
      </c>
      <c r="T64" s="574" t="str">
        <f>IF($L64="","",IF(LOG_ST!X63=1,"OK",IF(LOG_ST!X63=2,"NR",IF(OR(LOG_ST!X63=0,LOG_ST!X63="X"),"N/A"))))</f>
        <v/>
      </c>
      <c r="U64" s="574" t="str">
        <f>IF($L64="","",IF(LOG_ST!Y63=1,"OK",IF(LOG_ST!Y63=2,"NR",IF(OR(LOG_ST!Y63=0,LOG_ST!Y63="X"),"N/A"))))</f>
        <v/>
      </c>
      <c r="V64" s="574" t="str">
        <f>IF($L64="","",IF(LOG_ST!Z63=1,"OK",IF(LOG_ST!Z63=2,"NR",IF(OR(LOG_ST!Z63=0,LOG_ST!Z63="X"),"N/A"))))</f>
        <v/>
      </c>
      <c r="W64" s="574" t="str">
        <f>IF($L64="","",IF(LOG_ST!AA63=1,"OK",IF(LOG_ST!AA63=2,"NR",IF(OR(LOG_ST!AA63=0,LOG_ST!AA63="X"),"N/A"))))</f>
        <v/>
      </c>
      <c r="X64" s="574" t="str">
        <f>IF($L64="","",IF(LOG_ST!AB63=1,"OK",IF(LOG_ST!AB63=2,"NR",IF(OR(LOG_ST!AB63=0,LOG_ST!AB63="X"),"N/A"))))</f>
        <v/>
      </c>
      <c r="Y64" s="574" t="str">
        <f>IF($L64="","",IF(LOG_ST!AC63=1,"OK",IF(LOG_ST!AC63=2,"NR",IF(OR(LOG_ST!AC63=0,LOG_ST!AC63="X"),"N/A"))))</f>
        <v/>
      </c>
      <c r="Z64" s="574" t="str">
        <f>IF($L64="","",IF(OR(LOG_ST!AD63=0,LOG_ST!AD63="X"),"N/A",LOG_ST!AD63))</f>
        <v/>
      </c>
      <c r="AA64" s="574" t="str">
        <f>IF($L64="","",IF(LOG_ST!AE63=1,"OK",IF(LOG_ST!AE63=2,"NR",IF(OR(LOG_ST!AE63=0,LOG_ST!AE63="X"),"N/A"))))</f>
        <v/>
      </c>
      <c r="AB64" s="574" t="str">
        <f>IF($L64="","",IF(LOG_ST!AF63=1,"OK",IF(LOG_ST!AF63=2,"NR",IF(OR(LOG_ST!AF63=0,LOG_ST!AF63="X"),"N/A"))))</f>
        <v/>
      </c>
      <c r="AC64" s="574" t="str">
        <f>IF($L64="","",IF(LOG_ST!AG63=1,"OK",IF(LOG_ST!AG63=2,"NR",IF(OR(LOG_ST!AG63=0,LOG_ST!AG63="X"),"N/A"))))</f>
        <v/>
      </c>
      <c r="AD64" s="574" t="str">
        <f>IF($L64="","",IF(OR(LOG_ST!AH63=0,LOG_ST!AH63="X"),"N/A",LOG_ST!AH63))</f>
        <v/>
      </c>
      <c r="AE64" s="574" t="str">
        <f>IF($L64="","",IF(LOG_ST!AI63=1,"OK",IF(LOG_ST!AI63=2,"NR",IF(OR(LOG_ST!AI63=0,LOG_ST!AI63="X"),"N/A"))))</f>
        <v/>
      </c>
      <c r="AF64" s="574" t="str">
        <f>IF($L64="","",IF(LOG_ST!AJ63=1,"OK",IF(LOG_ST!AJ63=2,"NR",IF(OR(LOG_ST!AJ63=0,LOG_ST!AJ63="X"),"N/A"))))</f>
        <v/>
      </c>
      <c r="AG64" s="574" t="str">
        <f>IF($L64="","",IF(LOG_ST!AK63=1,"OK",IF(LOG_ST!AK63=2,"NR",IF(OR(LOG_ST!AK63=0,LOG_ST!AK63="X"),"N/A"))))</f>
        <v/>
      </c>
      <c r="AH64" s="574" t="str">
        <f>IF($L64="","",IF(LOG_ST!AL63=1,"OK",IF(LOG_ST!AL63=2,"NR",IF(OR(LOG_ST!AL63=0,LOG_ST!AL63="X"),"N/A"))))</f>
        <v/>
      </c>
      <c r="AI64" s="574" t="str">
        <f>IF($L64="","",IF(LOG_ST!AM63=1,"OK",IF(LOG_ST!AM63=2,"NR",IF(OR(LOG_ST!AM63=0,LOG_ST!AM63="X"),"N/A"))))</f>
        <v/>
      </c>
      <c r="AJ64" s="574" t="str">
        <f>IF($L64="","",IF(LOG_ST!AN63=1,"OK",IF(LOG_ST!AN63=2,"NR",IF(OR(LOG_ST!AN63=0,LOG_ST!AN63="X"),"N/A"))))</f>
        <v/>
      </c>
      <c r="AK64" s="574" t="str">
        <f>IF($L64="","",IF(LOG_ST!AO63=1,"OK",IF(LOG_ST!AO63=2,"NR",IF(OR(LOG_ST!AO63=0,LOG_ST!AO63="X"),"N/A"))))</f>
        <v/>
      </c>
      <c r="AL64" s="574" t="str">
        <f>IF($L64="","",IF(LOG_ST!AP63=1,"OK",IF(LOG_ST!AP63=2,"NR",IF(OR(LOG_ST!AP63=0,LOG_ST!AP63="X"),"N/A"))))</f>
        <v/>
      </c>
      <c r="AM64" s="574" t="str">
        <f>IF($L64="","",IF(LOG_ST!AQ63=1,"OK",IF(LOG_ST!AQ63=2,"NR",IF(OR(LOG_ST!AQ63=0,LOG_ST!AQ63="X"),"N/A"))))</f>
        <v/>
      </c>
      <c r="AN64" s="550" t="str">
        <f t="shared" si="0"/>
        <v/>
      </c>
    </row>
    <row r="65" spans="2:40" x14ac:dyDescent="0.25">
      <c r="B65" s="551" t="str">
        <f>IF(LOG_ST!F64="","",VLOOKUP(LOG_ST!F64,DATA_BASE!$A$46:$C$57,2,FALSE))</f>
        <v/>
      </c>
      <c r="C65" s="570" t="str">
        <f>IF(LOG_ST!G64="","",VLOOKUP(LOG_ST!G64,DATA_HDG,2,FALSE))</f>
        <v/>
      </c>
      <c r="D65" s="571" t="str">
        <f>IF(LOG_ST!H64="","",LOG_ST!H64)</f>
        <v/>
      </c>
      <c r="E65" s="570" t="str">
        <f>IF(LOG_ST!I64="","",VLOOKUP(LOG_ST!I64,DATA_COP,2,FALSE))</f>
        <v/>
      </c>
      <c r="F65" s="573" t="str">
        <f>IF(LOG_ST!J64="","",LOG_ST!J64)</f>
        <v/>
      </c>
      <c r="G65" s="570" t="str">
        <f>IF(LOG_ST!K64="","",VLOOKUP(LOG_ST!K64,DATA_SCIES,2,FALSE))</f>
        <v/>
      </c>
      <c r="H65" s="570" t="str">
        <f>IF(LOG_ST!L64="","",VLOOKUP(LOG_ST!L64,DATA_ST!$U$7:$V$64,2,FALSE))</f>
        <v/>
      </c>
      <c r="I65" s="570" t="str">
        <f>IF(LOG_ST!M64="","",LOG_ST!M64)</f>
        <v/>
      </c>
      <c r="J65" s="570" t="str">
        <f>IF(LOG_ST!N64="","",LOG_ST!N64)</f>
        <v/>
      </c>
      <c r="K65" s="573" t="str">
        <f>IF(LOG_ST!O64="","",LOG_ST!O64)</f>
        <v/>
      </c>
      <c r="L65" s="573" t="str">
        <f>IF(LOG_ST!P64="","",LOG_ST!P64)</f>
        <v/>
      </c>
      <c r="M65" s="574" t="str">
        <f>IF($L65="","",IF(LOG_ST!Q64=1,"OK",IF(LOG_ST!Q64=2,"NR",IF(OR(LOG_ST!Q64=0,LOG_ST!Q64="X"),"N/A"))))</f>
        <v/>
      </c>
      <c r="N65" s="574" t="str">
        <f>IF($L65="","",IF(LOG_ST!R64=1,"OK",IF(LOG_ST!R64=2,"NR",IF(OR(LOG_ST!R64=0,LOG_ST!R64="X"),"N/A"))))</f>
        <v/>
      </c>
      <c r="O65" s="574" t="str">
        <f>IF($L65="","",IF(LOG_ST!S64=1,"OK",IF(LOG_ST!S64=2,"NR",IF(OR(LOG_ST!S64=0,LOG_ST!S64="X"),"N/A"))))</f>
        <v/>
      </c>
      <c r="P65" s="574" t="str">
        <f>IF($L65="","",IF(LOG_ST!T64=1,"OK",IF(LOG_ST!T64=2,"NR",IF(OR(LOG_ST!T64=0,LOG_ST!T64="X"),"N/A"))))</f>
        <v/>
      </c>
      <c r="Q65" s="574" t="str">
        <f>IF($L65="","",IF(LOG_ST!U64=1,"OK",IF(LOG_ST!U64=2,"NR",IF(OR(LOG_ST!U64=0,LOG_ST!U64="X"),"N/A"))))</f>
        <v/>
      </c>
      <c r="R65" s="574" t="str">
        <f>IF($L65="","",IF(LOG_ST!V64=1,"OK",IF(LOG_ST!V64=2,"NR",IF(OR(LOG_ST!V64=0,LOG_ST!V64="X"),"N/A"))))</f>
        <v/>
      </c>
      <c r="S65" s="574" t="str">
        <f>IF($L65="","",IF(LOG_ST!W64=1,"OK",IF(LOG_ST!W64=2,"NR",IF(OR(LOG_ST!W64=0,LOG_ST!W64="X"),"N/A"))))</f>
        <v/>
      </c>
      <c r="T65" s="574" t="str">
        <f>IF($L65="","",IF(LOG_ST!X64=1,"OK",IF(LOG_ST!X64=2,"NR",IF(OR(LOG_ST!X64=0,LOG_ST!X64="X"),"N/A"))))</f>
        <v/>
      </c>
      <c r="U65" s="574" t="str">
        <f>IF($L65="","",IF(LOG_ST!Y64=1,"OK",IF(LOG_ST!Y64=2,"NR",IF(OR(LOG_ST!Y64=0,LOG_ST!Y64="X"),"N/A"))))</f>
        <v/>
      </c>
      <c r="V65" s="574" t="str">
        <f>IF($L65="","",IF(LOG_ST!Z64=1,"OK",IF(LOG_ST!Z64=2,"NR",IF(OR(LOG_ST!Z64=0,LOG_ST!Z64="X"),"N/A"))))</f>
        <v/>
      </c>
      <c r="W65" s="574" t="str">
        <f>IF($L65="","",IF(LOG_ST!AA64=1,"OK",IF(LOG_ST!AA64=2,"NR",IF(OR(LOG_ST!AA64=0,LOG_ST!AA64="X"),"N/A"))))</f>
        <v/>
      </c>
      <c r="X65" s="574" t="str">
        <f>IF($L65="","",IF(LOG_ST!AB64=1,"OK",IF(LOG_ST!AB64=2,"NR",IF(OR(LOG_ST!AB64=0,LOG_ST!AB64="X"),"N/A"))))</f>
        <v/>
      </c>
      <c r="Y65" s="574" t="str">
        <f>IF($L65="","",IF(LOG_ST!AC64=1,"OK",IF(LOG_ST!AC64=2,"NR",IF(OR(LOG_ST!AC64=0,LOG_ST!AC64="X"),"N/A"))))</f>
        <v/>
      </c>
      <c r="Z65" s="574" t="str">
        <f>IF($L65="","",IF(OR(LOG_ST!AD64=0,LOG_ST!AD64="X"),"N/A",LOG_ST!AD64))</f>
        <v/>
      </c>
      <c r="AA65" s="574" t="str">
        <f>IF($L65="","",IF(LOG_ST!AE64=1,"OK",IF(LOG_ST!AE64=2,"NR",IF(OR(LOG_ST!AE64=0,LOG_ST!AE64="X"),"N/A"))))</f>
        <v/>
      </c>
      <c r="AB65" s="574" t="str">
        <f>IF($L65="","",IF(LOG_ST!AF64=1,"OK",IF(LOG_ST!AF64=2,"NR",IF(OR(LOG_ST!AF64=0,LOG_ST!AF64="X"),"N/A"))))</f>
        <v/>
      </c>
      <c r="AC65" s="574" t="str">
        <f>IF($L65="","",IF(LOG_ST!AG64=1,"OK",IF(LOG_ST!AG64=2,"NR",IF(OR(LOG_ST!AG64=0,LOG_ST!AG64="X"),"N/A"))))</f>
        <v/>
      </c>
      <c r="AD65" s="574" t="str">
        <f>IF($L65="","",IF(OR(LOG_ST!AH64=0,LOG_ST!AH64="X"),"N/A",LOG_ST!AH64))</f>
        <v/>
      </c>
      <c r="AE65" s="574" t="str">
        <f>IF($L65="","",IF(LOG_ST!AI64=1,"OK",IF(LOG_ST!AI64=2,"NR",IF(OR(LOG_ST!AI64=0,LOG_ST!AI64="X"),"N/A"))))</f>
        <v/>
      </c>
      <c r="AF65" s="574" t="str">
        <f>IF($L65="","",IF(LOG_ST!AJ64=1,"OK",IF(LOG_ST!AJ64=2,"NR",IF(OR(LOG_ST!AJ64=0,LOG_ST!AJ64="X"),"N/A"))))</f>
        <v/>
      </c>
      <c r="AG65" s="574" t="str">
        <f>IF($L65="","",IF(LOG_ST!AK64=1,"OK",IF(LOG_ST!AK64=2,"NR",IF(OR(LOG_ST!AK64=0,LOG_ST!AK64="X"),"N/A"))))</f>
        <v/>
      </c>
      <c r="AH65" s="574" t="str">
        <f>IF($L65="","",IF(LOG_ST!AL64=1,"OK",IF(LOG_ST!AL64=2,"NR",IF(OR(LOG_ST!AL64=0,LOG_ST!AL64="X"),"N/A"))))</f>
        <v/>
      </c>
      <c r="AI65" s="574" t="str">
        <f>IF($L65="","",IF(LOG_ST!AM64=1,"OK",IF(LOG_ST!AM64=2,"NR",IF(OR(LOG_ST!AM64=0,LOG_ST!AM64="X"),"N/A"))))</f>
        <v/>
      </c>
      <c r="AJ65" s="574" t="str">
        <f>IF($L65="","",IF(LOG_ST!AN64=1,"OK",IF(LOG_ST!AN64=2,"NR",IF(OR(LOG_ST!AN64=0,LOG_ST!AN64="X"),"N/A"))))</f>
        <v/>
      </c>
      <c r="AK65" s="574" t="str">
        <f>IF($L65="","",IF(LOG_ST!AO64=1,"OK",IF(LOG_ST!AO64=2,"NR",IF(OR(LOG_ST!AO64=0,LOG_ST!AO64="X"),"N/A"))))</f>
        <v/>
      </c>
      <c r="AL65" s="574" t="str">
        <f>IF($L65="","",IF(LOG_ST!AP64=1,"OK",IF(LOG_ST!AP64=2,"NR",IF(OR(LOG_ST!AP64=0,LOG_ST!AP64="X"),"N/A"))))</f>
        <v/>
      </c>
      <c r="AM65" s="574" t="str">
        <f>IF($L65="","",IF(LOG_ST!AQ64=1,"OK",IF(LOG_ST!AQ64=2,"NR",IF(OR(LOG_ST!AQ64=0,LOG_ST!AQ64="X"),"N/A"))))</f>
        <v/>
      </c>
      <c r="AN65" s="550" t="str">
        <f t="shared" si="0"/>
        <v/>
      </c>
    </row>
    <row r="66" spans="2:40" x14ac:dyDescent="0.25">
      <c r="B66" s="551" t="str">
        <f>IF(LOG_ST!F65="","",VLOOKUP(LOG_ST!F65,DATA_BASE!$A$46:$C$57,2,FALSE))</f>
        <v/>
      </c>
      <c r="C66" s="570" t="str">
        <f>IF(LOG_ST!G65="","",VLOOKUP(LOG_ST!G65,DATA_HDG,2,FALSE))</f>
        <v/>
      </c>
      <c r="D66" s="571" t="str">
        <f>IF(LOG_ST!H65="","",LOG_ST!H65)</f>
        <v/>
      </c>
      <c r="E66" s="570" t="str">
        <f>IF(LOG_ST!I65="","",VLOOKUP(LOG_ST!I65,DATA_COP,2,FALSE))</f>
        <v/>
      </c>
      <c r="F66" s="573" t="str">
        <f>IF(LOG_ST!J65="","",LOG_ST!J65)</f>
        <v/>
      </c>
      <c r="G66" s="570" t="str">
        <f>IF(LOG_ST!K65="","",VLOOKUP(LOG_ST!K65,DATA_SCIES,2,FALSE))</f>
        <v/>
      </c>
      <c r="H66" s="570" t="str">
        <f>IF(LOG_ST!L65="","",VLOOKUP(LOG_ST!L65,DATA_ST!$U$7:$V$64,2,FALSE))</f>
        <v/>
      </c>
      <c r="I66" s="570" t="str">
        <f>IF(LOG_ST!M65="","",LOG_ST!M65)</f>
        <v/>
      </c>
      <c r="J66" s="570" t="str">
        <f>IF(LOG_ST!N65="","",LOG_ST!N65)</f>
        <v/>
      </c>
      <c r="K66" s="573" t="str">
        <f>IF(LOG_ST!O65="","",LOG_ST!O65)</f>
        <v/>
      </c>
      <c r="L66" s="573" t="str">
        <f>IF(LOG_ST!P65="","",LOG_ST!P65)</f>
        <v/>
      </c>
      <c r="M66" s="574" t="str">
        <f>IF($L66="","",IF(LOG_ST!Q65=1,"OK",IF(LOG_ST!Q65=2,"NR",IF(OR(LOG_ST!Q65=0,LOG_ST!Q65="X"),"N/A"))))</f>
        <v/>
      </c>
      <c r="N66" s="574" t="str">
        <f>IF($L66="","",IF(LOG_ST!R65=1,"OK",IF(LOG_ST!R65=2,"NR",IF(OR(LOG_ST!R65=0,LOG_ST!R65="X"),"N/A"))))</f>
        <v/>
      </c>
      <c r="O66" s="574" t="str">
        <f>IF($L66="","",IF(LOG_ST!S65=1,"OK",IF(LOG_ST!S65=2,"NR",IF(OR(LOG_ST!S65=0,LOG_ST!S65="X"),"N/A"))))</f>
        <v/>
      </c>
      <c r="P66" s="574" t="str">
        <f>IF($L66="","",IF(LOG_ST!T65=1,"OK",IF(LOG_ST!T65=2,"NR",IF(OR(LOG_ST!T65=0,LOG_ST!T65="X"),"N/A"))))</f>
        <v/>
      </c>
      <c r="Q66" s="574" t="str">
        <f>IF($L66="","",IF(LOG_ST!U65=1,"OK",IF(LOG_ST!U65=2,"NR",IF(OR(LOG_ST!U65=0,LOG_ST!U65="X"),"N/A"))))</f>
        <v/>
      </c>
      <c r="R66" s="574" t="str">
        <f>IF($L66="","",IF(LOG_ST!V65=1,"OK",IF(LOG_ST!V65=2,"NR",IF(OR(LOG_ST!V65=0,LOG_ST!V65="X"),"N/A"))))</f>
        <v/>
      </c>
      <c r="S66" s="574" t="str">
        <f>IF($L66="","",IF(LOG_ST!W65=1,"OK",IF(LOG_ST!W65=2,"NR",IF(OR(LOG_ST!W65=0,LOG_ST!W65="X"),"N/A"))))</f>
        <v/>
      </c>
      <c r="T66" s="574" t="str">
        <f>IF($L66="","",IF(LOG_ST!X65=1,"OK",IF(LOG_ST!X65=2,"NR",IF(OR(LOG_ST!X65=0,LOG_ST!X65="X"),"N/A"))))</f>
        <v/>
      </c>
      <c r="U66" s="574" t="str">
        <f>IF($L66="","",IF(LOG_ST!Y65=1,"OK",IF(LOG_ST!Y65=2,"NR",IF(OR(LOG_ST!Y65=0,LOG_ST!Y65="X"),"N/A"))))</f>
        <v/>
      </c>
      <c r="V66" s="574" t="str">
        <f>IF($L66="","",IF(LOG_ST!Z65=1,"OK",IF(LOG_ST!Z65=2,"NR",IF(OR(LOG_ST!Z65=0,LOG_ST!Z65="X"),"N/A"))))</f>
        <v/>
      </c>
      <c r="W66" s="574" t="str">
        <f>IF($L66="","",IF(LOG_ST!AA65=1,"OK",IF(LOG_ST!AA65=2,"NR",IF(OR(LOG_ST!AA65=0,LOG_ST!AA65="X"),"N/A"))))</f>
        <v/>
      </c>
      <c r="X66" s="574" t="str">
        <f>IF($L66="","",IF(LOG_ST!AB65=1,"OK",IF(LOG_ST!AB65=2,"NR",IF(OR(LOG_ST!AB65=0,LOG_ST!AB65="X"),"N/A"))))</f>
        <v/>
      </c>
      <c r="Y66" s="574" t="str">
        <f>IF($L66="","",IF(LOG_ST!AC65=1,"OK",IF(LOG_ST!AC65=2,"NR",IF(OR(LOG_ST!AC65=0,LOG_ST!AC65="X"),"N/A"))))</f>
        <v/>
      </c>
      <c r="Z66" s="574" t="str">
        <f>IF($L66="","",IF(OR(LOG_ST!AD65=0,LOG_ST!AD65="X"),"N/A",LOG_ST!AD65))</f>
        <v/>
      </c>
      <c r="AA66" s="574" t="str">
        <f>IF($L66="","",IF(LOG_ST!AE65=1,"OK",IF(LOG_ST!AE65=2,"NR",IF(OR(LOG_ST!AE65=0,LOG_ST!AE65="X"),"N/A"))))</f>
        <v/>
      </c>
      <c r="AB66" s="574" t="str">
        <f>IF($L66="","",IF(LOG_ST!AF65=1,"OK",IF(LOG_ST!AF65=2,"NR",IF(OR(LOG_ST!AF65=0,LOG_ST!AF65="X"),"N/A"))))</f>
        <v/>
      </c>
      <c r="AC66" s="574" t="str">
        <f>IF($L66="","",IF(LOG_ST!AG65=1,"OK",IF(LOG_ST!AG65=2,"NR",IF(OR(LOG_ST!AG65=0,LOG_ST!AG65="X"),"N/A"))))</f>
        <v/>
      </c>
      <c r="AD66" s="574" t="str">
        <f>IF($L66="","",IF(OR(LOG_ST!AH65=0,LOG_ST!AH65="X"),"N/A",LOG_ST!AH65))</f>
        <v/>
      </c>
      <c r="AE66" s="574" t="str">
        <f>IF($L66="","",IF(LOG_ST!AI65=1,"OK",IF(LOG_ST!AI65=2,"NR",IF(OR(LOG_ST!AI65=0,LOG_ST!AI65="X"),"N/A"))))</f>
        <v/>
      </c>
      <c r="AF66" s="574" t="str">
        <f>IF($L66="","",IF(LOG_ST!AJ65=1,"OK",IF(LOG_ST!AJ65=2,"NR",IF(OR(LOG_ST!AJ65=0,LOG_ST!AJ65="X"),"N/A"))))</f>
        <v/>
      </c>
      <c r="AG66" s="574" t="str">
        <f>IF($L66="","",IF(LOG_ST!AK65=1,"OK",IF(LOG_ST!AK65=2,"NR",IF(OR(LOG_ST!AK65=0,LOG_ST!AK65="X"),"N/A"))))</f>
        <v/>
      </c>
      <c r="AH66" s="574" t="str">
        <f>IF($L66="","",IF(LOG_ST!AL65=1,"OK",IF(LOG_ST!AL65=2,"NR",IF(OR(LOG_ST!AL65=0,LOG_ST!AL65="X"),"N/A"))))</f>
        <v/>
      </c>
      <c r="AI66" s="574" t="str">
        <f>IF($L66="","",IF(LOG_ST!AM65=1,"OK",IF(LOG_ST!AM65=2,"NR",IF(OR(LOG_ST!AM65=0,LOG_ST!AM65="X"),"N/A"))))</f>
        <v/>
      </c>
      <c r="AJ66" s="574" t="str">
        <f>IF($L66="","",IF(LOG_ST!AN65=1,"OK",IF(LOG_ST!AN65=2,"NR",IF(OR(LOG_ST!AN65=0,LOG_ST!AN65="X"),"N/A"))))</f>
        <v/>
      </c>
      <c r="AK66" s="574" t="str">
        <f>IF($L66="","",IF(LOG_ST!AO65=1,"OK",IF(LOG_ST!AO65=2,"NR",IF(OR(LOG_ST!AO65=0,LOG_ST!AO65="X"),"N/A"))))</f>
        <v/>
      </c>
      <c r="AL66" s="574" t="str">
        <f>IF($L66="","",IF(LOG_ST!AP65=1,"OK",IF(LOG_ST!AP65=2,"NR",IF(OR(LOG_ST!AP65=0,LOG_ST!AP65="X"),"N/A"))))</f>
        <v/>
      </c>
      <c r="AM66" s="574" t="str">
        <f>IF($L66="","",IF(LOG_ST!AQ65=1,"OK",IF(LOG_ST!AQ65=2,"NR",IF(OR(LOG_ST!AQ65=0,LOG_ST!AQ65="X"),"N/A"))))</f>
        <v/>
      </c>
      <c r="AN66" s="550" t="str">
        <f t="shared" si="0"/>
        <v/>
      </c>
    </row>
    <row r="67" spans="2:40" x14ac:dyDescent="0.25">
      <c r="B67" s="551" t="str">
        <f>IF(LOG_ST!F66="","",VLOOKUP(LOG_ST!F66,DATA_BASE!$A$46:$C$57,2,FALSE))</f>
        <v/>
      </c>
      <c r="C67" s="570" t="str">
        <f>IF(LOG_ST!G66="","",VLOOKUP(LOG_ST!G66,DATA_HDG,2,FALSE))</f>
        <v/>
      </c>
      <c r="D67" s="571" t="str">
        <f>IF(LOG_ST!H66="","",LOG_ST!H66)</f>
        <v/>
      </c>
      <c r="E67" s="570" t="str">
        <f>IF(LOG_ST!I66="","",VLOOKUP(LOG_ST!I66,DATA_COP,2,FALSE))</f>
        <v/>
      </c>
      <c r="F67" s="573" t="str">
        <f>IF(LOG_ST!J66="","",LOG_ST!J66)</f>
        <v/>
      </c>
      <c r="G67" s="570" t="str">
        <f>IF(LOG_ST!K66="","",VLOOKUP(LOG_ST!K66,DATA_SCIES,2,FALSE))</f>
        <v/>
      </c>
      <c r="H67" s="570" t="str">
        <f>IF(LOG_ST!L66="","",VLOOKUP(LOG_ST!L66,DATA_ST!$U$7:$V$64,2,FALSE))</f>
        <v/>
      </c>
      <c r="I67" s="570" t="str">
        <f>IF(LOG_ST!M66="","",LOG_ST!M66)</f>
        <v/>
      </c>
      <c r="J67" s="570" t="str">
        <f>IF(LOG_ST!N66="","",LOG_ST!N66)</f>
        <v/>
      </c>
      <c r="K67" s="573" t="str">
        <f>IF(LOG_ST!O66="","",LOG_ST!O66)</f>
        <v/>
      </c>
      <c r="L67" s="573" t="str">
        <f>IF(LOG_ST!P66="","",LOG_ST!P66)</f>
        <v/>
      </c>
      <c r="M67" s="574" t="str">
        <f>IF($L67="","",IF(LOG_ST!Q66=1,"OK",IF(LOG_ST!Q66=2,"NR",IF(OR(LOG_ST!Q66=0,LOG_ST!Q66="X"),"N/A"))))</f>
        <v/>
      </c>
      <c r="N67" s="574" t="str">
        <f>IF($L67="","",IF(LOG_ST!R66=1,"OK",IF(LOG_ST!R66=2,"NR",IF(OR(LOG_ST!R66=0,LOG_ST!R66="X"),"N/A"))))</f>
        <v/>
      </c>
      <c r="O67" s="574" t="str">
        <f>IF($L67="","",IF(LOG_ST!S66=1,"OK",IF(LOG_ST!S66=2,"NR",IF(OR(LOG_ST!S66=0,LOG_ST!S66="X"),"N/A"))))</f>
        <v/>
      </c>
      <c r="P67" s="574" t="str">
        <f>IF($L67="","",IF(LOG_ST!T66=1,"OK",IF(LOG_ST!T66=2,"NR",IF(OR(LOG_ST!T66=0,LOG_ST!T66="X"),"N/A"))))</f>
        <v/>
      </c>
      <c r="Q67" s="574" t="str">
        <f>IF($L67="","",IF(LOG_ST!U66=1,"OK",IF(LOG_ST!U66=2,"NR",IF(OR(LOG_ST!U66=0,LOG_ST!U66="X"),"N/A"))))</f>
        <v/>
      </c>
      <c r="R67" s="574" t="str">
        <f>IF($L67="","",IF(LOG_ST!V66=1,"OK",IF(LOG_ST!V66=2,"NR",IF(OR(LOG_ST!V66=0,LOG_ST!V66="X"),"N/A"))))</f>
        <v/>
      </c>
      <c r="S67" s="574" t="str">
        <f>IF($L67="","",IF(LOG_ST!W66=1,"OK",IF(LOG_ST!W66=2,"NR",IF(OR(LOG_ST!W66=0,LOG_ST!W66="X"),"N/A"))))</f>
        <v/>
      </c>
      <c r="T67" s="574" t="str">
        <f>IF($L67="","",IF(LOG_ST!X66=1,"OK",IF(LOG_ST!X66=2,"NR",IF(OR(LOG_ST!X66=0,LOG_ST!X66="X"),"N/A"))))</f>
        <v/>
      </c>
      <c r="U67" s="574" t="str">
        <f>IF($L67="","",IF(LOG_ST!Y66=1,"OK",IF(LOG_ST!Y66=2,"NR",IF(OR(LOG_ST!Y66=0,LOG_ST!Y66="X"),"N/A"))))</f>
        <v/>
      </c>
      <c r="V67" s="574" t="str">
        <f>IF($L67="","",IF(LOG_ST!Z66=1,"OK",IF(LOG_ST!Z66=2,"NR",IF(OR(LOG_ST!Z66=0,LOG_ST!Z66="X"),"N/A"))))</f>
        <v/>
      </c>
      <c r="W67" s="574" t="str">
        <f>IF($L67="","",IF(LOG_ST!AA66=1,"OK",IF(LOG_ST!AA66=2,"NR",IF(OR(LOG_ST!AA66=0,LOG_ST!AA66="X"),"N/A"))))</f>
        <v/>
      </c>
      <c r="X67" s="574" t="str">
        <f>IF($L67="","",IF(LOG_ST!AB66=1,"OK",IF(LOG_ST!AB66=2,"NR",IF(OR(LOG_ST!AB66=0,LOG_ST!AB66="X"),"N/A"))))</f>
        <v/>
      </c>
      <c r="Y67" s="574" t="str">
        <f>IF($L67="","",IF(LOG_ST!AC66=1,"OK",IF(LOG_ST!AC66=2,"NR",IF(OR(LOG_ST!AC66=0,LOG_ST!AC66="X"),"N/A"))))</f>
        <v/>
      </c>
      <c r="Z67" s="574" t="str">
        <f>IF($L67="","",IF(OR(LOG_ST!AD66=0,LOG_ST!AD66="X"),"N/A",LOG_ST!AD66))</f>
        <v/>
      </c>
      <c r="AA67" s="574" t="str">
        <f>IF($L67="","",IF(LOG_ST!AE66=1,"OK",IF(LOG_ST!AE66=2,"NR",IF(OR(LOG_ST!AE66=0,LOG_ST!AE66="X"),"N/A"))))</f>
        <v/>
      </c>
      <c r="AB67" s="574" t="str">
        <f>IF($L67="","",IF(LOG_ST!AF66=1,"OK",IF(LOG_ST!AF66=2,"NR",IF(OR(LOG_ST!AF66=0,LOG_ST!AF66="X"),"N/A"))))</f>
        <v/>
      </c>
      <c r="AC67" s="574" t="str">
        <f>IF($L67="","",IF(LOG_ST!AG66=1,"OK",IF(LOG_ST!AG66=2,"NR",IF(OR(LOG_ST!AG66=0,LOG_ST!AG66="X"),"N/A"))))</f>
        <v/>
      </c>
      <c r="AD67" s="574" t="str">
        <f>IF($L67="","",IF(OR(LOG_ST!AH66=0,LOG_ST!AH66="X"),"N/A",LOG_ST!AH66))</f>
        <v/>
      </c>
      <c r="AE67" s="574" t="str">
        <f>IF($L67="","",IF(LOG_ST!AI66=1,"OK",IF(LOG_ST!AI66=2,"NR",IF(OR(LOG_ST!AI66=0,LOG_ST!AI66="X"),"N/A"))))</f>
        <v/>
      </c>
      <c r="AF67" s="574" t="str">
        <f>IF($L67="","",IF(LOG_ST!AJ66=1,"OK",IF(LOG_ST!AJ66=2,"NR",IF(OR(LOG_ST!AJ66=0,LOG_ST!AJ66="X"),"N/A"))))</f>
        <v/>
      </c>
      <c r="AG67" s="574" t="str">
        <f>IF($L67="","",IF(LOG_ST!AK66=1,"OK",IF(LOG_ST!AK66=2,"NR",IF(OR(LOG_ST!AK66=0,LOG_ST!AK66="X"),"N/A"))))</f>
        <v/>
      </c>
      <c r="AH67" s="574" t="str">
        <f>IF($L67="","",IF(LOG_ST!AL66=1,"OK",IF(LOG_ST!AL66=2,"NR",IF(OR(LOG_ST!AL66=0,LOG_ST!AL66="X"),"N/A"))))</f>
        <v/>
      </c>
      <c r="AI67" s="574" t="str">
        <f>IF($L67="","",IF(LOG_ST!AM66=1,"OK",IF(LOG_ST!AM66=2,"NR",IF(OR(LOG_ST!AM66=0,LOG_ST!AM66="X"),"N/A"))))</f>
        <v/>
      </c>
      <c r="AJ67" s="574" t="str">
        <f>IF($L67="","",IF(LOG_ST!AN66=1,"OK",IF(LOG_ST!AN66=2,"NR",IF(OR(LOG_ST!AN66=0,LOG_ST!AN66="X"),"N/A"))))</f>
        <v/>
      </c>
      <c r="AK67" s="574" t="str">
        <f>IF($L67="","",IF(LOG_ST!AO66=1,"OK",IF(LOG_ST!AO66=2,"NR",IF(OR(LOG_ST!AO66=0,LOG_ST!AO66="X"),"N/A"))))</f>
        <v/>
      </c>
      <c r="AL67" s="574" t="str">
        <f>IF($L67="","",IF(LOG_ST!AP66=1,"OK",IF(LOG_ST!AP66=2,"NR",IF(OR(LOG_ST!AP66=0,LOG_ST!AP66="X"),"N/A"))))</f>
        <v/>
      </c>
      <c r="AM67" s="574" t="str">
        <f>IF($L67="","",IF(LOG_ST!AQ66=1,"OK",IF(LOG_ST!AQ66=2,"NR",IF(OR(LOG_ST!AQ66=0,LOG_ST!AQ66="X"),"N/A"))))</f>
        <v/>
      </c>
      <c r="AN67" s="550" t="str">
        <f t="shared" si="0"/>
        <v/>
      </c>
    </row>
    <row r="68" spans="2:40" x14ac:dyDescent="0.25">
      <c r="B68" s="551" t="str">
        <f>IF(LOG_ST!F67="","",VLOOKUP(LOG_ST!F67,DATA_BASE!$A$46:$C$57,2,FALSE))</f>
        <v/>
      </c>
      <c r="C68" s="570" t="str">
        <f>IF(LOG_ST!G67="","",VLOOKUP(LOG_ST!G67,DATA_HDG,2,FALSE))</f>
        <v/>
      </c>
      <c r="D68" s="571" t="str">
        <f>IF(LOG_ST!H67="","",LOG_ST!H67)</f>
        <v/>
      </c>
      <c r="E68" s="570" t="str">
        <f>IF(LOG_ST!I67="","",VLOOKUP(LOG_ST!I67,DATA_COP,2,FALSE))</f>
        <v/>
      </c>
      <c r="F68" s="573" t="str">
        <f>IF(LOG_ST!J67="","",LOG_ST!J67)</f>
        <v/>
      </c>
      <c r="G68" s="570" t="str">
        <f>IF(LOG_ST!K67="","",VLOOKUP(LOG_ST!K67,DATA_SCIES,2,FALSE))</f>
        <v/>
      </c>
      <c r="H68" s="570" t="str">
        <f>IF(LOG_ST!L67="","",VLOOKUP(LOG_ST!L67,DATA_ST!$U$7:$V$64,2,FALSE))</f>
        <v/>
      </c>
      <c r="I68" s="570" t="str">
        <f>IF(LOG_ST!M67="","",LOG_ST!M67)</f>
        <v/>
      </c>
      <c r="J68" s="570" t="str">
        <f>IF(LOG_ST!N67="","",LOG_ST!N67)</f>
        <v/>
      </c>
      <c r="K68" s="573" t="str">
        <f>IF(LOG_ST!O67="","",LOG_ST!O67)</f>
        <v/>
      </c>
      <c r="L68" s="573" t="str">
        <f>IF(LOG_ST!P67="","",LOG_ST!P67)</f>
        <v/>
      </c>
      <c r="M68" s="574" t="str">
        <f>IF($L68="","",IF(LOG_ST!Q67=1,"OK",IF(LOG_ST!Q67=2,"NR",IF(OR(LOG_ST!Q67=0,LOG_ST!Q67="X"),"N/A"))))</f>
        <v/>
      </c>
      <c r="N68" s="574" t="str">
        <f>IF($L68="","",IF(LOG_ST!R67=1,"OK",IF(LOG_ST!R67=2,"NR",IF(OR(LOG_ST!R67=0,LOG_ST!R67="X"),"N/A"))))</f>
        <v/>
      </c>
      <c r="O68" s="574" t="str">
        <f>IF($L68="","",IF(LOG_ST!S67=1,"OK",IF(LOG_ST!S67=2,"NR",IF(OR(LOG_ST!S67=0,LOG_ST!S67="X"),"N/A"))))</f>
        <v/>
      </c>
      <c r="P68" s="574" t="str">
        <f>IF($L68="","",IF(LOG_ST!T67=1,"OK",IF(LOG_ST!T67=2,"NR",IF(OR(LOG_ST!T67=0,LOG_ST!T67="X"),"N/A"))))</f>
        <v/>
      </c>
      <c r="Q68" s="574" t="str">
        <f>IF($L68="","",IF(LOG_ST!U67=1,"OK",IF(LOG_ST!U67=2,"NR",IF(OR(LOG_ST!U67=0,LOG_ST!U67="X"),"N/A"))))</f>
        <v/>
      </c>
      <c r="R68" s="574" t="str">
        <f>IF($L68="","",IF(LOG_ST!V67=1,"OK",IF(LOG_ST!V67=2,"NR",IF(OR(LOG_ST!V67=0,LOG_ST!V67="X"),"N/A"))))</f>
        <v/>
      </c>
      <c r="S68" s="574" t="str">
        <f>IF($L68="","",IF(LOG_ST!W67=1,"OK",IF(LOG_ST!W67=2,"NR",IF(OR(LOG_ST!W67=0,LOG_ST!W67="X"),"N/A"))))</f>
        <v/>
      </c>
      <c r="T68" s="574" t="str">
        <f>IF($L68="","",IF(LOG_ST!X67=1,"OK",IF(LOG_ST!X67=2,"NR",IF(OR(LOG_ST!X67=0,LOG_ST!X67="X"),"N/A"))))</f>
        <v/>
      </c>
      <c r="U68" s="574" t="str">
        <f>IF($L68="","",IF(LOG_ST!Y67=1,"OK",IF(LOG_ST!Y67=2,"NR",IF(OR(LOG_ST!Y67=0,LOG_ST!Y67="X"),"N/A"))))</f>
        <v/>
      </c>
      <c r="V68" s="574" t="str">
        <f>IF($L68="","",IF(LOG_ST!Z67=1,"OK",IF(LOG_ST!Z67=2,"NR",IF(OR(LOG_ST!Z67=0,LOG_ST!Z67="X"),"N/A"))))</f>
        <v/>
      </c>
      <c r="W68" s="574" t="str">
        <f>IF($L68="","",IF(LOG_ST!AA67=1,"OK",IF(LOG_ST!AA67=2,"NR",IF(OR(LOG_ST!AA67=0,LOG_ST!AA67="X"),"N/A"))))</f>
        <v/>
      </c>
      <c r="X68" s="574" t="str">
        <f>IF($L68="","",IF(LOG_ST!AB67=1,"OK",IF(LOG_ST!AB67=2,"NR",IF(OR(LOG_ST!AB67=0,LOG_ST!AB67="X"),"N/A"))))</f>
        <v/>
      </c>
      <c r="Y68" s="574" t="str">
        <f>IF($L68="","",IF(LOG_ST!AC67=1,"OK",IF(LOG_ST!AC67=2,"NR",IF(OR(LOG_ST!AC67=0,LOG_ST!AC67="X"),"N/A"))))</f>
        <v/>
      </c>
      <c r="Z68" s="574" t="str">
        <f>IF($L68="","",IF(OR(LOG_ST!AD67=0,LOG_ST!AD67="X"),"N/A",LOG_ST!AD67))</f>
        <v/>
      </c>
      <c r="AA68" s="574" t="str">
        <f>IF($L68="","",IF(LOG_ST!AE67=1,"OK",IF(LOG_ST!AE67=2,"NR",IF(OR(LOG_ST!AE67=0,LOG_ST!AE67="X"),"N/A"))))</f>
        <v/>
      </c>
      <c r="AB68" s="574" t="str">
        <f>IF($L68="","",IF(LOG_ST!AF67=1,"OK",IF(LOG_ST!AF67=2,"NR",IF(OR(LOG_ST!AF67=0,LOG_ST!AF67="X"),"N/A"))))</f>
        <v/>
      </c>
      <c r="AC68" s="574" t="str">
        <f>IF($L68="","",IF(LOG_ST!AG67=1,"OK",IF(LOG_ST!AG67=2,"NR",IF(OR(LOG_ST!AG67=0,LOG_ST!AG67="X"),"N/A"))))</f>
        <v/>
      </c>
      <c r="AD68" s="574" t="str">
        <f>IF($L68="","",IF(OR(LOG_ST!AH67=0,LOG_ST!AH67="X"),"N/A",LOG_ST!AH67))</f>
        <v/>
      </c>
      <c r="AE68" s="574" t="str">
        <f>IF($L68="","",IF(LOG_ST!AI67=1,"OK",IF(LOG_ST!AI67=2,"NR",IF(OR(LOG_ST!AI67=0,LOG_ST!AI67="X"),"N/A"))))</f>
        <v/>
      </c>
      <c r="AF68" s="574" t="str">
        <f>IF($L68="","",IF(LOG_ST!AJ67=1,"OK",IF(LOG_ST!AJ67=2,"NR",IF(OR(LOG_ST!AJ67=0,LOG_ST!AJ67="X"),"N/A"))))</f>
        <v/>
      </c>
      <c r="AG68" s="574" t="str">
        <f>IF($L68="","",IF(LOG_ST!AK67=1,"OK",IF(LOG_ST!AK67=2,"NR",IF(OR(LOG_ST!AK67=0,LOG_ST!AK67="X"),"N/A"))))</f>
        <v/>
      </c>
      <c r="AH68" s="574" t="str">
        <f>IF($L68="","",IF(LOG_ST!AL67=1,"OK",IF(LOG_ST!AL67=2,"NR",IF(OR(LOG_ST!AL67=0,LOG_ST!AL67="X"),"N/A"))))</f>
        <v/>
      </c>
      <c r="AI68" s="574" t="str">
        <f>IF($L68="","",IF(LOG_ST!AM67=1,"OK",IF(LOG_ST!AM67=2,"NR",IF(OR(LOG_ST!AM67=0,LOG_ST!AM67="X"),"N/A"))))</f>
        <v/>
      </c>
      <c r="AJ68" s="574" t="str">
        <f>IF($L68="","",IF(LOG_ST!AN67=1,"OK",IF(LOG_ST!AN67=2,"NR",IF(OR(LOG_ST!AN67=0,LOG_ST!AN67="X"),"N/A"))))</f>
        <v/>
      </c>
      <c r="AK68" s="574" t="str">
        <f>IF($L68="","",IF(LOG_ST!AO67=1,"OK",IF(LOG_ST!AO67=2,"NR",IF(OR(LOG_ST!AO67=0,LOG_ST!AO67="X"),"N/A"))))</f>
        <v/>
      </c>
      <c r="AL68" s="574" t="str">
        <f>IF($L68="","",IF(LOG_ST!AP67=1,"OK",IF(LOG_ST!AP67=2,"NR",IF(OR(LOG_ST!AP67=0,LOG_ST!AP67="X"),"N/A"))))</f>
        <v/>
      </c>
      <c r="AM68" s="574" t="str">
        <f>IF($L68="","",IF(LOG_ST!AQ67=1,"OK",IF(LOG_ST!AQ67=2,"NR",IF(OR(LOG_ST!AQ67=0,LOG_ST!AQ67="X"),"N/A"))))</f>
        <v/>
      </c>
      <c r="AN68" s="550" t="str">
        <f t="shared" si="0"/>
        <v/>
      </c>
    </row>
    <row r="69" spans="2:40" x14ac:dyDescent="0.25">
      <c r="B69" s="551" t="str">
        <f>IF(LOG_ST!F68="","",VLOOKUP(LOG_ST!F68,DATA_BASE!$A$46:$C$57,2,FALSE))</f>
        <v/>
      </c>
      <c r="C69" s="570" t="str">
        <f>IF(LOG_ST!G68="","",VLOOKUP(LOG_ST!G68,DATA_HDG,2,FALSE))</f>
        <v/>
      </c>
      <c r="D69" s="571" t="str">
        <f>IF(LOG_ST!H68="","",LOG_ST!H68)</f>
        <v/>
      </c>
      <c r="E69" s="570" t="str">
        <f>IF(LOG_ST!I68="","",VLOOKUP(LOG_ST!I68,DATA_COP,2,FALSE))</f>
        <v/>
      </c>
      <c r="F69" s="573" t="str">
        <f>IF(LOG_ST!J68="","",LOG_ST!J68)</f>
        <v/>
      </c>
      <c r="G69" s="570" t="str">
        <f>IF(LOG_ST!K68="","",VLOOKUP(LOG_ST!K68,DATA_SCIES,2,FALSE))</f>
        <v/>
      </c>
      <c r="H69" s="570" t="str">
        <f>IF(LOG_ST!L68="","",VLOOKUP(LOG_ST!L68,DATA_ST!$U$7:$V$64,2,FALSE))</f>
        <v/>
      </c>
      <c r="I69" s="570" t="str">
        <f>IF(LOG_ST!M68="","",LOG_ST!M68)</f>
        <v/>
      </c>
      <c r="J69" s="570" t="str">
        <f>IF(LOG_ST!N68="","",LOG_ST!N68)</f>
        <v/>
      </c>
      <c r="K69" s="573" t="str">
        <f>IF(LOG_ST!O68="","",LOG_ST!O68)</f>
        <v/>
      </c>
      <c r="L69" s="573" t="str">
        <f>IF(LOG_ST!P68="","",LOG_ST!P68)</f>
        <v/>
      </c>
      <c r="M69" s="574" t="str">
        <f>IF($L69="","",IF(LOG_ST!Q68=1,"OK",IF(LOG_ST!Q68=2,"NR",IF(OR(LOG_ST!Q68=0,LOG_ST!Q68="X"),"N/A"))))</f>
        <v/>
      </c>
      <c r="N69" s="574" t="str">
        <f>IF($L69="","",IF(LOG_ST!R68=1,"OK",IF(LOG_ST!R68=2,"NR",IF(OR(LOG_ST!R68=0,LOG_ST!R68="X"),"N/A"))))</f>
        <v/>
      </c>
      <c r="O69" s="574" t="str">
        <f>IF($L69="","",IF(LOG_ST!S68=1,"OK",IF(LOG_ST!S68=2,"NR",IF(OR(LOG_ST!S68=0,LOG_ST!S68="X"),"N/A"))))</f>
        <v/>
      </c>
      <c r="P69" s="574" t="str">
        <f>IF($L69="","",IF(LOG_ST!T68=1,"OK",IF(LOG_ST!T68=2,"NR",IF(OR(LOG_ST!T68=0,LOG_ST!T68="X"),"N/A"))))</f>
        <v/>
      </c>
      <c r="Q69" s="574" t="str">
        <f>IF($L69="","",IF(LOG_ST!U68=1,"OK",IF(LOG_ST!U68=2,"NR",IF(OR(LOG_ST!U68=0,LOG_ST!U68="X"),"N/A"))))</f>
        <v/>
      </c>
      <c r="R69" s="574" t="str">
        <f>IF($L69="","",IF(LOG_ST!V68=1,"OK",IF(LOG_ST!V68=2,"NR",IF(OR(LOG_ST!V68=0,LOG_ST!V68="X"),"N/A"))))</f>
        <v/>
      </c>
      <c r="S69" s="574" t="str">
        <f>IF($L69="","",IF(LOG_ST!W68=1,"OK",IF(LOG_ST!W68=2,"NR",IF(OR(LOG_ST!W68=0,LOG_ST!W68="X"),"N/A"))))</f>
        <v/>
      </c>
      <c r="T69" s="574" t="str">
        <f>IF($L69="","",IF(LOG_ST!X68=1,"OK",IF(LOG_ST!X68=2,"NR",IF(OR(LOG_ST!X68=0,LOG_ST!X68="X"),"N/A"))))</f>
        <v/>
      </c>
      <c r="U69" s="574" t="str">
        <f>IF($L69="","",IF(LOG_ST!Y68=1,"OK",IF(LOG_ST!Y68=2,"NR",IF(OR(LOG_ST!Y68=0,LOG_ST!Y68="X"),"N/A"))))</f>
        <v/>
      </c>
      <c r="V69" s="574" t="str">
        <f>IF($L69="","",IF(LOG_ST!Z68=1,"OK",IF(LOG_ST!Z68=2,"NR",IF(OR(LOG_ST!Z68=0,LOG_ST!Z68="X"),"N/A"))))</f>
        <v/>
      </c>
      <c r="W69" s="574" t="str">
        <f>IF($L69="","",IF(LOG_ST!AA68=1,"OK",IF(LOG_ST!AA68=2,"NR",IF(OR(LOG_ST!AA68=0,LOG_ST!AA68="X"),"N/A"))))</f>
        <v/>
      </c>
      <c r="X69" s="574" t="str">
        <f>IF($L69="","",IF(LOG_ST!AB68=1,"OK",IF(LOG_ST!AB68=2,"NR",IF(OR(LOG_ST!AB68=0,LOG_ST!AB68="X"),"N/A"))))</f>
        <v/>
      </c>
      <c r="Y69" s="574" t="str">
        <f>IF($L69="","",IF(LOG_ST!AC68=1,"OK",IF(LOG_ST!AC68=2,"NR",IF(OR(LOG_ST!AC68=0,LOG_ST!AC68="X"),"N/A"))))</f>
        <v/>
      </c>
      <c r="Z69" s="574" t="str">
        <f>IF($L69="","",IF(OR(LOG_ST!AD68=0,LOG_ST!AD68="X"),"N/A",LOG_ST!AD68))</f>
        <v/>
      </c>
      <c r="AA69" s="574" t="str">
        <f>IF($L69="","",IF(LOG_ST!AE68=1,"OK",IF(LOG_ST!AE68=2,"NR",IF(OR(LOG_ST!AE68=0,LOG_ST!AE68="X"),"N/A"))))</f>
        <v/>
      </c>
      <c r="AB69" s="574" t="str">
        <f>IF($L69="","",IF(LOG_ST!AF68=1,"OK",IF(LOG_ST!AF68=2,"NR",IF(OR(LOG_ST!AF68=0,LOG_ST!AF68="X"),"N/A"))))</f>
        <v/>
      </c>
      <c r="AC69" s="574" t="str">
        <f>IF($L69="","",IF(LOG_ST!AG68=1,"OK",IF(LOG_ST!AG68=2,"NR",IF(OR(LOG_ST!AG68=0,LOG_ST!AG68="X"),"N/A"))))</f>
        <v/>
      </c>
      <c r="AD69" s="574" t="str">
        <f>IF($L69="","",IF(OR(LOG_ST!AH68=0,LOG_ST!AH68="X"),"N/A",LOG_ST!AH68))</f>
        <v/>
      </c>
      <c r="AE69" s="574" t="str">
        <f>IF($L69="","",IF(LOG_ST!AI68=1,"OK",IF(LOG_ST!AI68=2,"NR",IF(OR(LOG_ST!AI68=0,LOG_ST!AI68="X"),"N/A"))))</f>
        <v/>
      </c>
      <c r="AF69" s="574" t="str">
        <f>IF($L69="","",IF(LOG_ST!AJ68=1,"OK",IF(LOG_ST!AJ68=2,"NR",IF(OR(LOG_ST!AJ68=0,LOG_ST!AJ68="X"),"N/A"))))</f>
        <v/>
      </c>
      <c r="AG69" s="574" t="str">
        <f>IF($L69="","",IF(LOG_ST!AK68=1,"OK",IF(LOG_ST!AK68=2,"NR",IF(OR(LOG_ST!AK68=0,LOG_ST!AK68="X"),"N/A"))))</f>
        <v/>
      </c>
      <c r="AH69" s="574" t="str">
        <f>IF($L69="","",IF(LOG_ST!AL68=1,"OK",IF(LOG_ST!AL68=2,"NR",IF(OR(LOG_ST!AL68=0,LOG_ST!AL68="X"),"N/A"))))</f>
        <v/>
      </c>
      <c r="AI69" s="574" t="str">
        <f>IF($L69="","",IF(LOG_ST!AM68=1,"OK",IF(LOG_ST!AM68=2,"NR",IF(OR(LOG_ST!AM68=0,LOG_ST!AM68="X"),"N/A"))))</f>
        <v/>
      </c>
      <c r="AJ69" s="574" t="str">
        <f>IF($L69="","",IF(LOG_ST!AN68=1,"OK",IF(LOG_ST!AN68=2,"NR",IF(OR(LOG_ST!AN68=0,LOG_ST!AN68="X"),"N/A"))))</f>
        <v/>
      </c>
      <c r="AK69" s="574" t="str">
        <f>IF($L69="","",IF(LOG_ST!AO68=1,"OK",IF(LOG_ST!AO68=2,"NR",IF(OR(LOG_ST!AO68=0,LOG_ST!AO68="X"),"N/A"))))</f>
        <v/>
      </c>
      <c r="AL69" s="574" t="str">
        <f>IF($L69="","",IF(LOG_ST!AP68=1,"OK",IF(LOG_ST!AP68=2,"NR",IF(OR(LOG_ST!AP68=0,LOG_ST!AP68="X"),"N/A"))))</f>
        <v/>
      </c>
      <c r="AM69" s="574" t="str">
        <f>IF($L69="","",IF(LOG_ST!AQ68=1,"OK",IF(LOG_ST!AQ68=2,"NR",IF(OR(LOG_ST!AQ68=0,LOG_ST!AQ68="X"),"N/A"))))</f>
        <v/>
      </c>
      <c r="AN69" s="550" t="str">
        <f t="shared" si="0"/>
        <v/>
      </c>
    </row>
    <row r="70" spans="2:40" x14ac:dyDescent="0.25">
      <c r="B70" s="551" t="str">
        <f>IF(LOG_ST!F69="","",VLOOKUP(LOG_ST!F69,DATA_BASE!$A$46:$C$57,2,FALSE))</f>
        <v/>
      </c>
      <c r="C70" s="570" t="str">
        <f>IF(LOG_ST!G69="","",VLOOKUP(LOG_ST!G69,DATA_HDG,2,FALSE))</f>
        <v/>
      </c>
      <c r="D70" s="571" t="str">
        <f>IF(LOG_ST!H69="","",LOG_ST!H69)</f>
        <v/>
      </c>
      <c r="E70" s="570" t="str">
        <f>IF(LOG_ST!I69="","",VLOOKUP(LOG_ST!I69,DATA_COP,2,FALSE))</f>
        <v/>
      </c>
      <c r="F70" s="573" t="str">
        <f>IF(LOG_ST!J69="","",LOG_ST!J69)</f>
        <v/>
      </c>
      <c r="G70" s="570" t="str">
        <f>IF(LOG_ST!K69="","",VLOOKUP(LOG_ST!K69,DATA_SCIES,2,FALSE))</f>
        <v/>
      </c>
      <c r="H70" s="570" t="str">
        <f>IF(LOG_ST!L69="","",VLOOKUP(LOG_ST!L69,DATA_ST!$U$7:$V$64,2,FALSE))</f>
        <v/>
      </c>
      <c r="I70" s="570" t="str">
        <f>IF(LOG_ST!M69="","",LOG_ST!M69)</f>
        <v/>
      </c>
      <c r="J70" s="570" t="str">
        <f>IF(LOG_ST!N69="","",LOG_ST!N69)</f>
        <v/>
      </c>
      <c r="K70" s="573" t="str">
        <f>IF(LOG_ST!O69="","",LOG_ST!O69)</f>
        <v/>
      </c>
      <c r="L70" s="573" t="str">
        <f>IF(LOG_ST!P69="","",LOG_ST!P69)</f>
        <v/>
      </c>
      <c r="M70" s="574" t="str">
        <f>IF($L70="","",IF(LOG_ST!Q69=1,"OK",IF(LOG_ST!Q69=2,"NR",IF(OR(LOG_ST!Q69=0,LOG_ST!Q69="X"),"N/A"))))</f>
        <v/>
      </c>
      <c r="N70" s="574" t="str">
        <f>IF($L70="","",IF(LOG_ST!R69=1,"OK",IF(LOG_ST!R69=2,"NR",IF(OR(LOG_ST!R69=0,LOG_ST!R69="X"),"N/A"))))</f>
        <v/>
      </c>
      <c r="O70" s="574" t="str">
        <f>IF($L70="","",IF(LOG_ST!S69=1,"OK",IF(LOG_ST!S69=2,"NR",IF(OR(LOG_ST!S69=0,LOG_ST!S69="X"),"N/A"))))</f>
        <v/>
      </c>
      <c r="P70" s="574" t="str">
        <f>IF($L70="","",IF(LOG_ST!T69=1,"OK",IF(LOG_ST!T69=2,"NR",IF(OR(LOG_ST!T69=0,LOG_ST!T69="X"),"N/A"))))</f>
        <v/>
      </c>
      <c r="Q70" s="574" t="str">
        <f>IF($L70="","",IF(LOG_ST!U69=1,"OK",IF(LOG_ST!U69=2,"NR",IF(OR(LOG_ST!U69=0,LOG_ST!U69="X"),"N/A"))))</f>
        <v/>
      </c>
      <c r="R70" s="574" t="str">
        <f>IF($L70="","",IF(LOG_ST!V69=1,"OK",IF(LOG_ST!V69=2,"NR",IF(OR(LOG_ST!V69=0,LOG_ST!V69="X"),"N/A"))))</f>
        <v/>
      </c>
      <c r="S70" s="574" t="str">
        <f>IF($L70="","",IF(LOG_ST!W69=1,"OK",IF(LOG_ST!W69=2,"NR",IF(OR(LOG_ST!W69=0,LOG_ST!W69="X"),"N/A"))))</f>
        <v/>
      </c>
      <c r="T70" s="574" t="str">
        <f>IF($L70="","",IF(LOG_ST!X69=1,"OK",IF(LOG_ST!X69=2,"NR",IF(OR(LOG_ST!X69=0,LOG_ST!X69="X"),"N/A"))))</f>
        <v/>
      </c>
      <c r="U70" s="574" t="str">
        <f>IF($L70="","",IF(LOG_ST!Y69=1,"OK",IF(LOG_ST!Y69=2,"NR",IF(OR(LOG_ST!Y69=0,LOG_ST!Y69="X"),"N/A"))))</f>
        <v/>
      </c>
      <c r="V70" s="574" t="str">
        <f>IF($L70="","",IF(LOG_ST!Z69=1,"OK",IF(LOG_ST!Z69=2,"NR",IF(OR(LOG_ST!Z69=0,LOG_ST!Z69="X"),"N/A"))))</f>
        <v/>
      </c>
      <c r="W70" s="574" t="str">
        <f>IF($L70="","",IF(LOG_ST!AA69=1,"OK",IF(LOG_ST!AA69=2,"NR",IF(OR(LOG_ST!AA69=0,LOG_ST!AA69="X"),"N/A"))))</f>
        <v/>
      </c>
      <c r="X70" s="574" t="str">
        <f>IF($L70="","",IF(LOG_ST!AB69=1,"OK",IF(LOG_ST!AB69=2,"NR",IF(OR(LOG_ST!AB69=0,LOG_ST!AB69="X"),"N/A"))))</f>
        <v/>
      </c>
      <c r="Y70" s="574" t="str">
        <f>IF($L70="","",IF(LOG_ST!AC69=1,"OK",IF(LOG_ST!AC69=2,"NR",IF(OR(LOG_ST!AC69=0,LOG_ST!AC69="X"),"N/A"))))</f>
        <v/>
      </c>
      <c r="Z70" s="574" t="str">
        <f>IF($L70="","",IF(OR(LOG_ST!AD69=0,LOG_ST!AD69="X"),"N/A",LOG_ST!AD69))</f>
        <v/>
      </c>
      <c r="AA70" s="574" t="str">
        <f>IF($L70="","",IF(LOG_ST!AE69=1,"OK",IF(LOG_ST!AE69=2,"NR",IF(OR(LOG_ST!AE69=0,LOG_ST!AE69="X"),"N/A"))))</f>
        <v/>
      </c>
      <c r="AB70" s="574" t="str">
        <f>IF($L70="","",IF(LOG_ST!AF69=1,"OK",IF(LOG_ST!AF69=2,"NR",IF(OR(LOG_ST!AF69=0,LOG_ST!AF69="X"),"N/A"))))</f>
        <v/>
      </c>
      <c r="AC70" s="574" t="str">
        <f>IF($L70="","",IF(LOG_ST!AG69=1,"OK",IF(LOG_ST!AG69=2,"NR",IF(OR(LOG_ST!AG69=0,LOG_ST!AG69="X"),"N/A"))))</f>
        <v/>
      </c>
      <c r="AD70" s="574" t="str">
        <f>IF($L70="","",IF(OR(LOG_ST!AH69=0,LOG_ST!AH69="X"),"N/A",LOG_ST!AH69))</f>
        <v/>
      </c>
      <c r="AE70" s="574" t="str">
        <f>IF($L70="","",IF(LOG_ST!AI69=1,"OK",IF(LOG_ST!AI69=2,"NR",IF(OR(LOG_ST!AI69=0,LOG_ST!AI69="X"),"N/A"))))</f>
        <v/>
      </c>
      <c r="AF70" s="574" t="str">
        <f>IF($L70="","",IF(LOG_ST!AJ69=1,"OK",IF(LOG_ST!AJ69=2,"NR",IF(OR(LOG_ST!AJ69=0,LOG_ST!AJ69="X"),"N/A"))))</f>
        <v/>
      </c>
      <c r="AG70" s="574" t="str">
        <f>IF($L70="","",IF(LOG_ST!AK69=1,"OK",IF(LOG_ST!AK69=2,"NR",IF(OR(LOG_ST!AK69=0,LOG_ST!AK69="X"),"N/A"))))</f>
        <v/>
      </c>
      <c r="AH70" s="574" t="str">
        <f>IF($L70="","",IF(LOG_ST!AL69=1,"OK",IF(LOG_ST!AL69=2,"NR",IF(OR(LOG_ST!AL69=0,LOG_ST!AL69="X"),"N/A"))))</f>
        <v/>
      </c>
      <c r="AI70" s="574" t="str">
        <f>IF($L70="","",IF(LOG_ST!AM69=1,"OK",IF(LOG_ST!AM69=2,"NR",IF(OR(LOG_ST!AM69=0,LOG_ST!AM69="X"),"N/A"))))</f>
        <v/>
      </c>
      <c r="AJ70" s="574" t="str">
        <f>IF($L70="","",IF(LOG_ST!AN69=1,"OK",IF(LOG_ST!AN69=2,"NR",IF(OR(LOG_ST!AN69=0,LOG_ST!AN69="X"),"N/A"))))</f>
        <v/>
      </c>
      <c r="AK70" s="574" t="str">
        <f>IF($L70="","",IF(LOG_ST!AO69=1,"OK",IF(LOG_ST!AO69=2,"NR",IF(OR(LOG_ST!AO69=0,LOG_ST!AO69="X"),"N/A"))))</f>
        <v/>
      </c>
      <c r="AL70" s="574" t="str">
        <f>IF($L70="","",IF(LOG_ST!AP69=1,"OK",IF(LOG_ST!AP69=2,"NR",IF(OR(LOG_ST!AP69=0,LOG_ST!AP69="X"),"N/A"))))</f>
        <v/>
      </c>
      <c r="AM70" s="574" t="str">
        <f>IF($L70="","",IF(LOG_ST!AQ69=1,"OK",IF(LOG_ST!AQ69=2,"NR",IF(OR(LOG_ST!AQ69=0,LOG_ST!AQ69="X"),"N/A"))))</f>
        <v/>
      </c>
      <c r="AN70" s="550" t="str">
        <f t="shared" si="0"/>
        <v/>
      </c>
    </row>
    <row r="71" spans="2:40" x14ac:dyDescent="0.25">
      <c r="B71" s="551" t="str">
        <f>IF(LOG_ST!F70="","",VLOOKUP(LOG_ST!F70,DATA_BASE!$A$46:$C$57,2,FALSE))</f>
        <v/>
      </c>
      <c r="C71" s="570" t="str">
        <f>IF(LOG_ST!G70="","",VLOOKUP(LOG_ST!G70,DATA_HDG,2,FALSE))</f>
        <v/>
      </c>
      <c r="D71" s="571" t="str">
        <f>IF(LOG_ST!H70="","",LOG_ST!H70)</f>
        <v/>
      </c>
      <c r="E71" s="570" t="str">
        <f>IF(LOG_ST!I70="","",VLOOKUP(LOG_ST!I70,DATA_COP,2,FALSE))</f>
        <v/>
      </c>
      <c r="F71" s="573" t="str">
        <f>IF(LOG_ST!J70="","",LOG_ST!J70)</f>
        <v/>
      </c>
      <c r="G71" s="570" t="str">
        <f>IF(LOG_ST!K70="","",VLOOKUP(LOG_ST!K70,DATA_SCIES,2,FALSE))</f>
        <v/>
      </c>
      <c r="H71" s="570" t="str">
        <f>IF(LOG_ST!L70="","",VLOOKUP(LOG_ST!L70,DATA_ST!$U$7:$V$64,2,FALSE))</f>
        <v/>
      </c>
      <c r="I71" s="570" t="str">
        <f>IF(LOG_ST!M70="","",LOG_ST!M70)</f>
        <v/>
      </c>
      <c r="J71" s="570" t="str">
        <f>IF(LOG_ST!N70="","",LOG_ST!N70)</f>
        <v/>
      </c>
      <c r="K71" s="573" t="str">
        <f>IF(LOG_ST!O70="","",LOG_ST!O70)</f>
        <v/>
      </c>
      <c r="L71" s="573" t="str">
        <f>IF(LOG_ST!P70="","",LOG_ST!P70)</f>
        <v/>
      </c>
      <c r="M71" s="574" t="str">
        <f>IF($L71="","",IF(LOG_ST!Q70=1,"OK",IF(LOG_ST!Q70=2,"NR",IF(OR(LOG_ST!Q70=0,LOG_ST!Q70="X"),"N/A"))))</f>
        <v/>
      </c>
      <c r="N71" s="574" t="str">
        <f>IF($L71="","",IF(LOG_ST!R70=1,"OK",IF(LOG_ST!R70=2,"NR",IF(OR(LOG_ST!R70=0,LOG_ST!R70="X"),"N/A"))))</f>
        <v/>
      </c>
      <c r="O71" s="574" t="str">
        <f>IF($L71="","",IF(LOG_ST!S70=1,"OK",IF(LOG_ST!S70=2,"NR",IF(OR(LOG_ST!S70=0,LOG_ST!S70="X"),"N/A"))))</f>
        <v/>
      </c>
      <c r="P71" s="574" t="str">
        <f>IF($L71="","",IF(LOG_ST!T70=1,"OK",IF(LOG_ST!T70=2,"NR",IF(OR(LOG_ST!T70=0,LOG_ST!T70="X"),"N/A"))))</f>
        <v/>
      </c>
      <c r="Q71" s="574" t="str">
        <f>IF($L71="","",IF(LOG_ST!U70=1,"OK",IF(LOG_ST!U70=2,"NR",IF(OR(LOG_ST!U70=0,LOG_ST!U70="X"),"N/A"))))</f>
        <v/>
      </c>
      <c r="R71" s="574" t="str">
        <f>IF($L71="","",IF(LOG_ST!V70=1,"OK",IF(LOG_ST!V70=2,"NR",IF(OR(LOG_ST!V70=0,LOG_ST!V70="X"),"N/A"))))</f>
        <v/>
      </c>
      <c r="S71" s="574" t="str">
        <f>IF($L71="","",IF(LOG_ST!W70=1,"OK",IF(LOG_ST!W70=2,"NR",IF(OR(LOG_ST!W70=0,LOG_ST!W70="X"),"N/A"))))</f>
        <v/>
      </c>
      <c r="T71" s="574" t="str">
        <f>IF($L71="","",IF(LOG_ST!X70=1,"OK",IF(LOG_ST!X70=2,"NR",IF(OR(LOG_ST!X70=0,LOG_ST!X70="X"),"N/A"))))</f>
        <v/>
      </c>
      <c r="U71" s="574" t="str">
        <f>IF($L71="","",IF(LOG_ST!Y70=1,"OK",IF(LOG_ST!Y70=2,"NR",IF(OR(LOG_ST!Y70=0,LOG_ST!Y70="X"),"N/A"))))</f>
        <v/>
      </c>
      <c r="V71" s="574" t="str">
        <f>IF($L71="","",IF(LOG_ST!Z70=1,"OK",IF(LOG_ST!Z70=2,"NR",IF(OR(LOG_ST!Z70=0,LOG_ST!Z70="X"),"N/A"))))</f>
        <v/>
      </c>
      <c r="W71" s="574" t="str">
        <f>IF($L71="","",IF(LOG_ST!AA70=1,"OK",IF(LOG_ST!AA70=2,"NR",IF(OR(LOG_ST!AA70=0,LOG_ST!AA70="X"),"N/A"))))</f>
        <v/>
      </c>
      <c r="X71" s="574" t="str">
        <f>IF($L71="","",IF(LOG_ST!AB70=1,"OK",IF(LOG_ST!AB70=2,"NR",IF(OR(LOG_ST!AB70=0,LOG_ST!AB70="X"),"N/A"))))</f>
        <v/>
      </c>
      <c r="Y71" s="574" t="str">
        <f>IF($L71="","",IF(LOG_ST!AC70=1,"OK",IF(LOG_ST!AC70=2,"NR",IF(OR(LOG_ST!AC70=0,LOG_ST!AC70="X"),"N/A"))))</f>
        <v/>
      </c>
      <c r="Z71" s="574" t="str">
        <f>IF($L71="","",IF(OR(LOG_ST!AD70=0,LOG_ST!AD70="X"),"N/A",LOG_ST!AD70))</f>
        <v/>
      </c>
      <c r="AA71" s="574" t="str">
        <f>IF($L71="","",IF(LOG_ST!AE70=1,"OK",IF(LOG_ST!AE70=2,"NR",IF(OR(LOG_ST!AE70=0,LOG_ST!AE70="X"),"N/A"))))</f>
        <v/>
      </c>
      <c r="AB71" s="574" t="str">
        <f>IF($L71="","",IF(LOG_ST!AF70=1,"OK",IF(LOG_ST!AF70=2,"NR",IF(OR(LOG_ST!AF70=0,LOG_ST!AF70="X"),"N/A"))))</f>
        <v/>
      </c>
      <c r="AC71" s="574" t="str">
        <f>IF($L71="","",IF(LOG_ST!AG70=1,"OK",IF(LOG_ST!AG70=2,"NR",IF(OR(LOG_ST!AG70=0,LOG_ST!AG70="X"),"N/A"))))</f>
        <v/>
      </c>
      <c r="AD71" s="574" t="str">
        <f>IF($L71="","",IF(OR(LOG_ST!AH70=0,LOG_ST!AH70="X"),"N/A",LOG_ST!AH70))</f>
        <v/>
      </c>
      <c r="AE71" s="574" t="str">
        <f>IF($L71="","",IF(LOG_ST!AI70=1,"OK",IF(LOG_ST!AI70=2,"NR",IF(OR(LOG_ST!AI70=0,LOG_ST!AI70="X"),"N/A"))))</f>
        <v/>
      </c>
      <c r="AF71" s="574" t="str">
        <f>IF($L71="","",IF(LOG_ST!AJ70=1,"OK",IF(LOG_ST!AJ70=2,"NR",IF(OR(LOG_ST!AJ70=0,LOG_ST!AJ70="X"),"N/A"))))</f>
        <v/>
      </c>
      <c r="AG71" s="574" t="str">
        <f>IF($L71="","",IF(LOG_ST!AK70=1,"OK",IF(LOG_ST!AK70=2,"NR",IF(OR(LOG_ST!AK70=0,LOG_ST!AK70="X"),"N/A"))))</f>
        <v/>
      </c>
      <c r="AH71" s="574" t="str">
        <f>IF($L71="","",IF(LOG_ST!AL70=1,"OK",IF(LOG_ST!AL70=2,"NR",IF(OR(LOG_ST!AL70=0,LOG_ST!AL70="X"),"N/A"))))</f>
        <v/>
      </c>
      <c r="AI71" s="574" t="str">
        <f>IF($L71="","",IF(LOG_ST!AM70=1,"OK",IF(LOG_ST!AM70=2,"NR",IF(OR(LOG_ST!AM70=0,LOG_ST!AM70="X"),"N/A"))))</f>
        <v/>
      </c>
      <c r="AJ71" s="574" t="str">
        <f>IF($L71="","",IF(LOG_ST!AN70=1,"OK",IF(LOG_ST!AN70=2,"NR",IF(OR(LOG_ST!AN70=0,LOG_ST!AN70="X"),"N/A"))))</f>
        <v/>
      </c>
      <c r="AK71" s="574" t="str">
        <f>IF($L71="","",IF(LOG_ST!AO70=1,"OK",IF(LOG_ST!AO70=2,"NR",IF(OR(LOG_ST!AO70=0,LOG_ST!AO70="X"),"N/A"))))</f>
        <v/>
      </c>
      <c r="AL71" s="574" t="str">
        <f>IF($L71="","",IF(LOG_ST!AP70=1,"OK",IF(LOG_ST!AP70=2,"NR",IF(OR(LOG_ST!AP70=0,LOG_ST!AP70="X"),"N/A"))))</f>
        <v/>
      </c>
      <c r="AM71" s="574" t="str">
        <f>IF($L71="","",IF(LOG_ST!AQ70=1,"OK",IF(LOG_ST!AQ70=2,"NR",IF(OR(LOG_ST!AQ70=0,LOG_ST!AQ70="X"),"N/A"))))</f>
        <v/>
      </c>
      <c r="AN71" s="550" t="str">
        <f t="shared" si="0"/>
        <v/>
      </c>
    </row>
    <row r="72" spans="2:40" x14ac:dyDescent="0.25">
      <c r="B72" s="551" t="str">
        <f>IF(LOG_ST!F71="","",VLOOKUP(LOG_ST!F71,DATA_BASE!$A$46:$C$57,2,FALSE))</f>
        <v/>
      </c>
      <c r="C72" s="570" t="str">
        <f>IF(LOG_ST!G71="","",VLOOKUP(LOG_ST!G71,DATA_HDG,2,FALSE))</f>
        <v/>
      </c>
      <c r="D72" s="571" t="str">
        <f>IF(LOG_ST!H71="","",LOG_ST!H71)</f>
        <v/>
      </c>
      <c r="E72" s="570" t="str">
        <f>IF(LOG_ST!I71="","",VLOOKUP(LOG_ST!I71,DATA_COP,2,FALSE))</f>
        <v/>
      </c>
      <c r="F72" s="573" t="str">
        <f>IF(LOG_ST!J71="","",LOG_ST!J71)</f>
        <v/>
      </c>
      <c r="G72" s="570" t="str">
        <f>IF(LOG_ST!K71="","",VLOOKUP(LOG_ST!K71,DATA_SCIES,2,FALSE))</f>
        <v/>
      </c>
      <c r="H72" s="570" t="str">
        <f>IF(LOG_ST!L71="","",VLOOKUP(LOG_ST!L71,DATA_ST!$U$7:$V$64,2,FALSE))</f>
        <v/>
      </c>
      <c r="I72" s="570" t="str">
        <f>IF(LOG_ST!M71="","",LOG_ST!M71)</f>
        <v/>
      </c>
      <c r="J72" s="570" t="str">
        <f>IF(LOG_ST!N71="","",LOG_ST!N71)</f>
        <v/>
      </c>
      <c r="K72" s="573" t="str">
        <f>IF(LOG_ST!O71="","",LOG_ST!O71)</f>
        <v/>
      </c>
      <c r="L72" s="573" t="str">
        <f>IF(LOG_ST!P71="","",LOG_ST!P71)</f>
        <v/>
      </c>
      <c r="M72" s="574" t="str">
        <f>IF($L72="","",IF(LOG_ST!Q71=1,"OK",IF(LOG_ST!Q71=2,"NR",IF(OR(LOG_ST!Q71=0,LOG_ST!Q71="X"),"N/A"))))</f>
        <v/>
      </c>
      <c r="N72" s="574" t="str">
        <f>IF($L72="","",IF(LOG_ST!R71=1,"OK",IF(LOG_ST!R71=2,"NR",IF(OR(LOG_ST!R71=0,LOG_ST!R71="X"),"N/A"))))</f>
        <v/>
      </c>
      <c r="O72" s="574" t="str">
        <f>IF($L72="","",IF(LOG_ST!S71=1,"OK",IF(LOG_ST!S71=2,"NR",IF(OR(LOG_ST!S71=0,LOG_ST!S71="X"),"N/A"))))</f>
        <v/>
      </c>
      <c r="P72" s="574" t="str">
        <f>IF($L72="","",IF(LOG_ST!T71=1,"OK",IF(LOG_ST!T71=2,"NR",IF(OR(LOG_ST!T71=0,LOG_ST!T71="X"),"N/A"))))</f>
        <v/>
      </c>
      <c r="Q72" s="574" t="str">
        <f>IF($L72="","",IF(LOG_ST!U71=1,"OK",IF(LOG_ST!U71=2,"NR",IF(OR(LOG_ST!U71=0,LOG_ST!U71="X"),"N/A"))))</f>
        <v/>
      </c>
      <c r="R72" s="574" t="str">
        <f>IF($L72="","",IF(LOG_ST!V71=1,"OK",IF(LOG_ST!V71=2,"NR",IF(OR(LOG_ST!V71=0,LOG_ST!V71="X"),"N/A"))))</f>
        <v/>
      </c>
      <c r="S72" s="574" t="str">
        <f>IF($L72="","",IF(LOG_ST!W71=1,"OK",IF(LOG_ST!W71=2,"NR",IF(OR(LOG_ST!W71=0,LOG_ST!W71="X"),"N/A"))))</f>
        <v/>
      </c>
      <c r="T72" s="574" t="str">
        <f>IF($L72="","",IF(LOG_ST!X71=1,"OK",IF(LOG_ST!X71=2,"NR",IF(OR(LOG_ST!X71=0,LOG_ST!X71="X"),"N/A"))))</f>
        <v/>
      </c>
      <c r="U72" s="574" t="str">
        <f>IF($L72="","",IF(LOG_ST!Y71=1,"OK",IF(LOG_ST!Y71=2,"NR",IF(OR(LOG_ST!Y71=0,LOG_ST!Y71="X"),"N/A"))))</f>
        <v/>
      </c>
      <c r="V72" s="574" t="str">
        <f>IF($L72="","",IF(LOG_ST!Z71=1,"OK",IF(LOG_ST!Z71=2,"NR",IF(OR(LOG_ST!Z71=0,LOG_ST!Z71="X"),"N/A"))))</f>
        <v/>
      </c>
      <c r="W72" s="574" t="str">
        <f>IF($L72="","",IF(LOG_ST!AA71=1,"OK",IF(LOG_ST!AA71=2,"NR",IF(OR(LOG_ST!AA71=0,LOG_ST!AA71="X"),"N/A"))))</f>
        <v/>
      </c>
      <c r="X72" s="574" t="str">
        <f>IF($L72="","",IF(LOG_ST!AB71=1,"OK",IF(LOG_ST!AB71=2,"NR",IF(OR(LOG_ST!AB71=0,LOG_ST!AB71="X"),"N/A"))))</f>
        <v/>
      </c>
      <c r="Y72" s="574" t="str">
        <f>IF($L72="","",IF(LOG_ST!AC71=1,"OK",IF(LOG_ST!AC71=2,"NR",IF(OR(LOG_ST!AC71=0,LOG_ST!AC71="X"),"N/A"))))</f>
        <v/>
      </c>
      <c r="Z72" s="574" t="str">
        <f>IF($L72="","",IF(OR(LOG_ST!AD71=0,LOG_ST!AD71="X"),"N/A",LOG_ST!AD71))</f>
        <v/>
      </c>
      <c r="AA72" s="574" t="str">
        <f>IF($L72="","",IF(LOG_ST!AE71=1,"OK",IF(LOG_ST!AE71=2,"NR",IF(OR(LOG_ST!AE71=0,LOG_ST!AE71="X"),"N/A"))))</f>
        <v/>
      </c>
      <c r="AB72" s="574" t="str">
        <f>IF($L72="","",IF(LOG_ST!AF71=1,"OK",IF(LOG_ST!AF71=2,"NR",IF(OR(LOG_ST!AF71=0,LOG_ST!AF71="X"),"N/A"))))</f>
        <v/>
      </c>
      <c r="AC72" s="574" t="str">
        <f>IF($L72="","",IF(LOG_ST!AG71=1,"OK",IF(LOG_ST!AG71=2,"NR",IF(OR(LOG_ST!AG71=0,LOG_ST!AG71="X"),"N/A"))))</f>
        <v/>
      </c>
      <c r="AD72" s="574" t="str">
        <f>IF($L72="","",IF(OR(LOG_ST!AH71=0,LOG_ST!AH71="X"),"N/A",LOG_ST!AH71))</f>
        <v/>
      </c>
      <c r="AE72" s="574" t="str">
        <f>IF($L72="","",IF(LOG_ST!AI71=1,"OK",IF(LOG_ST!AI71=2,"NR",IF(OR(LOG_ST!AI71=0,LOG_ST!AI71="X"),"N/A"))))</f>
        <v/>
      </c>
      <c r="AF72" s="574" t="str">
        <f>IF($L72="","",IF(LOG_ST!AJ71=1,"OK",IF(LOG_ST!AJ71=2,"NR",IF(OR(LOG_ST!AJ71=0,LOG_ST!AJ71="X"),"N/A"))))</f>
        <v/>
      </c>
      <c r="AG72" s="574" t="str">
        <f>IF($L72="","",IF(LOG_ST!AK71=1,"OK",IF(LOG_ST!AK71=2,"NR",IF(OR(LOG_ST!AK71=0,LOG_ST!AK71="X"),"N/A"))))</f>
        <v/>
      </c>
      <c r="AH72" s="574" t="str">
        <f>IF($L72="","",IF(LOG_ST!AL71=1,"OK",IF(LOG_ST!AL71=2,"NR",IF(OR(LOG_ST!AL71=0,LOG_ST!AL71="X"),"N/A"))))</f>
        <v/>
      </c>
      <c r="AI72" s="574" t="str">
        <f>IF($L72="","",IF(LOG_ST!AM71=1,"OK",IF(LOG_ST!AM71=2,"NR",IF(OR(LOG_ST!AM71=0,LOG_ST!AM71="X"),"N/A"))))</f>
        <v/>
      </c>
      <c r="AJ72" s="574" t="str">
        <f>IF($L72="","",IF(LOG_ST!AN71=1,"OK",IF(LOG_ST!AN71=2,"NR",IF(OR(LOG_ST!AN71=0,LOG_ST!AN71="X"),"N/A"))))</f>
        <v/>
      </c>
      <c r="AK72" s="574" t="str">
        <f>IF($L72="","",IF(LOG_ST!AO71=1,"OK",IF(LOG_ST!AO71=2,"NR",IF(OR(LOG_ST!AO71=0,LOG_ST!AO71="X"),"N/A"))))</f>
        <v/>
      </c>
      <c r="AL72" s="574" t="str">
        <f>IF($L72="","",IF(LOG_ST!AP71=1,"OK",IF(LOG_ST!AP71=2,"NR",IF(OR(LOG_ST!AP71=0,LOG_ST!AP71="X"),"N/A"))))</f>
        <v/>
      </c>
      <c r="AM72" s="574" t="str">
        <f>IF($L72="","",IF(LOG_ST!AQ71=1,"OK",IF(LOG_ST!AQ71=2,"NR",IF(OR(LOG_ST!AQ71=0,LOG_ST!AQ71="X"),"N/A"))))</f>
        <v/>
      </c>
      <c r="AN72" s="550" t="str">
        <f t="shared" ref="AN72:AN135" si="1">IF($L72="","",COUNTIF(M72:AM72,"NR"))</f>
        <v/>
      </c>
    </row>
    <row r="73" spans="2:40" x14ac:dyDescent="0.25">
      <c r="B73" s="551" t="str">
        <f>IF(LOG_ST!F72="","",VLOOKUP(LOG_ST!F72,DATA_BASE!$A$46:$C$57,2,FALSE))</f>
        <v/>
      </c>
      <c r="C73" s="570" t="str">
        <f>IF(LOG_ST!G72="","",VLOOKUP(LOG_ST!G72,DATA_HDG,2,FALSE))</f>
        <v/>
      </c>
      <c r="D73" s="571" t="str">
        <f>IF(LOG_ST!H72="","",LOG_ST!H72)</f>
        <v/>
      </c>
      <c r="E73" s="570" t="str">
        <f>IF(LOG_ST!I72="","",VLOOKUP(LOG_ST!I72,DATA_COP,2,FALSE))</f>
        <v/>
      </c>
      <c r="F73" s="573" t="str">
        <f>IF(LOG_ST!J72="","",LOG_ST!J72)</f>
        <v/>
      </c>
      <c r="G73" s="570" t="str">
        <f>IF(LOG_ST!K72="","",VLOOKUP(LOG_ST!K72,DATA_SCIES,2,FALSE))</f>
        <v/>
      </c>
      <c r="H73" s="570" t="str">
        <f>IF(LOG_ST!L72="","",VLOOKUP(LOG_ST!L72,DATA_ST!$U$7:$V$64,2,FALSE))</f>
        <v/>
      </c>
      <c r="I73" s="570" t="str">
        <f>IF(LOG_ST!M72="","",LOG_ST!M72)</f>
        <v/>
      </c>
      <c r="J73" s="570" t="str">
        <f>IF(LOG_ST!N72="","",LOG_ST!N72)</f>
        <v/>
      </c>
      <c r="K73" s="573" t="str">
        <f>IF(LOG_ST!O72="","",LOG_ST!O72)</f>
        <v/>
      </c>
      <c r="L73" s="573" t="str">
        <f>IF(LOG_ST!P72="","",LOG_ST!P72)</f>
        <v/>
      </c>
      <c r="M73" s="574" t="str">
        <f>IF($L73="","",IF(LOG_ST!Q72=1,"OK",IF(LOG_ST!Q72=2,"NR",IF(OR(LOG_ST!Q72=0,LOG_ST!Q72="X"),"N/A"))))</f>
        <v/>
      </c>
      <c r="N73" s="574" t="str">
        <f>IF($L73="","",IF(LOG_ST!R72=1,"OK",IF(LOG_ST!R72=2,"NR",IF(OR(LOG_ST!R72=0,LOG_ST!R72="X"),"N/A"))))</f>
        <v/>
      </c>
      <c r="O73" s="574" t="str">
        <f>IF($L73="","",IF(LOG_ST!S72=1,"OK",IF(LOG_ST!S72=2,"NR",IF(OR(LOG_ST!S72=0,LOG_ST!S72="X"),"N/A"))))</f>
        <v/>
      </c>
      <c r="P73" s="574" t="str">
        <f>IF($L73="","",IF(LOG_ST!T72=1,"OK",IF(LOG_ST!T72=2,"NR",IF(OR(LOG_ST!T72=0,LOG_ST!T72="X"),"N/A"))))</f>
        <v/>
      </c>
      <c r="Q73" s="574" t="str">
        <f>IF($L73="","",IF(LOG_ST!U72=1,"OK",IF(LOG_ST!U72=2,"NR",IF(OR(LOG_ST!U72=0,LOG_ST!U72="X"),"N/A"))))</f>
        <v/>
      </c>
      <c r="R73" s="574" t="str">
        <f>IF($L73="","",IF(LOG_ST!V72=1,"OK",IF(LOG_ST!V72=2,"NR",IF(OR(LOG_ST!V72=0,LOG_ST!V72="X"),"N/A"))))</f>
        <v/>
      </c>
      <c r="S73" s="574" t="str">
        <f>IF($L73="","",IF(LOG_ST!W72=1,"OK",IF(LOG_ST!W72=2,"NR",IF(OR(LOG_ST!W72=0,LOG_ST!W72="X"),"N/A"))))</f>
        <v/>
      </c>
      <c r="T73" s="574" t="str">
        <f>IF($L73="","",IF(LOG_ST!X72=1,"OK",IF(LOG_ST!X72=2,"NR",IF(OR(LOG_ST!X72=0,LOG_ST!X72="X"),"N/A"))))</f>
        <v/>
      </c>
      <c r="U73" s="574" t="str">
        <f>IF($L73="","",IF(LOG_ST!Y72=1,"OK",IF(LOG_ST!Y72=2,"NR",IF(OR(LOG_ST!Y72=0,LOG_ST!Y72="X"),"N/A"))))</f>
        <v/>
      </c>
      <c r="V73" s="574" t="str">
        <f>IF($L73="","",IF(LOG_ST!Z72=1,"OK",IF(LOG_ST!Z72=2,"NR",IF(OR(LOG_ST!Z72=0,LOG_ST!Z72="X"),"N/A"))))</f>
        <v/>
      </c>
      <c r="W73" s="574" t="str">
        <f>IF($L73="","",IF(LOG_ST!AA72=1,"OK",IF(LOG_ST!AA72=2,"NR",IF(OR(LOG_ST!AA72=0,LOG_ST!AA72="X"),"N/A"))))</f>
        <v/>
      </c>
      <c r="X73" s="574" t="str">
        <f>IF($L73="","",IF(LOG_ST!AB72=1,"OK",IF(LOG_ST!AB72=2,"NR",IF(OR(LOG_ST!AB72=0,LOG_ST!AB72="X"),"N/A"))))</f>
        <v/>
      </c>
      <c r="Y73" s="574" t="str">
        <f>IF($L73="","",IF(LOG_ST!AC72=1,"OK",IF(LOG_ST!AC72=2,"NR",IF(OR(LOG_ST!AC72=0,LOG_ST!AC72="X"),"N/A"))))</f>
        <v/>
      </c>
      <c r="Z73" s="574" t="str">
        <f>IF($L73="","",IF(OR(LOG_ST!AD72=0,LOG_ST!AD72="X"),"N/A",LOG_ST!AD72))</f>
        <v/>
      </c>
      <c r="AA73" s="574" t="str">
        <f>IF($L73="","",IF(LOG_ST!AE72=1,"OK",IF(LOG_ST!AE72=2,"NR",IF(OR(LOG_ST!AE72=0,LOG_ST!AE72="X"),"N/A"))))</f>
        <v/>
      </c>
      <c r="AB73" s="574" t="str">
        <f>IF($L73="","",IF(LOG_ST!AF72=1,"OK",IF(LOG_ST!AF72=2,"NR",IF(OR(LOG_ST!AF72=0,LOG_ST!AF72="X"),"N/A"))))</f>
        <v/>
      </c>
      <c r="AC73" s="574" t="str">
        <f>IF($L73="","",IF(LOG_ST!AG72=1,"OK",IF(LOG_ST!AG72=2,"NR",IF(OR(LOG_ST!AG72=0,LOG_ST!AG72="X"),"N/A"))))</f>
        <v/>
      </c>
      <c r="AD73" s="574" t="str">
        <f>IF($L73="","",IF(OR(LOG_ST!AH72=0,LOG_ST!AH72="X"),"N/A",LOG_ST!AH72))</f>
        <v/>
      </c>
      <c r="AE73" s="574" t="str">
        <f>IF($L73="","",IF(LOG_ST!AI72=1,"OK",IF(LOG_ST!AI72=2,"NR",IF(OR(LOG_ST!AI72=0,LOG_ST!AI72="X"),"N/A"))))</f>
        <v/>
      </c>
      <c r="AF73" s="574" t="str">
        <f>IF($L73="","",IF(LOG_ST!AJ72=1,"OK",IF(LOG_ST!AJ72=2,"NR",IF(OR(LOG_ST!AJ72=0,LOG_ST!AJ72="X"),"N/A"))))</f>
        <v/>
      </c>
      <c r="AG73" s="574" t="str">
        <f>IF($L73="","",IF(LOG_ST!AK72=1,"OK",IF(LOG_ST!AK72=2,"NR",IF(OR(LOG_ST!AK72=0,LOG_ST!AK72="X"),"N/A"))))</f>
        <v/>
      </c>
      <c r="AH73" s="574" t="str">
        <f>IF($L73="","",IF(LOG_ST!AL72=1,"OK",IF(LOG_ST!AL72=2,"NR",IF(OR(LOG_ST!AL72=0,LOG_ST!AL72="X"),"N/A"))))</f>
        <v/>
      </c>
      <c r="AI73" s="574" t="str">
        <f>IF($L73="","",IF(LOG_ST!AM72=1,"OK",IF(LOG_ST!AM72=2,"NR",IF(OR(LOG_ST!AM72=0,LOG_ST!AM72="X"),"N/A"))))</f>
        <v/>
      </c>
      <c r="AJ73" s="574" t="str">
        <f>IF($L73="","",IF(LOG_ST!AN72=1,"OK",IF(LOG_ST!AN72=2,"NR",IF(OR(LOG_ST!AN72=0,LOG_ST!AN72="X"),"N/A"))))</f>
        <v/>
      </c>
      <c r="AK73" s="574" t="str">
        <f>IF($L73="","",IF(LOG_ST!AO72=1,"OK",IF(LOG_ST!AO72=2,"NR",IF(OR(LOG_ST!AO72=0,LOG_ST!AO72="X"),"N/A"))))</f>
        <v/>
      </c>
      <c r="AL73" s="574" t="str">
        <f>IF($L73="","",IF(LOG_ST!AP72=1,"OK",IF(LOG_ST!AP72=2,"NR",IF(OR(LOG_ST!AP72=0,LOG_ST!AP72="X"),"N/A"))))</f>
        <v/>
      </c>
      <c r="AM73" s="574" t="str">
        <f>IF($L73="","",IF(LOG_ST!AQ72=1,"OK",IF(LOG_ST!AQ72=2,"NR",IF(OR(LOG_ST!AQ72=0,LOG_ST!AQ72="X"),"N/A"))))</f>
        <v/>
      </c>
      <c r="AN73" s="550" t="str">
        <f t="shared" si="1"/>
        <v/>
      </c>
    </row>
    <row r="74" spans="2:40" x14ac:dyDescent="0.25">
      <c r="B74" s="551" t="str">
        <f>IF(LOG_ST!F73="","",VLOOKUP(LOG_ST!F73,DATA_BASE!$A$46:$C$57,2,FALSE))</f>
        <v/>
      </c>
      <c r="C74" s="570" t="str">
        <f>IF(LOG_ST!G73="","",VLOOKUP(LOG_ST!G73,DATA_HDG,2,FALSE))</f>
        <v/>
      </c>
      <c r="D74" s="571" t="str">
        <f>IF(LOG_ST!H73="","",LOG_ST!H73)</f>
        <v/>
      </c>
      <c r="E74" s="570" t="str">
        <f>IF(LOG_ST!I73="","",VLOOKUP(LOG_ST!I73,DATA_COP,2,FALSE))</f>
        <v/>
      </c>
      <c r="F74" s="573" t="str">
        <f>IF(LOG_ST!J73="","",LOG_ST!J73)</f>
        <v/>
      </c>
      <c r="G74" s="570" t="str">
        <f>IF(LOG_ST!K73="","",VLOOKUP(LOG_ST!K73,DATA_SCIES,2,FALSE))</f>
        <v/>
      </c>
      <c r="H74" s="570" t="str">
        <f>IF(LOG_ST!L73="","",VLOOKUP(LOG_ST!L73,DATA_ST!$U$7:$V$64,2,FALSE))</f>
        <v/>
      </c>
      <c r="I74" s="570" t="str">
        <f>IF(LOG_ST!M73="","",LOG_ST!M73)</f>
        <v/>
      </c>
      <c r="J74" s="570" t="str">
        <f>IF(LOG_ST!N73="","",LOG_ST!N73)</f>
        <v/>
      </c>
      <c r="K74" s="573" t="str">
        <f>IF(LOG_ST!O73="","",LOG_ST!O73)</f>
        <v/>
      </c>
      <c r="L74" s="573" t="str">
        <f>IF(LOG_ST!P73="","",LOG_ST!P73)</f>
        <v/>
      </c>
      <c r="M74" s="574" t="str">
        <f>IF($L74="","",IF(LOG_ST!Q73=1,"OK",IF(LOG_ST!Q73=2,"NR",IF(OR(LOG_ST!Q73=0,LOG_ST!Q73="X"),"N/A"))))</f>
        <v/>
      </c>
      <c r="N74" s="574" t="str">
        <f>IF($L74="","",IF(LOG_ST!R73=1,"OK",IF(LOG_ST!R73=2,"NR",IF(OR(LOG_ST!R73=0,LOG_ST!R73="X"),"N/A"))))</f>
        <v/>
      </c>
      <c r="O74" s="574" t="str">
        <f>IF($L74="","",IF(LOG_ST!S73=1,"OK",IF(LOG_ST!S73=2,"NR",IF(OR(LOG_ST!S73=0,LOG_ST!S73="X"),"N/A"))))</f>
        <v/>
      </c>
      <c r="P74" s="574" t="str">
        <f>IF($L74="","",IF(LOG_ST!T73=1,"OK",IF(LOG_ST!T73=2,"NR",IF(OR(LOG_ST!T73=0,LOG_ST!T73="X"),"N/A"))))</f>
        <v/>
      </c>
      <c r="Q74" s="574" t="str">
        <f>IF($L74="","",IF(LOG_ST!U73=1,"OK",IF(LOG_ST!U73=2,"NR",IF(OR(LOG_ST!U73=0,LOG_ST!U73="X"),"N/A"))))</f>
        <v/>
      </c>
      <c r="R74" s="574" t="str">
        <f>IF($L74="","",IF(LOG_ST!V73=1,"OK",IF(LOG_ST!V73=2,"NR",IF(OR(LOG_ST!V73=0,LOG_ST!V73="X"),"N/A"))))</f>
        <v/>
      </c>
      <c r="S74" s="574" t="str">
        <f>IF($L74="","",IF(LOG_ST!W73=1,"OK",IF(LOG_ST!W73=2,"NR",IF(OR(LOG_ST!W73=0,LOG_ST!W73="X"),"N/A"))))</f>
        <v/>
      </c>
      <c r="T74" s="574" t="str">
        <f>IF($L74="","",IF(LOG_ST!X73=1,"OK",IF(LOG_ST!X73=2,"NR",IF(OR(LOG_ST!X73=0,LOG_ST!X73="X"),"N/A"))))</f>
        <v/>
      </c>
      <c r="U74" s="574" t="str">
        <f>IF($L74="","",IF(LOG_ST!Y73=1,"OK",IF(LOG_ST!Y73=2,"NR",IF(OR(LOG_ST!Y73=0,LOG_ST!Y73="X"),"N/A"))))</f>
        <v/>
      </c>
      <c r="V74" s="574" t="str">
        <f>IF($L74="","",IF(LOG_ST!Z73=1,"OK",IF(LOG_ST!Z73=2,"NR",IF(OR(LOG_ST!Z73=0,LOG_ST!Z73="X"),"N/A"))))</f>
        <v/>
      </c>
      <c r="W74" s="574" t="str">
        <f>IF($L74="","",IF(LOG_ST!AA73=1,"OK",IF(LOG_ST!AA73=2,"NR",IF(OR(LOG_ST!AA73=0,LOG_ST!AA73="X"),"N/A"))))</f>
        <v/>
      </c>
      <c r="X74" s="574" t="str">
        <f>IF($L74="","",IF(LOG_ST!AB73=1,"OK",IF(LOG_ST!AB73=2,"NR",IF(OR(LOG_ST!AB73=0,LOG_ST!AB73="X"),"N/A"))))</f>
        <v/>
      </c>
      <c r="Y74" s="574" t="str">
        <f>IF($L74="","",IF(LOG_ST!AC73=1,"OK",IF(LOG_ST!AC73=2,"NR",IF(OR(LOG_ST!AC73=0,LOG_ST!AC73="X"),"N/A"))))</f>
        <v/>
      </c>
      <c r="Z74" s="574" t="str">
        <f>IF($L74="","",IF(OR(LOG_ST!AD73=0,LOG_ST!AD73="X"),"N/A",LOG_ST!AD73))</f>
        <v/>
      </c>
      <c r="AA74" s="574" t="str">
        <f>IF($L74="","",IF(LOG_ST!AE73=1,"OK",IF(LOG_ST!AE73=2,"NR",IF(OR(LOG_ST!AE73=0,LOG_ST!AE73="X"),"N/A"))))</f>
        <v/>
      </c>
      <c r="AB74" s="574" t="str">
        <f>IF($L74="","",IF(LOG_ST!AF73=1,"OK",IF(LOG_ST!AF73=2,"NR",IF(OR(LOG_ST!AF73=0,LOG_ST!AF73="X"),"N/A"))))</f>
        <v/>
      </c>
      <c r="AC74" s="574" t="str">
        <f>IF($L74="","",IF(LOG_ST!AG73=1,"OK",IF(LOG_ST!AG73=2,"NR",IF(OR(LOG_ST!AG73=0,LOG_ST!AG73="X"),"N/A"))))</f>
        <v/>
      </c>
      <c r="AD74" s="574" t="str">
        <f>IF($L74="","",IF(OR(LOG_ST!AH73=0,LOG_ST!AH73="X"),"N/A",LOG_ST!AH73))</f>
        <v/>
      </c>
      <c r="AE74" s="574" t="str">
        <f>IF($L74="","",IF(LOG_ST!AI73=1,"OK",IF(LOG_ST!AI73=2,"NR",IF(OR(LOG_ST!AI73=0,LOG_ST!AI73="X"),"N/A"))))</f>
        <v/>
      </c>
      <c r="AF74" s="574" t="str">
        <f>IF($L74="","",IF(LOG_ST!AJ73=1,"OK",IF(LOG_ST!AJ73=2,"NR",IF(OR(LOG_ST!AJ73=0,LOG_ST!AJ73="X"),"N/A"))))</f>
        <v/>
      </c>
      <c r="AG74" s="574" t="str">
        <f>IF($L74="","",IF(LOG_ST!AK73=1,"OK",IF(LOG_ST!AK73=2,"NR",IF(OR(LOG_ST!AK73=0,LOG_ST!AK73="X"),"N/A"))))</f>
        <v/>
      </c>
      <c r="AH74" s="574" t="str">
        <f>IF($L74="","",IF(LOG_ST!AL73=1,"OK",IF(LOG_ST!AL73=2,"NR",IF(OR(LOG_ST!AL73=0,LOG_ST!AL73="X"),"N/A"))))</f>
        <v/>
      </c>
      <c r="AI74" s="574" t="str">
        <f>IF($L74="","",IF(LOG_ST!AM73=1,"OK",IF(LOG_ST!AM73=2,"NR",IF(OR(LOG_ST!AM73=0,LOG_ST!AM73="X"),"N/A"))))</f>
        <v/>
      </c>
      <c r="AJ74" s="574" t="str">
        <f>IF($L74="","",IF(LOG_ST!AN73=1,"OK",IF(LOG_ST!AN73=2,"NR",IF(OR(LOG_ST!AN73=0,LOG_ST!AN73="X"),"N/A"))))</f>
        <v/>
      </c>
      <c r="AK74" s="574" t="str">
        <f>IF($L74="","",IF(LOG_ST!AO73=1,"OK",IF(LOG_ST!AO73=2,"NR",IF(OR(LOG_ST!AO73=0,LOG_ST!AO73="X"),"N/A"))))</f>
        <v/>
      </c>
      <c r="AL74" s="574" t="str">
        <f>IF($L74="","",IF(LOG_ST!AP73=1,"OK",IF(LOG_ST!AP73=2,"NR",IF(OR(LOG_ST!AP73=0,LOG_ST!AP73="X"),"N/A"))))</f>
        <v/>
      </c>
      <c r="AM74" s="574" t="str">
        <f>IF($L74="","",IF(LOG_ST!AQ73=1,"OK",IF(LOG_ST!AQ73=2,"NR",IF(OR(LOG_ST!AQ73=0,LOG_ST!AQ73="X"),"N/A"))))</f>
        <v/>
      </c>
      <c r="AN74" s="550" t="str">
        <f t="shared" si="1"/>
        <v/>
      </c>
    </row>
    <row r="75" spans="2:40" x14ac:dyDescent="0.25">
      <c r="B75" s="551" t="str">
        <f>IF(LOG_ST!F74="","",VLOOKUP(LOG_ST!F74,DATA_BASE!$A$46:$C$57,2,FALSE))</f>
        <v/>
      </c>
      <c r="C75" s="570" t="str">
        <f>IF(LOG_ST!G74="","",VLOOKUP(LOG_ST!G74,DATA_HDG,2,FALSE))</f>
        <v/>
      </c>
      <c r="D75" s="571" t="str">
        <f>IF(LOG_ST!H74="","",LOG_ST!H74)</f>
        <v/>
      </c>
      <c r="E75" s="570" t="str">
        <f>IF(LOG_ST!I74="","",VLOOKUP(LOG_ST!I74,DATA_COP,2,FALSE))</f>
        <v/>
      </c>
      <c r="F75" s="573" t="str">
        <f>IF(LOG_ST!J74="","",LOG_ST!J74)</f>
        <v/>
      </c>
      <c r="G75" s="570" t="str">
        <f>IF(LOG_ST!K74="","",VLOOKUP(LOG_ST!K74,DATA_SCIES,2,FALSE))</f>
        <v/>
      </c>
      <c r="H75" s="570" t="str">
        <f>IF(LOG_ST!L74="","",VLOOKUP(LOG_ST!L74,DATA_ST!$U$7:$V$64,2,FALSE))</f>
        <v/>
      </c>
      <c r="I75" s="570" t="str">
        <f>IF(LOG_ST!M74="","",LOG_ST!M74)</f>
        <v/>
      </c>
      <c r="J75" s="570" t="str">
        <f>IF(LOG_ST!N74="","",LOG_ST!N74)</f>
        <v/>
      </c>
      <c r="K75" s="573" t="str">
        <f>IF(LOG_ST!O74="","",LOG_ST!O74)</f>
        <v/>
      </c>
      <c r="L75" s="573" t="str">
        <f>IF(LOG_ST!P74="","",LOG_ST!P74)</f>
        <v/>
      </c>
      <c r="M75" s="574" t="str">
        <f>IF($L75="","",IF(LOG_ST!Q74=1,"OK",IF(LOG_ST!Q74=2,"NR",IF(OR(LOG_ST!Q74=0,LOG_ST!Q74="X"),"N/A"))))</f>
        <v/>
      </c>
      <c r="N75" s="574" t="str">
        <f>IF($L75="","",IF(LOG_ST!R74=1,"OK",IF(LOG_ST!R74=2,"NR",IF(OR(LOG_ST!R74=0,LOG_ST!R74="X"),"N/A"))))</f>
        <v/>
      </c>
      <c r="O75" s="574" t="str">
        <f>IF($L75="","",IF(LOG_ST!S74=1,"OK",IF(LOG_ST!S74=2,"NR",IF(OR(LOG_ST!S74=0,LOG_ST!S74="X"),"N/A"))))</f>
        <v/>
      </c>
      <c r="P75" s="574" t="str">
        <f>IF($L75="","",IF(LOG_ST!T74=1,"OK",IF(LOG_ST!T74=2,"NR",IF(OR(LOG_ST!T74=0,LOG_ST!T74="X"),"N/A"))))</f>
        <v/>
      </c>
      <c r="Q75" s="574" t="str">
        <f>IF($L75="","",IF(LOG_ST!U74=1,"OK",IF(LOG_ST!U74=2,"NR",IF(OR(LOG_ST!U74=0,LOG_ST!U74="X"),"N/A"))))</f>
        <v/>
      </c>
      <c r="R75" s="574" t="str">
        <f>IF($L75="","",IF(LOG_ST!V74=1,"OK",IF(LOG_ST!V74=2,"NR",IF(OR(LOG_ST!V74=0,LOG_ST!V74="X"),"N/A"))))</f>
        <v/>
      </c>
      <c r="S75" s="574" t="str">
        <f>IF($L75="","",IF(LOG_ST!W74=1,"OK",IF(LOG_ST!W74=2,"NR",IF(OR(LOG_ST!W74=0,LOG_ST!W74="X"),"N/A"))))</f>
        <v/>
      </c>
      <c r="T75" s="574" t="str">
        <f>IF($L75="","",IF(LOG_ST!X74=1,"OK",IF(LOG_ST!X74=2,"NR",IF(OR(LOG_ST!X74=0,LOG_ST!X74="X"),"N/A"))))</f>
        <v/>
      </c>
      <c r="U75" s="574" t="str">
        <f>IF($L75="","",IF(LOG_ST!Y74=1,"OK",IF(LOG_ST!Y74=2,"NR",IF(OR(LOG_ST!Y74=0,LOG_ST!Y74="X"),"N/A"))))</f>
        <v/>
      </c>
      <c r="V75" s="574" t="str">
        <f>IF($L75="","",IF(LOG_ST!Z74=1,"OK",IF(LOG_ST!Z74=2,"NR",IF(OR(LOG_ST!Z74=0,LOG_ST!Z74="X"),"N/A"))))</f>
        <v/>
      </c>
      <c r="W75" s="574" t="str">
        <f>IF($L75="","",IF(LOG_ST!AA74=1,"OK",IF(LOG_ST!AA74=2,"NR",IF(OR(LOG_ST!AA74=0,LOG_ST!AA74="X"),"N/A"))))</f>
        <v/>
      </c>
      <c r="X75" s="574" t="str">
        <f>IF($L75="","",IF(LOG_ST!AB74=1,"OK",IF(LOG_ST!AB74=2,"NR",IF(OR(LOG_ST!AB74=0,LOG_ST!AB74="X"),"N/A"))))</f>
        <v/>
      </c>
      <c r="Y75" s="574" t="str">
        <f>IF($L75="","",IF(LOG_ST!AC74=1,"OK",IF(LOG_ST!AC74=2,"NR",IF(OR(LOG_ST!AC74=0,LOG_ST!AC74="X"),"N/A"))))</f>
        <v/>
      </c>
      <c r="Z75" s="574" t="str">
        <f>IF($L75="","",IF(OR(LOG_ST!AD74=0,LOG_ST!AD74="X"),"N/A",LOG_ST!AD74))</f>
        <v/>
      </c>
      <c r="AA75" s="574" t="str">
        <f>IF($L75="","",IF(LOG_ST!AE74=1,"OK",IF(LOG_ST!AE74=2,"NR",IF(OR(LOG_ST!AE74=0,LOG_ST!AE74="X"),"N/A"))))</f>
        <v/>
      </c>
      <c r="AB75" s="574" t="str">
        <f>IF($L75="","",IF(LOG_ST!AF74=1,"OK",IF(LOG_ST!AF74=2,"NR",IF(OR(LOG_ST!AF74=0,LOG_ST!AF74="X"),"N/A"))))</f>
        <v/>
      </c>
      <c r="AC75" s="574" t="str">
        <f>IF($L75="","",IF(LOG_ST!AG74=1,"OK",IF(LOG_ST!AG74=2,"NR",IF(OR(LOG_ST!AG74=0,LOG_ST!AG74="X"),"N/A"))))</f>
        <v/>
      </c>
      <c r="AD75" s="574" t="str">
        <f>IF($L75="","",IF(OR(LOG_ST!AH74=0,LOG_ST!AH74="X"),"N/A",LOG_ST!AH74))</f>
        <v/>
      </c>
      <c r="AE75" s="574" t="str">
        <f>IF($L75="","",IF(LOG_ST!AI74=1,"OK",IF(LOG_ST!AI74=2,"NR",IF(OR(LOG_ST!AI74=0,LOG_ST!AI74="X"),"N/A"))))</f>
        <v/>
      </c>
      <c r="AF75" s="574" t="str">
        <f>IF($L75="","",IF(LOG_ST!AJ74=1,"OK",IF(LOG_ST!AJ74=2,"NR",IF(OR(LOG_ST!AJ74=0,LOG_ST!AJ74="X"),"N/A"))))</f>
        <v/>
      </c>
      <c r="AG75" s="574" t="str">
        <f>IF($L75="","",IF(LOG_ST!AK74=1,"OK",IF(LOG_ST!AK74=2,"NR",IF(OR(LOG_ST!AK74=0,LOG_ST!AK74="X"),"N/A"))))</f>
        <v/>
      </c>
      <c r="AH75" s="574" t="str">
        <f>IF($L75="","",IF(LOG_ST!AL74=1,"OK",IF(LOG_ST!AL74=2,"NR",IF(OR(LOG_ST!AL74=0,LOG_ST!AL74="X"),"N/A"))))</f>
        <v/>
      </c>
      <c r="AI75" s="574" t="str">
        <f>IF($L75="","",IF(LOG_ST!AM74=1,"OK",IF(LOG_ST!AM74=2,"NR",IF(OR(LOG_ST!AM74=0,LOG_ST!AM74="X"),"N/A"))))</f>
        <v/>
      </c>
      <c r="AJ75" s="574" t="str">
        <f>IF($L75="","",IF(LOG_ST!AN74=1,"OK",IF(LOG_ST!AN74=2,"NR",IF(OR(LOG_ST!AN74=0,LOG_ST!AN74="X"),"N/A"))))</f>
        <v/>
      </c>
      <c r="AK75" s="574" t="str">
        <f>IF($L75="","",IF(LOG_ST!AO74=1,"OK",IF(LOG_ST!AO74=2,"NR",IF(OR(LOG_ST!AO74=0,LOG_ST!AO74="X"),"N/A"))))</f>
        <v/>
      </c>
      <c r="AL75" s="574" t="str">
        <f>IF($L75="","",IF(LOG_ST!AP74=1,"OK",IF(LOG_ST!AP74=2,"NR",IF(OR(LOG_ST!AP74=0,LOG_ST!AP74="X"),"N/A"))))</f>
        <v/>
      </c>
      <c r="AM75" s="574" t="str">
        <f>IF($L75="","",IF(LOG_ST!AQ74=1,"OK",IF(LOG_ST!AQ74=2,"NR",IF(OR(LOG_ST!AQ74=0,LOG_ST!AQ74="X"),"N/A"))))</f>
        <v/>
      </c>
      <c r="AN75" s="550" t="str">
        <f t="shared" si="1"/>
        <v/>
      </c>
    </row>
    <row r="76" spans="2:40" x14ac:dyDescent="0.25">
      <c r="B76" s="551" t="str">
        <f>IF(LOG_ST!F75="","",VLOOKUP(LOG_ST!F75,DATA_BASE!$A$46:$C$57,2,FALSE))</f>
        <v/>
      </c>
      <c r="C76" s="570" t="str">
        <f>IF(LOG_ST!G75="","",VLOOKUP(LOG_ST!G75,DATA_HDG,2,FALSE))</f>
        <v/>
      </c>
      <c r="D76" s="571" t="str">
        <f>IF(LOG_ST!H75="","",LOG_ST!H75)</f>
        <v/>
      </c>
      <c r="E76" s="570" t="str">
        <f>IF(LOG_ST!I75="","",VLOOKUP(LOG_ST!I75,DATA_COP,2,FALSE))</f>
        <v/>
      </c>
      <c r="F76" s="573" t="str">
        <f>IF(LOG_ST!J75="","",LOG_ST!J75)</f>
        <v/>
      </c>
      <c r="G76" s="570" t="str">
        <f>IF(LOG_ST!K75="","",VLOOKUP(LOG_ST!K75,DATA_SCIES,2,FALSE))</f>
        <v/>
      </c>
      <c r="H76" s="570" t="str">
        <f>IF(LOG_ST!L75="","",VLOOKUP(LOG_ST!L75,DATA_ST!$U$7:$V$64,2,FALSE))</f>
        <v/>
      </c>
      <c r="I76" s="570" t="str">
        <f>IF(LOG_ST!M75="","",LOG_ST!M75)</f>
        <v/>
      </c>
      <c r="J76" s="570" t="str">
        <f>IF(LOG_ST!N75="","",LOG_ST!N75)</f>
        <v/>
      </c>
      <c r="K76" s="573" t="str">
        <f>IF(LOG_ST!O75="","",LOG_ST!O75)</f>
        <v/>
      </c>
      <c r="L76" s="573" t="str">
        <f>IF(LOG_ST!P75="","",LOG_ST!P75)</f>
        <v/>
      </c>
      <c r="M76" s="574" t="str">
        <f>IF($L76="","",IF(LOG_ST!Q75=1,"OK",IF(LOG_ST!Q75=2,"NR",IF(OR(LOG_ST!Q75=0,LOG_ST!Q75="X"),"N/A"))))</f>
        <v/>
      </c>
      <c r="N76" s="574" t="str">
        <f>IF($L76="","",IF(LOG_ST!R75=1,"OK",IF(LOG_ST!R75=2,"NR",IF(OR(LOG_ST!R75=0,LOG_ST!R75="X"),"N/A"))))</f>
        <v/>
      </c>
      <c r="O76" s="574" t="str">
        <f>IF($L76="","",IF(LOG_ST!S75=1,"OK",IF(LOG_ST!S75=2,"NR",IF(OR(LOG_ST!S75=0,LOG_ST!S75="X"),"N/A"))))</f>
        <v/>
      </c>
      <c r="P76" s="574" t="str">
        <f>IF($L76="","",IF(LOG_ST!T75=1,"OK",IF(LOG_ST!T75=2,"NR",IF(OR(LOG_ST!T75=0,LOG_ST!T75="X"),"N/A"))))</f>
        <v/>
      </c>
      <c r="Q76" s="574" t="str">
        <f>IF($L76="","",IF(LOG_ST!U75=1,"OK",IF(LOG_ST!U75=2,"NR",IF(OR(LOG_ST!U75=0,LOG_ST!U75="X"),"N/A"))))</f>
        <v/>
      </c>
      <c r="R76" s="574" t="str">
        <f>IF($L76="","",IF(LOG_ST!V75=1,"OK",IF(LOG_ST!V75=2,"NR",IF(OR(LOG_ST!V75=0,LOG_ST!V75="X"),"N/A"))))</f>
        <v/>
      </c>
      <c r="S76" s="574" t="str">
        <f>IF($L76="","",IF(LOG_ST!W75=1,"OK",IF(LOG_ST!W75=2,"NR",IF(OR(LOG_ST!W75=0,LOG_ST!W75="X"),"N/A"))))</f>
        <v/>
      </c>
      <c r="T76" s="574" t="str">
        <f>IF($L76="","",IF(LOG_ST!X75=1,"OK",IF(LOG_ST!X75=2,"NR",IF(OR(LOG_ST!X75=0,LOG_ST!X75="X"),"N/A"))))</f>
        <v/>
      </c>
      <c r="U76" s="574" t="str">
        <f>IF($L76="","",IF(LOG_ST!Y75=1,"OK",IF(LOG_ST!Y75=2,"NR",IF(OR(LOG_ST!Y75=0,LOG_ST!Y75="X"),"N/A"))))</f>
        <v/>
      </c>
      <c r="V76" s="574" t="str">
        <f>IF($L76="","",IF(LOG_ST!Z75=1,"OK",IF(LOG_ST!Z75=2,"NR",IF(OR(LOG_ST!Z75=0,LOG_ST!Z75="X"),"N/A"))))</f>
        <v/>
      </c>
      <c r="W76" s="574" t="str">
        <f>IF($L76="","",IF(LOG_ST!AA75=1,"OK",IF(LOG_ST!AA75=2,"NR",IF(OR(LOG_ST!AA75=0,LOG_ST!AA75="X"),"N/A"))))</f>
        <v/>
      </c>
      <c r="X76" s="574" t="str">
        <f>IF($L76="","",IF(LOG_ST!AB75=1,"OK",IF(LOG_ST!AB75=2,"NR",IF(OR(LOG_ST!AB75=0,LOG_ST!AB75="X"),"N/A"))))</f>
        <v/>
      </c>
      <c r="Y76" s="574" t="str">
        <f>IF($L76="","",IF(LOG_ST!AC75=1,"OK",IF(LOG_ST!AC75=2,"NR",IF(OR(LOG_ST!AC75=0,LOG_ST!AC75="X"),"N/A"))))</f>
        <v/>
      </c>
      <c r="Z76" s="574" t="str">
        <f>IF($L76="","",IF(OR(LOG_ST!AD75=0,LOG_ST!AD75="X"),"N/A",LOG_ST!AD75))</f>
        <v/>
      </c>
      <c r="AA76" s="574" t="str">
        <f>IF($L76="","",IF(LOG_ST!AE75=1,"OK",IF(LOG_ST!AE75=2,"NR",IF(OR(LOG_ST!AE75=0,LOG_ST!AE75="X"),"N/A"))))</f>
        <v/>
      </c>
      <c r="AB76" s="574" t="str">
        <f>IF($L76="","",IF(LOG_ST!AF75=1,"OK",IF(LOG_ST!AF75=2,"NR",IF(OR(LOG_ST!AF75=0,LOG_ST!AF75="X"),"N/A"))))</f>
        <v/>
      </c>
      <c r="AC76" s="574" t="str">
        <f>IF($L76="","",IF(LOG_ST!AG75=1,"OK",IF(LOG_ST!AG75=2,"NR",IF(OR(LOG_ST!AG75=0,LOG_ST!AG75="X"),"N/A"))))</f>
        <v/>
      </c>
      <c r="AD76" s="574" t="str">
        <f>IF($L76="","",IF(OR(LOG_ST!AH75=0,LOG_ST!AH75="X"),"N/A",LOG_ST!AH75))</f>
        <v/>
      </c>
      <c r="AE76" s="574" t="str">
        <f>IF($L76="","",IF(LOG_ST!AI75=1,"OK",IF(LOG_ST!AI75=2,"NR",IF(OR(LOG_ST!AI75=0,LOG_ST!AI75="X"),"N/A"))))</f>
        <v/>
      </c>
      <c r="AF76" s="574" t="str">
        <f>IF($L76="","",IF(LOG_ST!AJ75=1,"OK",IF(LOG_ST!AJ75=2,"NR",IF(OR(LOG_ST!AJ75=0,LOG_ST!AJ75="X"),"N/A"))))</f>
        <v/>
      </c>
      <c r="AG76" s="574" t="str">
        <f>IF($L76="","",IF(LOG_ST!AK75=1,"OK",IF(LOG_ST!AK75=2,"NR",IF(OR(LOG_ST!AK75=0,LOG_ST!AK75="X"),"N/A"))))</f>
        <v/>
      </c>
      <c r="AH76" s="574" t="str">
        <f>IF($L76="","",IF(LOG_ST!AL75=1,"OK",IF(LOG_ST!AL75=2,"NR",IF(OR(LOG_ST!AL75=0,LOG_ST!AL75="X"),"N/A"))))</f>
        <v/>
      </c>
      <c r="AI76" s="574" t="str">
        <f>IF($L76="","",IF(LOG_ST!AM75=1,"OK",IF(LOG_ST!AM75=2,"NR",IF(OR(LOG_ST!AM75=0,LOG_ST!AM75="X"),"N/A"))))</f>
        <v/>
      </c>
      <c r="AJ76" s="574" t="str">
        <f>IF($L76="","",IF(LOG_ST!AN75=1,"OK",IF(LOG_ST!AN75=2,"NR",IF(OR(LOG_ST!AN75=0,LOG_ST!AN75="X"),"N/A"))))</f>
        <v/>
      </c>
      <c r="AK76" s="574" t="str">
        <f>IF($L76="","",IF(LOG_ST!AO75=1,"OK",IF(LOG_ST!AO75=2,"NR",IF(OR(LOG_ST!AO75=0,LOG_ST!AO75="X"),"N/A"))))</f>
        <v/>
      </c>
      <c r="AL76" s="574" t="str">
        <f>IF($L76="","",IF(LOG_ST!AP75=1,"OK",IF(LOG_ST!AP75=2,"NR",IF(OR(LOG_ST!AP75=0,LOG_ST!AP75="X"),"N/A"))))</f>
        <v/>
      </c>
      <c r="AM76" s="574" t="str">
        <f>IF($L76="","",IF(LOG_ST!AQ75=1,"OK",IF(LOG_ST!AQ75=2,"NR",IF(OR(LOG_ST!AQ75=0,LOG_ST!AQ75="X"),"N/A"))))</f>
        <v/>
      </c>
      <c r="AN76" s="550" t="str">
        <f t="shared" si="1"/>
        <v/>
      </c>
    </row>
    <row r="77" spans="2:40" x14ac:dyDescent="0.25">
      <c r="B77" s="551" t="str">
        <f>IF(LOG_ST!F76="","",VLOOKUP(LOG_ST!F76,DATA_BASE!$A$46:$C$57,2,FALSE))</f>
        <v/>
      </c>
      <c r="C77" s="570" t="str">
        <f>IF(LOG_ST!G76="","",VLOOKUP(LOG_ST!G76,DATA_HDG,2,FALSE))</f>
        <v/>
      </c>
      <c r="D77" s="571" t="str">
        <f>IF(LOG_ST!H76="","",LOG_ST!H76)</f>
        <v/>
      </c>
      <c r="E77" s="570" t="str">
        <f>IF(LOG_ST!I76="","",VLOOKUP(LOG_ST!I76,DATA_COP,2,FALSE))</f>
        <v/>
      </c>
      <c r="F77" s="573" t="str">
        <f>IF(LOG_ST!J76="","",LOG_ST!J76)</f>
        <v/>
      </c>
      <c r="G77" s="570" t="str">
        <f>IF(LOG_ST!K76="","",VLOOKUP(LOG_ST!K76,DATA_SCIES,2,FALSE))</f>
        <v/>
      </c>
      <c r="H77" s="570" t="str">
        <f>IF(LOG_ST!L76="","",VLOOKUP(LOG_ST!L76,DATA_ST!$U$7:$V$64,2,FALSE))</f>
        <v/>
      </c>
      <c r="I77" s="570" t="str">
        <f>IF(LOG_ST!M76="","",LOG_ST!M76)</f>
        <v/>
      </c>
      <c r="J77" s="570" t="str">
        <f>IF(LOG_ST!N76="","",LOG_ST!N76)</f>
        <v/>
      </c>
      <c r="K77" s="573" t="str">
        <f>IF(LOG_ST!O76="","",LOG_ST!O76)</f>
        <v/>
      </c>
      <c r="L77" s="573" t="str">
        <f>IF(LOG_ST!P76="","",LOG_ST!P76)</f>
        <v/>
      </c>
      <c r="M77" s="574" t="str">
        <f>IF($L77="","",IF(LOG_ST!Q76=1,"OK",IF(LOG_ST!Q76=2,"NR",IF(OR(LOG_ST!Q76=0,LOG_ST!Q76="X"),"N/A"))))</f>
        <v/>
      </c>
      <c r="N77" s="574" t="str">
        <f>IF($L77="","",IF(LOG_ST!R76=1,"OK",IF(LOG_ST!R76=2,"NR",IF(OR(LOG_ST!R76=0,LOG_ST!R76="X"),"N/A"))))</f>
        <v/>
      </c>
      <c r="O77" s="574" t="str">
        <f>IF($L77="","",IF(LOG_ST!S76=1,"OK",IF(LOG_ST!S76=2,"NR",IF(OR(LOG_ST!S76=0,LOG_ST!S76="X"),"N/A"))))</f>
        <v/>
      </c>
      <c r="P77" s="574" t="str">
        <f>IF($L77="","",IF(LOG_ST!T76=1,"OK",IF(LOG_ST!T76=2,"NR",IF(OR(LOG_ST!T76=0,LOG_ST!T76="X"),"N/A"))))</f>
        <v/>
      </c>
      <c r="Q77" s="574" t="str">
        <f>IF($L77="","",IF(LOG_ST!U76=1,"OK",IF(LOG_ST!U76=2,"NR",IF(OR(LOG_ST!U76=0,LOG_ST!U76="X"),"N/A"))))</f>
        <v/>
      </c>
      <c r="R77" s="574" t="str">
        <f>IF($L77="","",IF(LOG_ST!V76=1,"OK",IF(LOG_ST!V76=2,"NR",IF(OR(LOG_ST!V76=0,LOG_ST!V76="X"),"N/A"))))</f>
        <v/>
      </c>
      <c r="S77" s="574" t="str">
        <f>IF($L77="","",IF(LOG_ST!W76=1,"OK",IF(LOG_ST!W76=2,"NR",IF(OR(LOG_ST!W76=0,LOG_ST!W76="X"),"N/A"))))</f>
        <v/>
      </c>
      <c r="T77" s="574" t="str">
        <f>IF($L77="","",IF(LOG_ST!X76=1,"OK",IF(LOG_ST!X76=2,"NR",IF(OR(LOG_ST!X76=0,LOG_ST!X76="X"),"N/A"))))</f>
        <v/>
      </c>
      <c r="U77" s="574" t="str">
        <f>IF($L77="","",IF(LOG_ST!Y76=1,"OK",IF(LOG_ST!Y76=2,"NR",IF(OR(LOG_ST!Y76=0,LOG_ST!Y76="X"),"N/A"))))</f>
        <v/>
      </c>
      <c r="V77" s="574" t="str">
        <f>IF($L77="","",IF(LOG_ST!Z76=1,"OK",IF(LOG_ST!Z76=2,"NR",IF(OR(LOG_ST!Z76=0,LOG_ST!Z76="X"),"N/A"))))</f>
        <v/>
      </c>
      <c r="W77" s="574" t="str">
        <f>IF($L77="","",IF(LOG_ST!AA76=1,"OK",IF(LOG_ST!AA76=2,"NR",IF(OR(LOG_ST!AA76=0,LOG_ST!AA76="X"),"N/A"))))</f>
        <v/>
      </c>
      <c r="X77" s="574" t="str">
        <f>IF($L77="","",IF(LOG_ST!AB76=1,"OK",IF(LOG_ST!AB76=2,"NR",IF(OR(LOG_ST!AB76=0,LOG_ST!AB76="X"),"N/A"))))</f>
        <v/>
      </c>
      <c r="Y77" s="574" t="str">
        <f>IF($L77="","",IF(LOG_ST!AC76=1,"OK",IF(LOG_ST!AC76=2,"NR",IF(OR(LOG_ST!AC76=0,LOG_ST!AC76="X"),"N/A"))))</f>
        <v/>
      </c>
      <c r="Z77" s="574" t="str">
        <f>IF($L77="","",IF(OR(LOG_ST!AD76=0,LOG_ST!AD76="X"),"N/A",LOG_ST!AD76))</f>
        <v/>
      </c>
      <c r="AA77" s="574" t="str">
        <f>IF($L77="","",IF(LOG_ST!AE76=1,"OK",IF(LOG_ST!AE76=2,"NR",IF(OR(LOG_ST!AE76=0,LOG_ST!AE76="X"),"N/A"))))</f>
        <v/>
      </c>
      <c r="AB77" s="574" t="str">
        <f>IF($L77="","",IF(LOG_ST!AF76=1,"OK",IF(LOG_ST!AF76=2,"NR",IF(OR(LOG_ST!AF76=0,LOG_ST!AF76="X"),"N/A"))))</f>
        <v/>
      </c>
      <c r="AC77" s="574" t="str">
        <f>IF($L77="","",IF(LOG_ST!AG76=1,"OK",IF(LOG_ST!AG76=2,"NR",IF(OR(LOG_ST!AG76=0,LOG_ST!AG76="X"),"N/A"))))</f>
        <v/>
      </c>
      <c r="AD77" s="574" t="str">
        <f>IF($L77="","",IF(OR(LOG_ST!AH76=0,LOG_ST!AH76="X"),"N/A",LOG_ST!AH76))</f>
        <v/>
      </c>
      <c r="AE77" s="574" t="str">
        <f>IF($L77="","",IF(LOG_ST!AI76=1,"OK",IF(LOG_ST!AI76=2,"NR",IF(OR(LOG_ST!AI76=0,LOG_ST!AI76="X"),"N/A"))))</f>
        <v/>
      </c>
      <c r="AF77" s="574" t="str">
        <f>IF($L77="","",IF(LOG_ST!AJ76=1,"OK",IF(LOG_ST!AJ76=2,"NR",IF(OR(LOG_ST!AJ76=0,LOG_ST!AJ76="X"),"N/A"))))</f>
        <v/>
      </c>
      <c r="AG77" s="574" t="str">
        <f>IF($L77="","",IF(LOG_ST!AK76=1,"OK",IF(LOG_ST!AK76=2,"NR",IF(OR(LOG_ST!AK76=0,LOG_ST!AK76="X"),"N/A"))))</f>
        <v/>
      </c>
      <c r="AH77" s="574" t="str">
        <f>IF($L77="","",IF(LOG_ST!AL76=1,"OK",IF(LOG_ST!AL76=2,"NR",IF(OR(LOG_ST!AL76=0,LOG_ST!AL76="X"),"N/A"))))</f>
        <v/>
      </c>
      <c r="AI77" s="574" t="str">
        <f>IF($L77="","",IF(LOG_ST!AM76=1,"OK",IF(LOG_ST!AM76=2,"NR",IF(OR(LOG_ST!AM76=0,LOG_ST!AM76="X"),"N/A"))))</f>
        <v/>
      </c>
      <c r="AJ77" s="574" t="str">
        <f>IF($L77="","",IF(LOG_ST!AN76=1,"OK",IF(LOG_ST!AN76=2,"NR",IF(OR(LOG_ST!AN76=0,LOG_ST!AN76="X"),"N/A"))))</f>
        <v/>
      </c>
      <c r="AK77" s="574" t="str">
        <f>IF($L77="","",IF(LOG_ST!AO76=1,"OK",IF(LOG_ST!AO76=2,"NR",IF(OR(LOG_ST!AO76=0,LOG_ST!AO76="X"),"N/A"))))</f>
        <v/>
      </c>
      <c r="AL77" s="574" t="str">
        <f>IF($L77="","",IF(LOG_ST!AP76=1,"OK",IF(LOG_ST!AP76=2,"NR",IF(OR(LOG_ST!AP76=0,LOG_ST!AP76="X"),"N/A"))))</f>
        <v/>
      </c>
      <c r="AM77" s="574" t="str">
        <f>IF($L77="","",IF(LOG_ST!AQ76=1,"OK",IF(LOG_ST!AQ76=2,"NR",IF(OR(LOG_ST!AQ76=0,LOG_ST!AQ76="X"),"N/A"))))</f>
        <v/>
      </c>
      <c r="AN77" s="550" t="str">
        <f t="shared" si="1"/>
        <v/>
      </c>
    </row>
    <row r="78" spans="2:40" x14ac:dyDescent="0.25">
      <c r="B78" s="551" t="str">
        <f>IF(LOG_ST!F77="","",VLOOKUP(LOG_ST!F77,DATA_BASE!$A$46:$C$57,2,FALSE))</f>
        <v/>
      </c>
      <c r="C78" s="570" t="str">
        <f>IF(LOG_ST!G77="","",VLOOKUP(LOG_ST!G77,DATA_HDG,2,FALSE))</f>
        <v/>
      </c>
      <c r="D78" s="571" t="str">
        <f>IF(LOG_ST!H77="","",LOG_ST!H77)</f>
        <v/>
      </c>
      <c r="E78" s="570" t="str">
        <f>IF(LOG_ST!I77="","",VLOOKUP(LOG_ST!I77,DATA_COP,2,FALSE))</f>
        <v/>
      </c>
      <c r="F78" s="573" t="str">
        <f>IF(LOG_ST!J77="","",LOG_ST!J77)</f>
        <v/>
      </c>
      <c r="G78" s="570" t="str">
        <f>IF(LOG_ST!K77="","",VLOOKUP(LOG_ST!K77,DATA_SCIES,2,FALSE))</f>
        <v/>
      </c>
      <c r="H78" s="570" t="str">
        <f>IF(LOG_ST!L77="","",VLOOKUP(LOG_ST!L77,DATA_ST!$U$7:$V$64,2,FALSE))</f>
        <v/>
      </c>
      <c r="I78" s="570" t="str">
        <f>IF(LOG_ST!M77="","",LOG_ST!M77)</f>
        <v/>
      </c>
      <c r="J78" s="570" t="str">
        <f>IF(LOG_ST!N77="","",LOG_ST!N77)</f>
        <v/>
      </c>
      <c r="K78" s="573" t="str">
        <f>IF(LOG_ST!O77="","",LOG_ST!O77)</f>
        <v/>
      </c>
      <c r="L78" s="573" t="str">
        <f>IF(LOG_ST!P77="","",LOG_ST!P77)</f>
        <v/>
      </c>
      <c r="M78" s="574" t="str">
        <f>IF($L78="","",IF(LOG_ST!Q77=1,"OK",IF(LOG_ST!Q77=2,"NR",IF(OR(LOG_ST!Q77=0,LOG_ST!Q77="X"),"N/A"))))</f>
        <v/>
      </c>
      <c r="N78" s="574" t="str">
        <f>IF($L78="","",IF(LOG_ST!R77=1,"OK",IF(LOG_ST!R77=2,"NR",IF(OR(LOG_ST!R77=0,LOG_ST!R77="X"),"N/A"))))</f>
        <v/>
      </c>
      <c r="O78" s="574" t="str">
        <f>IF($L78="","",IF(LOG_ST!S77=1,"OK",IF(LOG_ST!S77=2,"NR",IF(OR(LOG_ST!S77=0,LOG_ST!S77="X"),"N/A"))))</f>
        <v/>
      </c>
      <c r="P78" s="574" t="str">
        <f>IF($L78="","",IF(LOG_ST!T77=1,"OK",IF(LOG_ST!T77=2,"NR",IF(OR(LOG_ST!T77=0,LOG_ST!T77="X"),"N/A"))))</f>
        <v/>
      </c>
      <c r="Q78" s="574" t="str">
        <f>IF($L78="","",IF(LOG_ST!U77=1,"OK",IF(LOG_ST!U77=2,"NR",IF(OR(LOG_ST!U77=0,LOG_ST!U77="X"),"N/A"))))</f>
        <v/>
      </c>
      <c r="R78" s="574" t="str">
        <f>IF($L78="","",IF(LOG_ST!V77=1,"OK",IF(LOG_ST!V77=2,"NR",IF(OR(LOG_ST!V77=0,LOG_ST!V77="X"),"N/A"))))</f>
        <v/>
      </c>
      <c r="S78" s="574" t="str">
        <f>IF($L78="","",IF(LOG_ST!W77=1,"OK",IF(LOG_ST!W77=2,"NR",IF(OR(LOG_ST!W77=0,LOG_ST!W77="X"),"N/A"))))</f>
        <v/>
      </c>
      <c r="T78" s="574" t="str">
        <f>IF($L78="","",IF(LOG_ST!X77=1,"OK",IF(LOG_ST!X77=2,"NR",IF(OR(LOG_ST!X77=0,LOG_ST!X77="X"),"N/A"))))</f>
        <v/>
      </c>
      <c r="U78" s="574" t="str">
        <f>IF($L78="","",IF(LOG_ST!Y77=1,"OK",IF(LOG_ST!Y77=2,"NR",IF(OR(LOG_ST!Y77=0,LOG_ST!Y77="X"),"N/A"))))</f>
        <v/>
      </c>
      <c r="V78" s="574" t="str">
        <f>IF($L78="","",IF(LOG_ST!Z77=1,"OK",IF(LOG_ST!Z77=2,"NR",IF(OR(LOG_ST!Z77=0,LOG_ST!Z77="X"),"N/A"))))</f>
        <v/>
      </c>
      <c r="W78" s="574" t="str">
        <f>IF($L78="","",IF(LOG_ST!AA77=1,"OK",IF(LOG_ST!AA77=2,"NR",IF(OR(LOG_ST!AA77=0,LOG_ST!AA77="X"),"N/A"))))</f>
        <v/>
      </c>
      <c r="X78" s="574" t="str">
        <f>IF($L78="","",IF(LOG_ST!AB77=1,"OK",IF(LOG_ST!AB77=2,"NR",IF(OR(LOG_ST!AB77=0,LOG_ST!AB77="X"),"N/A"))))</f>
        <v/>
      </c>
      <c r="Y78" s="574" t="str">
        <f>IF($L78="","",IF(LOG_ST!AC77=1,"OK",IF(LOG_ST!AC77=2,"NR",IF(OR(LOG_ST!AC77=0,LOG_ST!AC77="X"),"N/A"))))</f>
        <v/>
      </c>
      <c r="Z78" s="574" t="str">
        <f>IF($L78="","",IF(OR(LOG_ST!AD77=0,LOG_ST!AD77="X"),"N/A",LOG_ST!AD77))</f>
        <v/>
      </c>
      <c r="AA78" s="574" t="str">
        <f>IF($L78="","",IF(LOG_ST!AE77=1,"OK",IF(LOG_ST!AE77=2,"NR",IF(OR(LOG_ST!AE77=0,LOG_ST!AE77="X"),"N/A"))))</f>
        <v/>
      </c>
      <c r="AB78" s="574" t="str">
        <f>IF($L78="","",IF(LOG_ST!AF77=1,"OK",IF(LOG_ST!AF77=2,"NR",IF(OR(LOG_ST!AF77=0,LOG_ST!AF77="X"),"N/A"))))</f>
        <v/>
      </c>
      <c r="AC78" s="574" t="str">
        <f>IF($L78="","",IF(LOG_ST!AG77=1,"OK",IF(LOG_ST!AG77=2,"NR",IF(OR(LOG_ST!AG77=0,LOG_ST!AG77="X"),"N/A"))))</f>
        <v/>
      </c>
      <c r="AD78" s="574" t="str">
        <f>IF($L78="","",IF(OR(LOG_ST!AH77=0,LOG_ST!AH77="X"),"N/A",LOG_ST!AH77))</f>
        <v/>
      </c>
      <c r="AE78" s="574" t="str">
        <f>IF($L78="","",IF(LOG_ST!AI77=1,"OK",IF(LOG_ST!AI77=2,"NR",IF(OR(LOG_ST!AI77=0,LOG_ST!AI77="X"),"N/A"))))</f>
        <v/>
      </c>
      <c r="AF78" s="574" t="str">
        <f>IF($L78="","",IF(LOG_ST!AJ77=1,"OK",IF(LOG_ST!AJ77=2,"NR",IF(OR(LOG_ST!AJ77=0,LOG_ST!AJ77="X"),"N/A"))))</f>
        <v/>
      </c>
      <c r="AG78" s="574" t="str">
        <f>IF($L78="","",IF(LOG_ST!AK77=1,"OK",IF(LOG_ST!AK77=2,"NR",IF(OR(LOG_ST!AK77=0,LOG_ST!AK77="X"),"N/A"))))</f>
        <v/>
      </c>
      <c r="AH78" s="574" t="str">
        <f>IF($L78="","",IF(LOG_ST!AL77=1,"OK",IF(LOG_ST!AL77=2,"NR",IF(OR(LOG_ST!AL77=0,LOG_ST!AL77="X"),"N/A"))))</f>
        <v/>
      </c>
      <c r="AI78" s="574" t="str">
        <f>IF($L78="","",IF(LOG_ST!AM77=1,"OK",IF(LOG_ST!AM77=2,"NR",IF(OR(LOG_ST!AM77=0,LOG_ST!AM77="X"),"N/A"))))</f>
        <v/>
      </c>
      <c r="AJ78" s="574" t="str">
        <f>IF($L78="","",IF(LOG_ST!AN77=1,"OK",IF(LOG_ST!AN77=2,"NR",IF(OR(LOG_ST!AN77=0,LOG_ST!AN77="X"),"N/A"))))</f>
        <v/>
      </c>
      <c r="AK78" s="574" t="str">
        <f>IF($L78="","",IF(LOG_ST!AO77=1,"OK",IF(LOG_ST!AO77=2,"NR",IF(OR(LOG_ST!AO77=0,LOG_ST!AO77="X"),"N/A"))))</f>
        <v/>
      </c>
      <c r="AL78" s="574" t="str">
        <f>IF($L78="","",IF(LOG_ST!AP77=1,"OK",IF(LOG_ST!AP77=2,"NR",IF(OR(LOG_ST!AP77=0,LOG_ST!AP77="X"),"N/A"))))</f>
        <v/>
      </c>
      <c r="AM78" s="574" t="str">
        <f>IF($L78="","",IF(LOG_ST!AQ77=1,"OK",IF(LOG_ST!AQ77=2,"NR",IF(OR(LOG_ST!AQ77=0,LOG_ST!AQ77="X"),"N/A"))))</f>
        <v/>
      </c>
      <c r="AN78" s="550" t="str">
        <f t="shared" si="1"/>
        <v/>
      </c>
    </row>
    <row r="79" spans="2:40" x14ac:dyDescent="0.25">
      <c r="B79" s="551" t="str">
        <f>IF(LOG_ST!F78="","",VLOOKUP(LOG_ST!F78,DATA_BASE!$A$46:$C$57,2,FALSE))</f>
        <v/>
      </c>
      <c r="C79" s="570" t="str">
        <f>IF(LOG_ST!G78="","",VLOOKUP(LOG_ST!G78,DATA_HDG,2,FALSE))</f>
        <v/>
      </c>
      <c r="D79" s="571" t="str">
        <f>IF(LOG_ST!H78="","",LOG_ST!H78)</f>
        <v/>
      </c>
      <c r="E79" s="570" t="str">
        <f>IF(LOG_ST!I78="","",VLOOKUP(LOG_ST!I78,DATA_COP,2,FALSE))</f>
        <v/>
      </c>
      <c r="F79" s="573" t="str">
        <f>IF(LOG_ST!J78="","",LOG_ST!J78)</f>
        <v/>
      </c>
      <c r="G79" s="570" t="str">
        <f>IF(LOG_ST!K78="","",VLOOKUP(LOG_ST!K78,DATA_SCIES,2,FALSE))</f>
        <v/>
      </c>
      <c r="H79" s="570" t="str">
        <f>IF(LOG_ST!L78="","",VLOOKUP(LOG_ST!L78,DATA_ST!$U$7:$V$64,2,FALSE))</f>
        <v/>
      </c>
      <c r="I79" s="570" t="str">
        <f>IF(LOG_ST!M78="","",LOG_ST!M78)</f>
        <v/>
      </c>
      <c r="J79" s="570" t="str">
        <f>IF(LOG_ST!N78="","",LOG_ST!N78)</f>
        <v/>
      </c>
      <c r="K79" s="573" t="str">
        <f>IF(LOG_ST!O78="","",LOG_ST!O78)</f>
        <v/>
      </c>
      <c r="L79" s="573" t="str">
        <f>IF(LOG_ST!P78="","",LOG_ST!P78)</f>
        <v/>
      </c>
      <c r="M79" s="574" t="str">
        <f>IF($L79="","",IF(LOG_ST!Q78=1,"OK",IF(LOG_ST!Q78=2,"NR",IF(OR(LOG_ST!Q78=0,LOG_ST!Q78="X"),"N/A"))))</f>
        <v/>
      </c>
      <c r="N79" s="574" t="str">
        <f>IF($L79="","",IF(LOG_ST!R78=1,"OK",IF(LOG_ST!R78=2,"NR",IF(OR(LOG_ST!R78=0,LOG_ST!R78="X"),"N/A"))))</f>
        <v/>
      </c>
      <c r="O79" s="574" t="str">
        <f>IF($L79="","",IF(LOG_ST!S78=1,"OK",IF(LOG_ST!S78=2,"NR",IF(OR(LOG_ST!S78=0,LOG_ST!S78="X"),"N/A"))))</f>
        <v/>
      </c>
      <c r="P79" s="574" t="str">
        <f>IF($L79="","",IF(LOG_ST!T78=1,"OK",IF(LOG_ST!T78=2,"NR",IF(OR(LOG_ST!T78=0,LOG_ST!T78="X"),"N/A"))))</f>
        <v/>
      </c>
      <c r="Q79" s="574" t="str">
        <f>IF($L79="","",IF(LOG_ST!U78=1,"OK",IF(LOG_ST!U78=2,"NR",IF(OR(LOG_ST!U78=0,LOG_ST!U78="X"),"N/A"))))</f>
        <v/>
      </c>
      <c r="R79" s="574" t="str">
        <f>IF($L79="","",IF(LOG_ST!V78=1,"OK",IF(LOG_ST!V78=2,"NR",IF(OR(LOG_ST!V78=0,LOG_ST!V78="X"),"N/A"))))</f>
        <v/>
      </c>
      <c r="S79" s="574" t="str">
        <f>IF($L79="","",IF(LOG_ST!W78=1,"OK",IF(LOG_ST!W78=2,"NR",IF(OR(LOG_ST!W78=0,LOG_ST!W78="X"),"N/A"))))</f>
        <v/>
      </c>
      <c r="T79" s="574" t="str">
        <f>IF($L79="","",IF(LOG_ST!X78=1,"OK",IF(LOG_ST!X78=2,"NR",IF(OR(LOG_ST!X78=0,LOG_ST!X78="X"),"N/A"))))</f>
        <v/>
      </c>
      <c r="U79" s="574" t="str">
        <f>IF($L79="","",IF(LOG_ST!Y78=1,"OK",IF(LOG_ST!Y78=2,"NR",IF(OR(LOG_ST!Y78=0,LOG_ST!Y78="X"),"N/A"))))</f>
        <v/>
      </c>
      <c r="V79" s="574" t="str">
        <f>IF($L79="","",IF(LOG_ST!Z78=1,"OK",IF(LOG_ST!Z78=2,"NR",IF(OR(LOG_ST!Z78=0,LOG_ST!Z78="X"),"N/A"))))</f>
        <v/>
      </c>
      <c r="W79" s="574" t="str">
        <f>IF($L79="","",IF(LOG_ST!AA78=1,"OK",IF(LOG_ST!AA78=2,"NR",IF(OR(LOG_ST!AA78=0,LOG_ST!AA78="X"),"N/A"))))</f>
        <v/>
      </c>
      <c r="X79" s="574" t="str">
        <f>IF($L79="","",IF(LOG_ST!AB78=1,"OK",IF(LOG_ST!AB78=2,"NR",IF(OR(LOG_ST!AB78=0,LOG_ST!AB78="X"),"N/A"))))</f>
        <v/>
      </c>
      <c r="Y79" s="574" t="str">
        <f>IF($L79="","",IF(LOG_ST!AC78=1,"OK",IF(LOG_ST!AC78=2,"NR",IF(OR(LOG_ST!AC78=0,LOG_ST!AC78="X"),"N/A"))))</f>
        <v/>
      </c>
      <c r="Z79" s="574" t="str">
        <f>IF($L79="","",IF(OR(LOG_ST!AD78=0,LOG_ST!AD78="X"),"N/A",LOG_ST!AD78))</f>
        <v/>
      </c>
      <c r="AA79" s="574" t="str">
        <f>IF($L79="","",IF(LOG_ST!AE78=1,"OK",IF(LOG_ST!AE78=2,"NR",IF(OR(LOG_ST!AE78=0,LOG_ST!AE78="X"),"N/A"))))</f>
        <v/>
      </c>
      <c r="AB79" s="574" t="str">
        <f>IF($L79="","",IF(LOG_ST!AF78=1,"OK",IF(LOG_ST!AF78=2,"NR",IF(OR(LOG_ST!AF78=0,LOG_ST!AF78="X"),"N/A"))))</f>
        <v/>
      </c>
      <c r="AC79" s="574" t="str">
        <f>IF($L79="","",IF(LOG_ST!AG78=1,"OK",IF(LOG_ST!AG78=2,"NR",IF(OR(LOG_ST!AG78=0,LOG_ST!AG78="X"),"N/A"))))</f>
        <v/>
      </c>
      <c r="AD79" s="574" t="str">
        <f>IF($L79="","",IF(OR(LOG_ST!AH78=0,LOG_ST!AH78="X"),"N/A",LOG_ST!AH78))</f>
        <v/>
      </c>
      <c r="AE79" s="574" t="str">
        <f>IF($L79="","",IF(LOG_ST!AI78=1,"OK",IF(LOG_ST!AI78=2,"NR",IF(OR(LOG_ST!AI78=0,LOG_ST!AI78="X"),"N/A"))))</f>
        <v/>
      </c>
      <c r="AF79" s="574" t="str">
        <f>IF($L79="","",IF(LOG_ST!AJ78=1,"OK",IF(LOG_ST!AJ78=2,"NR",IF(OR(LOG_ST!AJ78=0,LOG_ST!AJ78="X"),"N/A"))))</f>
        <v/>
      </c>
      <c r="AG79" s="574" t="str">
        <f>IF($L79="","",IF(LOG_ST!AK78=1,"OK",IF(LOG_ST!AK78=2,"NR",IF(OR(LOG_ST!AK78=0,LOG_ST!AK78="X"),"N/A"))))</f>
        <v/>
      </c>
      <c r="AH79" s="574" t="str">
        <f>IF($L79="","",IF(LOG_ST!AL78=1,"OK",IF(LOG_ST!AL78=2,"NR",IF(OR(LOG_ST!AL78=0,LOG_ST!AL78="X"),"N/A"))))</f>
        <v/>
      </c>
      <c r="AI79" s="574" t="str">
        <f>IF($L79="","",IF(LOG_ST!AM78=1,"OK",IF(LOG_ST!AM78=2,"NR",IF(OR(LOG_ST!AM78=0,LOG_ST!AM78="X"),"N/A"))))</f>
        <v/>
      </c>
      <c r="AJ79" s="574" t="str">
        <f>IF($L79="","",IF(LOG_ST!AN78=1,"OK",IF(LOG_ST!AN78=2,"NR",IF(OR(LOG_ST!AN78=0,LOG_ST!AN78="X"),"N/A"))))</f>
        <v/>
      </c>
      <c r="AK79" s="574" t="str">
        <f>IF($L79="","",IF(LOG_ST!AO78=1,"OK",IF(LOG_ST!AO78=2,"NR",IF(OR(LOG_ST!AO78=0,LOG_ST!AO78="X"),"N/A"))))</f>
        <v/>
      </c>
      <c r="AL79" s="574" t="str">
        <f>IF($L79="","",IF(LOG_ST!AP78=1,"OK",IF(LOG_ST!AP78=2,"NR",IF(OR(LOG_ST!AP78=0,LOG_ST!AP78="X"),"N/A"))))</f>
        <v/>
      </c>
      <c r="AM79" s="574" t="str">
        <f>IF($L79="","",IF(LOG_ST!AQ78=1,"OK",IF(LOG_ST!AQ78=2,"NR",IF(OR(LOG_ST!AQ78=0,LOG_ST!AQ78="X"),"N/A"))))</f>
        <v/>
      </c>
      <c r="AN79" s="550" t="str">
        <f t="shared" si="1"/>
        <v/>
      </c>
    </row>
    <row r="80" spans="2:40" x14ac:dyDescent="0.25">
      <c r="B80" s="551" t="str">
        <f>IF(LOG_ST!F79="","",VLOOKUP(LOG_ST!F79,DATA_BASE!$A$46:$C$57,2,FALSE))</f>
        <v/>
      </c>
      <c r="C80" s="570" t="str">
        <f>IF(LOG_ST!G79="","",VLOOKUP(LOG_ST!G79,DATA_HDG,2,FALSE))</f>
        <v/>
      </c>
      <c r="D80" s="571" t="str">
        <f>IF(LOG_ST!H79="","",LOG_ST!H79)</f>
        <v/>
      </c>
      <c r="E80" s="570" t="str">
        <f>IF(LOG_ST!I79="","",VLOOKUP(LOG_ST!I79,DATA_COP,2,FALSE))</f>
        <v/>
      </c>
      <c r="F80" s="573" t="str">
        <f>IF(LOG_ST!J79="","",LOG_ST!J79)</f>
        <v/>
      </c>
      <c r="G80" s="570" t="str">
        <f>IF(LOG_ST!K79="","",VLOOKUP(LOG_ST!K79,DATA_SCIES,2,FALSE))</f>
        <v/>
      </c>
      <c r="H80" s="570" t="str">
        <f>IF(LOG_ST!L79="","",VLOOKUP(LOG_ST!L79,DATA_ST!$U$7:$V$64,2,FALSE))</f>
        <v/>
      </c>
      <c r="I80" s="570" t="str">
        <f>IF(LOG_ST!M79="","",LOG_ST!M79)</f>
        <v/>
      </c>
      <c r="J80" s="570" t="str">
        <f>IF(LOG_ST!N79="","",LOG_ST!N79)</f>
        <v/>
      </c>
      <c r="K80" s="573" t="str">
        <f>IF(LOG_ST!O79="","",LOG_ST!O79)</f>
        <v/>
      </c>
      <c r="L80" s="573" t="str">
        <f>IF(LOG_ST!P79="","",LOG_ST!P79)</f>
        <v/>
      </c>
      <c r="M80" s="574" t="str">
        <f>IF($L80="","",IF(LOG_ST!Q79=1,"OK",IF(LOG_ST!Q79=2,"NR",IF(OR(LOG_ST!Q79=0,LOG_ST!Q79="X"),"N/A"))))</f>
        <v/>
      </c>
      <c r="N80" s="574" t="str">
        <f>IF($L80="","",IF(LOG_ST!R79=1,"OK",IF(LOG_ST!R79=2,"NR",IF(OR(LOG_ST!R79=0,LOG_ST!R79="X"),"N/A"))))</f>
        <v/>
      </c>
      <c r="O80" s="574" t="str">
        <f>IF($L80="","",IF(LOG_ST!S79=1,"OK",IF(LOG_ST!S79=2,"NR",IF(OR(LOG_ST!S79=0,LOG_ST!S79="X"),"N/A"))))</f>
        <v/>
      </c>
      <c r="P80" s="574" t="str">
        <f>IF($L80="","",IF(LOG_ST!T79=1,"OK",IF(LOG_ST!T79=2,"NR",IF(OR(LOG_ST!T79=0,LOG_ST!T79="X"),"N/A"))))</f>
        <v/>
      </c>
      <c r="Q80" s="574" t="str">
        <f>IF($L80="","",IF(LOG_ST!U79=1,"OK",IF(LOG_ST!U79=2,"NR",IF(OR(LOG_ST!U79=0,LOG_ST!U79="X"),"N/A"))))</f>
        <v/>
      </c>
      <c r="R80" s="574" t="str">
        <f>IF($L80="","",IF(LOG_ST!V79=1,"OK",IF(LOG_ST!V79=2,"NR",IF(OR(LOG_ST!V79=0,LOG_ST!V79="X"),"N/A"))))</f>
        <v/>
      </c>
      <c r="S80" s="574" t="str">
        <f>IF($L80="","",IF(LOG_ST!W79=1,"OK",IF(LOG_ST!W79=2,"NR",IF(OR(LOG_ST!W79=0,LOG_ST!W79="X"),"N/A"))))</f>
        <v/>
      </c>
      <c r="T80" s="574" t="str">
        <f>IF($L80="","",IF(LOG_ST!X79=1,"OK",IF(LOG_ST!X79=2,"NR",IF(OR(LOG_ST!X79=0,LOG_ST!X79="X"),"N/A"))))</f>
        <v/>
      </c>
      <c r="U80" s="574" t="str">
        <f>IF($L80="","",IF(LOG_ST!Y79=1,"OK",IF(LOG_ST!Y79=2,"NR",IF(OR(LOG_ST!Y79=0,LOG_ST!Y79="X"),"N/A"))))</f>
        <v/>
      </c>
      <c r="V80" s="574" t="str">
        <f>IF($L80="","",IF(LOG_ST!Z79=1,"OK",IF(LOG_ST!Z79=2,"NR",IF(OR(LOG_ST!Z79=0,LOG_ST!Z79="X"),"N/A"))))</f>
        <v/>
      </c>
      <c r="W80" s="574" t="str">
        <f>IF($L80="","",IF(LOG_ST!AA79=1,"OK",IF(LOG_ST!AA79=2,"NR",IF(OR(LOG_ST!AA79=0,LOG_ST!AA79="X"),"N/A"))))</f>
        <v/>
      </c>
      <c r="X80" s="574" t="str">
        <f>IF($L80="","",IF(LOG_ST!AB79=1,"OK",IF(LOG_ST!AB79=2,"NR",IF(OR(LOG_ST!AB79=0,LOG_ST!AB79="X"),"N/A"))))</f>
        <v/>
      </c>
      <c r="Y80" s="574" t="str">
        <f>IF($L80="","",IF(LOG_ST!AC79=1,"OK",IF(LOG_ST!AC79=2,"NR",IF(OR(LOG_ST!AC79=0,LOG_ST!AC79="X"),"N/A"))))</f>
        <v/>
      </c>
      <c r="Z80" s="574" t="str">
        <f>IF($L80="","",IF(OR(LOG_ST!AD79=0,LOG_ST!AD79="X"),"N/A",LOG_ST!AD79))</f>
        <v/>
      </c>
      <c r="AA80" s="574" t="str">
        <f>IF($L80="","",IF(LOG_ST!AE79=1,"OK",IF(LOG_ST!AE79=2,"NR",IF(OR(LOG_ST!AE79=0,LOG_ST!AE79="X"),"N/A"))))</f>
        <v/>
      </c>
      <c r="AB80" s="574" t="str">
        <f>IF($L80="","",IF(LOG_ST!AF79=1,"OK",IF(LOG_ST!AF79=2,"NR",IF(OR(LOG_ST!AF79=0,LOG_ST!AF79="X"),"N/A"))))</f>
        <v/>
      </c>
      <c r="AC80" s="574" t="str">
        <f>IF($L80="","",IF(LOG_ST!AG79=1,"OK",IF(LOG_ST!AG79=2,"NR",IF(OR(LOG_ST!AG79=0,LOG_ST!AG79="X"),"N/A"))))</f>
        <v/>
      </c>
      <c r="AD80" s="574" t="str">
        <f>IF($L80="","",IF(OR(LOG_ST!AH79=0,LOG_ST!AH79="X"),"N/A",LOG_ST!AH79))</f>
        <v/>
      </c>
      <c r="AE80" s="574" t="str">
        <f>IF($L80="","",IF(LOG_ST!AI79=1,"OK",IF(LOG_ST!AI79=2,"NR",IF(OR(LOG_ST!AI79=0,LOG_ST!AI79="X"),"N/A"))))</f>
        <v/>
      </c>
      <c r="AF80" s="574" t="str">
        <f>IF($L80="","",IF(LOG_ST!AJ79=1,"OK",IF(LOG_ST!AJ79=2,"NR",IF(OR(LOG_ST!AJ79=0,LOG_ST!AJ79="X"),"N/A"))))</f>
        <v/>
      </c>
      <c r="AG80" s="574" t="str">
        <f>IF($L80="","",IF(LOG_ST!AK79=1,"OK",IF(LOG_ST!AK79=2,"NR",IF(OR(LOG_ST!AK79=0,LOG_ST!AK79="X"),"N/A"))))</f>
        <v/>
      </c>
      <c r="AH80" s="574" t="str">
        <f>IF($L80="","",IF(LOG_ST!AL79=1,"OK",IF(LOG_ST!AL79=2,"NR",IF(OR(LOG_ST!AL79=0,LOG_ST!AL79="X"),"N/A"))))</f>
        <v/>
      </c>
      <c r="AI80" s="574" t="str">
        <f>IF($L80="","",IF(LOG_ST!AM79=1,"OK",IF(LOG_ST!AM79=2,"NR",IF(OR(LOG_ST!AM79=0,LOG_ST!AM79="X"),"N/A"))))</f>
        <v/>
      </c>
      <c r="AJ80" s="574" t="str">
        <f>IF($L80="","",IF(LOG_ST!AN79=1,"OK",IF(LOG_ST!AN79=2,"NR",IF(OR(LOG_ST!AN79=0,LOG_ST!AN79="X"),"N/A"))))</f>
        <v/>
      </c>
      <c r="AK80" s="574" t="str">
        <f>IF($L80="","",IF(LOG_ST!AO79=1,"OK",IF(LOG_ST!AO79=2,"NR",IF(OR(LOG_ST!AO79=0,LOG_ST!AO79="X"),"N/A"))))</f>
        <v/>
      </c>
      <c r="AL80" s="574" t="str">
        <f>IF($L80="","",IF(LOG_ST!AP79=1,"OK",IF(LOG_ST!AP79=2,"NR",IF(OR(LOG_ST!AP79=0,LOG_ST!AP79="X"),"N/A"))))</f>
        <v/>
      </c>
      <c r="AM80" s="574" t="str">
        <f>IF($L80="","",IF(LOG_ST!AQ79=1,"OK",IF(LOG_ST!AQ79=2,"NR",IF(OR(LOG_ST!AQ79=0,LOG_ST!AQ79="X"),"N/A"))))</f>
        <v/>
      </c>
      <c r="AN80" s="550" t="str">
        <f t="shared" si="1"/>
        <v/>
      </c>
    </row>
    <row r="81" spans="2:40" x14ac:dyDescent="0.25">
      <c r="B81" s="551" t="str">
        <f>IF(LOG_ST!F80="","",VLOOKUP(LOG_ST!F80,DATA_BASE!$A$46:$C$57,2,FALSE))</f>
        <v/>
      </c>
      <c r="C81" s="570" t="str">
        <f>IF(LOG_ST!G80="","",VLOOKUP(LOG_ST!G80,DATA_HDG,2,FALSE))</f>
        <v/>
      </c>
      <c r="D81" s="571" t="str">
        <f>IF(LOG_ST!H80="","",LOG_ST!H80)</f>
        <v/>
      </c>
      <c r="E81" s="570" t="str">
        <f>IF(LOG_ST!I80="","",VLOOKUP(LOG_ST!I80,DATA_COP,2,FALSE))</f>
        <v/>
      </c>
      <c r="F81" s="573" t="str">
        <f>IF(LOG_ST!J80="","",LOG_ST!J80)</f>
        <v/>
      </c>
      <c r="G81" s="570" t="str">
        <f>IF(LOG_ST!K80="","",VLOOKUP(LOG_ST!K80,DATA_SCIES,2,FALSE))</f>
        <v/>
      </c>
      <c r="H81" s="570" t="str">
        <f>IF(LOG_ST!L80="","",VLOOKUP(LOG_ST!L80,DATA_ST!$U$7:$V$64,2,FALSE))</f>
        <v/>
      </c>
      <c r="I81" s="570" t="str">
        <f>IF(LOG_ST!M80="","",LOG_ST!M80)</f>
        <v/>
      </c>
      <c r="J81" s="570" t="str">
        <f>IF(LOG_ST!N80="","",LOG_ST!N80)</f>
        <v/>
      </c>
      <c r="K81" s="573" t="str">
        <f>IF(LOG_ST!O80="","",LOG_ST!O80)</f>
        <v/>
      </c>
      <c r="L81" s="573" t="str">
        <f>IF(LOG_ST!P80="","",LOG_ST!P80)</f>
        <v/>
      </c>
      <c r="M81" s="574" t="str">
        <f>IF($L81="","",IF(LOG_ST!Q80=1,"OK",IF(LOG_ST!Q80=2,"NR",IF(OR(LOG_ST!Q80=0,LOG_ST!Q80="X"),"N/A"))))</f>
        <v/>
      </c>
      <c r="N81" s="574" t="str">
        <f>IF($L81="","",IF(LOG_ST!R80=1,"OK",IF(LOG_ST!R80=2,"NR",IF(OR(LOG_ST!R80=0,LOG_ST!R80="X"),"N/A"))))</f>
        <v/>
      </c>
      <c r="O81" s="574" t="str">
        <f>IF($L81="","",IF(LOG_ST!S80=1,"OK",IF(LOG_ST!S80=2,"NR",IF(OR(LOG_ST!S80=0,LOG_ST!S80="X"),"N/A"))))</f>
        <v/>
      </c>
      <c r="P81" s="574" t="str">
        <f>IF($L81="","",IF(LOG_ST!T80=1,"OK",IF(LOG_ST!T80=2,"NR",IF(OR(LOG_ST!T80=0,LOG_ST!T80="X"),"N/A"))))</f>
        <v/>
      </c>
      <c r="Q81" s="574" t="str">
        <f>IF($L81="","",IF(LOG_ST!U80=1,"OK",IF(LOG_ST!U80=2,"NR",IF(OR(LOG_ST!U80=0,LOG_ST!U80="X"),"N/A"))))</f>
        <v/>
      </c>
      <c r="R81" s="574" t="str">
        <f>IF($L81="","",IF(LOG_ST!V80=1,"OK",IF(LOG_ST!V80=2,"NR",IF(OR(LOG_ST!V80=0,LOG_ST!V80="X"),"N/A"))))</f>
        <v/>
      </c>
      <c r="S81" s="574" t="str">
        <f>IF($L81="","",IF(LOG_ST!W80=1,"OK",IF(LOG_ST!W80=2,"NR",IF(OR(LOG_ST!W80=0,LOG_ST!W80="X"),"N/A"))))</f>
        <v/>
      </c>
      <c r="T81" s="574" t="str">
        <f>IF($L81="","",IF(LOG_ST!X80=1,"OK",IF(LOG_ST!X80=2,"NR",IF(OR(LOG_ST!X80=0,LOG_ST!X80="X"),"N/A"))))</f>
        <v/>
      </c>
      <c r="U81" s="574" t="str">
        <f>IF($L81="","",IF(LOG_ST!Y80=1,"OK",IF(LOG_ST!Y80=2,"NR",IF(OR(LOG_ST!Y80=0,LOG_ST!Y80="X"),"N/A"))))</f>
        <v/>
      </c>
      <c r="V81" s="574" t="str">
        <f>IF($L81="","",IF(LOG_ST!Z80=1,"OK",IF(LOG_ST!Z80=2,"NR",IF(OR(LOG_ST!Z80=0,LOG_ST!Z80="X"),"N/A"))))</f>
        <v/>
      </c>
      <c r="W81" s="574" t="str">
        <f>IF($L81="","",IF(LOG_ST!AA80=1,"OK",IF(LOG_ST!AA80=2,"NR",IF(OR(LOG_ST!AA80=0,LOG_ST!AA80="X"),"N/A"))))</f>
        <v/>
      </c>
      <c r="X81" s="574" t="str">
        <f>IF($L81="","",IF(LOG_ST!AB80=1,"OK",IF(LOG_ST!AB80=2,"NR",IF(OR(LOG_ST!AB80=0,LOG_ST!AB80="X"),"N/A"))))</f>
        <v/>
      </c>
      <c r="Y81" s="574" t="str">
        <f>IF($L81="","",IF(LOG_ST!AC80=1,"OK",IF(LOG_ST!AC80=2,"NR",IF(OR(LOG_ST!AC80=0,LOG_ST!AC80="X"),"N/A"))))</f>
        <v/>
      </c>
      <c r="Z81" s="574" t="str">
        <f>IF($L81="","",IF(OR(LOG_ST!AD80=0,LOG_ST!AD80="X"),"N/A",LOG_ST!AD80))</f>
        <v/>
      </c>
      <c r="AA81" s="574" t="str">
        <f>IF($L81="","",IF(LOG_ST!AE80=1,"OK",IF(LOG_ST!AE80=2,"NR",IF(OR(LOG_ST!AE80=0,LOG_ST!AE80="X"),"N/A"))))</f>
        <v/>
      </c>
      <c r="AB81" s="574" t="str">
        <f>IF($L81="","",IF(LOG_ST!AF80=1,"OK",IF(LOG_ST!AF80=2,"NR",IF(OR(LOG_ST!AF80=0,LOG_ST!AF80="X"),"N/A"))))</f>
        <v/>
      </c>
      <c r="AC81" s="574" t="str">
        <f>IF($L81="","",IF(LOG_ST!AG80=1,"OK",IF(LOG_ST!AG80=2,"NR",IF(OR(LOG_ST!AG80=0,LOG_ST!AG80="X"),"N/A"))))</f>
        <v/>
      </c>
      <c r="AD81" s="574" t="str">
        <f>IF($L81="","",IF(OR(LOG_ST!AH80=0,LOG_ST!AH80="X"),"N/A",LOG_ST!AH80))</f>
        <v/>
      </c>
      <c r="AE81" s="574" t="str">
        <f>IF($L81="","",IF(LOG_ST!AI80=1,"OK",IF(LOG_ST!AI80=2,"NR",IF(OR(LOG_ST!AI80=0,LOG_ST!AI80="X"),"N/A"))))</f>
        <v/>
      </c>
      <c r="AF81" s="574" t="str">
        <f>IF($L81="","",IF(LOG_ST!AJ80=1,"OK",IF(LOG_ST!AJ80=2,"NR",IF(OR(LOG_ST!AJ80=0,LOG_ST!AJ80="X"),"N/A"))))</f>
        <v/>
      </c>
      <c r="AG81" s="574" t="str">
        <f>IF($L81="","",IF(LOG_ST!AK80=1,"OK",IF(LOG_ST!AK80=2,"NR",IF(OR(LOG_ST!AK80=0,LOG_ST!AK80="X"),"N/A"))))</f>
        <v/>
      </c>
      <c r="AH81" s="574" t="str">
        <f>IF($L81="","",IF(LOG_ST!AL80=1,"OK",IF(LOG_ST!AL80=2,"NR",IF(OR(LOG_ST!AL80=0,LOG_ST!AL80="X"),"N/A"))))</f>
        <v/>
      </c>
      <c r="AI81" s="574" t="str">
        <f>IF($L81="","",IF(LOG_ST!AM80=1,"OK",IF(LOG_ST!AM80=2,"NR",IF(OR(LOG_ST!AM80=0,LOG_ST!AM80="X"),"N/A"))))</f>
        <v/>
      </c>
      <c r="AJ81" s="574" t="str">
        <f>IF($L81="","",IF(LOG_ST!AN80=1,"OK",IF(LOG_ST!AN80=2,"NR",IF(OR(LOG_ST!AN80=0,LOG_ST!AN80="X"),"N/A"))))</f>
        <v/>
      </c>
      <c r="AK81" s="574" t="str">
        <f>IF($L81="","",IF(LOG_ST!AO80=1,"OK",IF(LOG_ST!AO80=2,"NR",IF(OR(LOG_ST!AO80=0,LOG_ST!AO80="X"),"N/A"))))</f>
        <v/>
      </c>
      <c r="AL81" s="574" t="str">
        <f>IF($L81="","",IF(LOG_ST!AP80=1,"OK",IF(LOG_ST!AP80=2,"NR",IF(OR(LOG_ST!AP80=0,LOG_ST!AP80="X"),"N/A"))))</f>
        <v/>
      </c>
      <c r="AM81" s="574" t="str">
        <f>IF($L81="","",IF(LOG_ST!AQ80=1,"OK",IF(LOG_ST!AQ80=2,"NR",IF(OR(LOG_ST!AQ80=0,LOG_ST!AQ80="X"),"N/A"))))</f>
        <v/>
      </c>
      <c r="AN81" s="550" t="str">
        <f t="shared" si="1"/>
        <v/>
      </c>
    </row>
    <row r="82" spans="2:40" x14ac:dyDescent="0.25">
      <c r="B82" s="551" t="str">
        <f>IF(LOG_ST!F81="","",VLOOKUP(LOG_ST!F81,DATA_BASE!$A$46:$C$57,2,FALSE))</f>
        <v/>
      </c>
      <c r="C82" s="570" t="str">
        <f>IF(LOG_ST!G81="","",VLOOKUP(LOG_ST!G81,DATA_HDG,2,FALSE))</f>
        <v/>
      </c>
      <c r="D82" s="571" t="str">
        <f>IF(LOG_ST!H81="","",LOG_ST!H81)</f>
        <v/>
      </c>
      <c r="E82" s="570" t="str">
        <f>IF(LOG_ST!I81="","",VLOOKUP(LOG_ST!I81,DATA_COP,2,FALSE))</f>
        <v/>
      </c>
      <c r="F82" s="573" t="str">
        <f>IF(LOG_ST!J81="","",LOG_ST!J81)</f>
        <v/>
      </c>
      <c r="G82" s="570" t="str">
        <f>IF(LOG_ST!K81="","",VLOOKUP(LOG_ST!K81,DATA_SCIES,2,FALSE))</f>
        <v/>
      </c>
      <c r="H82" s="570" t="str">
        <f>IF(LOG_ST!L81="","",VLOOKUP(LOG_ST!L81,DATA_ST!$U$7:$V$64,2,FALSE))</f>
        <v/>
      </c>
      <c r="I82" s="570" t="str">
        <f>IF(LOG_ST!M81="","",LOG_ST!M81)</f>
        <v/>
      </c>
      <c r="J82" s="570" t="str">
        <f>IF(LOG_ST!N81="","",LOG_ST!N81)</f>
        <v/>
      </c>
      <c r="K82" s="573" t="str">
        <f>IF(LOG_ST!O81="","",LOG_ST!O81)</f>
        <v/>
      </c>
      <c r="L82" s="573" t="str">
        <f>IF(LOG_ST!P81="","",LOG_ST!P81)</f>
        <v/>
      </c>
      <c r="M82" s="574" t="str">
        <f>IF($L82="","",IF(LOG_ST!Q81=1,"OK",IF(LOG_ST!Q81=2,"NR",IF(OR(LOG_ST!Q81=0,LOG_ST!Q81="X"),"N/A"))))</f>
        <v/>
      </c>
      <c r="N82" s="574" t="str">
        <f>IF($L82="","",IF(LOG_ST!R81=1,"OK",IF(LOG_ST!R81=2,"NR",IF(OR(LOG_ST!R81=0,LOG_ST!R81="X"),"N/A"))))</f>
        <v/>
      </c>
      <c r="O82" s="574" t="str">
        <f>IF($L82="","",IF(LOG_ST!S81=1,"OK",IF(LOG_ST!S81=2,"NR",IF(OR(LOG_ST!S81=0,LOG_ST!S81="X"),"N/A"))))</f>
        <v/>
      </c>
      <c r="P82" s="574" t="str">
        <f>IF($L82="","",IF(LOG_ST!T81=1,"OK",IF(LOG_ST!T81=2,"NR",IF(OR(LOG_ST!T81=0,LOG_ST!T81="X"),"N/A"))))</f>
        <v/>
      </c>
      <c r="Q82" s="574" t="str">
        <f>IF($L82="","",IF(LOG_ST!U81=1,"OK",IF(LOG_ST!U81=2,"NR",IF(OR(LOG_ST!U81=0,LOG_ST!U81="X"),"N/A"))))</f>
        <v/>
      </c>
      <c r="R82" s="574" t="str">
        <f>IF($L82="","",IF(LOG_ST!V81=1,"OK",IF(LOG_ST!V81=2,"NR",IF(OR(LOG_ST!V81=0,LOG_ST!V81="X"),"N/A"))))</f>
        <v/>
      </c>
      <c r="S82" s="574" t="str">
        <f>IF($L82="","",IF(LOG_ST!W81=1,"OK",IF(LOG_ST!W81=2,"NR",IF(OR(LOG_ST!W81=0,LOG_ST!W81="X"),"N/A"))))</f>
        <v/>
      </c>
      <c r="T82" s="574" t="str">
        <f>IF($L82="","",IF(LOG_ST!X81=1,"OK",IF(LOG_ST!X81=2,"NR",IF(OR(LOG_ST!X81=0,LOG_ST!X81="X"),"N/A"))))</f>
        <v/>
      </c>
      <c r="U82" s="574" t="str">
        <f>IF($L82="","",IF(LOG_ST!Y81=1,"OK",IF(LOG_ST!Y81=2,"NR",IF(OR(LOG_ST!Y81=0,LOG_ST!Y81="X"),"N/A"))))</f>
        <v/>
      </c>
      <c r="V82" s="574" t="str">
        <f>IF($L82="","",IF(LOG_ST!Z81=1,"OK",IF(LOG_ST!Z81=2,"NR",IF(OR(LOG_ST!Z81=0,LOG_ST!Z81="X"),"N/A"))))</f>
        <v/>
      </c>
      <c r="W82" s="574" t="str">
        <f>IF($L82="","",IF(LOG_ST!AA81=1,"OK",IF(LOG_ST!AA81=2,"NR",IF(OR(LOG_ST!AA81=0,LOG_ST!AA81="X"),"N/A"))))</f>
        <v/>
      </c>
      <c r="X82" s="574" t="str">
        <f>IF($L82="","",IF(LOG_ST!AB81=1,"OK",IF(LOG_ST!AB81=2,"NR",IF(OR(LOG_ST!AB81=0,LOG_ST!AB81="X"),"N/A"))))</f>
        <v/>
      </c>
      <c r="Y82" s="574" t="str">
        <f>IF($L82="","",IF(LOG_ST!AC81=1,"OK",IF(LOG_ST!AC81=2,"NR",IF(OR(LOG_ST!AC81=0,LOG_ST!AC81="X"),"N/A"))))</f>
        <v/>
      </c>
      <c r="Z82" s="574" t="str">
        <f>IF($L82="","",IF(OR(LOG_ST!AD81=0,LOG_ST!AD81="X"),"N/A",LOG_ST!AD81))</f>
        <v/>
      </c>
      <c r="AA82" s="574" t="str">
        <f>IF($L82="","",IF(LOG_ST!AE81=1,"OK",IF(LOG_ST!AE81=2,"NR",IF(OR(LOG_ST!AE81=0,LOG_ST!AE81="X"),"N/A"))))</f>
        <v/>
      </c>
      <c r="AB82" s="574" t="str">
        <f>IF($L82="","",IF(LOG_ST!AF81=1,"OK",IF(LOG_ST!AF81=2,"NR",IF(OR(LOG_ST!AF81=0,LOG_ST!AF81="X"),"N/A"))))</f>
        <v/>
      </c>
      <c r="AC82" s="574" t="str">
        <f>IF($L82="","",IF(LOG_ST!AG81=1,"OK",IF(LOG_ST!AG81=2,"NR",IF(OR(LOG_ST!AG81=0,LOG_ST!AG81="X"),"N/A"))))</f>
        <v/>
      </c>
      <c r="AD82" s="574" t="str">
        <f>IF($L82="","",IF(OR(LOG_ST!AH81=0,LOG_ST!AH81="X"),"N/A",LOG_ST!AH81))</f>
        <v/>
      </c>
      <c r="AE82" s="574" t="str">
        <f>IF($L82="","",IF(LOG_ST!AI81=1,"OK",IF(LOG_ST!AI81=2,"NR",IF(OR(LOG_ST!AI81=0,LOG_ST!AI81="X"),"N/A"))))</f>
        <v/>
      </c>
      <c r="AF82" s="574" t="str">
        <f>IF($L82="","",IF(LOG_ST!AJ81=1,"OK",IF(LOG_ST!AJ81=2,"NR",IF(OR(LOG_ST!AJ81=0,LOG_ST!AJ81="X"),"N/A"))))</f>
        <v/>
      </c>
      <c r="AG82" s="574" t="str">
        <f>IF($L82="","",IF(LOG_ST!AK81=1,"OK",IF(LOG_ST!AK81=2,"NR",IF(OR(LOG_ST!AK81=0,LOG_ST!AK81="X"),"N/A"))))</f>
        <v/>
      </c>
      <c r="AH82" s="574" t="str">
        <f>IF($L82="","",IF(LOG_ST!AL81=1,"OK",IF(LOG_ST!AL81=2,"NR",IF(OR(LOG_ST!AL81=0,LOG_ST!AL81="X"),"N/A"))))</f>
        <v/>
      </c>
      <c r="AI82" s="574" t="str">
        <f>IF($L82="","",IF(LOG_ST!AM81=1,"OK",IF(LOG_ST!AM81=2,"NR",IF(OR(LOG_ST!AM81=0,LOG_ST!AM81="X"),"N/A"))))</f>
        <v/>
      </c>
      <c r="AJ82" s="574" t="str">
        <f>IF($L82="","",IF(LOG_ST!AN81=1,"OK",IF(LOG_ST!AN81=2,"NR",IF(OR(LOG_ST!AN81=0,LOG_ST!AN81="X"),"N/A"))))</f>
        <v/>
      </c>
      <c r="AK82" s="574" t="str">
        <f>IF($L82="","",IF(LOG_ST!AO81=1,"OK",IF(LOG_ST!AO81=2,"NR",IF(OR(LOG_ST!AO81=0,LOG_ST!AO81="X"),"N/A"))))</f>
        <v/>
      </c>
      <c r="AL82" s="574" t="str">
        <f>IF($L82="","",IF(LOG_ST!AP81=1,"OK",IF(LOG_ST!AP81=2,"NR",IF(OR(LOG_ST!AP81=0,LOG_ST!AP81="X"),"N/A"))))</f>
        <v/>
      </c>
      <c r="AM82" s="574" t="str">
        <f>IF($L82="","",IF(LOG_ST!AQ81=1,"OK",IF(LOG_ST!AQ81=2,"NR",IF(OR(LOG_ST!AQ81=0,LOG_ST!AQ81="X"),"N/A"))))</f>
        <v/>
      </c>
      <c r="AN82" s="550" t="str">
        <f t="shared" si="1"/>
        <v/>
      </c>
    </row>
    <row r="83" spans="2:40" x14ac:dyDescent="0.25">
      <c r="B83" s="551" t="str">
        <f>IF(LOG_ST!F82="","",VLOOKUP(LOG_ST!F82,DATA_BASE!$A$46:$C$57,2,FALSE))</f>
        <v/>
      </c>
      <c r="C83" s="570" t="str">
        <f>IF(LOG_ST!G82="","",VLOOKUP(LOG_ST!G82,DATA_HDG,2,FALSE))</f>
        <v/>
      </c>
      <c r="D83" s="571" t="str">
        <f>IF(LOG_ST!H82="","",LOG_ST!H82)</f>
        <v/>
      </c>
      <c r="E83" s="570" t="str">
        <f>IF(LOG_ST!I82="","",VLOOKUP(LOG_ST!I82,DATA_COP,2,FALSE))</f>
        <v/>
      </c>
      <c r="F83" s="573" t="str">
        <f>IF(LOG_ST!J82="","",LOG_ST!J82)</f>
        <v/>
      </c>
      <c r="G83" s="570" t="str">
        <f>IF(LOG_ST!K82="","",VLOOKUP(LOG_ST!K82,DATA_SCIES,2,FALSE))</f>
        <v/>
      </c>
      <c r="H83" s="570" t="str">
        <f>IF(LOG_ST!L82="","",VLOOKUP(LOG_ST!L82,DATA_ST!$U$7:$V$64,2,FALSE))</f>
        <v/>
      </c>
      <c r="I83" s="570" t="str">
        <f>IF(LOG_ST!M82="","",LOG_ST!M82)</f>
        <v/>
      </c>
      <c r="J83" s="570" t="str">
        <f>IF(LOG_ST!N82="","",LOG_ST!N82)</f>
        <v/>
      </c>
      <c r="K83" s="573" t="str">
        <f>IF(LOG_ST!O82="","",LOG_ST!O82)</f>
        <v/>
      </c>
      <c r="L83" s="573" t="str">
        <f>IF(LOG_ST!P82="","",LOG_ST!P82)</f>
        <v/>
      </c>
      <c r="M83" s="574" t="str">
        <f>IF($L83="","",IF(LOG_ST!Q82=1,"OK",IF(LOG_ST!Q82=2,"NR",IF(OR(LOG_ST!Q82=0,LOG_ST!Q82="X"),"N/A"))))</f>
        <v/>
      </c>
      <c r="N83" s="574" t="str">
        <f>IF($L83="","",IF(LOG_ST!R82=1,"OK",IF(LOG_ST!R82=2,"NR",IF(OR(LOG_ST!R82=0,LOG_ST!R82="X"),"N/A"))))</f>
        <v/>
      </c>
      <c r="O83" s="574" t="str">
        <f>IF($L83="","",IF(LOG_ST!S82=1,"OK",IF(LOG_ST!S82=2,"NR",IF(OR(LOG_ST!S82=0,LOG_ST!S82="X"),"N/A"))))</f>
        <v/>
      </c>
      <c r="P83" s="574" t="str">
        <f>IF($L83="","",IF(LOG_ST!T82=1,"OK",IF(LOG_ST!T82=2,"NR",IF(OR(LOG_ST!T82=0,LOG_ST!T82="X"),"N/A"))))</f>
        <v/>
      </c>
      <c r="Q83" s="574" t="str">
        <f>IF($L83="","",IF(LOG_ST!U82=1,"OK",IF(LOG_ST!U82=2,"NR",IF(OR(LOG_ST!U82=0,LOG_ST!U82="X"),"N/A"))))</f>
        <v/>
      </c>
      <c r="R83" s="574" t="str">
        <f>IF($L83="","",IF(LOG_ST!V82=1,"OK",IF(LOG_ST!V82=2,"NR",IF(OR(LOG_ST!V82=0,LOG_ST!V82="X"),"N/A"))))</f>
        <v/>
      </c>
      <c r="S83" s="574" t="str">
        <f>IF($L83="","",IF(LOG_ST!W82=1,"OK",IF(LOG_ST!W82=2,"NR",IF(OR(LOG_ST!W82=0,LOG_ST!W82="X"),"N/A"))))</f>
        <v/>
      </c>
      <c r="T83" s="574" t="str">
        <f>IF($L83="","",IF(LOG_ST!X82=1,"OK",IF(LOG_ST!X82=2,"NR",IF(OR(LOG_ST!X82=0,LOG_ST!X82="X"),"N/A"))))</f>
        <v/>
      </c>
      <c r="U83" s="574" t="str">
        <f>IF($L83="","",IF(LOG_ST!Y82=1,"OK",IF(LOG_ST!Y82=2,"NR",IF(OR(LOG_ST!Y82=0,LOG_ST!Y82="X"),"N/A"))))</f>
        <v/>
      </c>
      <c r="V83" s="574" t="str">
        <f>IF($L83="","",IF(LOG_ST!Z82=1,"OK",IF(LOG_ST!Z82=2,"NR",IF(OR(LOG_ST!Z82=0,LOG_ST!Z82="X"),"N/A"))))</f>
        <v/>
      </c>
      <c r="W83" s="574" t="str">
        <f>IF($L83="","",IF(LOG_ST!AA82=1,"OK",IF(LOG_ST!AA82=2,"NR",IF(OR(LOG_ST!AA82=0,LOG_ST!AA82="X"),"N/A"))))</f>
        <v/>
      </c>
      <c r="X83" s="574" t="str">
        <f>IF($L83="","",IF(LOG_ST!AB82=1,"OK",IF(LOG_ST!AB82=2,"NR",IF(OR(LOG_ST!AB82=0,LOG_ST!AB82="X"),"N/A"))))</f>
        <v/>
      </c>
      <c r="Y83" s="574" t="str">
        <f>IF($L83="","",IF(LOG_ST!AC82=1,"OK",IF(LOG_ST!AC82=2,"NR",IF(OR(LOG_ST!AC82=0,LOG_ST!AC82="X"),"N/A"))))</f>
        <v/>
      </c>
      <c r="Z83" s="574" t="str">
        <f>IF($L83="","",IF(OR(LOG_ST!AD82=0,LOG_ST!AD82="X"),"N/A",LOG_ST!AD82))</f>
        <v/>
      </c>
      <c r="AA83" s="574" t="str">
        <f>IF($L83="","",IF(LOG_ST!AE82=1,"OK",IF(LOG_ST!AE82=2,"NR",IF(OR(LOG_ST!AE82=0,LOG_ST!AE82="X"),"N/A"))))</f>
        <v/>
      </c>
      <c r="AB83" s="574" t="str">
        <f>IF($L83="","",IF(LOG_ST!AF82=1,"OK",IF(LOG_ST!AF82=2,"NR",IF(OR(LOG_ST!AF82=0,LOG_ST!AF82="X"),"N/A"))))</f>
        <v/>
      </c>
      <c r="AC83" s="574" t="str">
        <f>IF($L83="","",IF(LOG_ST!AG82=1,"OK",IF(LOG_ST!AG82=2,"NR",IF(OR(LOG_ST!AG82=0,LOG_ST!AG82="X"),"N/A"))))</f>
        <v/>
      </c>
      <c r="AD83" s="574" t="str">
        <f>IF($L83="","",IF(OR(LOG_ST!AH82=0,LOG_ST!AH82="X"),"N/A",LOG_ST!AH82))</f>
        <v/>
      </c>
      <c r="AE83" s="574" t="str">
        <f>IF($L83="","",IF(LOG_ST!AI82=1,"OK",IF(LOG_ST!AI82=2,"NR",IF(OR(LOG_ST!AI82=0,LOG_ST!AI82="X"),"N/A"))))</f>
        <v/>
      </c>
      <c r="AF83" s="574" t="str">
        <f>IF($L83="","",IF(LOG_ST!AJ82=1,"OK",IF(LOG_ST!AJ82=2,"NR",IF(OR(LOG_ST!AJ82=0,LOG_ST!AJ82="X"),"N/A"))))</f>
        <v/>
      </c>
      <c r="AG83" s="574" t="str">
        <f>IF($L83="","",IF(LOG_ST!AK82=1,"OK",IF(LOG_ST!AK82=2,"NR",IF(OR(LOG_ST!AK82=0,LOG_ST!AK82="X"),"N/A"))))</f>
        <v/>
      </c>
      <c r="AH83" s="574" t="str">
        <f>IF($L83="","",IF(LOG_ST!AL82=1,"OK",IF(LOG_ST!AL82=2,"NR",IF(OR(LOG_ST!AL82=0,LOG_ST!AL82="X"),"N/A"))))</f>
        <v/>
      </c>
      <c r="AI83" s="574" t="str">
        <f>IF($L83="","",IF(LOG_ST!AM82=1,"OK",IF(LOG_ST!AM82=2,"NR",IF(OR(LOG_ST!AM82=0,LOG_ST!AM82="X"),"N/A"))))</f>
        <v/>
      </c>
      <c r="AJ83" s="574" t="str">
        <f>IF($L83="","",IF(LOG_ST!AN82=1,"OK",IF(LOG_ST!AN82=2,"NR",IF(OR(LOG_ST!AN82=0,LOG_ST!AN82="X"),"N/A"))))</f>
        <v/>
      </c>
      <c r="AK83" s="574" t="str">
        <f>IF($L83="","",IF(LOG_ST!AO82=1,"OK",IF(LOG_ST!AO82=2,"NR",IF(OR(LOG_ST!AO82=0,LOG_ST!AO82="X"),"N/A"))))</f>
        <v/>
      </c>
      <c r="AL83" s="574" t="str">
        <f>IF($L83="","",IF(LOG_ST!AP82=1,"OK",IF(LOG_ST!AP82=2,"NR",IF(OR(LOG_ST!AP82=0,LOG_ST!AP82="X"),"N/A"))))</f>
        <v/>
      </c>
      <c r="AM83" s="574" t="str">
        <f>IF($L83="","",IF(LOG_ST!AQ82=1,"OK",IF(LOG_ST!AQ82=2,"NR",IF(OR(LOG_ST!AQ82=0,LOG_ST!AQ82="X"),"N/A"))))</f>
        <v/>
      </c>
      <c r="AN83" s="550" t="str">
        <f t="shared" si="1"/>
        <v/>
      </c>
    </row>
    <row r="84" spans="2:40" x14ac:dyDescent="0.25">
      <c r="B84" s="551" t="str">
        <f>IF(LOG_ST!F83="","",VLOOKUP(LOG_ST!F83,DATA_BASE!$A$46:$C$57,2,FALSE))</f>
        <v/>
      </c>
      <c r="C84" s="570" t="str">
        <f>IF(LOG_ST!G83="","",VLOOKUP(LOG_ST!G83,DATA_HDG,2,FALSE))</f>
        <v/>
      </c>
      <c r="D84" s="571" t="str">
        <f>IF(LOG_ST!H83="","",LOG_ST!H83)</f>
        <v/>
      </c>
      <c r="E84" s="570" t="str">
        <f>IF(LOG_ST!I83="","",VLOOKUP(LOG_ST!I83,DATA_COP,2,FALSE))</f>
        <v/>
      </c>
      <c r="F84" s="573" t="str">
        <f>IF(LOG_ST!J83="","",LOG_ST!J83)</f>
        <v/>
      </c>
      <c r="G84" s="570" t="str">
        <f>IF(LOG_ST!K83="","",VLOOKUP(LOG_ST!K83,DATA_SCIES,2,FALSE))</f>
        <v/>
      </c>
      <c r="H84" s="570" t="str">
        <f>IF(LOG_ST!L83="","",VLOOKUP(LOG_ST!L83,DATA_ST!$U$7:$V$64,2,FALSE))</f>
        <v/>
      </c>
      <c r="I84" s="570" t="str">
        <f>IF(LOG_ST!M83="","",LOG_ST!M83)</f>
        <v/>
      </c>
      <c r="J84" s="570" t="str">
        <f>IF(LOG_ST!N83="","",LOG_ST!N83)</f>
        <v/>
      </c>
      <c r="K84" s="573" t="str">
        <f>IF(LOG_ST!O83="","",LOG_ST!O83)</f>
        <v/>
      </c>
      <c r="L84" s="573" t="str">
        <f>IF(LOG_ST!P83="","",LOG_ST!P83)</f>
        <v/>
      </c>
      <c r="M84" s="574" t="str">
        <f>IF($L84="","",IF(LOG_ST!Q83=1,"OK",IF(LOG_ST!Q83=2,"NR",IF(OR(LOG_ST!Q83=0,LOG_ST!Q83="X"),"N/A"))))</f>
        <v/>
      </c>
      <c r="N84" s="574" t="str">
        <f>IF($L84="","",IF(LOG_ST!R83=1,"OK",IF(LOG_ST!R83=2,"NR",IF(OR(LOG_ST!R83=0,LOG_ST!R83="X"),"N/A"))))</f>
        <v/>
      </c>
      <c r="O84" s="574" t="str">
        <f>IF($L84="","",IF(LOG_ST!S83=1,"OK",IF(LOG_ST!S83=2,"NR",IF(OR(LOG_ST!S83=0,LOG_ST!S83="X"),"N/A"))))</f>
        <v/>
      </c>
      <c r="P84" s="574" t="str">
        <f>IF($L84="","",IF(LOG_ST!T83=1,"OK",IF(LOG_ST!T83=2,"NR",IF(OR(LOG_ST!T83=0,LOG_ST!T83="X"),"N/A"))))</f>
        <v/>
      </c>
      <c r="Q84" s="574" t="str">
        <f>IF($L84="","",IF(LOG_ST!U83=1,"OK",IF(LOG_ST!U83=2,"NR",IF(OR(LOG_ST!U83=0,LOG_ST!U83="X"),"N/A"))))</f>
        <v/>
      </c>
      <c r="R84" s="574" t="str">
        <f>IF($L84="","",IF(LOG_ST!V83=1,"OK",IF(LOG_ST!V83=2,"NR",IF(OR(LOG_ST!V83=0,LOG_ST!V83="X"),"N/A"))))</f>
        <v/>
      </c>
      <c r="S84" s="574" t="str">
        <f>IF($L84="","",IF(LOG_ST!W83=1,"OK",IF(LOG_ST!W83=2,"NR",IF(OR(LOG_ST!W83=0,LOG_ST!W83="X"),"N/A"))))</f>
        <v/>
      </c>
      <c r="T84" s="574" t="str">
        <f>IF($L84="","",IF(LOG_ST!X83=1,"OK",IF(LOG_ST!X83=2,"NR",IF(OR(LOG_ST!X83=0,LOG_ST!X83="X"),"N/A"))))</f>
        <v/>
      </c>
      <c r="U84" s="574" t="str">
        <f>IF($L84="","",IF(LOG_ST!Y83=1,"OK",IF(LOG_ST!Y83=2,"NR",IF(OR(LOG_ST!Y83=0,LOG_ST!Y83="X"),"N/A"))))</f>
        <v/>
      </c>
      <c r="V84" s="574" t="str">
        <f>IF($L84="","",IF(LOG_ST!Z83=1,"OK",IF(LOG_ST!Z83=2,"NR",IF(OR(LOG_ST!Z83=0,LOG_ST!Z83="X"),"N/A"))))</f>
        <v/>
      </c>
      <c r="W84" s="574" t="str">
        <f>IF($L84="","",IF(LOG_ST!AA83=1,"OK",IF(LOG_ST!AA83=2,"NR",IF(OR(LOG_ST!AA83=0,LOG_ST!AA83="X"),"N/A"))))</f>
        <v/>
      </c>
      <c r="X84" s="574" t="str">
        <f>IF($L84="","",IF(LOG_ST!AB83=1,"OK",IF(LOG_ST!AB83=2,"NR",IF(OR(LOG_ST!AB83=0,LOG_ST!AB83="X"),"N/A"))))</f>
        <v/>
      </c>
      <c r="Y84" s="574" t="str">
        <f>IF($L84="","",IF(LOG_ST!AC83=1,"OK",IF(LOG_ST!AC83=2,"NR",IF(OR(LOG_ST!AC83=0,LOG_ST!AC83="X"),"N/A"))))</f>
        <v/>
      </c>
      <c r="Z84" s="574" t="str">
        <f>IF($L84="","",IF(OR(LOG_ST!AD83=0,LOG_ST!AD83="X"),"N/A",LOG_ST!AD83))</f>
        <v/>
      </c>
      <c r="AA84" s="574" t="str">
        <f>IF($L84="","",IF(LOG_ST!AE83=1,"OK",IF(LOG_ST!AE83=2,"NR",IF(OR(LOG_ST!AE83=0,LOG_ST!AE83="X"),"N/A"))))</f>
        <v/>
      </c>
      <c r="AB84" s="574" t="str">
        <f>IF($L84="","",IF(LOG_ST!AF83=1,"OK",IF(LOG_ST!AF83=2,"NR",IF(OR(LOG_ST!AF83=0,LOG_ST!AF83="X"),"N/A"))))</f>
        <v/>
      </c>
      <c r="AC84" s="574" t="str">
        <f>IF($L84="","",IF(LOG_ST!AG83=1,"OK",IF(LOG_ST!AG83=2,"NR",IF(OR(LOG_ST!AG83=0,LOG_ST!AG83="X"),"N/A"))))</f>
        <v/>
      </c>
      <c r="AD84" s="574" t="str">
        <f>IF($L84="","",IF(OR(LOG_ST!AH83=0,LOG_ST!AH83="X"),"N/A",LOG_ST!AH83))</f>
        <v/>
      </c>
      <c r="AE84" s="574" t="str">
        <f>IF($L84="","",IF(LOG_ST!AI83=1,"OK",IF(LOG_ST!AI83=2,"NR",IF(OR(LOG_ST!AI83=0,LOG_ST!AI83="X"),"N/A"))))</f>
        <v/>
      </c>
      <c r="AF84" s="574" t="str">
        <f>IF($L84="","",IF(LOG_ST!AJ83=1,"OK",IF(LOG_ST!AJ83=2,"NR",IF(OR(LOG_ST!AJ83=0,LOG_ST!AJ83="X"),"N/A"))))</f>
        <v/>
      </c>
      <c r="AG84" s="574" t="str">
        <f>IF($L84="","",IF(LOG_ST!AK83=1,"OK",IF(LOG_ST!AK83=2,"NR",IF(OR(LOG_ST!AK83=0,LOG_ST!AK83="X"),"N/A"))))</f>
        <v/>
      </c>
      <c r="AH84" s="574" t="str">
        <f>IF($L84="","",IF(LOG_ST!AL83=1,"OK",IF(LOG_ST!AL83=2,"NR",IF(OR(LOG_ST!AL83=0,LOG_ST!AL83="X"),"N/A"))))</f>
        <v/>
      </c>
      <c r="AI84" s="574" t="str">
        <f>IF($L84="","",IF(LOG_ST!AM83=1,"OK",IF(LOG_ST!AM83=2,"NR",IF(OR(LOG_ST!AM83=0,LOG_ST!AM83="X"),"N/A"))))</f>
        <v/>
      </c>
      <c r="AJ84" s="574" t="str">
        <f>IF($L84="","",IF(LOG_ST!AN83=1,"OK",IF(LOG_ST!AN83=2,"NR",IF(OR(LOG_ST!AN83=0,LOG_ST!AN83="X"),"N/A"))))</f>
        <v/>
      </c>
      <c r="AK84" s="574" t="str">
        <f>IF($L84="","",IF(LOG_ST!AO83=1,"OK",IF(LOG_ST!AO83=2,"NR",IF(OR(LOG_ST!AO83=0,LOG_ST!AO83="X"),"N/A"))))</f>
        <v/>
      </c>
      <c r="AL84" s="574" t="str">
        <f>IF($L84="","",IF(LOG_ST!AP83=1,"OK",IF(LOG_ST!AP83=2,"NR",IF(OR(LOG_ST!AP83=0,LOG_ST!AP83="X"),"N/A"))))</f>
        <v/>
      </c>
      <c r="AM84" s="574" t="str">
        <f>IF($L84="","",IF(LOG_ST!AQ83=1,"OK",IF(LOG_ST!AQ83=2,"NR",IF(OR(LOG_ST!AQ83=0,LOG_ST!AQ83="X"),"N/A"))))</f>
        <v/>
      </c>
      <c r="AN84" s="550" t="str">
        <f t="shared" si="1"/>
        <v/>
      </c>
    </row>
    <row r="85" spans="2:40" x14ac:dyDescent="0.25">
      <c r="B85" s="551" t="str">
        <f>IF(LOG_ST!F84="","",VLOOKUP(LOG_ST!F84,DATA_BASE!$A$46:$C$57,2,FALSE))</f>
        <v/>
      </c>
      <c r="C85" s="570" t="str">
        <f>IF(LOG_ST!G84="","",VLOOKUP(LOG_ST!G84,DATA_HDG,2,FALSE))</f>
        <v/>
      </c>
      <c r="D85" s="571" t="str">
        <f>IF(LOG_ST!H84="","",LOG_ST!H84)</f>
        <v/>
      </c>
      <c r="E85" s="570" t="str">
        <f>IF(LOG_ST!I84="","",VLOOKUP(LOG_ST!I84,DATA_COP,2,FALSE))</f>
        <v/>
      </c>
      <c r="F85" s="573" t="str">
        <f>IF(LOG_ST!J84="","",LOG_ST!J84)</f>
        <v/>
      </c>
      <c r="G85" s="570" t="str">
        <f>IF(LOG_ST!K84="","",VLOOKUP(LOG_ST!K84,DATA_SCIES,2,FALSE))</f>
        <v/>
      </c>
      <c r="H85" s="570" t="str">
        <f>IF(LOG_ST!L84="","",VLOOKUP(LOG_ST!L84,DATA_ST!$U$7:$V$64,2,FALSE))</f>
        <v/>
      </c>
      <c r="I85" s="570" t="str">
        <f>IF(LOG_ST!M84="","",LOG_ST!M84)</f>
        <v/>
      </c>
      <c r="J85" s="570" t="str">
        <f>IF(LOG_ST!N84="","",LOG_ST!N84)</f>
        <v/>
      </c>
      <c r="K85" s="573" t="str">
        <f>IF(LOG_ST!O84="","",LOG_ST!O84)</f>
        <v/>
      </c>
      <c r="L85" s="573" t="str">
        <f>IF(LOG_ST!P84="","",LOG_ST!P84)</f>
        <v/>
      </c>
      <c r="M85" s="574" t="str">
        <f>IF($L85="","",IF(LOG_ST!Q84=1,"OK",IF(LOG_ST!Q84=2,"NR",IF(OR(LOG_ST!Q84=0,LOG_ST!Q84="X"),"N/A"))))</f>
        <v/>
      </c>
      <c r="N85" s="574" t="str">
        <f>IF($L85="","",IF(LOG_ST!R84=1,"OK",IF(LOG_ST!R84=2,"NR",IF(OR(LOG_ST!R84=0,LOG_ST!R84="X"),"N/A"))))</f>
        <v/>
      </c>
      <c r="O85" s="574" t="str">
        <f>IF($L85="","",IF(LOG_ST!S84=1,"OK",IF(LOG_ST!S84=2,"NR",IF(OR(LOG_ST!S84=0,LOG_ST!S84="X"),"N/A"))))</f>
        <v/>
      </c>
      <c r="P85" s="574" t="str">
        <f>IF($L85="","",IF(LOG_ST!T84=1,"OK",IF(LOG_ST!T84=2,"NR",IF(OR(LOG_ST!T84=0,LOG_ST!T84="X"),"N/A"))))</f>
        <v/>
      </c>
      <c r="Q85" s="574" t="str">
        <f>IF($L85="","",IF(LOG_ST!U84=1,"OK",IF(LOG_ST!U84=2,"NR",IF(OR(LOG_ST!U84=0,LOG_ST!U84="X"),"N/A"))))</f>
        <v/>
      </c>
      <c r="R85" s="574" t="str">
        <f>IF($L85="","",IF(LOG_ST!V84=1,"OK",IF(LOG_ST!V84=2,"NR",IF(OR(LOG_ST!V84=0,LOG_ST!V84="X"),"N/A"))))</f>
        <v/>
      </c>
      <c r="S85" s="574" t="str">
        <f>IF($L85="","",IF(LOG_ST!W84=1,"OK",IF(LOG_ST!W84=2,"NR",IF(OR(LOG_ST!W84=0,LOG_ST!W84="X"),"N/A"))))</f>
        <v/>
      </c>
      <c r="T85" s="574" t="str">
        <f>IF($L85="","",IF(LOG_ST!X84=1,"OK",IF(LOG_ST!X84=2,"NR",IF(OR(LOG_ST!X84=0,LOG_ST!X84="X"),"N/A"))))</f>
        <v/>
      </c>
      <c r="U85" s="574" t="str">
        <f>IF($L85="","",IF(LOG_ST!Y84=1,"OK",IF(LOG_ST!Y84=2,"NR",IF(OR(LOG_ST!Y84=0,LOG_ST!Y84="X"),"N/A"))))</f>
        <v/>
      </c>
      <c r="V85" s="574" t="str">
        <f>IF($L85="","",IF(LOG_ST!Z84=1,"OK",IF(LOG_ST!Z84=2,"NR",IF(OR(LOG_ST!Z84=0,LOG_ST!Z84="X"),"N/A"))))</f>
        <v/>
      </c>
      <c r="W85" s="574" t="str">
        <f>IF($L85="","",IF(LOG_ST!AA84=1,"OK",IF(LOG_ST!AA84=2,"NR",IF(OR(LOG_ST!AA84=0,LOG_ST!AA84="X"),"N/A"))))</f>
        <v/>
      </c>
      <c r="X85" s="574" t="str">
        <f>IF($L85="","",IF(LOG_ST!AB84=1,"OK",IF(LOG_ST!AB84=2,"NR",IF(OR(LOG_ST!AB84=0,LOG_ST!AB84="X"),"N/A"))))</f>
        <v/>
      </c>
      <c r="Y85" s="574" t="str">
        <f>IF($L85="","",IF(LOG_ST!AC84=1,"OK",IF(LOG_ST!AC84=2,"NR",IF(OR(LOG_ST!AC84=0,LOG_ST!AC84="X"),"N/A"))))</f>
        <v/>
      </c>
      <c r="Z85" s="574" t="str">
        <f>IF($L85="","",IF(OR(LOG_ST!AD84=0,LOG_ST!AD84="X"),"N/A",LOG_ST!AD84))</f>
        <v/>
      </c>
      <c r="AA85" s="574" t="str">
        <f>IF($L85="","",IF(LOG_ST!AE84=1,"OK",IF(LOG_ST!AE84=2,"NR",IF(OR(LOG_ST!AE84=0,LOG_ST!AE84="X"),"N/A"))))</f>
        <v/>
      </c>
      <c r="AB85" s="574" t="str">
        <f>IF($L85="","",IF(LOG_ST!AF84=1,"OK",IF(LOG_ST!AF84=2,"NR",IF(OR(LOG_ST!AF84=0,LOG_ST!AF84="X"),"N/A"))))</f>
        <v/>
      </c>
      <c r="AC85" s="574" t="str">
        <f>IF($L85="","",IF(LOG_ST!AG84=1,"OK",IF(LOG_ST!AG84=2,"NR",IF(OR(LOG_ST!AG84=0,LOG_ST!AG84="X"),"N/A"))))</f>
        <v/>
      </c>
      <c r="AD85" s="574" t="str">
        <f>IF($L85="","",IF(OR(LOG_ST!AH84=0,LOG_ST!AH84="X"),"N/A",LOG_ST!AH84))</f>
        <v/>
      </c>
      <c r="AE85" s="574" t="str">
        <f>IF($L85="","",IF(LOG_ST!AI84=1,"OK",IF(LOG_ST!AI84=2,"NR",IF(OR(LOG_ST!AI84=0,LOG_ST!AI84="X"),"N/A"))))</f>
        <v/>
      </c>
      <c r="AF85" s="574" t="str">
        <f>IF($L85="","",IF(LOG_ST!AJ84=1,"OK",IF(LOG_ST!AJ84=2,"NR",IF(OR(LOG_ST!AJ84=0,LOG_ST!AJ84="X"),"N/A"))))</f>
        <v/>
      </c>
      <c r="AG85" s="574" t="str">
        <f>IF($L85="","",IF(LOG_ST!AK84=1,"OK",IF(LOG_ST!AK84=2,"NR",IF(OR(LOG_ST!AK84=0,LOG_ST!AK84="X"),"N/A"))))</f>
        <v/>
      </c>
      <c r="AH85" s="574" t="str">
        <f>IF($L85="","",IF(LOG_ST!AL84=1,"OK",IF(LOG_ST!AL84=2,"NR",IF(OR(LOG_ST!AL84=0,LOG_ST!AL84="X"),"N/A"))))</f>
        <v/>
      </c>
      <c r="AI85" s="574" t="str">
        <f>IF($L85="","",IF(LOG_ST!AM84=1,"OK",IF(LOG_ST!AM84=2,"NR",IF(OR(LOG_ST!AM84=0,LOG_ST!AM84="X"),"N/A"))))</f>
        <v/>
      </c>
      <c r="AJ85" s="574" t="str">
        <f>IF($L85="","",IF(LOG_ST!AN84=1,"OK",IF(LOG_ST!AN84=2,"NR",IF(OR(LOG_ST!AN84=0,LOG_ST!AN84="X"),"N/A"))))</f>
        <v/>
      </c>
      <c r="AK85" s="574" t="str">
        <f>IF($L85="","",IF(LOG_ST!AO84=1,"OK",IF(LOG_ST!AO84=2,"NR",IF(OR(LOG_ST!AO84=0,LOG_ST!AO84="X"),"N/A"))))</f>
        <v/>
      </c>
      <c r="AL85" s="574" t="str">
        <f>IF($L85="","",IF(LOG_ST!AP84=1,"OK",IF(LOG_ST!AP84=2,"NR",IF(OR(LOG_ST!AP84=0,LOG_ST!AP84="X"),"N/A"))))</f>
        <v/>
      </c>
      <c r="AM85" s="574" t="str">
        <f>IF($L85="","",IF(LOG_ST!AQ84=1,"OK",IF(LOG_ST!AQ84=2,"NR",IF(OR(LOG_ST!AQ84=0,LOG_ST!AQ84="X"),"N/A"))))</f>
        <v/>
      </c>
      <c r="AN85" s="550" t="str">
        <f t="shared" si="1"/>
        <v/>
      </c>
    </row>
    <row r="86" spans="2:40" x14ac:dyDescent="0.25">
      <c r="B86" s="551" t="str">
        <f>IF(LOG_ST!F85="","",VLOOKUP(LOG_ST!F85,DATA_BASE!$A$46:$C$57,2,FALSE))</f>
        <v/>
      </c>
      <c r="C86" s="570" t="str">
        <f>IF(LOG_ST!G85="","",VLOOKUP(LOG_ST!G85,DATA_HDG,2,FALSE))</f>
        <v/>
      </c>
      <c r="D86" s="571" t="str">
        <f>IF(LOG_ST!H85="","",LOG_ST!H85)</f>
        <v/>
      </c>
      <c r="E86" s="570" t="str">
        <f>IF(LOG_ST!I85="","",VLOOKUP(LOG_ST!I85,DATA_COP,2,FALSE))</f>
        <v/>
      </c>
      <c r="F86" s="573" t="str">
        <f>IF(LOG_ST!J85="","",LOG_ST!J85)</f>
        <v/>
      </c>
      <c r="G86" s="570" t="str">
        <f>IF(LOG_ST!K85="","",VLOOKUP(LOG_ST!K85,DATA_SCIES,2,FALSE))</f>
        <v/>
      </c>
      <c r="H86" s="570" t="str">
        <f>IF(LOG_ST!L85="","",VLOOKUP(LOG_ST!L85,DATA_ST!$U$7:$V$64,2,FALSE))</f>
        <v/>
      </c>
      <c r="I86" s="570" t="str">
        <f>IF(LOG_ST!M85="","",LOG_ST!M85)</f>
        <v/>
      </c>
      <c r="J86" s="570" t="str">
        <f>IF(LOG_ST!N85="","",LOG_ST!N85)</f>
        <v/>
      </c>
      <c r="K86" s="573" t="str">
        <f>IF(LOG_ST!O85="","",LOG_ST!O85)</f>
        <v/>
      </c>
      <c r="L86" s="573" t="str">
        <f>IF(LOG_ST!P85="","",LOG_ST!P85)</f>
        <v/>
      </c>
      <c r="M86" s="574" t="str">
        <f>IF($L86="","",IF(LOG_ST!Q85=1,"OK",IF(LOG_ST!Q85=2,"NR",IF(OR(LOG_ST!Q85=0,LOG_ST!Q85="X"),"N/A"))))</f>
        <v/>
      </c>
      <c r="N86" s="574" t="str">
        <f>IF($L86="","",IF(LOG_ST!R85=1,"OK",IF(LOG_ST!R85=2,"NR",IF(OR(LOG_ST!R85=0,LOG_ST!R85="X"),"N/A"))))</f>
        <v/>
      </c>
      <c r="O86" s="574" t="str">
        <f>IF($L86="","",IF(LOG_ST!S85=1,"OK",IF(LOG_ST!S85=2,"NR",IF(OR(LOG_ST!S85=0,LOG_ST!S85="X"),"N/A"))))</f>
        <v/>
      </c>
      <c r="P86" s="574" t="str">
        <f>IF($L86="","",IF(LOG_ST!T85=1,"OK",IF(LOG_ST!T85=2,"NR",IF(OR(LOG_ST!T85=0,LOG_ST!T85="X"),"N/A"))))</f>
        <v/>
      </c>
      <c r="Q86" s="574" t="str">
        <f>IF($L86="","",IF(LOG_ST!U85=1,"OK",IF(LOG_ST!U85=2,"NR",IF(OR(LOG_ST!U85=0,LOG_ST!U85="X"),"N/A"))))</f>
        <v/>
      </c>
      <c r="R86" s="574" t="str">
        <f>IF($L86="","",IF(LOG_ST!V85=1,"OK",IF(LOG_ST!V85=2,"NR",IF(OR(LOG_ST!V85=0,LOG_ST!V85="X"),"N/A"))))</f>
        <v/>
      </c>
      <c r="S86" s="574" t="str">
        <f>IF($L86="","",IF(LOG_ST!W85=1,"OK",IF(LOG_ST!W85=2,"NR",IF(OR(LOG_ST!W85=0,LOG_ST!W85="X"),"N/A"))))</f>
        <v/>
      </c>
      <c r="T86" s="574" t="str">
        <f>IF($L86="","",IF(LOG_ST!X85=1,"OK",IF(LOG_ST!X85=2,"NR",IF(OR(LOG_ST!X85=0,LOG_ST!X85="X"),"N/A"))))</f>
        <v/>
      </c>
      <c r="U86" s="574" t="str">
        <f>IF($L86="","",IF(LOG_ST!Y85=1,"OK",IF(LOG_ST!Y85=2,"NR",IF(OR(LOG_ST!Y85=0,LOG_ST!Y85="X"),"N/A"))))</f>
        <v/>
      </c>
      <c r="V86" s="574" t="str">
        <f>IF($L86="","",IF(LOG_ST!Z85=1,"OK",IF(LOG_ST!Z85=2,"NR",IF(OR(LOG_ST!Z85=0,LOG_ST!Z85="X"),"N/A"))))</f>
        <v/>
      </c>
      <c r="W86" s="574" t="str">
        <f>IF($L86="","",IF(LOG_ST!AA85=1,"OK",IF(LOG_ST!AA85=2,"NR",IF(OR(LOG_ST!AA85=0,LOG_ST!AA85="X"),"N/A"))))</f>
        <v/>
      </c>
      <c r="X86" s="574" t="str">
        <f>IF($L86="","",IF(LOG_ST!AB85=1,"OK",IF(LOG_ST!AB85=2,"NR",IF(OR(LOG_ST!AB85=0,LOG_ST!AB85="X"),"N/A"))))</f>
        <v/>
      </c>
      <c r="Y86" s="574" t="str">
        <f>IF($L86="","",IF(LOG_ST!AC85=1,"OK",IF(LOG_ST!AC85=2,"NR",IF(OR(LOG_ST!AC85=0,LOG_ST!AC85="X"),"N/A"))))</f>
        <v/>
      </c>
      <c r="Z86" s="574" t="str">
        <f>IF($L86="","",IF(OR(LOG_ST!AD85=0,LOG_ST!AD85="X"),"N/A",LOG_ST!AD85))</f>
        <v/>
      </c>
      <c r="AA86" s="574" t="str">
        <f>IF($L86="","",IF(LOG_ST!AE85=1,"OK",IF(LOG_ST!AE85=2,"NR",IF(OR(LOG_ST!AE85=0,LOG_ST!AE85="X"),"N/A"))))</f>
        <v/>
      </c>
      <c r="AB86" s="574" t="str">
        <f>IF($L86="","",IF(LOG_ST!AF85=1,"OK",IF(LOG_ST!AF85=2,"NR",IF(OR(LOG_ST!AF85=0,LOG_ST!AF85="X"),"N/A"))))</f>
        <v/>
      </c>
      <c r="AC86" s="574" t="str">
        <f>IF($L86="","",IF(LOG_ST!AG85=1,"OK",IF(LOG_ST!AG85=2,"NR",IF(OR(LOG_ST!AG85=0,LOG_ST!AG85="X"),"N/A"))))</f>
        <v/>
      </c>
      <c r="AD86" s="574" t="str">
        <f>IF($L86="","",IF(OR(LOG_ST!AH85=0,LOG_ST!AH85="X"),"N/A",LOG_ST!AH85))</f>
        <v/>
      </c>
      <c r="AE86" s="574" t="str">
        <f>IF($L86="","",IF(LOG_ST!AI85=1,"OK",IF(LOG_ST!AI85=2,"NR",IF(OR(LOG_ST!AI85=0,LOG_ST!AI85="X"),"N/A"))))</f>
        <v/>
      </c>
      <c r="AF86" s="574" t="str">
        <f>IF($L86="","",IF(LOG_ST!AJ85=1,"OK",IF(LOG_ST!AJ85=2,"NR",IF(OR(LOG_ST!AJ85=0,LOG_ST!AJ85="X"),"N/A"))))</f>
        <v/>
      </c>
      <c r="AG86" s="574" t="str">
        <f>IF($L86="","",IF(LOG_ST!AK85=1,"OK",IF(LOG_ST!AK85=2,"NR",IF(OR(LOG_ST!AK85=0,LOG_ST!AK85="X"),"N/A"))))</f>
        <v/>
      </c>
      <c r="AH86" s="574" t="str">
        <f>IF($L86="","",IF(LOG_ST!AL85=1,"OK",IF(LOG_ST!AL85=2,"NR",IF(OR(LOG_ST!AL85=0,LOG_ST!AL85="X"),"N/A"))))</f>
        <v/>
      </c>
      <c r="AI86" s="574" t="str">
        <f>IF($L86="","",IF(LOG_ST!AM85=1,"OK",IF(LOG_ST!AM85=2,"NR",IF(OR(LOG_ST!AM85=0,LOG_ST!AM85="X"),"N/A"))))</f>
        <v/>
      </c>
      <c r="AJ86" s="574" t="str">
        <f>IF($L86="","",IF(LOG_ST!AN85=1,"OK",IF(LOG_ST!AN85=2,"NR",IF(OR(LOG_ST!AN85=0,LOG_ST!AN85="X"),"N/A"))))</f>
        <v/>
      </c>
      <c r="AK86" s="574" t="str">
        <f>IF($L86="","",IF(LOG_ST!AO85=1,"OK",IF(LOG_ST!AO85=2,"NR",IF(OR(LOG_ST!AO85=0,LOG_ST!AO85="X"),"N/A"))))</f>
        <v/>
      </c>
      <c r="AL86" s="574" t="str">
        <f>IF($L86="","",IF(LOG_ST!AP85=1,"OK",IF(LOG_ST!AP85=2,"NR",IF(OR(LOG_ST!AP85=0,LOG_ST!AP85="X"),"N/A"))))</f>
        <v/>
      </c>
      <c r="AM86" s="574" t="str">
        <f>IF($L86="","",IF(LOG_ST!AQ85=1,"OK",IF(LOG_ST!AQ85=2,"NR",IF(OR(LOG_ST!AQ85=0,LOG_ST!AQ85="X"),"N/A"))))</f>
        <v/>
      </c>
      <c r="AN86" s="550" t="str">
        <f t="shared" si="1"/>
        <v/>
      </c>
    </row>
    <row r="87" spans="2:40" x14ac:dyDescent="0.25">
      <c r="B87" s="551" t="str">
        <f>IF(LOG_ST!F86="","",VLOOKUP(LOG_ST!F86,DATA_BASE!$A$46:$C$57,2,FALSE))</f>
        <v/>
      </c>
      <c r="C87" s="570" t="str">
        <f>IF(LOG_ST!G86="","",VLOOKUP(LOG_ST!G86,DATA_HDG,2,FALSE))</f>
        <v/>
      </c>
      <c r="D87" s="571" t="str">
        <f>IF(LOG_ST!H86="","",LOG_ST!H86)</f>
        <v/>
      </c>
      <c r="E87" s="570" t="str">
        <f>IF(LOG_ST!I86="","",VLOOKUP(LOG_ST!I86,DATA_COP,2,FALSE))</f>
        <v/>
      </c>
      <c r="F87" s="573" t="str">
        <f>IF(LOG_ST!J86="","",LOG_ST!J86)</f>
        <v/>
      </c>
      <c r="G87" s="570" t="str">
        <f>IF(LOG_ST!K86="","",VLOOKUP(LOG_ST!K86,DATA_SCIES,2,FALSE))</f>
        <v/>
      </c>
      <c r="H87" s="570" t="str">
        <f>IF(LOG_ST!L86="","",VLOOKUP(LOG_ST!L86,DATA_ST!$U$7:$V$64,2,FALSE))</f>
        <v/>
      </c>
      <c r="I87" s="570" t="str">
        <f>IF(LOG_ST!M86="","",LOG_ST!M86)</f>
        <v/>
      </c>
      <c r="J87" s="570" t="str">
        <f>IF(LOG_ST!N86="","",LOG_ST!N86)</f>
        <v/>
      </c>
      <c r="K87" s="573" t="str">
        <f>IF(LOG_ST!O86="","",LOG_ST!O86)</f>
        <v/>
      </c>
      <c r="L87" s="573" t="str">
        <f>IF(LOG_ST!P86="","",LOG_ST!P86)</f>
        <v/>
      </c>
      <c r="M87" s="574" t="str">
        <f>IF($L87="","",IF(LOG_ST!Q86=1,"OK",IF(LOG_ST!Q86=2,"NR",IF(OR(LOG_ST!Q86=0,LOG_ST!Q86="X"),"N/A"))))</f>
        <v/>
      </c>
      <c r="N87" s="574" t="str">
        <f>IF($L87="","",IF(LOG_ST!R86=1,"OK",IF(LOG_ST!R86=2,"NR",IF(OR(LOG_ST!R86=0,LOG_ST!R86="X"),"N/A"))))</f>
        <v/>
      </c>
      <c r="O87" s="574" t="str">
        <f>IF($L87="","",IF(LOG_ST!S86=1,"OK",IF(LOG_ST!S86=2,"NR",IF(OR(LOG_ST!S86=0,LOG_ST!S86="X"),"N/A"))))</f>
        <v/>
      </c>
      <c r="P87" s="574" t="str">
        <f>IF($L87="","",IF(LOG_ST!T86=1,"OK",IF(LOG_ST!T86=2,"NR",IF(OR(LOG_ST!T86=0,LOG_ST!T86="X"),"N/A"))))</f>
        <v/>
      </c>
      <c r="Q87" s="574" t="str">
        <f>IF($L87="","",IF(LOG_ST!U86=1,"OK",IF(LOG_ST!U86=2,"NR",IF(OR(LOG_ST!U86=0,LOG_ST!U86="X"),"N/A"))))</f>
        <v/>
      </c>
      <c r="R87" s="574" t="str">
        <f>IF($L87="","",IF(LOG_ST!V86=1,"OK",IF(LOG_ST!V86=2,"NR",IF(OR(LOG_ST!V86=0,LOG_ST!V86="X"),"N/A"))))</f>
        <v/>
      </c>
      <c r="S87" s="574" t="str">
        <f>IF($L87="","",IF(LOG_ST!W86=1,"OK",IF(LOG_ST!W86=2,"NR",IF(OR(LOG_ST!W86=0,LOG_ST!W86="X"),"N/A"))))</f>
        <v/>
      </c>
      <c r="T87" s="574" t="str">
        <f>IF($L87="","",IF(LOG_ST!X86=1,"OK",IF(LOG_ST!X86=2,"NR",IF(OR(LOG_ST!X86=0,LOG_ST!X86="X"),"N/A"))))</f>
        <v/>
      </c>
      <c r="U87" s="574" t="str">
        <f>IF($L87="","",IF(LOG_ST!Y86=1,"OK",IF(LOG_ST!Y86=2,"NR",IF(OR(LOG_ST!Y86=0,LOG_ST!Y86="X"),"N/A"))))</f>
        <v/>
      </c>
      <c r="V87" s="574" t="str">
        <f>IF($L87="","",IF(LOG_ST!Z86=1,"OK",IF(LOG_ST!Z86=2,"NR",IF(OR(LOG_ST!Z86=0,LOG_ST!Z86="X"),"N/A"))))</f>
        <v/>
      </c>
      <c r="W87" s="574" t="str">
        <f>IF($L87="","",IF(LOG_ST!AA86=1,"OK",IF(LOG_ST!AA86=2,"NR",IF(OR(LOG_ST!AA86=0,LOG_ST!AA86="X"),"N/A"))))</f>
        <v/>
      </c>
      <c r="X87" s="574" t="str">
        <f>IF($L87="","",IF(LOG_ST!AB86=1,"OK",IF(LOG_ST!AB86=2,"NR",IF(OR(LOG_ST!AB86=0,LOG_ST!AB86="X"),"N/A"))))</f>
        <v/>
      </c>
      <c r="Y87" s="574" t="str">
        <f>IF($L87="","",IF(LOG_ST!AC86=1,"OK",IF(LOG_ST!AC86=2,"NR",IF(OR(LOG_ST!AC86=0,LOG_ST!AC86="X"),"N/A"))))</f>
        <v/>
      </c>
      <c r="Z87" s="574" t="str">
        <f>IF($L87="","",IF(OR(LOG_ST!AD86=0,LOG_ST!AD86="X"),"N/A",LOG_ST!AD86))</f>
        <v/>
      </c>
      <c r="AA87" s="574" t="str">
        <f>IF($L87="","",IF(LOG_ST!AE86=1,"OK",IF(LOG_ST!AE86=2,"NR",IF(OR(LOG_ST!AE86=0,LOG_ST!AE86="X"),"N/A"))))</f>
        <v/>
      </c>
      <c r="AB87" s="574" t="str">
        <f>IF($L87="","",IF(LOG_ST!AF86=1,"OK",IF(LOG_ST!AF86=2,"NR",IF(OR(LOG_ST!AF86=0,LOG_ST!AF86="X"),"N/A"))))</f>
        <v/>
      </c>
      <c r="AC87" s="574" t="str">
        <f>IF($L87="","",IF(LOG_ST!AG86=1,"OK",IF(LOG_ST!AG86=2,"NR",IF(OR(LOG_ST!AG86=0,LOG_ST!AG86="X"),"N/A"))))</f>
        <v/>
      </c>
      <c r="AD87" s="574" t="str">
        <f>IF($L87="","",IF(OR(LOG_ST!AH86=0,LOG_ST!AH86="X"),"N/A",LOG_ST!AH86))</f>
        <v/>
      </c>
      <c r="AE87" s="574" t="str">
        <f>IF($L87="","",IF(LOG_ST!AI86=1,"OK",IF(LOG_ST!AI86=2,"NR",IF(OR(LOG_ST!AI86=0,LOG_ST!AI86="X"),"N/A"))))</f>
        <v/>
      </c>
      <c r="AF87" s="574" t="str">
        <f>IF($L87="","",IF(LOG_ST!AJ86=1,"OK",IF(LOG_ST!AJ86=2,"NR",IF(OR(LOG_ST!AJ86=0,LOG_ST!AJ86="X"),"N/A"))))</f>
        <v/>
      </c>
      <c r="AG87" s="574" t="str">
        <f>IF($L87="","",IF(LOG_ST!AK86=1,"OK",IF(LOG_ST!AK86=2,"NR",IF(OR(LOG_ST!AK86=0,LOG_ST!AK86="X"),"N/A"))))</f>
        <v/>
      </c>
      <c r="AH87" s="574" t="str">
        <f>IF($L87="","",IF(LOG_ST!AL86=1,"OK",IF(LOG_ST!AL86=2,"NR",IF(OR(LOG_ST!AL86=0,LOG_ST!AL86="X"),"N/A"))))</f>
        <v/>
      </c>
      <c r="AI87" s="574" t="str">
        <f>IF($L87="","",IF(LOG_ST!AM86=1,"OK",IF(LOG_ST!AM86=2,"NR",IF(OR(LOG_ST!AM86=0,LOG_ST!AM86="X"),"N/A"))))</f>
        <v/>
      </c>
      <c r="AJ87" s="574" t="str">
        <f>IF($L87="","",IF(LOG_ST!AN86=1,"OK",IF(LOG_ST!AN86=2,"NR",IF(OR(LOG_ST!AN86=0,LOG_ST!AN86="X"),"N/A"))))</f>
        <v/>
      </c>
      <c r="AK87" s="574" t="str">
        <f>IF($L87="","",IF(LOG_ST!AO86=1,"OK",IF(LOG_ST!AO86=2,"NR",IF(OR(LOG_ST!AO86=0,LOG_ST!AO86="X"),"N/A"))))</f>
        <v/>
      </c>
      <c r="AL87" s="574" t="str">
        <f>IF($L87="","",IF(LOG_ST!AP86=1,"OK",IF(LOG_ST!AP86=2,"NR",IF(OR(LOG_ST!AP86=0,LOG_ST!AP86="X"),"N/A"))))</f>
        <v/>
      </c>
      <c r="AM87" s="574" t="str">
        <f>IF($L87="","",IF(LOG_ST!AQ86=1,"OK",IF(LOG_ST!AQ86=2,"NR",IF(OR(LOG_ST!AQ86=0,LOG_ST!AQ86="X"),"N/A"))))</f>
        <v/>
      </c>
      <c r="AN87" s="550" t="str">
        <f t="shared" si="1"/>
        <v/>
      </c>
    </row>
    <row r="88" spans="2:40" x14ac:dyDescent="0.25">
      <c r="B88" s="551" t="str">
        <f>IF(LOG_ST!F87="","",VLOOKUP(LOG_ST!F87,DATA_BASE!$A$46:$C$57,2,FALSE))</f>
        <v/>
      </c>
      <c r="C88" s="570" t="str">
        <f>IF(LOG_ST!G87="","",VLOOKUP(LOG_ST!G87,DATA_HDG,2,FALSE))</f>
        <v/>
      </c>
      <c r="D88" s="571" t="str">
        <f>IF(LOG_ST!H87="","",LOG_ST!H87)</f>
        <v/>
      </c>
      <c r="E88" s="570" t="str">
        <f>IF(LOG_ST!I87="","",VLOOKUP(LOG_ST!I87,DATA_COP,2,FALSE))</f>
        <v/>
      </c>
      <c r="F88" s="573" t="str">
        <f>IF(LOG_ST!J87="","",LOG_ST!J87)</f>
        <v/>
      </c>
      <c r="G88" s="570" t="str">
        <f>IF(LOG_ST!K87="","",VLOOKUP(LOG_ST!K87,DATA_SCIES,2,FALSE))</f>
        <v/>
      </c>
      <c r="H88" s="570" t="str">
        <f>IF(LOG_ST!L87="","",VLOOKUP(LOG_ST!L87,DATA_ST!$U$7:$V$64,2,FALSE))</f>
        <v/>
      </c>
      <c r="I88" s="570" t="str">
        <f>IF(LOG_ST!M87="","",LOG_ST!M87)</f>
        <v/>
      </c>
      <c r="J88" s="570" t="str">
        <f>IF(LOG_ST!N87="","",LOG_ST!N87)</f>
        <v/>
      </c>
      <c r="K88" s="573" t="str">
        <f>IF(LOG_ST!O87="","",LOG_ST!O87)</f>
        <v/>
      </c>
      <c r="L88" s="573" t="str">
        <f>IF(LOG_ST!P87="","",LOG_ST!P87)</f>
        <v/>
      </c>
      <c r="M88" s="574" t="str">
        <f>IF($L88="","",IF(LOG_ST!Q87=1,"OK",IF(LOG_ST!Q87=2,"NR",IF(OR(LOG_ST!Q87=0,LOG_ST!Q87="X"),"N/A"))))</f>
        <v/>
      </c>
      <c r="N88" s="574" t="str">
        <f>IF($L88="","",IF(LOG_ST!R87=1,"OK",IF(LOG_ST!R87=2,"NR",IF(OR(LOG_ST!R87=0,LOG_ST!R87="X"),"N/A"))))</f>
        <v/>
      </c>
      <c r="O88" s="574" t="str">
        <f>IF($L88="","",IF(LOG_ST!S87=1,"OK",IF(LOG_ST!S87=2,"NR",IF(OR(LOG_ST!S87=0,LOG_ST!S87="X"),"N/A"))))</f>
        <v/>
      </c>
      <c r="P88" s="574" t="str">
        <f>IF($L88="","",IF(LOG_ST!T87=1,"OK",IF(LOG_ST!T87=2,"NR",IF(OR(LOG_ST!T87=0,LOG_ST!T87="X"),"N/A"))))</f>
        <v/>
      </c>
      <c r="Q88" s="574" t="str">
        <f>IF($L88="","",IF(LOG_ST!U87=1,"OK",IF(LOG_ST!U87=2,"NR",IF(OR(LOG_ST!U87=0,LOG_ST!U87="X"),"N/A"))))</f>
        <v/>
      </c>
      <c r="R88" s="574" t="str">
        <f>IF($L88="","",IF(LOG_ST!V87=1,"OK",IF(LOG_ST!V87=2,"NR",IF(OR(LOG_ST!V87=0,LOG_ST!V87="X"),"N/A"))))</f>
        <v/>
      </c>
      <c r="S88" s="574" t="str">
        <f>IF($L88="","",IF(LOG_ST!W87=1,"OK",IF(LOG_ST!W87=2,"NR",IF(OR(LOG_ST!W87=0,LOG_ST!W87="X"),"N/A"))))</f>
        <v/>
      </c>
      <c r="T88" s="574" t="str">
        <f>IF($L88="","",IF(LOG_ST!X87=1,"OK",IF(LOG_ST!X87=2,"NR",IF(OR(LOG_ST!X87=0,LOG_ST!X87="X"),"N/A"))))</f>
        <v/>
      </c>
      <c r="U88" s="574" t="str">
        <f>IF($L88="","",IF(LOG_ST!Y87=1,"OK",IF(LOG_ST!Y87=2,"NR",IF(OR(LOG_ST!Y87=0,LOG_ST!Y87="X"),"N/A"))))</f>
        <v/>
      </c>
      <c r="V88" s="574" t="str">
        <f>IF($L88="","",IF(LOG_ST!Z87=1,"OK",IF(LOG_ST!Z87=2,"NR",IF(OR(LOG_ST!Z87=0,LOG_ST!Z87="X"),"N/A"))))</f>
        <v/>
      </c>
      <c r="W88" s="574" t="str">
        <f>IF($L88="","",IF(LOG_ST!AA87=1,"OK",IF(LOG_ST!AA87=2,"NR",IF(OR(LOG_ST!AA87=0,LOG_ST!AA87="X"),"N/A"))))</f>
        <v/>
      </c>
      <c r="X88" s="574" t="str">
        <f>IF($L88="","",IF(LOG_ST!AB87=1,"OK",IF(LOG_ST!AB87=2,"NR",IF(OR(LOG_ST!AB87=0,LOG_ST!AB87="X"),"N/A"))))</f>
        <v/>
      </c>
      <c r="Y88" s="574" t="str">
        <f>IF($L88="","",IF(LOG_ST!AC87=1,"OK",IF(LOG_ST!AC87=2,"NR",IF(OR(LOG_ST!AC87=0,LOG_ST!AC87="X"),"N/A"))))</f>
        <v/>
      </c>
      <c r="Z88" s="574" t="str">
        <f>IF($L88="","",IF(OR(LOG_ST!AD87=0,LOG_ST!AD87="X"),"N/A",LOG_ST!AD87))</f>
        <v/>
      </c>
      <c r="AA88" s="574" t="str">
        <f>IF($L88="","",IF(LOG_ST!AE87=1,"OK",IF(LOG_ST!AE87=2,"NR",IF(OR(LOG_ST!AE87=0,LOG_ST!AE87="X"),"N/A"))))</f>
        <v/>
      </c>
      <c r="AB88" s="574" t="str">
        <f>IF($L88="","",IF(LOG_ST!AF87=1,"OK",IF(LOG_ST!AF87=2,"NR",IF(OR(LOG_ST!AF87=0,LOG_ST!AF87="X"),"N/A"))))</f>
        <v/>
      </c>
      <c r="AC88" s="574" t="str">
        <f>IF($L88="","",IF(LOG_ST!AG87=1,"OK",IF(LOG_ST!AG87=2,"NR",IF(OR(LOG_ST!AG87=0,LOG_ST!AG87="X"),"N/A"))))</f>
        <v/>
      </c>
      <c r="AD88" s="574" t="str">
        <f>IF($L88="","",IF(OR(LOG_ST!AH87=0,LOG_ST!AH87="X"),"N/A",LOG_ST!AH87))</f>
        <v/>
      </c>
      <c r="AE88" s="574" t="str">
        <f>IF($L88="","",IF(LOG_ST!AI87=1,"OK",IF(LOG_ST!AI87=2,"NR",IF(OR(LOG_ST!AI87=0,LOG_ST!AI87="X"),"N/A"))))</f>
        <v/>
      </c>
      <c r="AF88" s="574" t="str">
        <f>IF($L88="","",IF(LOG_ST!AJ87=1,"OK",IF(LOG_ST!AJ87=2,"NR",IF(OR(LOG_ST!AJ87=0,LOG_ST!AJ87="X"),"N/A"))))</f>
        <v/>
      </c>
      <c r="AG88" s="574" t="str">
        <f>IF($L88="","",IF(LOG_ST!AK87=1,"OK",IF(LOG_ST!AK87=2,"NR",IF(OR(LOG_ST!AK87=0,LOG_ST!AK87="X"),"N/A"))))</f>
        <v/>
      </c>
      <c r="AH88" s="574" t="str">
        <f>IF($L88="","",IF(LOG_ST!AL87=1,"OK",IF(LOG_ST!AL87=2,"NR",IF(OR(LOG_ST!AL87=0,LOG_ST!AL87="X"),"N/A"))))</f>
        <v/>
      </c>
      <c r="AI88" s="574" t="str">
        <f>IF($L88="","",IF(LOG_ST!AM87=1,"OK",IF(LOG_ST!AM87=2,"NR",IF(OR(LOG_ST!AM87=0,LOG_ST!AM87="X"),"N/A"))))</f>
        <v/>
      </c>
      <c r="AJ88" s="574" t="str">
        <f>IF($L88="","",IF(LOG_ST!AN87=1,"OK",IF(LOG_ST!AN87=2,"NR",IF(OR(LOG_ST!AN87=0,LOG_ST!AN87="X"),"N/A"))))</f>
        <v/>
      </c>
      <c r="AK88" s="574" t="str">
        <f>IF($L88="","",IF(LOG_ST!AO87=1,"OK",IF(LOG_ST!AO87=2,"NR",IF(OR(LOG_ST!AO87=0,LOG_ST!AO87="X"),"N/A"))))</f>
        <v/>
      </c>
      <c r="AL88" s="574" t="str">
        <f>IF($L88="","",IF(LOG_ST!AP87=1,"OK",IF(LOG_ST!AP87=2,"NR",IF(OR(LOG_ST!AP87=0,LOG_ST!AP87="X"),"N/A"))))</f>
        <v/>
      </c>
      <c r="AM88" s="574" t="str">
        <f>IF($L88="","",IF(LOG_ST!AQ87=1,"OK",IF(LOG_ST!AQ87=2,"NR",IF(OR(LOG_ST!AQ87=0,LOG_ST!AQ87="X"),"N/A"))))</f>
        <v/>
      </c>
      <c r="AN88" s="550" t="str">
        <f t="shared" si="1"/>
        <v/>
      </c>
    </row>
    <row r="89" spans="2:40" x14ac:dyDescent="0.25">
      <c r="B89" s="551" t="str">
        <f>IF(LOG_ST!F88="","",VLOOKUP(LOG_ST!F88,DATA_BASE!$A$46:$C$57,2,FALSE))</f>
        <v/>
      </c>
      <c r="C89" s="570" t="str">
        <f>IF(LOG_ST!G88="","",VLOOKUP(LOG_ST!G88,DATA_HDG,2,FALSE))</f>
        <v/>
      </c>
      <c r="D89" s="571" t="str">
        <f>IF(LOG_ST!H88="","",LOG_ST!H88)</f>
        <v/>
      </c>
      <c r="E89" s="570" t="str">
        <f>IF(LOG_ST!I88="","",VLOOKUP(LOG_ST!I88,DATA_COP,2,FALSE))</f>
        <v/>
      </c>
      <c r="F89" s="573" t="str">
        <f>IF(LOG_ST!J88="","",LOG_ST!J88)</f>
        <v/>
      </c>
      <c r="G89" s="570" t="str">
        <f>IF(LOG_ST!K88="","",VLOOKUP(LOG_ST!K88,DATA_SCIES,2,FALSE))</f>
        <v/>
      </c>
      <c r="H89" s="570" t="str">
        <f>IF(LOG_ST!L88="","",VLOOKUP(LOG_ST!L88,DATA_ST!$U$7:$V$64,2,FALSE))</f>
        <v/>
      </c>
      <c r="I89" s="570" t="str">
        <f>IF(LOG_ST!M88="","",LOG_ST!M88)</f>
        <v/>
      </c>
      <c r="J89" s="570" t="str">
        <f>IF(LOG_ST!N88="","",LOG_ST!N88)</f>
        <v/>
      </c>
      <c r="K89" s="573" t="str">
        <f>IF(LOG_ST!O88="","",LOG_ST!O88)</f>
        <v/>
      </c>
      <c r="L89" s="573" t="str">
        <f>IF(LOG_ST!P88="","",LOG_ST!P88)</f>
        <v/>
      </c>
      <c r="M89" s="574" t="str">
        <f>IF($L89="","",IF(LOG_ST!Q88=1,"OK",IF(LOG_ST!Q88=2,"NR",IF(OR(LOG_ST!Q88=0,LOG_ST!Q88="X"),"N/A"))))</f>
        <v/>
      </c>
      <c r="N89" s="574" t="str">
        <f>IF($L89="","",IF(LOG_ST!R88=1,"OK",IF(LOG_ST!R88=2,"NR",IF(OR(LOG_ST!R88=0,LOG_ST!R88="X"),"N/A"))))</f>
        <v/>
      </c>
      <c r="O89" s="574" t="str">
        <f>IF($L89="","",IF(LOG_ST!S88=1,"OK",IF(LOG_ST!S88=2,"NR",IF(OR(LOG_ST!S88=0,LOG_ST!S88="X"),"N/A"))))</f>
        <v/>
      </c>
      <c r="P89" s="574" t="str">
        <f>IF($L89="","",IF(LOG_ST!T88=1,"OK",IF(LOG_ST!T88=2,"NR",IF(OR(LOG_ST!T88=0,LOG_ST!T88="X"),"N/A"))))</f>
        <v/>
      </c>
      <c r="Q89" s="574" t="str">
        <f>IF($L89="","",IF(LOG_ST!U88=1,"OK",IF(LOG_ST!U88=2,"NR",IF(OR(LOG_ST!U88=0,LOG_ST!U88="X"),"N/A"))))</f>
        <v/>
      </c>
      <c r="R89" s="574" t="str">
        <f>IF($L89="","",IF(LOG_ST!V88=1,"OK",IF(LOG_ST!V88=2,"NR",IF(OR(LOG_ST!V88=0,LOG_ST!V88="X"),"N/A"))))</f>
        <v/>
      </c>
      <c r="S89" s="574" t="str">
        <f>IF($L89="","",IF(LOG_ST!W88=1,"OK",IF(LOG_ST!W88=2,"NR",IF(OR(LOG_ST!W88=0,LOG_ST!W88="X"),"N/A"))))</f>
        <v/>
      </c>
      <c r="T89" s="574" t="str">
        <f>IF($L89="","",IF(LOG_ST!X88=1,"OK",IF(LOG_ST!X88=2,"NR",IF(OR(LOG_ST!X88=0,LOG_ST!X88="X"),"N/A"))))</f>
        <v/>
      </c>
      <c r="U89" s="574" t="str">
        <f>IF($L89="","",IF(LOG_ST!Y88=1,"OK",IF(LOG_ST!Y88=2,"NR",IF(OR(LOG_ST!Y88=0,LOG_ST!Y88="X"),"N/A"))))</f>
        <v/>
      </c>
      <c r="V89" s="574" t="str">
        <f>IF($L89="","",IF(LOG_ST!Z88=1,"OK",IF(LOG_ST!Z88=2,"NR",IF(OR(LOG_ST!Z88=0,LOG_ST!Z88="X"),"N/A"))))</f>
        <v/>
      </c>
      <c r="W89" s="574" t="str">
        <f>IF($L89="","",IF(LOG_ST!AA88=1,"OK",IF(LOG_ST!AA88=2,"NR",IF(OR(LOG_ST!AA88=0,LOG_ST!AA88="X"),"N/A"))))</f>
        <v/>
      </c>
      <c r="X89" s="574" t="str">
        <f>IF($L89="","",IF(LOG_ST!AB88=1,"OK",IF(LOG_ST!AB88=2,"NR",IF(OR(LOG_ST!AB88=0,LOG_ST!AB88="X"),"N/A"))))</f>
        <v/>
      </c>
      <c r="Y89" s="574" t="str">
        <f>IF($L89="","",IF(LOG_ST!AC88=1,"OK",IF(LOG_ST!AC88=2,"NR",IF(OR(LOG_ST!AC88=0,LOG_ST!AC88="X"),"N/A"))))</f>
        <v/>
      </c>
      <c r="Z89" s="574" t="str">
        <f>IF($L89="","",IF(OR(LOG_ST!AD88=0,LOG_ST!AD88="X"),"N/A",LOG_ST!AD88))</f>
        <v/>
      </c>
      <c r="AA89" s="574" t="str">
        <f>IF($L89="","",IF(LOG_ST!AE88=1,"OK",IF(LOG_ST!AE88=2,"NR",IF(OR(LOG_ST!AE88=0,LOG_ST!AE88="X"),"N/A"))))</f>
        <v/>
      </c>
      <c r="AB89" s="574" t="str">
        <f>IF($L89="","",IF(LOG_ST!AF88=1,"OK",IF(LOG_ST!AF88=2,"NR",IF(OR(LOG_ST!AF88=0,LOG_ST!AF88="X"),"N/A"))))</f>
        <v/>
      </c>
      <c r="AC89" s="574" t="str">
        <f>IF($L89="","",IF(LOG_ST!AG88=1,"OK",IF(LOG_ST!AG88=2,"NR",IF(OR(LOG_ST!AG88=0,LOG_ST!AG88="X"),"N/A"))))</f>
        <v/>
      </c>
      <c r="AD89" s="574" t="str">
        <f>IF($L89="","",IF(OR(LOG_ST!AH88=0,LOG_ST!AH88="X"),"N/A",LOG_ST!AH88))</f>
        <v/>
      </c>
      <c r="AE89" s="574" t="str">
        <f>IF($L89="","",IF(LOG_ST!AI88=1,"OK",IF(LOG_ST!AI88=2,"NR",IF(OR(LOG_ST!AI88=0,LOG_ST!AI88="X"),"N/A"))))</f>
        <v/>
      </c>
      <c r="AF89" s="574" t="str">
        <f>IF($L89="","",IF(LOG_ST!AJ88=1,"OK",IF(LOG_ST!AJ88=2,"NR",IF(OR(LOG_ST!AJ88=0,LOG_ST!AJ88="X"),"N/A"))))</f>
        <v/>
      </c>
      <c r="AG89" s="574" t="str">
        <f>IF($L89="","",IF(LOG_ST!AK88=1,"OK",IF(LOG_ST!AK88=2,"NR",IF(OR(LOG_ST!AK88=0,LOG_ST!AK88="X"),"N/A"))))</f>
        <v/>
      </c>
      <c r="AH89" s="574" t="str">
        <f>IF($L89="","",IF(LOG_ST!AL88=1,"OK",IF(LOG_ST!AL88=2,"NR",IF(OR(LOG_ST!AL88=0,LOG_ST!AL88="X"),"N/A"))))</f>
        <v/>
      </c>
      <c r="AI89" s="574" t="str">
        <f>IF($L89="","",IF(LOG_ST!AM88=1,"OK",IF(LOG_ST!AM88=2,"NR",IF(OR(LOG_ST!AM88=0,LOG_ST!AM88="X"),"N/A"))))</f>
        <v/>
      </c>
      <c r="AJ89" s="574" t="str">
        <f>IF($L89="","",IF(LOG_ST!AN88=1,"OK",IF(LOG_ST!AN88=2,"NR",IF(OR(LOG_ST!AN88=0,LOG_ST!AN88="X"),"N/A"))))</f>
        <v/>
      </c>
      <c r="AK89" s="574" t="str">
        <f>IF($L89="","",IF(LOG_ST!AO88=1,"OK",IF(LOG_ST!AO88=2,"NR",IF(OR(LOG_ST!AO88=0,LOG_ST!AO88="X"),"N/A"))))</f>
        <v/>
      </c>
      <c r="AL89" s="574" t="str">
        <f>IF($L89="","",IF(LOG_ST!AP88=1,"OK",IF(LOG_ST!AP88=2,"NR",IF(OR(LOG_ST!AP88=0,LOG_ST!AP88="X"),"N/A"))))</f>
        <v/>
      </c>
      <c r="AM89" s="574" t="str">
        <f>IF($L89="","",IF(LOG_ST!AQ88=1,"OK",IF(LOG_ST!AQ88=2,"NR",IF(OR(LOG_ST!AQ88=0,LOG_ST!AQ88="X"),"N/A"))))</f>
        <v/>
      </c>
      <c r="AN89" s="550" t="str">
        <f t="shared" si="1"/>
        <v/>
      </c>
    </row>
    <row r="90" spans="2:40" x14ac:dyDescent="0.25">
      <c r="B90" s="551" t="str">
        <f>IF(LOG_ST!F89="","",VLOOKUP(LOG_ST!F89,DATA_BASE!$A$46:$C$57,2,FALSE))</f>
        <v/>
      </c>
      <c r="C90" s="570" t="str">
        <f>IF(LOG_ST!G89="","",VLOOKUP(LOG_ST!G89,DATA_HDG,2,FALSE))</f>
        <v/>
      </c>
      <c r="D90" s="571" t="str">
        <f>IF(LOG_ST!H89="","",LOG_ST!H89)</f>
        <v/>
      </c>
      <c r="E90" s="570" t="str">
        <f>IF(LOG_ST!I89="","",VLOOKUP(LOG_ST!I89,DATA_COP,2,FALSE))</f>
        <v/>
      </c>
      <c r="F90" s="573" t="str">
        <f>IF(LOG_ST!J89="","",LOG_ST!J89)</f>
        <v/>
      </c>
      <c r="G90" s="570" t="str">
        <f>IF(LOG_ST!K89="","",VLOOKUP(LOG_ST!K89,DATA_SCIES,2,FALSE))</f>
        <v/>
      </c>
      <c r="H90" s="570" t="str">
        <f>IF(LOG_ST!L89="","",VLOOKUP(LOG_ST!L89,DATA_ST!$U$7:$V$64,2,FALSE))</f>
        <v/>
      </c>
      <c r="I90" s="570" t="str">
        <f>IF(LOG_ST!M89="","",LOG_ST!M89)</f>
        <v/>
      </c>
      <c r="J90" s="570" t="str">
        <f>IF(LOG_ST!N89="","",LOG_ST!N89)</f>
        <v/>
      </c>
      <c r="K90" s="573" t="str">
        <f>IF(LOG_ST!O89="","",LOG_ST!O89)</f>
        <v/>
      </c>
      <c r="L90" s="573" t="str">
        <f>IF(LOG_ST!P89="","",LOG_ST!P89)</f>
        <v/>
      </c>
      <c r="M90" s="574" t="str">
        <f>IF($L90="","",IF(LOG_ST!Q89=1,"OK",IF(LOG_ST!Q89=2,"NR",IF(OR(LOG_ST!Q89=0,LOG_ST!Q89="X"),"N/A"))))</f>
        <v/>
      </c>
      <c r="N90" s="574" t="str">
        <f>IF($L90="","",IF(LOG_ST!R89=1,"OK",IF(LOG_ST!R89=2,"NR",IF(OR(LOG_ST!R89=0,LOG_ST!R89="X"),"N/A"))))</f>
        <v/>
      </c>
      <c r="O90" s="574" t="str">
        <f>IF($L90="","",IF(LOG_ST!S89=1,"OK",IF(LOG_ST!S89=2,"NR",IF(OR(LOG_ST!S89=0,LOG_ST!S89="X"),"N/A"))))</f>
        <v/>
      </c>
      <c r="P90" s="574" t="str">
        <f>IF($L90="","",IF(LOG_ST!T89=1,"OK",IF(LOG_ST!T89=2,"NR",IF(OR(LOG_ST!T89=0,LOG_ST!T89="X"),"N/A"))))</f>
        <v/>
      </c>
      <c r="Q90" s="574" t="str">
        <f>IF($L90="","",IF(LOG_ST!U89=1,"OK",IF(LOG_ST!U89=2,"NR",IF(OR(LOG_ST!U89=0,LOG_ST!U89="X"),"N/A"))))</f>
        <v/>
      </c>
      <c r="R90" s="574" t="str">
        <f>IF($L90="","",IF(LOG_ST!V89=1,"OK",IF(LOG_ST!V89=2,"NR",IF(OR(LOG_ST!V89=0,LOG_ST!V89="X"),"N/A"))))</f>
        <v/>
      </c>
      <c r="S90" s="574" t="str">
        <f>IF($L90="","",IF(LOG_ST!W89=1,"OK",IF(LOG_ST!W89=2,"NR",IF(OR(LOG_ST!W89=0,LOG_ST!W89="X"),"N/A"))))</f>
        <v/>
      </c>
      <c r="T90" s="574" t="str">
        <f>IF($L90="","",IF(LOG_ST!X89=1,"OK",IF(LOG_ST!X89=2,"NR",IF(OR(LOG_ST!X89=0,LOG_ST!X89="X"),"N/A"))))</f>
        <v/>
      </c>
      <c r="U90" s="574" t="str">
        <f>IF($L90="","",IF(LOG_ST!Y89=1,"OK",IF(LOG_ST!Y89=2,"NR",IF(OR(LOG_ST!Y89=0,LOG_ST!Y89="X"),"N/A"))))</f>
        <v/>
      </c>
      <c r="V90" s="574" t="str">
        <f>IF($L90="","",IF(LOG_ST!Z89=1,"OK",IF(LOG_ST!Z89=2,"NR",IF(OR(LOG_ST!Z89=0,LOG_ST!Z89="X"),"N/A"))))</f>
        <v/>
      </c>
      <c r="W90" s="574" t="str">
        <f>IF($L90="","",IF(LOG_ST!AA89=1,"OK",IF(LOG_ST!AA89=2,"NR",IF(OR(LOG_ST!AA89=0,LOG_ST!AA89="X"),"N/A"))))</f>
        <v/>
      </c>
      <c r="X90" s="574" t="str">
        <f>IF($L90="","",IF(LOG_ST!AB89=1,"OK",IF(LOG_ST!AB89=2,"NR",IF(OR(LOG_ST!AB89=0,LOG_ST!AB89="X"),"N/A"))))</f>
        <v/>
      </c>
      <c r="Y90" s="574" t="str">
        <f>IF($L90="","",IF(LOG_ST!AC89=1,"OK",IF(LOG_ST!AC89=2,"NR",IF(OR(LOG_ST!AC89=0,LOG_ST!AC89="X"),"N/A"))))</f>
        <v/>
      </c>
      <c r="Z90" s="574" t="str">
        <f>IF($L90="","",IF(OR(LOG_ST!AD89=0,LOG_ST!AD89="X"),"N/A",LOG_ST!AD89))</f>
        <v/>
      </c>
      <c r="AA90" s="574" t="str">
        <f>IF($L90="","",IF(LOG_ST!AE89=1,"OK",IF(LOG_ST!AE89=2,"NR",IF(OR(LOG_ST!AE89=0,LOG_ST!AE89="X"),"N/A"))))</f>
        <v/>
      </c>
      <c r="AB90" s="574" t="str">
        <f>IF($L90="","",IF(LOG_ST!AF89=1,"OK",IF(LOG_ST!AF89=2,"NR",IF(OR(LOG_ST!AF89=0,LOG_ST!AF89="X"),"N/A"))))</f>
        <v/>
      </c>
      <c r="AC90" s="574" t="str">
        <f>IF($L90="","",IF(LOG_ST!AG89=1,"OK",IF(LOG_ST!AG89=2,"NR",IF(OR(LOG_ST!AG89=0,LOG_ST!AG89="X"),"N/A"))))</f>
        <v/>
      </c>
      <c r="AD90" s="574" t="str">
        <f>IF($L90="","",IF(OR(LOG_ST!AH89=0,LOG_ST!AH89="X"),"N/A",LOG_ST!AH89))</f>
        <v/>
      </c>
      <c r="AE90" s="574" t="str">
        <f>IF($L90="","",IF(LOG_ST!AI89=1,"OK",IF(LOG_ST!AI89=2,"NR",IF(OR(LOG_ST!AI89=0,LOG_ST!AI89="X"),"N/A"))))</f>
        <v/>
      </c>
      <c r="AF90" s="574" t="str">
        <f>IF($L90="","",IF(LOG_ST!AJ89=1,"OK",IF(LOG_ST!AJ89=2,"NR",IF(OR(LOG_ST!AJ89=0,LOG_ST!AJ89="X"),"N/A"))))</f>
        <v/>
      </c>
      <c r="AG90" s="574" t="str">
        <f>IF($L90="","",IF(LOG_ST!AK89=1,"OK",IF(LOG_ST!AK89=2,"NR",IF(OR(LOG_ST!AK89=0,LOG_ST!AK89="X"),"N/A"))))</f>
        <v/>
      </c>
      <c r="AH90" s="574" t="str">
        <f>IF($L90="","",IF(LOG_ST!AL89=1,"OK",IF(LOG_ST!AL89=2,"NR",IF(OR(LOG_ST!AL89=0,LOG_ST!AL89="X"),"N/A"))))</f>
        <v/>
      </c>
      <c r="AI90" s="574" t="str">
        <f>IF($L90="","",IF(LOG_ST!AM89=1,"OK",IF(LOG_ST!AM89=2,"NR",IF(OR(LOG_ST!AM89=0,LOG_ST!AM89="X"),"N/A"))))</f>
        <v/>
      </c>
      <c r="AJ90" s="574" t="str">
        <f>IF($L90="","",IF(LOG_ST!AN89=1,"OK",IF(LOG_ST!AN89=2,"NR",IF(OR(LOG_ST!AN89=0,LOG_ST!AN89="X"),"N/A"))))</f>
        <v/>
      </c>
      <c r="AK90" s="574" t="str">
        <f>IF($L90="","",IF(LOG_ST!AO89=1,"OK",IF(LOG_ST!AO89=2,"NR",IF(OR(LOG_ST!AO89=0,LOG_ST!AO89="X"),"N/A"))))</f>
        <v/>
      </c>
      <c r="AL90" s="574" t="str">
        <f>IF($L90="","",IF(LOG_ST!AP89=1,"OK",IF(LOG_ST!AP89=2,"NR",IF(OR(LOG_ST!AP89=0,LOG_ST!AP89="X"),"N/A"))))</f>
        <v/>
      </c>
      <c r="AM90" s="574" t="str">
        <f>IF($L90="","",IF(LOG_ST!AQ89=1,"OK",IF(LOG_ST!AQ89=2,"NR",IF(OR(LOG_ST!AQ89=0,LOG_ST!AQ89="X"),"N/A"))))</f>
        <v/>
      </c>
      <c r="AN90" s="550" t="str">
        <f t="shared" si="1"/>
        <v/>
      </c>
    </row>
    <row r="91" spans="2:40" x14ac:dyDescent="0.25">
      <c r="B91" s="551" t="str">
        <f>IF(LOG_ST!F90="","",VLOOKUP(LOG_ST!F90,DATA_BASE!$A$46:$C$57,2,FALSE))</f>
        <v/>
      </c>
      <c r="C91" s="570" t="str">
        <f>IF(LOG_ST!G90="","",VLOOKUP(LOG_ST!G90,DATA_HDG,2,FALSE))</f>
        <v/>
      </c>
      <c r="D91" s="571" t="str">
        <f>IF(LOG_ST!H90="","",LOG_ST!H90)</f>
        <v/>
      </c>
      <c r="E91" s="570" t="str">
        <f>IF(LOG_ST!I90="","",VLOOKUP(LOG_ST!I90,DATA_COP,2,FALSE))</f>
        <v/>
      </c>
      <c r="F91" s="573" t="str">
        <f>IF(LOG_ST!J90="","",LOG_ST!J90)</f>
        <v/>
      </c>
      <c r="G91" s="570" t="str">
        <f>IF(LOG_ST!K90="","",VLOOKUP(LOG_ST!K90,DATA_SCIES,2,FALSE))</f>
        <v/>
      </c>
      <c r="H91" s="570" t="str">
        <f>IF(LOG_ST!L90="","",VLOOKUP(LOG_ST!L90,DATA_ST!$U$7:$V$64,2,FALSE))</f>
        <v/>
      </c>
      <c r="I91" s="570" t="str">
        <f>IF(LOG_ST!M90="","",LOG_ST!M90)</f>
        <v/>
      </c>
      <c r="J91" s="570" t="str">
        <f>IF(LOG_ST!N90="","",LOG_ST!N90)</f>
        <v/>
      </c>
      <c r="K91" s="573" t="str">
        <f>IF(LOG_ST!O90="","",LOG_ST!O90)</f>
        <v/>
      </c>
      <c r="L91" s="573" t="str">
        <f>IF(LOG_ST!P90="","",LOG_ST!P90)</f>
        <v/>
      </c>
      <c r="M91" s="574" t="str">
        <f>IF($L91="","",IF(LOG_ST!Q90=1,"OK",IF(LOG_ST!Q90=2,"NR",IF(OR(LOG_ST!Q90=0,LOG_ST!Q90="X"),"N/A"))))</f>
        <v/>
      </c>
      <c r="N91" s="574" t="str">
        <f>IF($L91="","",IF(LOG_ST!R90=1,"OK",IF(LOG_ST!R90=2,"NR",IF(OR(LOG_ST!R90=0,LOG_ST!R90="X"),"N/A"))))</f>
        <v/>
      </c>
      <c r="O91" s="574" t="str">
        <f>IF($L91="","",IF(LOG_ST!S90=1,"OK",IF(LOG_ST!S90=2,"NR",IF(OR(LOG_ST!S90=0,LOG_ST!S90="X"),"N/A"))))</f>
        <v/>
      </c>
      <c r="P91" s="574" t="str">
        <f>IF($L91="","",IF(LOG_ST!T90=1,"OK",IF(LOG_ST!T90=2,"NR",IF(OR(LOG_ST!T90=0,LOG_ST!T90="X"),"N/A"))))</f>
        <v/>
      </c>
      <c r="Q91" s="574" t="str">
        <f>IF($L91="","",IF(LOG_ST!U90=1,"OK",IF(LOG_ST!U90=2,"NR",IF(OR(LOG_ST!U90=0,LOG_ST!U90="X"),"N/A"))))</f>
        <v/>
      </c>
      <c r="R91" s="574" t="str">
        <f>IF($L91="","",IF(LOG_ST!V90=1,"OK",IF(LOG_ST!V90=2,"NR",IF(OR(LOG_ST!V90=0,LOG_ST!V90="X"),"N/A"))))</f>
        <v/>
      </c>
      <c r="S91" s="574" t="str">
        <f>IF($L91="","",IF(LOG_ST!W90=1,"OK",IF(LOG_ST!W90=2,"NR",IF(OR(LOG_ST!W90=0,LOG_ST!W90="X"),"N/A"))))</f>
        <v/>
      </c>
      <c r="T91" s="574" t="str">
        <f>IF($L91="","",IF(LOG_ST!X90=1,"OK",IF(LOG_ST!X90=2,"NR",IF(OR(LOG_ST!X90=0,LOG_ST!X90="X"),"N/A"))))</f>
        <v/>
      </c>
      <c r="U91" s="574" t="str">
        <f>IF($L91="","",IF(LOG_ST!Y90=1,"OK",IF(LOG_ST!Y90=2,"NR",IF(OR(LOG_ST!Y90=0,LOG_ST!Y90="X"),"N/A"))))</f>
        <v/>
      </c>
      <c r="V91" s="574" t="str">
        <f>IF($L91="","",IF(LOG_ST!Z90=1,"OK",IF(LOG_ST!Z90=2,"NR",IF(OR(LOG_ST!Z90=0,LOG_ST!Z90="X"),"N/A"))))</f>
        <v/>
      </c>
      <c r="W91" s="574" t="str">
        <f>IF($L91="","",IF(LOG_ST!AA90=1,"OK",IF(LOG_ST!AA90=2,"NR",IF(OR(LOG_ST!AA90=0,LOG_ST!AA90="X"),"N/A"))))</f>
        <v/>
      </c>
      <c r="X91" s="574" t="str">
        <f>IF($L91="","",IF(LOG_ST!AB90=1,"OK",IF(LOG_ST!AB90=2,"NR",IF(OR(LOG_ST!AB90=0,LOG_ST!AB90="X"),"N/A"))))</f>
        <v/>
      </c>
      <c r="Y91" s="574" t="str">
        <f>IF($L91="","",IF(LOG_ST!AC90=1,"OK",IF(LOG_ST!AC90=2,"NR",IF(OR(LOG_ST!AC90=0,LOG_ST!AC90="X"),"N/A"))))</f>
        <v/>
      </c>
      <c r="Z91" s="574" t="str">
        <f>IF($L91="","",IF(OR(LOG_ST!AD90=0,LOG_ST!AD90="X"),"N/A",LOG_ST!AD90))</f>
        <v/>
      </c>
      <c r="AA91" s="574" t="str">
        <f>IF($L91="","",IF(LOG_ST!AE90=1,"OK",IF(LOG_ST!AE90=2,"NR",IF(OR(LOG_ST!AE90=0,LOG_ST!AE90="X"),"N/A"))))</f>
        <v/>
      </c>
      <c r="AB91" s="574" t="str">
        <f>IF($L91="","",IF(LOG_ST!AF90=1,"OK",IF(LOG_ST!AF90=2,"NR",IF(OR(LOG_ST!AF90=0,LOG_ST!AF90="X"),"N/A"))))</f>
        <v/>
      </c>
      <c r="AC91" s="574" t="str">
        <f>IF($L91="","",IF(LOG_ST!AG90=1,"OK",IF(LOG_ST!AG90=2,"NR",IF(OR(LOG_ST!AG90=0,LOG_ST!AG90="X"),"N/A"))))</f>
        <v/>
      </c>
      <c r="AD91" s="574" t="str">
        <f>IF($L91="","",IF(OR(LOG_ST!AH90=0,LOG_ST!AH90="X"),"N/A",LOG_ST!AH90))</f>
        <v/>
      </c>
      <c r="AE91" s="574" t="str">
        <f>IF($L91="","",IF(LOG_ST!AI90=1,"OK",IF(LOG_ST!AI90=2,"NR",IF(OR(LOG_ST!AI90=0,LOG_ST!AI90="X"),"N/A"))))</f>
        <v/>
      </c>
      <c r="AF91" s="574" t="str">
        <f>IF($L91="","",IF(LOG_ST!AJ90=1,"OK",IF(LOG_ST!AJ90=2,"NR",IF(OR(LOG_ST!AJ90=0,LOG_ST!AJ90="X"),"N/A"))))</f>
        <v/>
      </c>
      <c r="AG91" s="574" t="str">
        <f>IF($L91="","",IF(LOG_ST!AK90=1,"OK",IF(LOG_ST!AK90=2,"NR",IF(OR(LOG_ST!AK90=0,LOG_ST!AK90="X"),"N/A"))))</f>
        <v/>
      </c>
      <c r="AH91" s="574" t="str">
        <f>IF($L91="","",IF(LOG_ST!AL90=1,"OK",IF(LOG_ST!AL90=2,"NR",IF(OR(LOG_ST!AL90=0,LOG_ST!AL90="X"),"N/A"))))</f>
        <v/>
      </c>
      <c r="AI91" s="574" t="str">
        <f>IF($L91="","",IF(LOG_ST!AM90=1,"OK",IF(LOG_ST!AM90=2,"NR",IF(OR(LOG_ST!AM90=0,LOG_ST!AM90="X"),"N/A"))))</f>
        <v/>
      </c>
      <c r="AJ91" s="574" t="str">
        <f>IF($L91="","",IF(LOG_ST!AN90=1,"OK",IF(LOG_ST!AN90=2,"NR",IF(OR(LOG_ST!AN90=0,LOG_ST!AN90="X"),"N/A"))))</f>
        <v/>
      </c>
      <c r="AK91" s="574" t="str">
        <f>IF($L91="","",IF(LOG_ST!AO90=1,"OK",IF(LOG_ST!AO90=2,"NR",IF(OR(LOG_ST!AO90=0,LOG_ST!AO90="X"),"N/A"))))</f>
        <v/>
      </c>
      <c r="AL91" s="574" t="str">
        <f>IF($L91="","",IF(LOG_ST!AP90=1,"OK",IF(LOG_ST!AP90=2,"NR",IF(OR(LOG_ST!AP90=0,LOG_ST!AP90="X"),"N/A"))))</f>
        <v/>
      </c>
      <c r="AM91" s="574" t="str">
        <f>IF($L91="","",IF(LOG_ST!AQ90=1,"OK",IF(LOG_ST!AQ90=2,"NR",IF(OR(LOG_ST!AQ90=0,LOG_ST!AQ90="X"),"N/A"))))</f>
        <v/>
      </c>
      <c r="AN91" s="550" t="str">
        <f t="shared" si="1"/>
        <v/>
      </c>
    </row>
    <row r="92" spans="2:40" x14ac:dyDescent="0.25">
      <c r="B92" s="551" t="str">
        <f>IF(LOG_ST!F91="","",VLOOKUP(LOG_ST!F91,DATA_BASE!$A$46:$C$57,2,FALSE))</f>
        <v/>
      </c>
      <c r="C92" s="570" t="str">
        <f>IF(LOG_ST!G91="","",VLOOKUP(LOG_ST!G91,DATA_HDG,2,FALSE))</f>
        <v/>
      </c>
      <c r="D92" s="571" t="str">
        <f>IF(LOG_ST!H91="","",LOG_ST!H91)</f>
        <v/>
      </c>
      <c r="E92" s="570" t="str">
        <f>IF(LOG_ST!I91="","",VLOOKUP(LOG_ST!I91,DATA_COP,2,FALSE))</f>
        <v/>
      </c>
      <c r="F92" s="573" t="str">
        <f>IF(LOG_ST!J91="","",LOG_ST!J91)</f>
        <v/>
      </c>
      <c r="G92" s="570" t="str">
        <f>IF(LOG_ST!K91="","",VLOOKUP(LOG_ST!K91,DATA_SCIES,2,FALSE))</f>
        <v/>
      </c>
      <c r="H92" s="570" t="str">
        <f>IF(LOG_ST!L91="","",VLOOKUP(LOG_ST!L91,DATA_ST!$U$7:$V$64,2,FALSE))</f>
        <v/>
      </c>
      <c r="I92" s="570" t="str">
        <f>IF(LOG_ST!M91="","",LOG_ST!M91)</f>
        <v/>
      </c>
      <c r="J92" s="570" t="str">
        <f>IF(LOG_ST!N91="","",LOG_ST!N91)</f>
        <v/>
      </c>
      <c r="K92" s="573" t="str">
        <f>IF(LOG_ST!O91="","",LOG_ST!O91)</f>
        <v/>
      </c>
      <c r="L92" s="573" t="str">
        <f>IF(LOG_ST!P91="","",LOG_ST!P91)</f>
        <v/>
      </c>
      <c r="M92" s="574" t="str">
        <f>IF($L92="","",IF(LOG_ST!Q91=1,"OK",IF(LOG_ST!Q91=2,"NR",IF(OR(LOG_ST!Q91=0,LOG_ST!Q91="X"),"N/A"))))</f>
        <v/>
      </c>
      <c r="N92" s="574" t="str">
        <f>IF($L92="","",IF(LOG_ST!R91=1,"OK",IF(LOG_ST!R91=2,"NR",IF(OR(LOG_ST!R91=0,LOG_ST!R91="X"),"N/A"))))</f>
        <v/>
      </c>
      <c r="O92" s="574" t="str">
        <f>IF($L92="","",IF(LOG_ST!S91=1,"OK",IF(LOG_ST!S91=2,"NR",IF(OR(LOG_ST!S91=0,LOG_ST!S91="X"),"N/A"))))</f>
        <v/>
      </c>
      <c r="P92" s="574" t="str">
        <f>IF($L92="","",IF(LOG_ST!T91=1,"OK",IF(LOG_ST!T91=2,"NR",IF(OR(LOG_ST!T91=0,LOG_ST!T91="X"),"N/A"))))</f>
        <v/>
      </c>
      <c r="Q92" s="574" t="str">
        <f>IF($L92="","",IF(LOG_ST!U91=1,"OK",IF(LOG_ST!U91=2,"NR",IF(OR(LOG_ST!U91=0,LOG_ST!U91="X"),"N/A"))))</f>
        <v/>
      </c>
      <c r="R92" s="574" t="str">
        <f>IF($L92="","",IF(LOG_ST!V91=1,"OK",IF(LOG_ST!V91=2,"NR",IF(OR(LOG_ST!V91=0,LOG_ST!V91="X"),"N/A"))))</f>
        <v/>
      </c>
      <c r="S92" s="574" t="str">
        <f>IF($L92="","",IF(LOG_ST!W91=1,"OK",IF(LOG_ST!W91=2,"NR",IF(OR(LOG_ST!W91=0,LOG_ST!W91="X"),"N/A"))))</f>
        <v/>
      </c>
      <c r="T92" s="574" t="str">
        <f>IF($L92="","",IF(LOG_ST!X91=1,"OK",IF(LOG_ST!X91=2,"NR",IF(OR(LOG_ST!X91=0,LOG_ST!X91="X"),"N/A"))))</f>
        <v/>
      </c>
      <c r="U92" s="574" t="str">
        <f>IF($L92="","",IF(LOG_ST!Y91=1,"OK",IF(LOG_ST!Y91=2,"NR",IF(OR(LOG_ST!Y91=0,LOG_ST!Y91="X"),"N/A"))))</f>
        <v/>
      </c>
      <c r="V92" s="574" t="str">
        <f>IF($L92="","",IF(LOG_ST!Z91=1,"OK",IF(LOG_ST!Z91=2,"NR",IF(OR(LOG_ST!Z91=0,LOG_ST!Z91="X"),"N/A"))))</f>
        <v/>
      </c>
      <c r="W92" s="574" t="str">
        <f>IF($L92="","",IF(LOG_ST!AA91=1,"OK",IF(LOG_ST!AA91=2,"NR",IF(OR(LOG_ST!AA91=0,LOG_ST!AA91="X"),"N/A"))))</f>
        <v/>
      </c>
      <c r="X92" s="574" t="str">
        <f>IF($L92="","",IF(LOG_ST!AB91=1,"OK",IF(LOG_ST!AB91=2,"NR",IF(OR(LOG_ST!AB91=0,LOG_ST!AB91="X"),"N/A"))))</f>
        <v/>
      </c>
      <c r="Y92" s="574" t="str">
        <f>IF($L92="","",IF(LOG_ST!AC91=1,"OK",IF(LOG_ST!AC91=2,"NR",IF(OR(LOG_ST!AC91=0,LOG_ST!AC91="X"),"N/A"))))</f>
        <v/>
      </c>
      <c r="Z92" s="574" t="str">
        <f>IF($L92="","",IF(OR(LOG_ST!AD91=0,LOG_ST!AD91="X"),"N/A",LOG_ST!AD91))</f>
        <v/>
      </c>
      <c r="AA92" s="574" t="str">
        <f>IF($L92="","",IF(LOG_ST!AE91=1,"OK",IF(LOG_ST!AE91=2,"NR",IF(OR(LOG_ST!AE91=0,LOG_ST!AE91="X"),"N/A"))))</f>
        <v/>
      </c>
      <c r="AB92" s="574" t="str">
        <f>IF($L92="","",IF(LOG_ST!AF91=1,"OK",IF(LOG_ST!AF91=2,"NR",IF(OR(LOG_ST!AF91=0,LOG_ST!AF91="X"),"N/A"))))</f>
        <v/>
      </c>
      <c r="AC92" s="574" t="str">
        <f>IF($L92="","",IF(LOG_ST!AG91=1,"OK",IF(LOG_ST!AG91=2,"NR",IF(OR(LOG_ST!AG91=0,LOG_ST!AG91="X"),"N/A"))))</f>
        <v/>
      </c>
      <c r="AD92" s="574" t="str">
        <f>IF($L92="","",IF(OR(LOG_ST!AH91=0,LOG_ST!AH91="X"),"N/A",LOG_ST!AH91))</f>
        <v/>
      </c>
      <c r="AE92" s="574" t="str">
        <f>IF($L92="","",IF(LOG_ST!AI91=1,"OK",IF(LOG_ST!AI91=2,"NR",IF(OR(LOG_ST!AI91=0,LOG_ST!AI91="X"),"N/A"))))</f>
        <v/>
      </c>
      <c r="AF92" s="574" t="str">
        <f>IF($L92="","",IF(LOG_ST!AJ91=1,"OK",IF(LOG_ST!AJ91=2,"NR",IF(OR(LOG_ST!AJ91=0,LOG_ST!AJ91="X"),"N/A"))))</f>
        <v/>
      </c>
      <c r="AG92" s="574" t="str">
        <f>IF($L92="","",IF(LOG_ST!AK91=1,"OK",IF(LOG_ST!AK91=2,"NR",IF(OR(LOG_ST!AK91=0,LOG_ST!AK91="X"),"N/A"))))</f>
        <v/>
      </c>
      <c r="AH92" s="574" t="str">
        <f>IF($L92="","",IF(LOG_ST!AL91=1,"OK",IF(LOG_ST!AL91=2,"NR",IF(OR(LOG_ST!AL91=0,LOG_ST!AL91="X"),"N/A"))))</f>
        <v/>
      </c>
      <c r="AI92" s="574" t="str">
        <f>IF($L92="","",IF(LOG_ST!AM91=1,"OK",IF(LOG_ST!AM91=2,"NR",IF(OR(LOG_ST!AM91=0,LOG_ST!AM91="X"),"N/A"))))</f>
        <v/>
      </c>
      <c r="AJ92" s="574" t="str">
        <f>IF($L92="","",IF(LOG_ST!AN91=1,"OK",IF(LOG_ST!AN91=2,"NR",IF(OR(LOG_ST!AN91=0,LOG_ST!AN91="X"),"N/A"))))</f>
        <v/>
      </c>
      <c r="AK92" s="574" t="str">
        <f>IF($L92="","",IF(LOG_ST!AO91=1,"OK",IF(LOG_ST!AO91=2,"NR",IF(OR(LOG_ST!AO91=0,LOG_ST!AO91="X"),"N/A"))))</f>
        <v/>
      </c>
      <c r="AL92" s="574" t="str">
        <f>IF($L92="","",IF(LOG_ST!AP91=1,"OK",IF(LOG_ST!AP91=2,"NR",IF(OR(LOG_ST!AP91=0,LOG_ST!AP91="X"),"N/A"))))</f>
        <v/>
      </c>
      <c r="AM92" s="574" t="str">
        <f>IF($L92="","",IF(LOG_ST!AQ91=1,"OK",IF(LOG_ST!AQ91=2,"NR",IF(OR(LOG_ST!AQ91=0,LOG_ST!AQ91="X"),"N/A"))))</f>
        <v/>
      </c>
      <c r="AN92" s="550" t="str">
        <f t="shared" si="1"/>
        <v/>
      </c>
    </row>
    <row r="93" spans="2:40" x14ac:dyDescent="0.25">
      <c r="B93" s="551" t="str">
        <f>IF(LOG_ST!F92="","",VLOOKUP(LOG_ST!F92,DATA_BASE!$A$46:$C$57,2,FALSE))</f>
        <v/>
      </c>
      <c r="C93" s="570" t="str">
        <f>IF(LOG_ST!G92="","",VLOOKUP(LOG_ST!G92,DATA_HDG,2,FALSE))</f>
        <v/>
      </c>
      <c r="D93" s="571" t="str">
        <f>IF(LOG_ST!H92="","",LOG_ST!H92)</f>
        <v/>
      </c>
      <c r="E93" s="570" t="str">
        <f>IF(LOG_ST!I92="","",VLOOKUP(LOG_ST!I92,DATA_COP,2,FALSE))</f>
        <v/>
      </c>
      <c r="F93" s="573" t="str">
        <f>IF(LOG_ST!J92="","",LOG_ST!J92)</f>
        <v/>
      </c>
      <c r="G93" s="570" t="str">
        <f>IF(LOG_ST!K92="","",VLOOKUP(LOG_ST!K92,DATA_SCIES,2,FALSE))</f>
        <v/>
      </c>
      <c r="H93" s="570" t="str">
        <f>IF(LOG_ST!L92="","",VLOOKUP(LOG_ST!L92,DATA_ST!$U$7:$V$64,2,FALSE))</f>
        <v/>
      </c>
      <c r="I93" s="570" t="str">
        <f>IF(LOG_ST!M92="","",LOG_ST!M92)</f>
        <v/>
      </c>
      <c r="J93" s="570" t="str">
        <f>IF(LOG_ST!N92="","",LOG_ST!N92)</f>
        <v/>
      </c>
      <c r="K93" s="573" t="str">
        <f>IF(LOG_ST!O92="","",LOG_ST!O92)</f>
        <v/>
      </c>
      <c r="L93" s="573" t="str">
        <f>IF(LOG_ST!P92="","",LOG_ST!P92)</f>
        <v/>
      </c>
      <c r="M93" s="574" t="str">
        <f>IF($L93="","",IF(LOG_ST!Q92=1,"OK",IF(LOG_ST!Q92=2,"NR",IF(OR(LOG_ST!Q92=0,LOG_ST!Q92="X"),"N/A"))))</f>
        <v/>
      </c>
      <c r="N93" s="574" t="str">
        <f>IF($L93="","",IF(LOG_ST!R92=1,"OK",IF(LOG_ST!R92=2,"NR",IF(OR(LOG_ST!R92=0,LOG_ST!R92="X"),"N/A"))))</f>
        <v/>
      </c>
      <c r="O93" s="574" t="str">
        <f>IF($L93="","",IF(LOG_ST!S92=1,"OK",IF(LOG_ST!S92=2,"NR",IF(OR(LOG_ST!S92=0,LOG_ST!S92="X"),"N/A"))))</f>
        <v/>
      </c>
      <c r="P93" s="574" t="str">
        <f>IF($L93="","",IF(LOG_ST!T92=1,"OK",IF(LOG_ST!T92=2,"NR",IF(OR(LOG_ST!T92=0,LOG_ST!T92="X"),"N/A"))))</f>
        <v/>
      </c>
      <c r="Q93" s="574" t="str">
        <f>IF($L93="","",IF(LOG_ST!U92=1,"OK",IF(LOG_ST!U92=2,"NR",IF(OR(LOG_ST!U92=0,LOG_ST!U92="X"),"N/A"))))</f>
        <v/>
      </c>
      <c r="R93" s="574" t="str">
        <f>IF($L93="","",IF(LOG_ST!V92=1,"OK",IF(LOG_ST!V92=2,"NR",IF(OR(LOG_ST!V92=0,LOG_ST!V92="X"),"N/A"))))</f>
        <v/>
      </c>
      <c r="S93" s="574" t="str">
        <f>IF($L93="","",IF(LOG_ST!W92=1,"OK",IF(LOG_ST!W92=2,"NR",IF(OR(LOG_ST!W92=0,LOG_ST!W92="X"),"N/A"))))</f>
        <v/>
      </c>
      <c r="T93" s="574" t="str">
        <f>IF($L93="","",IF(LOG_ST!X92=1,"OK",IF(LOG_ST!X92=2,"NR",IF(OR(LOG_ST!X92=0,LOG_ST!X92="X"),"N/A"))))</f>
        <v/>
      </c>
      <c r="U93" s="574" t="str">
        <f>IF($L93="","",IF(LOG_ST!Y92=1,"OK",IF(LOG_ST!Y92=2,"NR",IF(OR(LOG_ST!Y92=0,LOG_ST!Y92="X"),"N/A"))))</f>
        <v/>
      </c>
      <c r="V93" s="574" t="str">
        <f>IF($L93="","",IF(LOG_ST!Z92=1,"OK",IF(LOG_ST!Z92=2,"NR",IF(OR(LOG_ST!Z92=0,LOG_ST!Z92="X"),"N/A"))))</f>
        <v/>
      </c>
      <c r="W93" s="574" t="str">
        <f>IF($L93="","",IF(LOG_ST!AA92=1,"OK",IF(LOG_ST!AA92=2,"NR",IF(OR(LOG_ST!AA92=0,LOG_ST!AA92="X"),"N/A"))))</f>
        <v/>
      </c>
      <c r="X93" s="574" t="str">
        <f>IF($L93="","",IF(LOG_ST!AB92=1,"OK",IF(LOG_ST!AB92=2,"NR",IF(OR(LOG_ST!AB92=0,LOG_ST!AB92="X"),"N/A"))))</f>
        <v/>
      </c>
      <c r="Y93" s="574" t="str">
        <f>IF($L93="","",IF(LOG_ST!AC92=1,"OK",IF(LOG_ST!AC92=2,"NR",IF(OR(LOG_ST!AC92=0,LOG_ST!AC92="X"),"N/A"))))</f>
        <v/>
      </c>
      <c r="Z93" s="574" t="str">
        <f>IF($L93="","",IF(OR(LOG_ST!AD92=0,LOG_ST!AD92="X"),"N/A",LOG_ST!AD92))</f>
        <v/>
      </c>
      <c r="AA93" s="574" t="str">
        <f>IF($L93="","",IF(LOG_ST!AE92=1,"OK",IF(LOG_ST!AE92=2,"NR",IF(OR(LOG_ST!AE92=0,LOG_ST!AE92="X"),"N/A"))))</f>
        <v/>
      </c>
      <c r="AB93" s="574" t="str">
        <f>IF($L93="","",IF(LOG_ST!AF92=1,"OK",IF(LOG_ST!AF92=2,"NR",IF(OR(LOG_ST!AF92=0,LOG_ST!AF92="X"),"N/A"))))</f>
        <v/>
      </c>
      <c r="AC93" s="574" t="str">
        <f>IF($L93="","",IF(LOG_ST!AG92=1,"OK",IF(LOG_ST!AG92=2,"NR",IF(OR(LOG_ST!AG92=0,LOG_ST!AG92="X"),"N/A"))))</f>
        <v/>
      </c>
      <c r="AD93" s="574" t="str">
        <f>IF($L93="","",IF(OR(LOG_ST!AH92=0,LOG_ST!AH92="X"),"N/A",LOG_ST!AH92))</f>
        <v/>
      </c>
      <c r="AE93" s="574" t="str">
        <f>IF($L93="","",IF(LOG_ST!AI92=1,"OK",IF(LOG_ST!AI92=2,"NR",IF(OR(LOG_ST!AI92=0,LOG_ST!AI92="X"),"N/A"))))</f>
        <v/>
      </c>
      <c r="AF93" s="574" t="str">
        <f>IF($L93="","",IF(LOG_ST!AJ92=1,"OK",IF(LOG_ST!AJ92=2,"NR",IF(OR(LOG_ST!AJ92=0,LOG_ST!AJ92="X"),"N/A"))))</f>
        <v/>
      </c>
      <c r="AG93" s="574" t="str">
        <f>IF($L93="","",IF(LOG_ST!AK92=1,"OK",IF(LOG_ST!AK92=2,"NR",IF(OR(LOG_ST!AK92=0,LOG_ST!AK92="X"),"N/A"))))</f>
        <v/>
      </c>
      <c r="AH93" s="574" t="str">
        <f>IF($L93="","",IF(LOG_ST!AL92=1,"OK",IF(LOG_ST!AL92=2,"NR",IF(OR(LOG_ST!AL92=0,LOG_ST!AL92="X"),"N/A"))))</f>
        <v/>
      </c>
      <c r="AI93" s="574" t="str">
        <f>IF($L93="","",IF(LOG_ST!AM92=1,"OK",IF(LOG_ST!AM92=2,"NR",IF(OR(LOG_ST!AM92=0,LOG_ST!AM92="X"),"N/A"))))</f>
        <v/>
      </c>
      <c r="AJ93" s="574" t="str">
        <f>IF($L93="","",IF(LOG_ST!AN92=1,"OK",IF(LOG_ST!AN92=2,"NR",IF(OR(LOG_ST!AN92=0,LOG_ST!AN92="X"),"N/A"))))</f>
        <v/>
      </c>
      <c r="AK93" s="574" t="str">
        <f>IF($L93="","",IF(LOG_ST!AO92=1,"OK",IF(LOG_ST!AO92=2,"NR",IF(OR(LOG_ST!AO92=0,LOG_ST!AO92="X"),"N/A"))))</f>
        <v/>
      </c>
      <c r="AL93" s="574" t="str">
        <f>IF($L93="","",IF(LOG_ST!AP92=1,"OK",IF(LOG_ST!AP92=2,"NR",IF(OR(LOG_ST!AP92=0,LOG_ST!AP92="X"),"N/A"))))</f>
        <v/>
      </c>
      <c r="AM93" s="574" t="str">
        <f>IF($L93="","",IF(LOG_ST!AQ92=1,"OK",IF(LOG_ST!AQ92=2,"NR",IF(OR(LOG_ST!AQ92=0,LOG_ST!AQ92="X"),"N/A"))))</f>
        <v/>
      </c>
      <c r="AN93" s="550" t="str">
        <f t="shared" si="1"/>
        <v/>
      </c>
    </row>
    <row r="94" spans="2:40" x14ac:dyDescent="0.25">
      <c r="B94" s="551" t="str">
        <f>IF(LOG_ST!F93="","",VLOOKUP(LOG_ST!F93,DATA_BASE!$A$46:$C$57,2,FALSE))</f>
        <v/>
      </c>
      <c r="C94" s="570" t="str">
        <f>IF(LOG_ST!G93="","",VLOOKUP(LOG_ST!G93,DATA_HDG,2,FALSE))</f>
        <v/>
      </c>
      <c r="D94" s="571" t="str">
        <f>IF(LOG_ST!H93="","",LOG_ST!H93)</f>
        <v/>
      </c>
      <c r="E94" s="570" t="str">
        <f>IF(LOG_ST!I93="","",VLOOKUP(LOG_ST!I93,DATA_COP,2,FALSE))</f>
        <v/>
      </c>
      <c r="F94" s="573" t="str">
        <f>IF(LOG_ST!J93="","",LOG_ST!J93)</f>
        <v/>
      </c>
      <c r="G94" s="570" t="str">
        <f>IF(LOG_ST!K93="","",VLOOKUP(LOG_ST!K93,DATA_SCIES,2,FALSE))</f>
        <v/>
      </c>
      <c r="H94" s="570" t="str">
        <f>IF(LOG_ST!L93="","",VLOOKUP(LOG_ST!L93,DATA_ST!$U$7:$V$64,2,FALSE))</f>
        <v/>
      </c>
      <c r="I94" s="570" t="str">
        <f>IF(LOG_ST!M93="","",LOG_ST!M93)</f>
        <v/>
      </c>
      <c r="J94" s="570" t="str">
        <f>IF(LOG_ST!N93="","",LOG_ST!N93)</f>
        <v/>
      </c>
      <c r="K94" s="573" t="str">
        <f>IF(LOG_ST!O93="","",LOG_ST!O93)</f>
        <v/>
      </c>
      <c r="L94" s="573" t="str">
        <f>IF(LOG_ST!P93="","",LOG_ST!P93)</f>
        <v/>
      </c>
      <c r="M94" s="574" t="str">
        <f>IF($L94="","",IF(LOG_ST!Q93=1,"OK",IF(LOG_ST!Q93=2,"NR",IF(OR(LOG_ST!Q93=0,LOG_ST!Q93="X"),"N/A"))))</f>
        <v/>
      </c>
      <c r="N94" s="574" t="str">
        <f>IF($L94="","",IF(LOG_ST!R93=1,"OK",IF(LOG_ST!R93=2,"NR",IF(OR(LOG_ST!R93=0,LOG_ST!R93="X"),"N/A"))))</f>
        <v/>
      </c>
      <c r="O94" s="574" t="str">
        <f>IF($L94="","",IF(LOG_ST!S93=1,"OK",IF(LOG_ST!S93=2,"NR",IF(OR(LOG_ST!S93=0,LOG_ST!S93="X"),"N/A"))))</f>
        <v/>
      </c>
      <c r="P94" s="574" t="str">
        <f>IF($L94="","",IF(LOG_ST!T93=1,"OK",IF(LOG_ST!T93=2,"NR",IF(OR(LOG_ST!T93=0,LOG_ST!T93="X"),"N/A"))))</f>
        <v/>
      </c>
      <c r="Q94" s="574" t="str">
        <f>IF($L94="","",IF(LOG_ST!U93=1,"OK",IF(LOG_ST!U93=2,"NR",IF(OR(LOG_ST!U93=0,LOG_ST!U93="X"),"N/A"))))</f>
        <v/>
      </c>
      <c r="R94" s="574" t="str">
        <f>IF($L94="","",IF(LOG_ST!V93=1,"OK",IF(LOG_ST!V93=2,"NR",IF(OR(LOG_ST!V93=0,LOG_ST!V93="X"),"N/A"))))</f>
        <v/>
      </c>
      <c r="S94" s="574" t="str">
        <f>IF($L94="","",IF(LOG_ST!W93=1,"OK",IF(LOG_ST!W93=2,"NR",IF(OR(LOG_ST!W93=0,LOG_ST!W93="X"),"N/A"))))</f>
        <v/>
      </c>
      <c r="T94" s="574" t="str">
        <f>IF($L94="","",IF(LOG_ST!X93=1,"OK",IF(LOG_ST!X93=2,"NR",IF(OR(LOG_ST!X93=0,LOG_ST!X93="X"),"N/A"))))</f>
        <v/>
      </c>
      <c r="U94" s="574" t="str">
        <f>IF($L94="","",IF(LOG_ST!Y93=1,"OK",IF(LOG_ST!Y93=2,"NR",IF(OR(LOG_ST!Y93=0,LOG_ST!Y93="X"),"N/A"))))</f>
        <v/>
      </c>
      <c r="V94" s="574" t="str">
        <f>IF($L94="","",IF(LOG_ST!Z93=1,"OK",IF(LOG_ST!Z93=2,"NR",IF(OR(LOG_ST!Z93=0,LOG_ST!Z93="X"),"N/A"))))</f>
        <v/>
      </c>
      <c r="W94" s="574" t="str">
        <f>IF($L94="","",IF(LOG_ST!AA93=1,"OK",IF(LOG_ST!AA93=2,"NR",IF(OR(LOG_ST!AA93=0,LOG_ST!AA93="X"),"N/A"))))</f>
        <v/>
      </c>
      <c r="X94" s="574" t="str">
        <f>IF($L94="","",IF(LOG_ST!AB93=1,"OK",IF(LOG_ST!AB93=2,"NR",IF(OR(LOG_ST!AB93=0,LOG_ST!AB93="X"),"N/A"))))</f>
        <v/>
      </c>
      <c r="Y94" s="574" t="str">
        <f>IF($L94="","",IF(LOG_ST!AC93=1,"OK",IF(LOG_ST!AC93=2,"NR",IF(OR(LOG_ST!AC93=0,LOG_ST!AC93="X"),"N/A"))))</f>
        <v/>
      </c>
      <c r="Z94" s="574" t="str">
        <f>IF($L94="","",IF(OR(LOG_ST!AD93=0,LOG_ST!AD93="X"),"N/A",LOG_ST!AD93))</f>
        <v/>
      </c>
      <c r="AA94" s="574" t="str">
        <f>IF($L94="","",IF(LOG_ST!AE93=1,"OK",IF(LOG_ST!AE93=2,"NR",IF(OR(LOG_ST!AE93=0,LOG_ST!AE93="X"),"N/A"))))</f>
        <v/>
      </c>
      <c r="AB94" s="574" t="str">
        <f>IF($L94="","",IF(LOG_ST!AF93=1,"OK",IF(LOG_ST!AF93=2,"NR",IF(OR(LOG_ST!AF93=0,LOG_ST!AF93="X"),"N/A"))))</f>
        <v/>
      </c>
      <c r="AC94" s="574" t="str">
        <f>IF($L94="","",IF(LOG_ST!AG93=1,"OK",IF(LOG_ST!AG93=2,"NR",IF(OR(LOG_ST!AG93=0,LOG_ST!AG93="X"),"N/A"))))</f>
        <v/>
      </c>
      <c r="AD94" s="574" t="str">
        <f>IF($L94="","",IF(OR(LOG_ST!AH93=0,LOG_ST!AH93="X"),"N/A",LOG_ST!AH93))</f>
        <v/>
      </c>
      <c r="AE94" s="574" t="str">
        <f>IF($L94="","",IF(LOG_ST!AI93=1,"OK",IF(LOG_ST!AI93=2,"NR",IF(OR(LOG_ST!AI93=0,LOG_ST!AI93="X"),"N/A"))))</f>
        <v/>
      </c>
      <c r="AF94" s="574" t="str">
        <f>IF($L94="","",IF(LOG_ST!AJ93=1,"OK",IF(LOG_ST!AJ93=2,"NR",IF(OR(LOG_ST!AJ93=0,LOG_ST!AJ93="X"),"N/A"))))</f>
        <v/>
      </c>
      <c r="AG94" s="574" t="str">
        <f>IF($L94="","",IF(LOG_ST!AK93=1,"OK",IF(LOG_ST!AK93=2,"NR",IF(OR(LOG_ST!AK93=0,LOG_ST!AK93="X"),"N/A"))))</f>
        <v/>
      </c>
      <c r="AH94" s="574" t="str">
        <f>IF($L94="","",IF(LOG_ST!AL93=1,"OK",IF(LOG_ST!AL93=2,"NR",IF(OR(LOG_ST!AL93=0,LOG_ST!AL93="X"),"N/A"))))</f>
        <v/>
      </c>
      <c r="AI94" s="574" t="str">
        <f>IF($L94="","",IF(LOG_ST!AM93=1,"OK",IF(LOG_ST!AM93=2,"NR",IF(OR(LOG_ST!AM93=0,LOG_ST!AM93="X"),"N/A"))))</f>
        <v/>
      </c>
      <c r="AJ94" s="574" t="str">
        <f>IF($L94="","",IF(LOG_ST!AN93=1,"OK",IF(LOG_ST!AN93=2,"NR",IF(OR(LOG_ST!AN93=0,LOG_ST!AN93="X"),"N/A"))))</f>
        <v/>
      </c>
      <c r="AK94" s="574" t="str">
        <f>IF($L94="","",IF(LOG_ST!AO93=1,"OK",IF(LOG_ST!AO93=2,"NR",IF(OR(LOG_ST!AO93=0,LOG_ST!AO93="X"),"N/A"))))</f>
        <v/>
      </c>
      <c r="AL94" s="574" t="str">
        <f>IF($L94="","",IF(LOG_ST!AP93=1,"OK",IF(LOG_ST!AP93=2,"NR",IF(OR(LOG_ST!AP93=0,LOG_ST!AP93="X"),"N/A"))))</f>
        <v/>
      </c>
      <c r="AM94" s="574" t="str">
        <f>IF($L94="","",IF(LOG_ST!AQ93=1,"OK",IF(LOG_ST!AQ93=2,"NR",IF(OR(LOG_ST!AQ93=0,LOG_ST!AQ93="X"),"N/A"))))</f>
        <v/>
      </c>
      <c r="AN94" s="550" t="str">
        <f t="shared" si="1"/>
        <v/>
      </c>
    </row>
    <row r="95" spans="2:40" x14ac:dyDescent="0.25">
      <c r="B95" s="551" t="str">
        <f>IF(LOG_ST!F94="","",VLOOKUP(LOG_ST!F94,DATA_BASE!$A$46:$C$57,2,FALSE))</f>
        <v/>
      </c>
      <c r="C95" s="570" t="str">
        <f>IF(LOG_ST!G94="","",VLOOKUP(LOG_ST!G94,DATA_HDG,2,FALSE))</f>
        <v/>
      </c>
      <c r="D95" s="571" t="str">
        <f>IF(LOG_ST!H94="","",LOG_ST!H94)</f>
        <v/>
      </c>
      <c r="E95" s="570" t="str">
        <f>IF(LOG_ST!I94="","",VLOOKUP(LOG_ST!I94,DATA_COP,2,FALSE))</f>
        <v/>
      </c>
      <c r="F95" s="573" t="str">
        <f>IF(LOG_ST!J94="","",LOG_ST!J94)</f>
        <v/>
      </c>
      <c r="G95" s="570" t="str">
        <f>IF(LOG_ST!K94="","",VLOOKUP(LOG_ST!K94,DATA_SCIES,2,FALSE))</f>
        <v/>
      </c>
      <c r="H95" s="570" t="str">
        <f>IF(LOG_ST!L94="","",VLOOKUP(LOG_ST!L94,DATA_ST!$U$7:$V$64,2,FALSE))</f>
        <v/>
      </c>
      <c r="I95" s="570" t="str">
        <f>IF(LOG_ST!M94="","",LOG_ST!M94)</f>
        <v/>
      </c>
      <c r="J95" s="570" t="str">
        <f>IF(LOG_ST!N94="","",LOG_ST!N94)</f>
        <v/>
      </c>
      <c r="K95" s="573" t="str">
        <f>IF(LOG_ST!O94="","",LOG_ST!O94)</f>
        <v/>
      </c>
      <c r="L95" s="573" t="str">
        <f>IF(LOG_ST!P94="","",LOG_ST!P94)</f>
        <v/>
      </c>
      <c r="M95" s="574" t="str">
        <f>IF($L95="","",IF(LOG_ST!Q94=1,"OK",IF(LOG_ST!Q94=2,"NR",IF(OR(LOG_ST!Q94=0,LOG_ST!Q94="X"),"N/A"))))</f>
        <v/>
      </c>
      <c r="N95" s="574" t="str">
        <f>IF($L95="","",IF(LOG_ST!R94=1,"OK",IF(LOG_ST!R94=2,"NR",IF(OR(LOG_ST!R94=0,LOG_ST!R94="X"),"N/A"))))</f>
        <v/>
      </c>
      <c r="O95" s="574" t="str">
        <f>IF($L95="","",IF(LOG_ST!S94=1,"OK",IF(LOG_ST!S94=2,"NR",IF(OR(LOG_ST!S94=0,LOG_ST!S94="X"),"N/A"))))</f>
        <v/>
      </c>
      <c r="P95" s="574" t="str">
        <f>IF($L95="","",IF(LOG_ST!T94=1,"OK",IF(LOG_ST!T94=2,"NR",IF(OR(LOG_ST!T94=0,LOG_ST!T94="X"),"N/A"))))</f>
        <v/>
      </c>
      <c r="Q95" s="574" t="str">
        <f>IF($L95="","",IF(LOG_ST!U94=1,"OK",IF(LOG_ST!U94=2,"NR",IF(OR(LOG_ST!U94=0,LOG_ST!U94="X"),"N/A"))))</f>
        <v/>
      </c>
      <c r="R95" s="574" t="str">
        <f>IF($L95="","",IF(LOG_ST!V94=1,"OK",IF(LOG_ST!V94=2,"NR",IF(OR(LOG_ST!V94=0,LOG_ST!V94="X"),"N/A"))))</f>
        <v/>
      </c>
      <c r="S95" s="574" t="str">
        <f>IF($L95="","",IF(LOG_ST!W94=1,"OK",IF(LOG_ST!W94=2,"NR",IF(OR(LOG_ST!W94=0,LOG_ST!W94="X"),"N/A"))))</f>
        <v/>
      </c>
      <c r="T95" s="574" t="str">
        <f>IF($L95="","",IF(LOG_ST!X94=1,"OK",IF(LOG_ST!X94=2,"NR",IF(OR(LOG_ST!X94=0,LOG_ST!X94="X"),"N/A"))))</f>
        <v/>
      </c>
      <c r="U95" s="574" t="str">
        <f>IF($L95="","",IF(LOG_ST!Y94=1,"OK",IF(LOG_ST!Y94=2,"NR",IF(OR(LOG_ST!Y94=0,LOG_ST!Y94="X"),"N/A"))))</f>
        <v/>
      </c>
      <c r="V95" s="574" t="str">
        <f>IF($L95="","",IF(LOG_ST!Z94=1,"OK",IF(LOG_ST!Z94=2,"NR",IF(OR(LOG_ST!Z94=0,LOG_ST!Z94="X"),"N/A"))))</f>
        <v/>
      </c>
      <c r="W95" s="574" t="str">
        <f>IF($L95="","",IF(LOG_ST!AA94=1,"OK",IF(LOG_ST!AA94=2,"NR",IF(OR(LOG_ST!AA94=0,LOG_ST!AA94="X"),"N/A"))))</f>
        <v/>
      </c>
      <c r="X95" s="574" t="str">
        <f>IF($L95="","",IF(LOG_ST!AB94=1,"OK",IF(LOG_ST!AB94=2,"NR",IF(OR(LOG_ST!AB94=0,LOG_ST!AB94="X"),"N/A"))))</f>
        <v/>
      </c>
      <c r="Y95" s="574" t="str">
        <f>IF($L95="","",IF(LOG_ST!AC94=1,"OK",IF(LOG_ST!AC94=2,"NR",IF(OR(LOG_ST!AC94=0,LOG_ST!AC94="X"),"N/A"))))</f>
        <v/>
      </c>
      <c r="Z95" s="574" t="str">
        <f>IF($L95="","",IF(OR(LOG_ST!AD94=0,LOG_ST!AD94="X"),"N/A",LOG_ST!AD94))</f>
        <v/>
      </c>
      <c r="AA95" s="574" t="str">
        <f>IF($L95="","",IF(LOG_ST!AE94=1,"OK",IF(LOG_ST!AE94=2,"NR",IF(OR(LOG_ST!AE94=0,LOG_ST!AE94="X"),"N/A"))))</f>
        <v/>
      </c>
      <c r="AB95" s="574" t="str">
        <f>IF($L95="","",IF(LOG_ST!AF94=1,"OK",IF(LOG_ST!AF94=2,"NR",IF(OR(LOG_ST!AF94=0,LOG_ST!AF94="X"),"N/A"))))</f>
        <v/>
      </c>
      <c r="AC95" s="574" t="str">
        <f>IF($L95="","",IF(LOG_ST!AG94=1,"OK",IF(LOG_ST!AG94=2,"NR",IF(OR(LOG_ST!AG94=0,LOG_ST!AG94="X"),"N/A"))))</f>
        <v/>
      </c>
      <c r="AD95" s="574" t="str">
        <f>IF($L95="","",IF(OR(LOG_ST!AH94=0,LOG_ST!AH94="X"),"N/A",LOG_ST!AH94))</f>
        <v/>
      </c>
      <c r="AE95" s="574" t="str">
        <f>IF($L95="","",IF(LOG_ST!AI94=1,"OK",IF(LOG_ST!AI94=2,"NR",IF(OR(LOG_ST!AI94=0,LOG_ST!AI94="X"),"N/A"))))</f>
        <v/>
      </c>
      <c r="AF95" s="574" t="str">
        <f>IF($L95="","",IF(LOG_ST!AJ94=1,"OK",IF(LOG_ST!AJ94=2,"NR",IF(OR(LOG_ST!AJ94=0,LOG_ST!AJ94="X"),"N/A"))))</f>
        <v/>
      </c>
      <c r="AG95" s="574" t="str">
        <f>IF($L95="","",IF(LOG_ST!AK94=1,"OK",IF(LOG_ST!AK94=2,"NR",IF(OR(LOG_ST!AK94=0,LOG_ST!AK94="X"),"N/A"))))</f>
        <v/>
      </c>
      <c r="AH95" s="574" t="str">
        <f>IF($L95="","",IF(LOG_ST!AL94=1,"OK",IF(LOG_ST!AL94=2,"NR",IF(OR(LOG_ST!AL94=0,LOG_ST!AL94="X"),"N/A"))))</f>
        <v/>
      </c>
      <c r="AI95" s="574" t="str">
        <f>IF($L95="","",IF(LOG_ST!AM94=1,"OK",IF(LOG_ST!AM94=2,"NR",IF(OR(LOG_ST!AM94=0,LOG_ST!AM94="X"),"N/A"))))</f>
        <v/>
      </c>
      <c r="AJ95" s="574" t="str">
        <f>IF($L95="","",IF(LOG_ST!AN94=1,"OK",IF(LOG_ST!AN94=2,"NR",IF(OR(LOG_ST!AN94=0,LOG_ST!AN94="X"),"N/A"))))</f>
        <v/>
      </c>
      <c r="AK95" s="574" t="str">
        <f>IF($L95="","",IF(LOG_ST!AO94=1,"OK",IF(LOG_ST!AO94=2,"NR",IF(OR(LOG_ST!AO94=0,LOG_ST!AO94="X"),"N/A"))))</f>
        <v/>
      </c>
      <c r="AL95" s="574" t="str">
        <f>IF($L95="","",IF(LOG_ST!AP94=1,"OK",IF(LOG_ST!AP94=2,"NR",IF(OR(LOG_ST!AP94=0,LOG_ST!AP94="X"),"N/A"))))</f>
        <v/>
      </c>
      <c r="AM95" s="574" t="str">
        <f>IF($L95="","",IF(LOG_ST!AQ94=1,"OK",IF(LOG_ST!AQ94=2,"NR",IF(OR(LOG_ST!AQ94=0,LOG_ST!AQ94="X"),"N/A"))))</f>
        <v/>
      </c>
      <c r="AN95" s="550" t="str">
        <f t="shared" si="1"/>
        <v/>
      </c>
    </row>
    <row r="96" spans="2:40" x14ac:dyDescent="0.25">
      <c r="B96" s="551" t="str">
        <f>IF(LOG_ST!F95="","",VLOOKUP(LOG_ST!F95,DATA_BASE!$A$46:$C$57,2,FALSE))</f>
        <v/>
      </c>
      <c r="C96" s="570" t="str">
        <f>IF(LOG_ST!G95="","",VLOOKUP(LOG_ST!G95,DATA_HDG,2,FALSE))</f>
        <v/>
      </c>
      <c r="D96" s="571" t="str">
        <f>IF(LOG_ST!H95="","",LOG_ST!H95)</f>
        <v/>
      </c>
      <c r="E96" s="570" t="str">
        <f>IF(LOG_ST!I95="","",VLOOKUP(LOG_ST!I95,DATA_COP,2,FALSE))</f>
        <v/>
      </c>
      <c r="F96" s="573" t="str">
        <f>IF(LOG_ST!J95="","",LOG_ST!J95)</f>
        <v/>
      </c>
      <c r="G96" s="570" t="str">
        <f>IF(LOG_ST!K95="","",VLOOKUP(LOG_ST!K95,DATA_SCIES,2,FALSE))</f>
        <v/>
      </c>
      <c r="H96" s="570" t="str">
        <f>IF(LOG_ST!L95="","",VLOOKUP(LOG_ST!L95,DATA_ST!$U$7:$V$64,2,FALSE))</f>
        <v/>
      </c>
      <c r="I96" s="570" t="str">
        <f>IF(LOG_ST!M95="","",LOG_ST!M95)</f>
        <v/>
      </c>
      <c r="J96" s="570" t="str">
        <f>IF(LOG_ST!N95="","",LOG_ST!N95)</f>
        <v/>
      </c>
      <c r="K96" s="573" t="str">
        <f>IF(LOG_ST!O95="","",LOG_ST!O95)</f>
        <v/>
      </c>
      <c r="L96" s="573" t="str">
        <f>IF(LOG_ST!P95="","",LOG_ST!P95)</f>
        <v/>
      </c>
      <c r="M96" s="574" t="str">
        <f>IF($L96="","",IF(LOG_ST!Q95=1,"OK",IF(LOG_ST!Q95=2,"NR",IF(OR(LOG_ST!Q95=0,LOG_ST!Q95="X"),"N/A"))))</f>
        <v/>
      </c>
      <c r="N96" s="574" t="str">
        <f>IF($L96="","",IF(LOG_ST!R95=1,"OK",IF(LOG_ST!R95=2,"NR",IF(OR(LOG_ST!R95=0,LOG_ST!R95="X"),"N/A"))))</f>
        <v/>
      </c>
      <c r="O96" s="574" t="str">
        <f>IF($L96="","",IF(LOG_ST!S95=1,"OK",IF(LOG_ST!S95=2,"NR",IF(OR(LOG_ST!S95=0,LOG_ST!S95="X"),"N/A"))))</f>
        <v/>
      </c>
      <c r="P96" s="574" t="str">
        <f>IF($L96="","",IF(LOG_ST!T95=1,"OK",IF(LOG_ST!T95=2,"NR",IF(OR(LOG_ST!T95=0,LOG_ST!T95="X"),"N/A"))))</f>
        <v/>
      </c>
      <c r="Q96" s="574" t="str">
        <f>IF($L96="","",IF(LOG_ST!U95=1,"OK",IF(LOG_ST!U95=2,"NR",IF(OR(LOG_ST!U95=0,LOG_ST!U95="X"),"N/A"))))</f>
        <v/>
      </c>
      <c r="R96" s="574" t="str">
        <f>IF($L96="","",IF(LOG_ST!V95=1,"OK",IF(LOG_ST!V95=2,"NR",IF(OR(LOG_ST!V95=0,LOG_ST!V95="X"),"N/A"))))</f>
        <v/>
      </c>
      <c r="S96" s="574" t="str">
        <f>IF($L96="","",IF(LOG_ST!W95=1,"OK",IF(LOG_ST!W95=2,"NR",IF(OR(LOG_ST!W95=0,LOG_ST!W95="X"),"N/A"))))</f>
        <v/>
      </c>
      <c r="T96" s="574" t="str">
        <f>IF($L96="","",IF(LOG_ST!X95=1,"OK",IF(LOG_ST!X95=2,"NR",IF(OR(LOG_ST!X95=0,LOG_ST!X95="X"),"N/A"))))</f>
        <v/>
      </c>
      <c r="U96" s="574" t="str">
        <f>IF($L96="","",IF(LOG_ST!Y95=1,"OK",IF(LOG_ST!Y95=2,"NR",IF(OR(LOG_ST!Y95=0,LOG_ST!Y95="X"),"N/A"))))</f>
        <v/>
      </c>
      <c r="V96" s="574" t="str">
        <f>IF($L96="","",IF(LOG_ST!Z95=1,"OK",IF(LOG_ST!Z95=2,"NR",IF(OR(LOG_ST!Z95=0,LOG_ST!Z95="X"),"N/A"))))</f>
        <v/>
      </c>
      <c r="W96" s="574" t="str">
        <f>IF($L96="","",IF(LOG_ST!AA95=1,"OK",IF(LOG_ST!AA95=2,"NR",IF(OR(LOG_ST!AA95=0,LOG_ST!AA95="X"),"N/A"))))</f>
        <v/>
      </c>
      <c r="X96" s="574" t="str">
        <f>IF($L96="","",IF(LOG_ST!AB95=1,"OK",IF(LOG_ST!AB95=2,"NR",IF(OR(LOG_ST!AB95=0,LOG_ST!AB95="X"),"N/A"))))</f>
        <v/>
      </c>
      <c r="Y96" s="574" t="str">
        <f>IF($L96="","",IF(LOG_ST!AC95=1,"OK",IF(LOG_ST!AC95=2,"NR",IF(OR(LOG_ST!AC95=0,LOG_ST!AC95="X"),"N/A"))))</f>
        <v/>
      </c>
      <c r="Z96" s="574" t="str">
        <f>IF($L96="","",IF(OR(LOG_ST!AD95=0,LOG_ST!AD95="X"),"N/A",LOG_ST!AD95))</f>
        <v/>
      </c>
      <c r="AA96" s="574" t="str">
        <f>IF($L96="","",IF(LOG_ST!AE95=1,"OK",IF(LOG_ST!AE95=2,"NR",IF(OR(LOG_ST!AE95=0,LOG_ST!AE95="X"),"N/A"))))</f>
        <v/>
      </c>
      <c r="AB96" s="574" t="str">
        <f>IF($L96="","",IF(LOG_ST!AF95=1,"OK",IF(LOG_ST!AF95=2,"NR",IF(OR(LOG_ST!AF95=0,LOG_ST!AF95="X"),"N/A"))))</f>
        <v/>
      </c>
      <c r="AC96" s="574" t="str">
        <f>IF($L96="","",IF(LOG_ST!AG95=1,"OK",IF(LOG_ST!AG95=2,"NR",IF(OR(LOG_ST!AG95=0,LOG_ST!AG95="X"),"N/A"))))</f>
        <v/>
      </c>
      <c r="AD96" s="574" t="str">
        <f>IF($L96="","",IF(OR(LOG_ST!AH95=0,LOG_ST!AH95="X"),"N/A",LOG_ST!AH95))</f>
        <v/>
      </c>
      <c r="AE96" s="574" t="str">
        <f>IF($L96="","",IF(LOG_ST!AI95=1,"OK",IF(LOG_ST!AI95=2,"NR",IF(OR(LOG_ST!AI95=0,LOG_ST!AI95="X"),"N/A"))))</f>
        <v/>
      </c>
      <c r="AF96" s="574" t="str">
        <f>IF($L96="","",IF(LOG_ST!AJ95=1,"OK",IF(LOG_ST!AJ95=2,"NR",IF(OR(LOG_ST!AJ95=0,LOG_ST!AJ95="X"),"N/A"))))</f>
        <v/>
      </c>
      <c r="AG96" s="574" t="str">
        <f>IF($L96="","",IF(LOG_ST!AK95=1,"OK",IF(LOG_ST!AK95=2,"NR",IF(OR(LOG_ST!AK95=0,LOG_ST!AK95="X"),"N/A"))))</f>
        <v/>
      </c>
      <c r="AH96" s="574" t="str">
        <f>IF($L96="","",IF(LOG_ST!AL95=1,"OK",IF(LOG_ST!AL95=2,"NR",IF(OR(LOG_ST!AL95=0,LOG_ST!AL95="X"),"N/A"))))</f>
        <v/>
      </c>
      <c r="AI96" s="574" t="str">
        <f>IF($L96="","",IF(LOG_ST!AM95=1,"OK",IF(LOG_ST!AM95=2,"NR",IF(OR(LOG_ST!AM95=0,LOG_ST!AM95="X"),"N/A"))))</f>
        <v/>
      </c>
      <c r="AJ96" s="574" t="str">
        <f>IF($L96="","",IF(LOG_ST!AN95=1,"OK",IF(LOG_ST!AN95=2,"NR",IF(OR(LOG_ST!AN95=0,LOG_ST!AN95="X"),"N/A"))))</f>
        <v/>
      </c>
      <c r="AK96" s="574" t="str">
        <f>IF($L96="","",IF(LOG_ST!AO95=1,"OK",IF(LOG_ST!AO95=2,"NR",IF(OR(LOG_ST!AO95=0,LOG_ST!AO95="X"),"N/A"))))</f>
        <v/>
      </c>
      <c r="AL96" s="574" t="str">
        <f>IF($L96="","",IF(LOG_ST!AP95=1,"OK",IF(LOG_ST!AP95=2,"NR",IF(OR(LOG_ST!AP95=0,LOG_ST!AP95="X"),"N/A"))))</f>
        <v/>
      </c>
      <c r="AM96" s="574" t="str">
        <f>IF($L96="","",IF(LOG_ST!AQ95=1,"OK",IF(LOG_ST!AQ95=2,"NR",IF(OR(LOG_ST!AQ95=0,LOG_ST!AQ95="X"),"N/A"))))</f>
        <v/>
      </c>
      <c r="AN96" s="550" t="str">
        <f t="shared" si="1"/>
        <v/>
      </c>
    </row>
    <row r="97" spans="2:40" x14ac:dyDescent="0.25">
      <c r="B97" s="551" t="str">
        <f>IF(LOG_ST!F96="","",VLOOKUP(LOG_ST!F96,DATA_BASE!$A$46:$C$57,2,FALSE))</f>
        <v/>
      </c>
      <c r="C97" s="570" t="str">
        <f>IF(LOG_ST!G96="","",VLOOKUP(LOG_ST!G96,DATA_HDG,2,FALSE))</f>
        <v/>
      </c>
      <c r="D97" s="571" t="str">
        <f>IF(LOG_ST!H96="","",LOG_ST!H96)</f>
        <v/>
      </c>
      <c r="E97" s="570" t="str">
        <f>IF(LOG_ST!I96="","",VLOOKUP(LOG_ST!I96,DATA_COP,2,FALSE))</f>
        <v/>
      </c>
      <c r="F97" s="573" t="str">
        <f>IF(LOG_ST!J96="","",LOG_ST!J96)</f>
        <v/>
      </c>
      <c r="G97" s="570" t="str">
        <f>IF(LOG_ST!K96="","",VLOOKUP(LOG_ST!K96,DATA_SCIES,2,FALSE))</f>
        <v/>
      </c>
      <c r="H97" s="570" t="str">
        <f>IF(LOG_ST!L96="","",VLOOKUP(LOG_ST!L96,DATA_ST!$U$7:$V$64,2,FALSE))</f>
        <v/>
      </c>
      <c r="I97" s="570" t="str">
        <f>IF(LOG_ST!M96="","",LOG_ST!M96)</f>
        <v/>
      </c>
      <c r="J97" s="570" t="str">
        <f>IF(LOG_ST!N96="","",LOG_ST!N96)</f>
        <v/>
      </c>
      <c r="K97" s="573" t="str">
        <f>IF(LOG_ST!O96="","",LOG_ST!O96)</f>
        <v/>
      </c>
      <c r="L97" s="573" t="str">
        <f>IF(LOG_ST!P96="","",LOG_ST!P96)</f>
        <v/>
      </c>
      <c r="M97" s="574" t="str">
        <f>IF($L97="","",IF(LOG_ST!Q96=1,"OK",IF(LOG_ST!Q96=2,"NR",IF(OR(LOG_ST!Q96=0,LOG_ST!Q96="X"),"N/A"))))</f>
        <v/>
      </c>
      <c r="N97" s="574" t="str">
        <f>IF($L97="","",IF(LOG_ST!R96=1,"OK",IF(LOG_ST!R96=2,"NR",IF(OR(LOG_ST!R96=0,LOG_ST!R96="X"),"N/A"))))</f>
        <v/>
      </c>
      <c r="O97" s="574" t="str">
        <f>IF($L97="","",IF(LOG_ST!S96=1,"OK",IF(LOG_ST!S96=2,"NR",IF(OR(LOG_ST!S96=0,LOG_ST!S96="X"),"N/A"))))</f>
        <v/>
      </c>
      <c r="P97" s="574" t="str">
        <f>IF($L97="","",IF(LOG_ST!T96=1,"OK",IF(LOG_ST!T96=2,"NR",IF(OR(LOG_ST!T96=0,LOG_ST!T96="X"),"N/A"))))</f>
        <v/>
      </c>
      <c r="Q97" s="574" t="str">
        <f>IF($L97="","",IF(LOG_ST!U96=1,"OK",IF(LOG_ST!U96=2,"NR",IF(OR(LOG_ST!U96=0,LOG_ST!U96="X"),"N/A"))))</f>
        <v/>
      </c>
      <c r="R97" s="574" t="str">
        <f>IF($L97="","",IF(LOG_ST!V96=1,"OK",IF(LOG_ST!V96=2,"NR",IF(OR(LOG_ST!V96=0,LOG_ST!V96="X"),"N/A"))))</f>
        <v/>
      </c>
      <c r="S97" s="574" t="str">
        <f>IF($L97="","",IF(LOG_ST!W96=1,"OK",IF(LOG_ST!W96=2,"NR",IF(OR(LOG_ST!W96=0,LOG_ST!W96="X"),"N/A"))))</f>
        <v/>
      </c>
      <c r="T97" s="574" t="str">
        <f>IF($L97="","",IF(LOG_ST!X96=1,"OK",IF(LOG_ST!X96=2,"NR",IF(OR(LOG_ST!X96=0,LOG_ST!X96="X"),"N/A"))))</f>
        <v/>
      </c>
      <c r="U97" s="574" t="str">
        <f>IF($L97="","",IF(LOG_ST!Y96=1,"OK",IF(LOG_ST!Y96=2,"NR",IF(OR(LOG_ST!Y96=0,LOG_ST!Y96="X"),"N/A"))))</f>
        <v/>
      </c>
      <c r="V97" s="574" t="str">
        <f>IF($L97="","",IF(LOG_ST!Z96=1,"OK",IF(LOG_ST!Z96=2,"NR",IF(OR(LOG_ST!Z96=0,LOG_ST!Z96="X"),"N/A"))))</f>
        <v/>
      </c>
      <c r="W97" s="574" t="str">
        <f>IF($L97="","",IF(LOG_ST!AA96=1,"OK",IF(LOG_ST!AA96=2,"NR",IF(OR(LOG_ST!AA96=0,LOG_ST!AA96="X"),"N/A"))))</f>
        <v/>
      </c>
      <c r="X97" s="574" t="str">
        <f>IF($L97="","",IF(LOG_ST!AB96=1,"OK",IF(LOG_ST!AB96=2,"NR",IF(OR(LOG_ST!AB96=0,LOG_ST!AB96="X"),"N/A"))))</f>
        <v/>
      </c>
      <c r="Y97" s="574" t="str">
        <f>IF($L97="","",IF(LOG_ST!AC96=1,"OK",IF(LOG_ST!AC96=2,"NR",IF(OR(LOG_ST!AC96=0,LOG_ST!AC96="X"),"N/A"))))</f>
        <v/>
      </c>
      <c r="Z97" s="574" t="str">
        <f>IF($L97="","",IF(OR(LOG_ST!AD96=0,LOG_ST!AD96="X"),"N/A",LOG_ST!AD96))</f>
        <v/>
      </c>
      <c r="AA97" s="574" t="str">
        <f>IF($L97="","",IF(LOG_ST!AE96=1,"OK",IF(LOG_ST!AE96=2,"NR",IF(OR(LOG_ST!AE96=0,LOG_ST!AE96="X"),"N/A"))))</f>
        <v/>
      </c>
      <c r="AB97" s="574" t="str">
        <f>IF($L97="","",IF(LOG_ST!AF96=1,"OK",IF(LOG_ST!AF96=2,"NR",IF(OR(LOG_ST!AF96=0,LOG_ST!AF96="X"),"N/A"))))</f>
        <v/>
      </c>
      <c r="AC97" s="574" t="str">
        <f>IF($L97="","",IF(LOG_ST!AG96=1,"OK",IF(LOG_ST!AG96=2,"NR",IF(OR(LOG_ST!AG96=0,LOG_ST!AG96="X"),"N/A"))))</f>
        <v/>
      </c>
      <c r="AD97" s="574" t="str">
        <f>IF($L97="","",IF(OR(LOG_ST!AH96=0,LOG_ST!AH96="X"),"N/A",LOG_ST!AH96))</f>
        <v/>
      </c>
      <c r="AE97" s="574" t="str">
        <f>IF($L97="","",IF(LOG_ST!AI96=1,"OK",IF(LOG_ST!AI96=2,"NR",IF(OR(LOG_ST!AI96=0,LOG_ST!AI96="X"),"N/A"))))</f>
        <v/>
      </c>
      <c r="AF97" s="574" t="str">
        <f>IF($L97="","",IF(LOG_ST!AJ96=1,"OK",IF(LOG_ST!AJ96=2,"NR",IF(OR(LOG_ST!AJ96=0,LOG_ST!AJ96="X"),"N/A"))))</f>
        <v/>
      </c>
      <c r="AG97" s="574" t="str">
        <f>IF($L97="","",IF(LOG_ST!AK96=1,"OK",IF(LOG_ST!AK96=2,"NR",IF(OR(LOG_ST!AK96=0,LOG_ST!AK96="X"),"N/A"))))</f>
        <v/>
      </c>
      <c r="AH97" s="574" t="str">
        <f>IF($L97="","",IF(LOG_ST!AL96=1,"OK",IF(LOG_ST!AL96=2,"NR",IF(OR(LOG_ST!AL96=0,LOG_ST!AL96="X"),"N/A"))))</f>
        <v/>
      </c>
      <c r="AI97" s="574" t="str">
        <f>IF($L97="","",IF(LOG_ST!AM96=1,"OK",IF(LOG_ST!AM96=2,"NR",IF(OR(LOG_ST!AM96=0,LOG_ST!AM96="X"),"N/A"))))</f>
        <v/>
      </c>
      <c r="AJ97" s="574" t="str">
        <f>IF($L97="","",IF(LOG_ST!AN96=1,"OK",IF(LOG_ST!AN96=2,"NR",IF(OR(LOG_ST!AN96=0,LOG_ST!AN96="X"),"N/A"))))</f>
        <v/>
      </c>
      <c r="AK97" s="574" t="str">
        <f>IF($L97="","",IF(LOG_ST!AO96=1,"OK",IF(LOG_ST!AO96=2,"NR",IF(OR(LOG_ST!AO96=0,LOG_ST!AO96="X"),"N/A"))))</f>
        <v/>
      </c>
      <c r="AL97" s="574" t="str">
        <f>IF($L97="","",IF(LOG_ST!AP96=1,"OK",IF(LOG_ST!AP96=2,"NR",IF(OR(LOG_ST!AP96=0,LOG_ST!AP96="X"),"N/A"))))</f>
        <v/>
      </c>
      <c r="AM97" s="574" t="str">
        <f>IF($L97="","",IF(LOG_ST!AQ96=1,"OK",IF(LOG_ST!AQ96=2,"NR",IF(OR(LOG_ST!AQ96=0,LOG_ST!AQ96="X"),"N/A"))))</f>
        <v/>
      </c>
      <c r="AN97" s="550" t="str">
        <f t="shared" si="1"/>
        <v/>
      </c>
    </row>
    <row r="98" spans="2:40" x14ac:dyDescent="0.25">
      <c r="B98" s="551" t="str">
        <f>IF(LOG_ST!F97="","",VLOOKUP(LOG_ST!F97,DATA_BASE!$A$46:$C$57,2,FALSE))</f>
        <v/>
      </c>
      <c r="C98" s="570" t="str">
        <f>IF(LOG_ST!G97="","",VLOOKUP(LOG_ST!G97,DATA_HDG,2,FALSE))</f>
        <v/>
      </c>
      <c r="D98" s="571" t="str">
        <f>IF(LOG_ST!H97="","",LOG_ST!H97)</f>
        <v/>
      </c>
      <c r="E98" s="570" t="str">
        <f>IF(LOG_ST!I97="","",VLOOKUP(LOG_ST!I97,DATA_COP,2,FALSE))</f>
        <v/>
      </c>
      <c r="F98" s="573" t="str">
        <f>IF(LOG_ST!J97="","",LOG_ST!J97)</f>
        <v/>
      </c>
      <c r="G98" s="570" t="str">
        <f>IF(LOG_ST!K97="","",VLOOKUP(LOG_ST!K97,DATA_SCIES,2,FALSE))</f>
        <v/>
      </c>
      <c r="H98" s="570" t="str">
        <f>IF(LOG_ST!L97="","",VLOOKUP(LOG_ST!L97,DATA_ST!$U$7:$V$64,2,FALSE))</f>
        <v/>
      </c>
      <c r="I98" s="570" t="str">
        <f>IF(LOG_ST!M97="","",LOG_ST!M97)</f>
        <v/>
      </c>
      <c r="J98" s="570" t="str">
        <f>IF(LOG_ST!N97="","",LOG_ST!N97)</f>
        <v/>
      </c>
      <c r="K98" s="573" t="str">
        <f>IF(LOG_ST!O97="","",LOG_ST!O97)</f>
        <v/>
      </c>
      <c r="L98" s="573" t="str">
        <f>IF(LOG_ST!P97="","",LOG_ST!P97)</f>
        <v/>
      </c>
      <c r="M98" s="574" t="str">
        <f>IF($L98="","",IF(LOG_ST!Q97=1,"OK",IF(LOG_ST!Q97=2,"NR",IF(OR(LOG_ST!Q97=0,LOG_ST!Q97="X"),"N/A"))))</f>
        <v/>
      </c>
      <c r="N98" s="574" t="str">
        <f>IF($L98="","",IF(LOG_ST!R97=1,"OK",IF(LOG_ST!R97=2,"NR",IF(OR(LOG_ST!R97=0,LOG_ST!R97="X"),"N/A"))))</f>
        <v/>
      </c>
      <c r="O98" s="574" t="str">
        <f>IF($L98="","",IF(LOG_ST!S97=1,"OK",IF(LOG_ST!S97=2,"NR",IF(OR(LOG_ST!S97=0,LOG_ST!S97="X"),"N/A"))))</f>
        <v/>
      </c>
      <c r="P98" s="574" t="str">
        <f>IF($L98="","",IF(LOG_ST!T97=1,"OK",IF(LOG_ST!T97=2,"NR",IF(OR(LOG_ST!T97=0,LOG_ST!T97="X"),"N/A"))))</f>
        <v/>
      </c>
      <c r="Q98" s="574" t="str">
        <f>IF($L98="","",IF(LOG_ST!U97=1,"OK",IF(LOG_ST!U97=2,"NR",IF(OR(LOG_ST!U97=0,LOG_ST!U97="X"),"N/A"))))</f>
        <v/>
      </c>
      <c r="R98" s="574" t="str">
        <f>IF($L98="","",IF(LOG_ST!V97=1,"OK",IF(LOG_ST!V97=2,"NR",IF(OR(LOG_ST!V97=0,LOG_ST!V97="X"),"N/A"))))</f>
        <v/>
      </c>
      <c r="S98" s="574" t="str">
        <f>IF($L98="","",IF(LOG_ST!W97=1,"OK",IF(LOG_ST!W97=2,"NR",IF(OR(LOG_ST!W97=0,LOG_ST!W97="X"),"N/A"))))</f>
        <v/>
      </c>
      <c r="T98" s="574" t="str">
        <f>IF($L98="","",IF(LOG_ST!X97=1,"OK",IF(LOG_ST!X97=2,"NR",IF(OR(LOG_ST!X97=0,LOG_ST!X97="X"),"N/A"))))</f>
        <v/>
      </c>
      <c r="U98" s="574" t="str">
        <f>IF($L98="","",IF(LOG_ST!Y97=1,"OK",IF(LOG_ST!Y97=2,"NR",IF(OR(LOG_ST!Y97=0,LOG_ST!Y97="X"),"N/A"))))</f>
        <v/>
      </c>
      <c r="V98" s="574" t="str">
        <f>IF($L98="","",IF(LOG_ST!Z97=1,"OK",IF(LOG_ST!Z97=2,"NR",IF(OR(LOG_ST!Z97=0,LOG_ST!Z97="X"),"N/A"))))</f>
        <v/>
      </c>
      <c r="W98" s="574" t="str">
        <f>IF($L98="","",IF(LOG_ST!AA97=1,"OK",IF(LOG_ST!AA97=2,"NR",IF(OR(LOG_ST!AA97=0,LOG_ST!AA97="X"),"N/A"))))</f>
        <v/>
      </c>
      <c r="X98" s="574" t="str">
        <f>IF($L98="","",IF(LOG_ST!AB97=1,"OK",IF(LOG_ST!AB97=2,"NR",IF(OR(LOG_ST!AB97=0,LOG_ST!AB97="X"),"N/A"))))</f>
        <v/>
      </c>
      <c r="Y98" s="574" t="str">
        <f>IF($L98="","",IF(LOG_ST!AC97=1,"OK",IF(LOG_ST!AC97=2,"NR",IF(OR(LOG_ST!AC97=0,LOG_ST!AC97="X"),"N/A"))))</f>
        <v/>
      </c>
      <c r="Z98" s="574" t="str">
        <f>IF($L98="","",IF(OR(LOG_ST!AD97=0,LOG_ST!AD97="X"),"N/A",LOG_ST!AD97))</f>
        <v/>
      </c>
      <c r="AA98" s="574" t="str">
        <f>IF($L98="","",IF(LOG_ST!AE97=1,"OK",IF(LOG_ST!AE97=2,"NR",IF(OR(LOG_ST!AE97=0,LOG_ST!AE97="X"),"N/A"))))</f>
        <v/>
      </c>
      <c r="AB98" s="574" t="str">
        <f>IF($L98="","",IF(LOG_ST!AF97=1,"OK",IF(LOG_ST!AF97=2,"NR",IF(OR(LOG_ST!AF97=0,LOG_ST!AF97="X"),"N/A"))))</f>
        <v/>
      </c>
      <c r="AC98" s="574" t="str">
        <f>IF($L98="","",IF(LOG_ST!AG97=1,"OK",IF(LOG_ST!AG97=2,"NR",IF(OR(LOG_ST!AG97=0,LOG_ST!AG97="X"),"N/A"))))</f>
        <v/>
      </c>
      <c r="AD98" s="574" t="str">
        <f>IF($L98="","",IF(OR(LOG_ST!AH97=0,LOG_ST!AH97="X"),"N/A",LOG_ST!AH97))</f>
        <v/>
      </c>
      <c r="AE98" s="574" t="str">
        <f>IF($L98="","",IF(LOG_ST!AI97=1,"OK",IF(LOG_ST!AI97=2,"NR",IF(OR(LOG_ST!AI97=0,LOG_ST!AI97="X"),"N/A"))))</f>
        <v/>
      </c>
      <c r="AF98" s="574" t="str">
        <f>IF($L98="","",IF(LOG_ST!AJ97=1,"OK",IF(LOG_ST!AJ97=2,"NR",IF(OR(LOG_ST!AJ97=0,LOG_ST!AJ97="X"),"N/A"))))</f>
        <v/>
      </c>
      <c r="AG98" s="574" t="str">
        <f>IF($L98="","",IF(LOG_ST!AK97=1,"OK",IF(LOG_ST!AK97=2,"NR",IF(OR(LOG_ST!AK97=0,LOG_ST!AK97="X"),"N/A"))))</f>
        <v/>
      </c>
      <c r="AH98" s="574" t="str">
        <f>IF($L98="","",IF(LOG_ST!AL97=1,"OK",IF(LOG_ST!AL97=2,"NR",IF(OR(LOG_ST!AL97=0,LOG_ST!AL97="X"),"N/A"))))</f>
        <v/>
      </c>
      <c r="AI98" s="574" t="str">
        <f>IF($L98="","",IF(LOG_ST!AM97=1,"OK",IF(LOG_ST!AM97=2,"NR",IF(OR(LOG_ST!AM97=0,LOG_ST!AM97="X"),"N/A"))))</f>
        <v/>
      </c>
      <c r="AJ98" s="574" t="str">
        <f>IF($L98="","",IF(LOG_ST!AN97=1,"OK",IF(LOG_ST!AN97=2,"NR",IF(OR(LOG_ST!AN97=0,LOG_ST!AN97="X"),"N/A"))))</f>
        <v/>
      </c>
      <c r="AK98" s="574" t="str">
        <f>IF($L98="","",IF(LOG_ST!AO97=1,"OK",IF(LOG_ST!AO97=2,"NR",IF(OR(LOG_ST!AO97=0,LOG_ST!AO97="X"),"N/A"))))</f>
        <v/>
      </c>
      <c r="AL98" s="574" t="str">
        <f>IF($L98="","",IF(LOG_ST!AP97=1,"OK",IF(LOG_ST!AP97=2,"NR",IF(OR(LOG_ST!AP97=0,LOG_ST!AP97="X"),"N/A"))))</f>
        <v/>
      </c>
      <c r="AM98" s="574" t="str">
        <f>IF($L98="","",IF(LOG_ST!AQ97=1,"OK",IF(LOG_ST!AQ97=2,"NR",IF(OR(LOG_ST!AQ97=0,LOG_ST!AQ97="X"),"N/A"))))</f>
        <v/>
      </c>
      <c r="AN98" s="550" t="str">
        <f t="shared" si="1"/>
        <v/>
      </c>
    </row>
    <row r="99" spans="2:40" x14ac:dyDescent="0.25">
      <c r="B99" s="551" t="str">
        <f>IF(LOG_ST!F98="","",VLOOKUP(LOG_ST!F98,DATA_BASE!$A$46:$C$57,2,FALSE))</f>
        <v/>
      </c>
      <c r="C99" s="570" t="str">
        <f>IF(LOG_ST!G98="","",VLOOKUP(LOG_ST!G98,DATA_HDG,2,FALSE))</f>
        <v/>
      </c>
      <c r="D99" s="571" t="str">
        <f>IF(LOG_ST!H98="","",LOG_ST!H98)</f>
        <v/>
      </c>
      <c r="E99" s="570" t="str">
        <f>IF(LOG_ST!I98="","",VLOOKUP(LOG_ST!I98,DATA_COP,2,FALSE))</f>
        <v/>
      </c>
      <c r="F99" s="573" t="str">
        <f>IF(LOG_ST!J98="","",LOG_ST!J98)</f>
        <v/>
      </c>
      <c r="G99" s="570" t="str">
        <f>IF(LOG_ST!K98="","",VLOOKUP(LOG_ST!K98,DATA_SCIES,2,FALSE))</f>
        <v/>
      </c>
      <c r="H99" s="570" t="str">
        <f>IF(LOG_ST!L98="","",VLOOKUP(LOG_ST!L98,DATA_ST!$U$7:$V$64,2,FALSE))</f>
        <v/>
      </c>
      <c r="I99" s="570" t="str">
        <f>IF(LOG_ST!M98="","",LOG_ST!M98)</f>
        <v/>
      </c>
      <c r="J99" s="570" t="str">
        <f>IF(LOG_ST!N98="","",LOG_ST!N98)</f>
        <v/>
      </c>
      <c r="K99" s="573" t="str">
        <f>IF(LOG_ST!O98="","",LOG_ST!O98)</f>
        <v/>
      </c>
      <c r="L99" s="573" t="str">
        <f>IF(LOG_ST!P98="","",LOG_ST!P98)</f>
        <v/>
      </c>
      <c r="M99" s="574" t="str">
        <f>IF($L99="","",IF(LOG_ST!Q98=1,"OK",IF(LOG_ST!Q98=2,"NR",IF(OR(LOG_ST!Q98=0,LOG_ST!Q98="X"),"N/A"))))</f>
        <v/>
      </c>
      <c r="N99" s="574" t="str">
        <f>IF($L99="","",IF(LOG_ST!R98=1,"OK",IF(LOG_ST!R98=2,"NR",IF(OR(LOG_ST!R98=0,LOG_ST!R98="X"),"N/A"))))</f>
        <v/>
      </c>
      <c r="O99" s="574" t="str">
        <f>IF($L99="","",IF(LOG_ST!S98=1,"OK",IF(LOG_ST!S98=2,"NR",IF(OR(LOG_ST!S98=0,LOG_ST!S98="X"),"N/A"))))</f>
        <v/>
      </c>
      <c r="P99" s="574" t="str">
        <f>IF($L99="","",IF(LOG_ST!T98=1,"OK",IF(LOG_ST!T98=2,"NR",IF(OR(LOG_ST!T98=0,LOG_ST!T98="X"),"N/A"))))</f>
        <v/>
      </c>
      <c r="Q99" s="574" t="str">
        <f>IF($L99="","",IF(LOG_ST!U98=1,"OK",IF(LOG_ST!U98=2,"NR",IF(OR(LOG_ST!U98=0,LOG_ST!U98="X"),"N/A"))))</f>
        <v/>
      </c>
      <c r="R99" s="574" t="str">
        <f>IF($L99="","",IF(LOG_ST!V98=1,"OK",IF(LOG_ST!V98=2,"NR",IF(OR(LOG_ST!V98=0,LOG_ST!V98="X"),"N/A"))))</f>
        <v/>
      </c>
      <c r="S99" s="574" t="str">
        <f>IF($L99="","",IF(LOG_ST!W98=1,"OK",IF(LOG_ST!W98=2,"NR",IF(OR(LOG_ST!W98=0,LOG_ST!W98="X"),"N/A"))))</f>
        <v/>
      </c>
      <c r="T99" s="574" t="str">
        <f>IF($L99="","",IF(LOG_ST!X98=1,"OK",IF(LOG_ST!X98=2,"NR",IF(OR(LOG_ST!X98=0,LOG_ST!X98="X"),"N/A"))))</f>
        <v/>
      </c>
      <c r="U99" s="574" t="str">
        <f>IF($L99="","",IF(LOG_ST!Y98=1,"OK",IF(LOG_ST!Y98=2,"NR",IF(OR(LOG_ST!Y98=0,LOG_ST!Y98="X"),"N/A"))))</f>
        <v/>
      </c>
      <c r="V99" s="574" t="str">
        <f>IF($L99="","",IF(LOG_ST!Z98=1,"OK",IF(LOG_ST!Z98=2,"NR",IF(OR(LOG_ST!Z98=0,LOG_ST!Z98="X"),"N/A"))))</f>
        <v/>
      </c>
      <c r="W99" s="574" t="str">
        <f>IF($L99="","",IF(LOG_ST!AA98=1,"OK",IF(LOG_ST!AA98=2,"NR",IF(OR(LOG_ST!AA98=0,LOG_ST!AA98="X"),"N/A"))))</f>
        <v/>
      </c>
      <c r="X99" s="574" t="str">
        <f>IF($L99="","",IF(LOG_ST!AB98=1,"OK",IF(LOG_ST!AB98=2,"NR",IF(OR(LOG_ST!AB98=0,LOG_ST!AB98="X"),"N/A"))))</f>
        <v/>
      </c>
      <c r="Y99" s="574" t="str">
        <f>IF($L99="","",IF(LOG_ST!AC98=1,"OK",IF(LOG_ST!AC98=2,"NR",IF(OR(LOG_ST!AC98=0,LOG_ST!AC98="X"),"N/A"))))</f>
        <v/>
      </c>
      <c r="Z99" s="574" t="str">
        <f>IF($L99="","",IF(OR(LOG_ST!AD98=0,LOG_ST!AD98="X"),"N/A",LOG_ST!AD98))</f>
        <v/>
      </c>
      <c r="AA99" s="574" t="str">
        <f>IF($L99="","",IF(LOG_ST!AE98=1,"OK",IF(LOG_ST!AE98=2,"NR",IF(OR(LOG_ST!AE98=0,LOG_ST!AE98="X"),"N/A"))))</f>
        <v/>
      </c>
      <c r="AB99" s="574" t="str">
        <f>IF($L99="","",IF(LOG_ST!AF98=1,"OK",IF(LOG_ST!AF98=2,"NR",IF(OR(LOG_ST!AF98=0,LOG_ST!AF98="X"),"N/A"))))</f>
        <v/>
      </c>
      <c r="AC99" s="574" t="str">
        <f>IF($L99="","",IF(LOG_ST!AG98=1,"OK",IF(LOG_ST!AG98=2,"NR",IF(OR(LOG_ST!AG98=0,LOG_ST!AG98="X"),"N/A"))))</f>
        <v/>
      </c>
      <c r="AD99" s="574" t="str">
        <f>IF($L99="","",IF(OR(LOG_ST!AH98=0,LOG_ST!AH98="X"),"N/A",LOG_ST!AH98))</f>
        <v/>
      </c>
      <c r="AE99" s="574" t="str">
        <f>IF($L99="","",IF(LOG_ST!AI98=1,"OK",IF(LOG_ST!AI98=2,"NR",IF(OR(LOG_ST!AI98=0,LOG_ST!AI98="X"),"N/A"))))</f>
        <v/>
      </c>
      <c r="AF99" s="574" t="str">
        <f>IF($L99="","",IF(LOG_ST!AJ98=1,"OK",IF(LOG_ST!AJ98=2,"NR",IF(OR(LOG_ST!AJ98=0,LOG_ST!AJ98="X"),"N/A"))))</f>
        <v/>
      </c>
      <c r="AG99" s="574" t="str">
        <f>IF($L99="","",IF(LOG_ST!AK98=1,"OK",IF(LOG_ST!AK98=2,"NR",IF(OR(LOG_ST!AK98=0,LOG_ST!AK98="X"),"N/A"))))</f>
        <v/>
      </c>
      <c r="AH99" s="574" t="str">
        <f>IF($L99="","",IF(LOG_ST!AL98=1,"OK",IF(LOG_ST!AL98=2,"NR",IF(OR(LOG_ST!AL98=0,LOG_ST!AL98="X"),"N/A"))))</f>
        <v/>
      </c>
      <c r="AI99" s="574" t="str">
        <f>IF($L99="","",IF(LOG_ST!AM98=1,"OK",IF(LOG_ST!AM98=2,"NR",IF(OR(LOG_ST!AM98=0,LOG_ST!AM98="X"),"N/A"))))</f>
        <v/>
      </c>
      <c r="AJ99" s="574" t="str">
        <f>IF($L99="","",IF(LOG_ST!AN98=1,"OK",IF(LOG_ST!AN98=2,"NR",IF(OR(LOG_ST!AN98=0,LOG_ST!AN98="X"),"N/A"))))</f>
        <v/>
      </c>
      <c r="AK99" s="574" t="str">
        <f>IF($L99="","",IF(LOG_ST!AO98=1,"OK",IF(LOG_ST!AO98=2,"NR",IF(OR(LOG_ST!AO98=0,LOG_ST!AO98="X"),"N/A"))))</f>
        <v/>
      </c>
      <c r="AL99" s="574" t="str">
        <f>IF($L99="","",IF(LOG_ST!AP98=1,"OK",IF(LOG_ST!AP98=2,"NR",IF(OR(LOG_ST!AP98=0,LOG_ST!AP98="X"),"N/A"))))</f>
        <v/>
      </c>
      <c r="AM99" s="574" t="str">
        <f>IF($L99="","",IF(LOG_ST!AQ98=1,"OK",IF(LOG_ST!AQ98=2,"NR",IF(OR(LOG_ST!AQ98=0,LOG_ST!AQ98="X"),"N/A"))))</f>
        <v/>
      </c>
      <c r="AN99" s="550" t="str">
        <f t="shared" si="1"/>
        <v/>
      </c>
    </row>
    <row r="100" spans="2:40" x14ac:dyDescent="0.25">
      <c r="B100" s="551" t="str">
        <f>IF(LOG_ST!F99="","",VLOOKUP(LOG_ST!F99,DATA_BASE!$A$46:$C$57,2,FALSE))</f>
        <v/>
      </c>
      <c r="C100" s="570" t="str">
        <f>IF(LOG_ST!G99="","",VLOOKUP(LOG_ST!G99,DATA_HDG,2,FALSE))</f>
        <v/>
      </c>
      <c r="D100" s="571" t="str">
        <f>IF(LOG_ST!H99="","",LOG_ST!H99)</f>
        <v/>
      </c>
      <c r="E100" s="570" t="str">
        <f>IF(LOG_ST!I99="","",VLOOKUP(LOG_ST!I99,DATA_COP,2,FALSE))</f>
        <v/>
      </c>
      <c r="F100" s="573" t="str">
        <f>IF(LOG_ST!J99="","",LOG_ST!J99)</f>
        <v/>
      </c>
      <c r="G100" s="570" t="str">
        <f>IF(LOG_ST!K99="","",VLOOKUP(LOG_ST!K99,DATA_SCIES,2,FALSE))</f>
        <v/>
      </c>
      <c r="H100" s="570" t="str">
        <f>IF(LOG_ST!L99="","",VLOOKUP(LOG_ST!L99,DATA_ST!$U$7:$V$64,2,FALSE))</f>
        <v/>
      </c>
      <c r="I100" s="570" t="str">
        <f>IF(LOG_ST!M99="","",LOG_ST!M99)</f>
        <v/>
      </c>
      <c r="J100" s="570" t="str">
        <f>IF(LOG_ST!N99="","",LOG_ST!N99)</f>
        <v/>
      </c>
      <c r="K100" s="573" t="str">
        <f>IF(LOG_ST!O99="","",LOG_ST!O99)</f>
        <v/>
      </c>
      <c r="L100" s="573" t="str">
        <f>IF(LOG_ST!P99="","",LOG_ST!P99)</f>
        <v/>
      </c>
      <c r="M100" s="574" t="str">
        <f>IF($L100="","",IF(LOG_ST!Q99=1,"OK",IF(LOG_ST!Q99=2,"NR",IF(OR(LOG_ST!Q99=0,LOG_ST!Q99="X"),"N/A"))))</f>
        <v/>
      </c>
      <c r="N100" s="574" t="str">
        <f>IF($L100="","",IF(LOG_ST!R99=1,"OK",IF(LOG_ST!R99=2,"NR",IF(OR(LOG_ST!R99=0,LOG_ST!R99="X"),"N/A"))))</f>
        <v/>
      </c>
      <c r="O100" s="574" t="str">
        <f>IF($L100="","",IF(LOG_ST!S99=1,"OK",IF(LOG_ST!S99=2,"NR",IF(OR(LOG_ST!S99=0,LOG_ST!S99="X"),"N/A"))))</f>
        <v/>
      </c>
      <c r="P100" s="574" t="str">
        <f>IF($L100="","",IF(LOG_ST!T99=1,"OK",IF(LOG_ST!T99=2,"NR",IF(OR(LOG_ST!T99=0,LOG_ST!T99="X"),"N/A"))))</f>
        <v/>
      </c>
      <c r="Q100" s="574" t="str">
        <f>IF($L100="","",IF(LOG_ST!U99=1,"OK",IF(LOG_ST!U99=2,"NR",IF(OR(LOG_ST!U99=0,LOG_ST!U99="X"),"N/A"))))</f>
        <v/>
      </c>
      <c r="R100" s="574" t="str">
        <f>IF($L100="","",IF(LOG_ST!V99=1,"OK",IF(LOG_ST!V99=2,"NR",IF(OR(LOG_ST!V99=0,LOG_ST!V99="X"),"N/A"))))</f>
        <v/>
      </c>
      <c r="S100" s="574" t="str">
        <f>IF($L100="","",IF(LOG_ST!W99=1,"OK",IF(LOG_ST!W99=2,"NR",IF(OR(LOG_ST!W99=0,LOG_ST!W99="X"),"N/A"))))</f>
        <v/>
      </c>
      <c r="T100" s="574" t="str">
        <f>IF($L100="","",IF(LOG_ST!X99=1,"OK",IF(LOG_ST!X99=2,"NR",IF(OR(LOG_ST!X99=0,LOG_ST!X99="X"),"N/A"))))</f>
        <v/>
      </c>
      <c r="U100" s="574" t="str">
        <f>IF($L100="","",IF(LOG_ST!Y99=1,"OK",IF(LOG_ST!Y99=2,"NR",IF(OR(LOG_ST!Y99=0,LOG_ST!Y99="X"),"N/A"))))</f>
        <v/>
      </c>
      <c r="V100" s="574" t="str">
        <f>IF($L100="","",IF(LOG_ST!Z99=1,"OK",IF(LOG_ST!Z99=2,"NR",IF(OR(LOG_ST!Z99=0,LOG_ST!Z99="X"),"N/A"))))</f>
        <v/>
      </c>
      <c r="W100" s="574" t="str">
        <f>IF($L100="","",IF(LOG_ST!AA99=1,"OK",IF(LOG_ST!AA99=2,"NR",IF(OR(LOG_ST!AA99=0,LOG_ST!AA99="X"),"N/A"))))</f>
        <v/>
      </c>
      <c r="X100" s="574" t="str">
        <f>IF($L100="","",IF(LOG_ST!AB99=1,"OK",IF(LOG_ST!AB99=2,"NR",IF(OR(LOG_ST!AB99=0,LOG_ST!AB99="X"),"N/A"))))</f>
        <v/>
      </c>
      <c r="Y100" s="574" t="str">
        <f>IF($L100="","",IF(LOG_ST!AC99=1,"OK",IF(LOG_ST!AC99=2,"NR",IF(OR(LOG_ST!AC99=0,LOG_ST!AC99="X"),"N/A"))))</f>
        <v/>
      </c>
      <c r="Z100" s="574" t="str">
        <f>IF($L100="","",IF(OR(LOG_ST!AD99=0,LOG_ST!AD99="X"),"N/A",LOG_ST!AD99))</f>
        <v/>
      </c>
      <c r="AA100" s="574" t="str">
        <f>IF($L100="","",IF(LOG_ST!AE99=1,"OK",IF(LOG_ST!AE99=2,"NR",IF(OR(LOG_ST!AE99=0,LOG_ST!AE99="X"),"N/A"))))</f>
        <v/>
      </c>
      <c r="AB100" s="574" t="str">
        <f>IF($L100="","",IF(LOG_ST!AF99=1,"OK",IF(LOG_ST!AF99=2,"NR",IF(OR(LOG_ST!AF99=0,LOG_ST!AF99="X"),"N/A"))))</f>
        <v/>
      </c>
      <c r="AC100" s="574" t="str">
        <f>IF($L100="","",IF(LOG_ST!AG99=1,"OK",IF(LOG_ST!AG99=2,"NR",IF(OR(LOG_ST!AG99=0,LOG_ST!AG99="X"),"N/A"))))</f>
        <v/>
      </c>
      <c r="AD100" s="574" t="str">
        <f>IF($L100="","",IF(OR(LOG_ST!AH99=0,LOG_ST!AH99="X"),"N/A",LOG_ST!AH99))</f>
        <v/>
      </c>
      <c r="AE100" s="574" t="str">
        <f>IF($L100="","",IF(LOG_ST!AI99=1,"OK",IF(LOG_ST!AI99=2,"NR",IF(OR(LOG_ST!AI99=0,LOG_ST!AI99="X"),"N/A"))))</f>
        <v/>
      </c>
      <c r="AF100" s="574" t="str">
        <f>IF($L100="","",IF(LOG_ST!AJ99=1,"OK",IF(LOG_ST!AJ99=2,"NR",IF(OR(LOG_ST!AJ99=0,LOG_ST!AJ99="X"),"N/A"))))</f>
        <v/>
      </c>
      <c r="AG100" s="574" t="str">
        <f>IF($L100="","",IF(LOG_ST!AK99=1,"OK",IF(LOG_ST!AK99=2,"NR",IF(OR(LOG_ST!AK99=0,LOG_ST!AK99="X"),"N/A"))))</f>
        <v/>
      </c>
      <c r="AH100" s="574" t="str">
        <f>IF($L100="","",IF(LOG_ST!AL99=1,"OK",IF(LOG_ST!AL99=2,"NR",IF(OR(LOG_ST!AL99=0,LOG_ST!AL99="X"),"N/A"))))</f>
        <v/>
      </c>
      <c r="AI100" s="574" t="str">
        <f>IF($L100="","",IF(LOG_ST!AM99=1,"OK",IF(LOG_ST!AM99=2,"NR",IF(OR(LOG_ST!AM99=0,LOG_ST!AM99="X"),"N/A"))))</f>
        <v/>
      </c>
      <c r="AJ100" s="574" t="str">
        <f>IF($L100="","",IF(LOG_ST!AN99=1,"OK",IF(LOG_ST!AN99=2,"NR",IF(OR(LOG_ST!AN99=0,LOG_ST!AN99="X"),"N/A"))))</f>
        <v/>
      </c>
      <c r="AK100" s="574" t="str">
        <f>IF($L100="","",IF(LOG_ST!AO99=1,"OK",IF(LOG_ST!AO99=2,"NR",IF(OR(LOG_ST!AO99=0,LOG_ST!AO99="X"),"N/A"))))</f>
        <v/>
      </c>
      <c r="AL100" s="574" t="str">
        <f>IF($L100="","",IF(LOG_ST!AP99=1,"OK",IF(LOG_ST!AP99=2,"NR",IF(OR(LOG_ST!AP99=0,LOG_ST!AP99="X"),"N/A"))))</f>
        <v/>
      </c>
      <c r="AM100" s="574" t="str">
        <f>IF($L100="","",IF(LOG_ST!AQ99=1,"OK",IF(LOG_ST!AQ99=2,"NR",IF(OR(LOG_ST!AQ99=0,LOG_ST!AQ99="X"),"N/A"))))</f>
        <v/>
      </c>
      <c r="AN100" s="550" t="str">
        <f t="shared" si="1"/>
        <v/>
      </c>
    </row>
    <row r="101" spans="2:40" x14ac:dyDescent="0.25">
      <c r="B101" s="551" t="str">
        <f>IF(LOG_ST!F100="","",VLOOKUP(LOG_ST!F100,DATA_BASE!$A$46:$C$57,2,FALSE))</f>
        <v/>
      </c>
      <c r="C101" s="570" t="str">
        <f>IF(LOG_ST!G100="","",VLOOKUP(LOG_ST!G100,DATA_HDG,2,FALSE))</f>
        <v/>
      </c>
      <c r="D101" s="571" t="str">
        <f>IF(LOG_ST!H100="","",LOG_ST!H100)</f>
        <v/>
      </c>
      <c r="E101" s="570" t="str">
        <f>IF(LOG_ST!I100="","",VLOOKUP(LOG_ST!I100,DATA_COP,2,FALSE))</f>
        <v/>
      </c>
      <c r="F101" s="573" t="str">
        <f>IF(LOG_ST!J100="","",LOG_ST!J100)</f>
        <v/>
      </c>
      <c r="G101" s="570" t="str">
        <f>IF(LOG_ST!K100="","",VLOOKUP(LOG_ST!K100,DATA_SCIES,2,FALSE))</f>
        <v/>
      </c>
      <c r="H101" s="570" t="str">
        <f>IF(LOG_ST!L100="","",VLOOKUP(LOG_ST!L100,DATA_ST!$U$7:$V$64,2,FALSE))</f>
        <v/>
      </c>
      <c r="I101" s="570" t="str">
        <f>IF(LOG_ST!M100="","",LOG_ST!M100)</f>
        <v/>
      </c>
      <c r="J101" s="570" t="str">
        <f>IF(LOG_ST!N100="","",LOG_ST!N100)</f>
        <v/>
      </c>
      <c r="K101" s="573" t="str">
        <f>IF(LOG_ST!O100="","",LOG_ST!O100)</f>
        <v/>
      </c>
      <c r="L101" s="573" t="str">
        <f>IF(LOG_ST!P100="","",LOG_ST!P100)</f>
        <v/>
      </c>
      <c r="M101" s="574" t="str">
        <f>IF($L101="","",IF(LOG_ST!Q100=1,"OK",IF(LOG_ST!Q100=2,"NR",IF(OR(LOG_ST!Q100=0,LOG_ST!Q100="X"),"N/A"))))</f>
        <v/>
      </c>
      <c r="N101" s="574" t="str">
        <f>IF($L101="","",IF(LOG_ST!R100=1,"OK",IF(LOG_ST!R100=2,"NR",IF(OR(LOG_ST!R100=0,LOG_ST!R100="X"),"N/A"))))</f>
        <v/>
      </c>
      <c r="O101" s="574" t="str">
        <f>IF($L101="","",IF(LOG_ST!S100=1,"OK",IF(LOG_ST!S100=2,"NR",IF(OR(LOG_ST!S100=0,LOG_ST!S100="X"),"N/A"))))</f>
        <v/>
      </c>
      <c r="P101" s="574" t="str">
        <f>IF($L101="","",IF(LOG_ST!T100=1,"OK",IF(LOG_ST!T100=2,"NR",IF(OR(LOG_ST!T100=0,LOG_ST!T100="X"),"N/A"))))</f>
        <v/>
      </c>
      <c r="Q101" s="574" t="str">
        <f>IF($L101="","",IF(LOG_ST!U100=1,"OK",IF(LOG_ST!U100=2,"NR",IF(OR(LOG_ST!U100=0,LOG_ST!U100="X"),"N/A"))))</f>
        <v/>
      </c>
      <c r="R101" s="574" t="str">
        <f>IF($L101="","",IF(LOG_ST!V100=1,"OK",IF(LOG_ST!V100=2,"NR",IF(OR(LOG_ST!V100=0,LOG_ST!V100="X"),"N/A"))))</f>
        <v/>
      </c>
      <c r="S101" s="574" t="str">
        <f>IF($L101="","",IF(LOG_ST!W100=1,"OK",IF(LOG_ST!W100=2,"NR",IF(OR(LOG_ST!W100=0,LOG_ST!W100="X"),"N/A"))))</f>
        <v/>
      </c>
      <c r="T101" s="574" t="str">
        <f>IF($L101="","",IF(LOG_ST!X100=1,"OK",IF(LOG_ST!X100=2,"NR",IF(OR(LOG_ST!X100=0,LOG_ST!X100="X"),"N/A"))))</f>
        <v/>
      </c>
      <c r="U101" s="574" t="str">
        <f>IF($L101="","",IF(LOG_ST!Y100=1,"OK",IF(LOG_ST!Y100=2,"NR",IF(OR(LOG_ST!Y100=0,LOG_ST!Y100="X"),"N/A"))))</f>
        <v/>
      </c>
      <c r="V101" s="574" t="str">
        <f>IF($L101="","",IF(LOG_ST!Z100=1,"OK",IF(LOG_ST!Z100=2,"NR",IF(OR(LOG_ST!Z100=0,LOG_ST!Z100="X"),"N/A"))))</f>
        <v/>
      </c>
      <c r="W101" s="574" t="str">
        <f>IF($L101="","",IF(LOG_ST!AA100=1,"OK",IF(LOG_ST!AA100=2,"NR",IF(OR(LOG_ST!AA100=0,LOG_ST!AA100="X"),"N/A"))))</f>
        <v/>
      </c>
      <c r="X101" s="574" t="str">
        <f>IF($L101="","",IF(LOG_ST!AB100=1,"OK",IF(LOG_ST!AB100=2,"NR",IF(OR(LOG_ST!AB100=0,LOG_ST!AB100="X"),"N/A"))))</f>
        <v/>
      </c>
      <c r="Y101" s="574" t="str">
        <f>IF($L101="","",IF(LOG_ST!AC100=1,"OK",IF(LOG_ST!AC100=2,"NR",IF(OR(LOG_ST!AC100=0,LOG_ST!AC100="X"),"N/A"))))</f>
        <v/>
      </c>
      <c r="Z101" s="574" t="str">
        <f>IF($L101="","",IF(OR(LOG_ST!AD100=0,LOG_ST!AD100="X"),"N/A",LOG_ST!AD100))</f>
        <v/>
      </c>
      <c r="AA101" s="574" t="str">
        <f>IF($L101="","",IF(LOG_ST!AE100=1,"OK",IF(LOG_ST!AE100=2,"NR",IF(OR(LOG_ST!AE100=0,LOG_ST!AE100="X"),"N/A"))))</f>
        <v/>
      </c>
      <c r="AB101" s="574" t="str">
        <f>IF($L101="","",IF(LOG_ST!AF100=1,"OK",IF(LOG_ST!AF100=2,"NR",IF(OR(LOG_ST!AF100=0,LOG_ST!AF100="X"),"N/A"))))</f>
        <v/>
      </c>
      <c r="AC101" s="574" t="str">
        <f>IF($L101="","",IF(LOG_ST!AG100=1,"OK",IF(LOG_ST!AG100=2,"NR",IF(OR(LOG_ST!AG100=0,LOG_ST!AG100="X"),"N/A"))))</f>
        <v/>
      </c>
      <c r="AD101" s="574" t="str">
        <f>IF($L101="","",IF(OR(LOG_ST!AH100=0,LOG_ST!AH100="X"),"N/A",LOG_ST!AH100))</f>
        <v/>
      </c>
      <c r="AE101" s="574" t="str">
        <f>IF($L101="","",IF(LOG_ST!AI100=1,"OK",IF(LOG_ST!AI100=2,"NR",IF(OR(LOG_ST!AI100=0,LOG_ST!AI100="X"),"N/A"))))</f>
        <v/>
      </c>
      <c r="AF101" s="574" t="str">
        <f>IF($L101="","",IF(LOG_ST!AJ100=1,"OK",IF(LOG_ST!AJ100=2,"NR",IF(OR(LOG_ST!AJ100=0,LOG_ST!AJ100="X"),"N/A"))))</f>
        <v/>
      </c>
      <c r="AG101" s="574" t="str">
        <f>IF($L101="","",IF(LOG_ST!AK100=1,"OK",IF(LOG_ST!AK100=2,"NR",IF(OR(LOG_ST!AK100=0,LOG_ST!AK100="X"),"N/A"))))</f>
        <v/>
      </c>
      <c r="AH101" s="574" t="str">
        <f>IF($L101="","",IF(LOG_ST!AL100=1,"OK",IF(LOG_ST!AL100=2,"NR",IF(OR(LOG_ST!AL100=0,LOG_ST!AL100="X"),"N/A"))))</f>
        <v/>
      </c>
      <c r="AI101" s="574" t="str">
        <f>IF($L101="","",IF(LOG_ST!AM100=1,"OK",IF(LOG_ST!AM100=2,"NR",IF(OR(LOG_ST!AM100=0,LOG_ST!AM100="X"),"N/A"))))</f>
        <v/>
      </c>
      <c r="AJ101" s="574" t="str">
        <f>IF($L101="","",IF(LOG_ST!AN100=1,"OK",IF(LOG_ST!AN100=2,"NR",IF(OR(LOG_ST!AN100=0,LOG_ST!AN100="X"),"N/A"))))</f>
        <v/>
      </c>
      <c r="AK101" s="574" t="str">
        <f>IF($L101="","",IF(LOG_ST!AO100=1,"OK",IF(LOG_ST!AO100=2,"NR",IF(OR(LOG_ST!AO100=0,LOG_ST!AO100="X"),"N/A"))))</f>
        <v/>
      </c>
      <c r="AL101" s="574" t="str">
        <f>IF($L101="","",IF(LOG_ST!AP100=1,"OK",IF(LOG_ST!AP100=2,"NR",IF(OR(LOG_ST!AP100=0,LOG_ST!AP100="X"),"N/A"))))</f>
        <v/>
      </c>
      <c r="AM101" s="574" t="str">
        <f>IF($L101="","",IF(LOG_ST!AQ100=1,"OK",IF(LOG_ST!AQ100=2,"NR",IF(OR(LOG_ST!AQ100=0,LOG_ST!AQ100="X"),"N/A"))))</f>
        <v/>
      </c>
      <c r="AN101" s="550" t="str">
        <f t="shared" si="1"/>
        <v/>
      </c>
    </row>
    <row r="102" spans="2:40" x14ac:dyDescent="0.25">
      <c r="B102" s="551" t="str">
        <f>IF(LOG_ST!F101="","",VLOOKUP(LOG_ST!F101,DATA_BASE!$A$46:$C$57,2,FALSE))</f>
        <v/>
      </c>
      <c r="C102" s="570" t="str">
        <f>IF(LOG_ST!G101="","",VLOOKUP(LOG_ST!G101,DATA_HDG,2,FALSE))</f>
        <v/>
      </c>
      <c r="D102" s="571" t="str">
        <f>IF(LOG_ST!H101="","",LOG_ST!H101)</f>
        <v/>
      </c>
      <c r="E102" s="570" t="str">
        <f>IF(LOG_ST!I101="","",VLOOKUP(LOG_ST!I101,DATA_COP,2,FALSE))</f>
        <v/>
      </c>
      <c r="F102" s="573" t="str">
        <f>IF(LOG_ST!J101="","",LOG_ST!J101)</f>
        <v/>
      </c>
      <c r="G102" s="570" t="str">
        <f>IF(LOG_ST!K101="","",VLOOKUP(LOG_ST!K101,DATA_SCIES,2,FALSE))</f>
        <v/>
      </c>
      <c r="H102" s="570" t="str">
        <f>IF(LOG_ST!L101="","",VLOOKUP(LOG_ST!L101,DATA_ST!$U$7:$V$64,2,FALSE))</f>
        <v/>
      </c>
      <c r="I102" s="570" t="str">
        <f>IF(LOG_ST!M101="","",LOG_ST!M101)</f>
        <v/>
      </c>
      <c r="J102" s="570" t="str">
        <f>IF(LOG_ST!N101="","",LOG_ST!N101)</f>
        <v/>
      </c>
      <c r="K102" s="573" t="str">
        <f>IF(LOG_ST!O101="","",LOG_ST!O101)</f>
        <v/>
      </c>
      <c r="L102" s="573" t="str">
        <f>IF(LOG_ST!P101="","",LOG_ST!P101)</f>
        <v/>
      </c>
      <c r="M102" s="574" t="str">
        <f>IF($L102="","",IF(LOG_ST!Q101=1,"OK",IF(LOG_ST!Q101=2,"NR",IF(OR(LOG_ST!Q101=0,LOG_ST!Q101="X"),"N/A"))))</f>
        <v/>
      </c>
      <c r="N102" s="574" t="str">
        <f>IF($L102="","",IF(LOG_ST!R101=1,"OK",IF(LOG_ST!R101=2,"NR",IF(OR(LOG_ST!R101=0,LOG_ST!R101="X"),"N/A"))))</f>
        <v/>
      </c>
      <c r="O102" s="574" t="str">
        <f>IF($L102="","",IF(LOG_ST!S101=1,"OK",IF(LOG_ST!S101=2,"NR",IF(OR(LOG_ST!S101=0,LOG_ST!S101="X"),"N/A"))))</f>
        <v/>
      </c>
      <c r="P102" s="574" t="str">
        <f>IF($L102="","",IF(LOG_ST!T101=1,"OK",IF(LOG_ST!T101=2,"NR",IF(OR(LOG_ST!T101=0,LOG_ST!T101="X"),"N/A"))))</f>
        <v/>
      </c>
      <c r="Q102" s="574" t="str">
        <f>IF($L102="","",IF(LOG_ST!U101=1,"OK",IF(LOG_ST!U101=2,"NR",IF(OR(LOG_ST!U101=0,LOG_ST!U101="X"),"N/A"))))</f>
        <v/>
      </c>
      <c r="R102" s="574" t="str">
        <f>IF($L102="","",IF(LOG_ST!V101=1,"OK",IF(LOG_ST!V101=2,"NR",IF(OR(LOG_ST!V101=0,LOG_ST!V101="X"),"N/A"))))</f>
        <v/>
      </c>
      <c r="S102" s="574" t="str">
        <f>IF($L102="","",IF(LOG_ST!W101=1,"OK",IF(LOG_ST!W101=2,"NR",IF(OR(LOG_ST!W101=0,LOG_ST!W101="X"),"N/A"))))</f>
        <v/>
      </c>
      <c r="T102" s="574" t="str">
        <f>IF($L102="","",IF(LOG_ST!X101=1,"OK",IF(LOG_ST!X101=2,"NR",IF(OR(LOG_ST!X101=0,LOG_ST!X101="X"),"N/A"))))</f>
        <v/>
      </c>
      <c r="U102" s="574" t="str">
        <f>IF($L102="","",IF(LOG_ST!Y101=1,"OK",IF(LOG_ST!Y101=2,"NR",IF(OR(LOG_ST!Y101=0,LOG_ST!Y101="X"),"N/A"))))</f>
        <v/>
      </c>
      <c r="V102" s="574" t="str">
        <f>IF($L102="","",IF(LOG_ST!Z101=1,"OK",IF(LOG_ST!Z101=2,"NR",IF(OR(LOG_ST!Z101=0,LOG_ST!Z101="X"),"N/A"))))</f>
        <v/>
      </c>
      <c r="W102" s="574" t="str">
        <f>IF($L102="","",IF(LOG_ST!AA101=1,"OK",IF(LOG_ST!AA101=2,"NR",IF(OR(LOG_ST!AA101=0,LOG_ST!AA101="X"),"N/A"))))</f>
        <v/>
      </c>
      <c r="X102" s="574" t="str">
        <f>IF($L102="","",IF(LOG_ST!AB101=1,"OK",IF(LOG_ST!AB101=2,"NR",IF(OR(LOG_ST!AB101=0,LOG_ST!AB101="X"),"N/A"))))</f>
        <v/>
      </c>
      <c r="Y102" s="574" t="str">
        <f>IF($L102="","",IF(LOG_ST!AC101=1,"OK",IF(LOG_ST!AC101=2,"NR",IF(OR(LOG_ST!AC101=0,LOG_ST!AC101="X"),"N/A"))))</f>
        <v/>
      </c>
      <c r="Z102" s="574" t="str">
        <f>IF($L102="","",IF(OR(LOG_ST!AD101=0,LOG_ST!AD101="X"),"N/A",LOG_ST!AD101))</f>
        <v/>
      </c>
      <c r="AA102" s="574" t="str">
        <f>IF($L102="","",IF(LOG_ST!AE101=1,"OK",IF(LOG_ST!AE101=2,"NR",IF(OR(LOG_ST!AE101=0,LOG_ST!AE101="X"),"N/A"))))</f>
        <v/>
      </c>
      <c r="AB102" s="574" t="str">
        <f>IF($L102="","",IF(LOG_ST!AF101=1,"OK",IF(LOG_ST!AF101=2,"NR",IF(OR(LOG_ST!AF101=0,LOG_ST!AF101="X"),"N/A"))))</f>
        <v/>
      </c>
      <c r="AC102" s="574" t="str">
        <f>IF($L102="","",IF(LOG_ST!AG101=1,"OK",IF(LOG_ST!AG101=2,"NR",IF(OR(LOG_ST!AG101=0,LOG_ST!AG101="X"),"N/A"))))</f>
        <v/>
      </c>
      <c r="AD102" s="574" t="str">
        <f>IF($L102="","",IF(OR(LOG_ST!AH101=0,LOG_ST!AH101="X"),"N/A",LOG_ST!AH101))</f>
        <v/>
      </c>
      <c r="AE102" s="574" t="str">
        <f>IF($L102="","",IF(LOG_ST!AI101=1,"OK",IF(LOG_ST!AI101=2,"NR",IF(OR(LOG_ST!AI101=0,LOG_ST!AI101="X"),"N/A"))))</f>
        <v/>
      </c>
      <c r="AF102" s="574" t="str">
        <f>IF($L102="","",IF(LOG_ST!AJ101=1,"OK",IF(LOG_ST!AJ101=2,"NR",IF(OR(LOG_ST!AJ101=0,LOG_ST!AJ101="X"),"N/A"))))</f>
        <v/>
      </c>
      <c r="AG102" s="574" t="str">
        <f>IF($L102="","",IF(LOG_ST!AK101=1,"OK",IF(LOG_ST!AK101=2,"NR",IF(OR(LOG_ST!AK101=0,LOG_ST!AK101="X"),"N/A"))))</f>
        <v/>
      </c>
      <c r="AH102" s="574" t="str">
        <f>IF($L102="","",IF(LOG_ST!AL101=1,"OK",IF(LOG_ST!AL101=2,"NR",IF(OR(LOG_ST!AL101=0,LOG_ST!AL101="X"),"N/A"))))</f>
        <v/>
      </c>
      <c r="AI102" s="574" t="str">
        <f>IF($L102="","",IF(LOG_ST!AM101=1,"OK",IF(LOG_ST!AM101=2,"NR",IF(OR(LOG_ST!AM101=0,LOG_ST!AM101="X"),"N/A"))))</f>
        <v/>
      </c>
      <c r="AJ102" s="574" t="str">
        <f>IF($L102="","",IF(LOG_ST!AN101=1,"OK",IF(LOG_ST!AN101=2,"NR",IF(OR(LOG_ST!AN101=0,LOG_ST!AN101="X"),"N/A"))))</f>
        <v/>
      </c>
      <c r="AK102" s="574" t="str">
        <f>IF($L102="","",IF(LOG_ST!AO101=1,"OK",IF(LOG_ST!AO101=2,"NR",IF(OR(LOG_ST!AO101=0,LOG_ST!AO101="X"),"N/A"))))</f>
        <v/>
      </c>
      <c r="AL102" s="574" t="str">
        <f>IF($L102="","",IF(LOG_ST!AP101=1,"OK",IF(LOG_ST!AP101=2,"NR",IF(OR(LOG_ST!AP101=0,LOG_ST!AP101="X"),"N/A"))))</f>
        <v/>
      </c>
      <c r="AM102" s="574" t="str">
        <f>IF($L102="","",IF(LOG_ST!AQ101=1,"OK",IF(LOG_ST!AQ101=2,"NR",IF(OR(LOG_ST!AQ101=0,LOG_ST!AQ101="X"),"N/A"))))</f>
        <v/>
      </c>
      <c r="AN102" s="550" t="str">
        <f t="shared" si="1"/>
        <v/>
      </c>
    </row>
    <row r="103" spans="2:40" x14ac:dyDescent="0.25">
      <c r="B103" s="551" t="str">
        <f>IF(LOG_ST!F102="","",VLOOKUP(LOG_ST!F102,DATA_BASE!$A$46:$C$57,2,FALSE))</f>
        <v/>
      </c>
      <c r="C103" s="570" t="str">
        <f>IF(LOG_ST!G102="","",VLOOKUP(LOG_ST!G102,DATA_HDG,2,FALSE))</f>
        <v/>
      </c>
      <c r="D103" s="571" t="str">
        <f>IF(LOG_ST!H102="","",LOG_ST!H102)</f>
        <v/>
      </c>
      <c r="E103" s="570" t="str">
        <f>IF(LOG_ST!I102="","",VLOOKUP(LOG_ST!I102,DATA_COP,2,FALSE))</f>
        <v/>
      </c>
      <c r="F103" s="573" t="str">
        <f>IF(LOG_ST!J102="","",LOG_ST!J102)</f>
        <v/>
      </c>
      <c r="G103" s="570" t="str">
        <f>IF(LOG_ST!K102="","",VLOOKUP(LOG_ST!K102,DATA_SCIES,2,FALSE))</f>
        <v/>
      </c>
      <c r="H103" s="570" t="str">
        <f>IF(LOG_ST!L102="","",VLOOKUP(LOG_ST!L102,DATA_ST!$U$7:$V$64,2,FALSE))</f>
        <v/>
      </c>
      <c r="I103" s="570" t="str">
        <f>IF(LOG_ST!M102="","",LOG_ST!M102)</f>
        <v/>
      </c>
      <c r="J103" s="570" t="str">
        <f>IF(LOG_ST!N102="","",LOG_ST!N102)</f>
        <v/>
      </c>
      <c r="K103" s="573" t="str">
        <f>IF(LOG_ST!O102="","",LOG_ST!O102)</f>
        <v/>
      </c>
      <c r="L103" s="573" t="str">
        <f>IF(LOG_ST!P102="","",LOG_ST!P102)</f>
        <v/>
      </c>
      <c r="M103" s="574" t="str">
        <f>IF($L103="","",IF(LOG_ST!Q102=1,"OK",IF(LOG_ST!Q102=2,"NR",IF(OR(LOG_ST!Q102=0,LOG_ST!Q102="X"),"N/A"))))</f>
        <v/>
      </c>
      <c r="N103" s="574" t="str">
        <f>IF($L103="","",IF(LOG_ST!R102=1,"OK",IF(LOG_ST!R102=2,"NR",IF(OR(LOG_ST!R102=0,LOG_ST!R102="X"),"N/A"))))</f>
        <v/>
      </c>
      <c r="O103" s="574" t="str">
        <f>IF($L103="","",IF(LOG_ST!S102=1,"OK",IF(LOG_ST!S102=2,"NR",IF(OR(LOG_ST!S102=0,LOG_ST!S102="X"),"N/A"))))</f>
        <v/>
      </c>
      <c r="P103" s="574" t="str">
        <f>IF($L103="","",IF(LOG_ST!T102=1,"OK",IF(LOG_ST!T102=2,"NR",IF(OR(LOG_ST!T102=0,LOG_ST!T102="X"),"N/A"))))</f>
        <v/>
      </c>
      <c r="Q103" s="574" t="str">
        <f>IF($L103="","",IF(LOG_ST!U102=1,"OK",IF(LOG_ST!U102=2,"NR",IF(OR(LOG_ST!U102=0,LOG_ST!U102="X"),"N/A"))))</f>
        <v/>
      </c>
      <c r="R103" s="574" t="str">
        <f>IF($L103="","",IF(LOG_ST!V102=1,"OK",IF(LOG_ST!V102=2,"NR",IF(OR(LOG_ST!V102=0,LOG_ST!V102="X"),"N/A"))))</f>
        <v/>
      </c>
      <c r="S103" s="574" t="str">
        <f>IF($L103="","",IF(LOG_ST!W102=1,"OK",IF(LOG_ST!W102=2,"NR",IF(OR(LOG_ST!W102=0,LOG_ST!W102="X"),"N/A"))))</f>
        <v/>
      </c>
      <c r="T103" s="574" t="str">
        <f>IF($L103="","",IF(LOG_ST!X102=1,"OK",IF(LOG_ST!X102=2,"NR",IF(OR(LOG_ST!X102=0,LOG_ST!X102="X"),"N/A"))))</f>
        <v/>
      </c>
      <c r="U103" s="574" t="str">
        <f>IF($L103="","",IF(LOG_ST!Y102=1,"OK",IF(LOG_ST!Y102=2,"NR",IF(OR(LOG_ST!Y102=0,LOG_ST!Y102="X"),"N/A"))))</f>
        <v/>
      </c>
      <c r="V103" s="574" t="str">
        <f>IF($L103="","",IF(LOG_ST!Z102=1,"OK",IF(LOG_ST!Z102=2,"NR",IF(OR(LOG_ST!Z102=0,LOG_ST!Z102="X"),"N/A"))))</f>
        <v/>
      </c>
      <c r="W103" s="574" t="str">
        <f>IF($L103="","",IF(LOG_ST!AA102=1,"OK",IF(LOG_ST!AA102=2,"NR",IF(OR(LOG_ST!AA102=0,LOG_ST!AA102="X"),"N/A"))))</f>
        <v/>
      </c>
      <c r="X103" s="574" t="str">
        <f>IF($L103="","",IF(LOG_ST!AB102=1,"OK",IF(LOG_ST!AB102=2,"NR",IF(OR(LOG_ST!AB102=0,LOG_ST!AB102="X"),"N/A"))))</f>
        <v/>
      </c>
      <c r="Y103" s="574" t="str">
        <f>IF($L103="","",IF(LOG_ST!AC102=1,"OK",IF(LOG_ST!AC102=2,"NR",IF(OR(LOG_ST!AC102=0,LOG_ST!AC102="X"),"N/A"))))</f>
        <v/>
      </c>
      <c r="Z103" s="574" t="str">
        <f>IF($L103="","",IF(OR(LOG_ST!AD102=0,LOG_ST!AD102="X"),"N/A",LOG_ST!AD102))</f>
        <v/>
      </c>
      <c r="AA103" s="574" t="str">
        <f>IF($L103="","",IF(LOG_ST!AE102=1,"OK",IF(LOG_ST!AE102=2,"NR",IF(OR(LOG_ST!AE102=0,LOG_ST!AE102="X"),"N/A"))))</f>
        <v/>
      </c>
      <c r="AB103" s="574" t="str">
        <f>IF($L103="","",IF(LOG_ST!AF102=1,"OK",IF(LOG_ST!AF102=2,"NR",IF(OR(LOG_ST!AF102=0,LOG_ST!AF102="X"),"N/A"))))</f>
        <v/>
      </c>
      <c r="AC103" s="574" t="str">
        <f>IF($L103="","",IF(LOG_ST!AG102=1,"OK",IF(LOG_ST!AG102=2,"NR",IF(OR(LOG_ST!AG102=0,LOG_ST!AG102="X"),"N/A"))))</f>
        <v/>
      </c>
      <c r="AD103" s="574" t="str">
        <f>IF($L103="","",IF(OR(LOG_ST!AH102=0,LOG_ST!AH102="X"),"N/A",LOG_ST!AH102))</f>
        <v/>
      </c>
      <c r="AE103" s="574" t="str">
        <f>IF($L103="","",IF(LOG_ST!AI102=1,"OK",IF(LOG_ST!AI102=2,"NR",IF(OR(LOG_ST!AI102=0,LOG_ST!AI102="X"),"N/A"))))</f>
        <v/>
      </c>
      <c r="AF103" s="574" t="str">
        <f>IF($L103="","",IF(LOG_ST!AJ102=1,"OK",IF(LOG_ST!AJ102=2,"NR",IF(OR(LOG_ST!AJ102=0,LOG_ST!AJ102="X"),"N/A"))))</f>
        <v/>
      </c>
      <c r="AG103" s="574" t="str">
        <f>IF($L103="","",IF(LOG_ST!AK102=1,"OK",IF(LOG_ST!AK102=2,"NR",IF(OR(LOG_ST!AK102=0,LOG_ST!AK102="X"),"N/A"))))</f>
        <v/>
      </c>
      <c r="AH103" s="574" t="str">
        <f>IF($L103="","",IF(LOG_ST!AL102=1,"OK",IF(LOG_ST!AL102=2,"NR",IF(OR(LOG_ST!AL102=0,LOG_ST!AL102="X"),"N/A"))))</f>
        <v/>
      </c>
      <c r="AI103" s="574" t="str">
        <f>IF($L103="","",IF(LOG_ST!AM102=1,"OK",IF(LOG_ST!AM102=2,"NR",IF(OR(LOG_ST!AM102=0,LOG_ST!AM102="X"),"N/A"))))</f>
        <v/>
      </c>
      <c r="AJ103" s="574" t="str">
        <f>IF($L103="","",IF(LOG_ST!AN102=1,"OK",IF(LOG_ST!AN102=2,"NR",IF(OR(LOG_ST!AN102=0,LOG_ST!AN102="X"),"N/A"))))</f>
        <v/>
      </c>
      <c r="AK103" s="574" t="str">
        <f>IF($L103="","",IF(LOG_ST!AO102=1,"OK",IF(LOG_ST!AO102=2,"NR",IF(OR(LOG_ST!AO102=0,LOG_ST!AO102="X"),"N/A"))))</f>
        <v/>
      </c>
      <c r="AL103" s="574" t="str">
        <f>IF($L103="","",IF(LOG_ST!AP102=1,"OK",IF(LOG_ST!AP102=2,"NR",IF(OR(LOG_ST!AP102=0,LOG_ST!AP102="X"),"N/A"))))</f>
        <v/>
      </c>
      <c r="AM103" s="574" t="str">
        <f>IF($L103="","",IF(LOG_ST!AQ102=1,"OK",IF(LOG_ST!AQ102=2,"NR",IF(OR(LOG_ST!AQ102=0,LOG_ST!AQ102="X"),"N/A"))))</f>
        <v/>
      </c>
      <c r="AN103" s="550" t="str">
        <f t="shared" si="1"/>
        <v/>
      </c>
    </row>
    <row r="104" spans="2:40" x14ac:dyDescent="0.25">
      <c r="B104" s="551" t="str">
        <f>IF(LOG_ST!F103="","",VLOOKUP(LOG_ST!F103,DATA_BASE!$A$46:$C$57,2,FALSE))</f>
        <v/>
      </c>
      <c r="C104" s="570" t="str">
        <f>IF(LOG_ST!G103="","",VLOOKUP(LOG_ST!G103,DATA_HDG,2,FALSE))</f>
        <v/>
      </c>
      <c r="D104" s="571" t="str">
        <f>IF(LOG_ST!H103="","",LOG_ST!H103)</f>
        <v/>
      </c>
      <c r="E104" s="570" t="str">
        <f>IF(LOG_ST!I103="","",VLOOKUP(LOG_ST!I103,DATA_COP,2,FALSE))</f>
        <v/>
      </c>
      <c r="F104" s="573" t="str">
        <f>IF(LOG_ST!J103="","",LOG_ST!J103)</f>
        <v/>
      </c>
      <c r="G104" s="570" t="str">
        <f>IF(LOG_ST!K103="","",VLOOKUP(LOG_ST!K103,DATA_SCIES,2,FALSE))</f>
        <v/>
      </c>
      <c r="H104" s="570" t="str">
        <f>IF(LOG_ST!L103="","",VLOOKUP(LOG_ST!L103,DATA_ST!$U$7:$V$64,2,FALSE))</f>
        <v/>
      </c>
      <c r="I104" s="570" t="str">
        <f>IF(LOG_ST!M103="","",LOG_ST!M103)</f>
        <v/>
      </c>
      <c r="J104" s="570" t="str">
        <f>IF(LOG_ST!N103="","",LOG_ST!N103)</f>
        <v/>
      </c>
      <c r="K104" s="573" t="str">
        <f>IF(LOG_ST!O103="","",LOG_ST!O103)</f>
        <v/>
      </c>
      <c r="L104" s="573" t="str">
        <f>IF(LOG_ST!P103="","",LOG_ST!P103)</f>
        <v/>
      </c>
      <c r="M104" s="574" t="str">
        <f>IF($L104="","",IF(LOG_ST!Q103=1,"OK",IF(LOG_ST!Q103=2,"NR",IF(OR(LOG_ST!Q103=0,LOG_ST!Q103="X"),"N/A"))))</f>
        <v/>
      </c>
      <c r="N104" s="574" t="str">
        <f>IF($L104="","",IF(LOG_ST!R103=1,"OK",IF(LOG_ST!R103=2,"NR",IF(OR(LOG_ST!R103=0,LOG_ST!R103="X"),"N/A"))))</f>
        <v/>
      </c>
      <c r="O104" s="574" t="str">
        <f>IF($L104="","",IF(LOG_ST!S103=1,"OK",IF(LOG_ST!S103=2,"NR",IF(OR(LOG_ST!S103=0,LOG_ST!S103="X"),"N/A"))))</f>
        <v/>
      </c>
      <c r="P104" s="574" t="str">
        <f>IF($L104="","",IF(LOG_ST!T103=1,"OK",IF(LOG_ST!T103=2,"NR",IF(OR(LOG_ST!T103=0,LOG_ST!T103="X"),"N/A"))))</f>
        <v/>
      </c>
      <c r="Q104" s="574" t="str">
        <f>IF($L104="","",IF(LOG_ST!U103=1,"OK",IF(LOG_ST!U103=2,"NR",IF(OR(LOG_ST!U103=0,LOG_ST!U103="X"),"N/A"))))</f>
        <v/>
      </c>
      <c r="R104" s="574" t="str">
        <f>IF($L104="","",IF(LOG_ST!V103=1,"OK",IF(LOG_ST!V103=2,"NR",IF(OR(LOG_ST!V103=0,LOG_ST!V103="X"),"N/A"))))</f>
        <v/>
      </c>
      <c r="S104" s="574" t="str">
        <f>IF($L104="","",IF(LOG_ST!W103=1,"OK",IF(LOG_ST!W103=2,"NR",IF(OR(LOG_ST!W103=0,LOG_ST!W103="X"),"N/A"))))</f>
        <v/>
      </c>
      <c r="T104" s="574" t="str">
        <f>IF($L104="","",IF(LOG_ST!X103=1,"OK",IF(LOG_ST!X103=2,"NR",IF(OR(LOG_ST!X103=0,LOG_ST!X103="X"),"N/A"))))</f>
        <v/>
      </c>
      <c r="U104" s="574" t="str">
        <f>IF($L104="","",IF(LOG_ST!Y103=1,"OK",IF(LOG_ST!Y103=2,"NR",IF(OR(LOG_ST!Y103=0,LOG_ST!Y103="X"),"N/A"))))</f>
        <v/>
      </c>
      <c r="V104" s="574" t="str">
        <f>IF($L104="","",IF(LOG_ST!Z103=1,"OK",IF(LOG_ST!Z103=2,"NR",IF(OR(LOG_ST!Z103=0,LOG_ST!Z103="X"),"N/A"))))</f>
        <v/>
      </c>
      <c r="W104" s="574" t="str">
        <f>IF($L104="","",IF(LOG_ST!AA103=1,"OK",IF(LOG_ST!AA103=2,"NR",IF(OR(LOG_ST!AA103=0,LOG_ST!AA103="X"),"N/A"))))</f>
        <v/>
      </c>
      <c r="X104" s="574" t="str">
        <f>IF($L104="","",IF(LOG_ST!AB103=1,"OK",IF(LOG_ST!AB103=2,"NR",IF(OR(LOG_ST!AB103=0,LOG_ST!AB103="X"),"N/A"))))</f>
        <v/>
      </c>
      <c r="Y104" s="574" t="str">
        <f>IF($L104="","",IF(LOG_ST!AC103=1,"OK",IF(LOG_ST!AC103=2,"NR",IF(OR(LOG_ST!AC103=0,LOG_ST!AC103="X"),"N/A"))))</f>
        <v/>
      </c>
      <c r="Z104" s="574" t="str">
        <f>IF($L104="","",IF(OR(LOG_ST!AD103=0,LOG_ST!AD103="X"),"N/A",LOG_ST!AD103))</f>
        <v/>
      </c>
      <c r="AA104" s="574" t="str">
        <f>IF($L104="","",IF(LOG_ST!AE103=1,"OK",IF(LOG_ST!AE103=2,"NR",IF(OR(LOG_ST!AE103=0,LOG_ST!AE103="X"),"N/A"))))</f>
        <v/>
      </c>
      <c r="AB104" s="574" t="str">
        <f>IF($L104="","",IF(LOG_ST!AF103=1,"OK",IF(LOG_ST!AF103=2,"NR",IF(OR(LOG_ST!AF103=0,LOG_ST!AF103="X"),"N/A"))))</f>
        <v/>
      </c>
      <c r="AC104" s="574" t="str">
        <f>IF($L104="","",IF(LOG_ST!AG103=1,"OK",IF(LOG_ST!AG103=2,"NR",IF(OR(LOG_ST!AG103=0,LOG_ST!AG103="X"),"N/A"))))</f>
        <v/>
      </c>
      <c r="AD104" s="574" t="str">
        <f>IF($L104="","",IF(OR(LOG_ST!AH103=0,LOG_ST!AH103="X"),"N/A",LOG_ST!AH103))</f>
        <v/>
      </c>
      <c r="AE104" s="574" t="str">
        <f>IF($L104="","",IF(LOG_ST!AI103=1,"OK",IF(LOG_ST!AI103=2,"NR",IF(OR(LOG_ST!AI103=0,LOG_ST!AI103="X"),"N/A"))))</f>
        <v/>
      </c>
      <c r="AF104" s="574" t="str">
        <f>IF($L104="","",IF(LOG_ST!AJ103=1,"OK",IF(LOG_ST!AJ103=2,"NR",IF(OR(LOG_ST!AJ103=0,LOG_ST!AJ103="X"),"N/A"))))</f>
        <v/>
      </c>
      <c r="AG104" s="574" t="str">
        <f>IF($L104="","",IF(LOG_ST!AK103=1,"OK",IF(LOG_ST!AK103=2,"NR",IF(OR(LOG_ST!AK103=0,LOG_ST!AK103="X"),"N/A"))))</f>
        <v/>
      </c>
      <c r="AH104" s="574" t="str">
        <f>IF($L104="","",IF(LOG_ST!AL103=1,"OK",IF(LOG_ST!AL103=2,"NR",IF(OR(LOG_ST!AL103=0,LOG_ST!AL103="X"),"N/A"))))</f>
        <v/>
      </c>
      <c r="AI104" s="574" t="str">
        <f>IF($L104="","",IF(LOG_ST!AM103=1,"OK",IF(LOG_ST!AM103=2,"NR",IF(OR(LOG_ST!AM103=0,LOG_ST!AM103="X"),"N/A"))))</f>
        <v/>
      </c>
      <c r="AJ104" s="574" t="str">
        <f>IF($L104="","",IF(LOG_ST!AN103=1,"OK",IF(LOG_ST!AN103=2,"NR",IF(OR(LOG_ST!AN103=0,LOG_ST!AN103="X"),"N/A"))))</f>
        <v/>
      </c>
      <c r="AK104" s="574" t="str">
        <f>IF($L104="","",IF(LOG_ST!AO103=1,"OK",IF(LOG_ST!AO103=2,"NR",IF(OR(LOG_ST!AO103=0,LOG_ST!AO103="X"),"N/A"))))</f>
        <v/>
      </c>
      <c r="AL104" s="574" t="str">
        <f>IF($L104="","",IF(LOG_ST!AP103=1,"OK",IF(LOG_ST!AP103=2,"NR",IF(OR(LOG_ST!AP103=0,LOG_ST!AP103="X"),"N/A"))))</f>
        <v/>
      </c>
      <c r="AM104" s="574" t="str">
        <f>IF($L104="","",IF(LOG_ST!AQ103=1,"OK",IF(LOG_ST!AQ103=2,"NR",IF(OR(LOG_ST!AQ103=0,LOG_ST!AQ103="X"),"N/A"))))</f>
        <v/>
      </c>
      <c r="AN104" s="550" t="str">
        <f t="shared" si="1"/>
        <v/>
      </c>
    </row>
    <row r="105" spans="2:40" x14ac:dyDescent="0.25">
      <c r="B105" s="551" t="str">
        <f>IF(LOG_ST!F104="","",VLOOKUP(LOG_ST!F104,DATA_BASE!$A$46:$C$57,2,FALSE))</f>
        <v/>
      </c>
      <c r="C105" s="570" t="str">
        <f>IF(LOG_ST!G104="","",VLOOKUP(LOG_ST!G104,DATA_HDG,2,FALSE))</f>
        <v/>
      </c>
      <c r="D105" s="571" t="str">
        <f>IF(LOG_ST!H104="","",LOG_ST!H104)</f>
        <v/>
      </c>
      <c r="E105" s="570" t="str">
        <f>IF(LOG_ST!I104="","",VLOOKUP(LOG_ST!I104,DATA_COP,2,FALSE))</f>
        <v/>
      </c>
      <c r="F105" s="573" t="str">
        <f>IF(LOG_ST!J104="","",LOG_ST!J104)</f>
        <v/>
      </c>
      <c r="G105" s="570" t="str">
        <f>IF(LOG_ST!K104="","",VLOOKUP(LOG_ST!K104,DATA_SCIES,2,FALSE))</f>
        <v/>
      </c>
      <c r="H105" s="570" t="str">
        <f>IF(LOG_ST!L104="","",VLOOKUP(LOG_ST!L104,DATA_ST!$U$7:$V$64,2,FALSE))</f>
        <v/>
      </c>
      <c r="I105" s="570" t="str">
        <f>IF(LOG_ST!M104="","",LOG_ST!M104)</f>
        <v/>
      </c>
      <c r="J105" s="570" t="str">
        <f>IF(LOG_ST!N104="","",LOG_ST!N104)</f>
        <v/>
      </c>
      <c r="K105" s="573" t="str">
        <f>IF(LOG_ST!O104="","",LOG_ST!O104)</f>
        <v/>
      </c>
      <c r="L105" s="573" t="str">
        <f>IF(LOG_ST!P104="","",LOG_ST!P104)</f>
        <v/>
      </c>
      <c r="M105" s="574" t="str">
        <f>IF($L105="","",IF(LOG_ST!Q104=1,"OK",IF(LOG_ST!Q104=2,"NR",IF(OR(LOG_ST!Q104=0,LOG_ST!Q104="X"),"N/A"))))</f>
        <v/>
      </c>
      <c r="N105" s="574" t="str">
        <f>IF($L105="","",IF(LOG_ST!R104=1,"OK",IF(LOG_ST!R104=2,"NR",IF(OR(LOG_ST!R104=0,LOG_ST!R104="X"),"N/A"))))</f>
        <v/>
      </c>
      <c r="O105" s="574" t="str">
        <f>IF($L105="","",IF(LOG_ST!S104=1,"OK",IF(LOG_ST!S104=2,"NR",IF(OR(LOG_ST!S104=0,LOG_ST!S104="X"),"N/A"))))</f>
        <v/>
      </c>
      <c r="P105" s="574" t="str">
        <f>IF($L105="","",IF(LOG_ST!T104=1,"OK",IF(LOG_ST!T104=2,"NR",IF(OR(LOG_ST!T104=0,LOG_ST!T104="X"),"N/A"))))</f>
        <v/>
      </c>
      <c r="Q105" s="574" t="str">
        <f>IF($L105="","",IF(LOG_ST!U104=1,"OK",IF(LOG_ST!U104=2,"NR",IF(OR(LOG_ST!U104=0,LOG_ST!U104="X"),"N/A"))))</f>
        <v/>
      </c>
      <c r="R105" s="574" t="str">
        <f>IF($L105="","",IF(LOG_ST!V104=1,"OK",IF(LOG_ST!V104=2,"NR",IF(OR(LOG_ST!V104=0,LOG_ST!V104="X"),"N/A"))))</f>
        <v/>
      </c>
      <c r="S105" s="574" t="str">
        <f>IF($L105="","",IF(LOG_ST!W104=1,"OK",IF(LOG_ST!W104=2,"NR",IF(OR(LOG_ST!W104=0,LOG_ST!W104="X"),"N/A"))))</f>
        <v/>
      </c>
      <c r="T105" s="574" t="str">
        <f>IF($L105="","",IF(LOG_ST!X104=1,"OK",IF(LOG_ST!X104=2,"NR",IF(OR(LOG_ST!X104=0,LOG_ST!X104="X"),"N/A"))))</f>
        <v/>
      </c>
      <c r="U105" s="574" t="str">
        <f>IF($L105="","",IF(LOG_ST!Y104=1,"OK",IF(LOG_ST!Y104=2,"NR",IF(OR(LOG_ST!Y104=0,LOG_ST!Y104="X"),"N/A"))))</f>
        <v/>
      </c>
      <c r="V105" s="574" t="str">
        <f>IF($L105="","",IF(LOG_ST!Z104=1,"OK",IF(LOG_ST!Z104=2,"NR",IF(OR(LOG_ST!Z104=0,LOG_ST!Z104="X"),"N/A"))))</f>
        <v/>
      </c>
      <c r="W105" s="574" t="str">
        <f>IF($L105="","",IF(LOG_ST!AA104=1,"OK",IF(LOG_ST!AA104=2,"NR",IF(OR(LOG_ST!AA104=0,LOG_ST!AA104="X"),"N/A"))))</f>
        <v/>
      </c>
      <c r="X105" s="574" t="str">
        <f>IF($L105="","",IF(LOG_ST!AB104=1,"OK",IF(LOG_ST!AB104=2,"NR",IF(OR(LOG_ST!AB104=0,LOG_ST!AB104="X"),"N/A"))))</f>
        <v/>
      </c>
      <c r="Y105" s="574" t="str">
        <f>IF($L105="","",IF(LOG_ST!AC104=1,"OK",IF(LOG_ST!AC104=2,"NR",IF(OR(LOG_ST!AC104=0,LOG_ST!AC104="X"),"N/A"))))</f>
        <v/>
      </c>
      <c r="Z105" s="574" t="str">
        <f>IF($L105="","",IF(OR(LOG_ST!AD104=0,LOG_ST!AD104="X"),"N/A",LOG_ST!AD104))</f>
        <v/>
      </c>
      <c r="AA105" s="574" t="str">
        <f>IF($L105="","",IF(LOG_ST!AE104=1,"OK",IF(LOG_ST!AE104=2,"NR",IF(OR(LOG_ST!AE104=0,LOG_ST!AE104="X"),"N/A"))))</f>
        <v/>
      </c>
      <c r="AB105" s="574" t="str">
        <f>IF($L105="","",IF(LOG_ST!AF104=1,"OK",IF(LOG_ST!AF104=2,"NR",IF(OR(LOG_ST!AF104=0,LOG_ST!AF104="X"),"N/A"))))</f>
        <v/>
      </c>
      <c r="AC105" s="574" t="str">
        <f>IF($L105="","",IF(LOG_ST!AG104=1,"OK",IF(LOG_ST!AG104=2,"NR",IF(OR(LOG_ST!AG104=0,LOG_ST!AG104="X"),"N/A"))))</f>
        <v/>
      </c>
      <c r="AD105" s="574" t="str">
        <f>IF($L105="","",IF(OR(LOG_ST!AH104=0,LOG_ST!AH104="X"),"N/A",LOG_ST!AH104))</f>
        <v/>
      </c>
      <c r="AE105" s="574" t="str">
        <f>IF($L105="","",IF(LOG_ST!AI104=1,"OK",IF(LOG_ST!AI104=2,"NR",IF(OR(LOG_ST!AI104=0,LOG_ST!AI104="X"),"N/A"))))</f>
        <v/>
      </c>
      <c r="AF105" s="574" t="str">
        <f>IF($L105="","",IF(LOG_ST!AJ104=1,"OK",IF(LOG_ST!AJ104=2,"NR",IF(OR(LOG_ST!AJ104=0,LOG_ST!AJ104="X"),"N/A"))))</f>
        <v/>
      </c>
      <c r="AG105" s="574" t="str">
        <f>IF($L105="","",IF(LOG_ST!AK104=1,"OK",IF(LOG_ST!AK104=2,"NR",IF(OR(LOG_ST!AK104=0,LOG_ST!AK104="X"),"N/A"))))</f>
        <v/>
      </c>
      <c r="AH105" s="574" t="str">
        <f>IF($L105="","",IF(LOG_ST!AL104=1,"OK",IF(LOG_ST!AL104=2,"NR",IF(OR(LOG_ST!AL104=0,LOG_ST!AL104="X"),"N/A"))))</f>
        <v/>
      </c>
      <c r="AI105" s="574" t="str">
        <f>IF($L105="","",IF(LOG_ST!AM104=1,"OK",IF(LOG_ST!AM104=2,"NR",IF(OR(LOG_ST!AM104=0,LOG_ST!AM104="X"),"N/A"))))</f>
        <v/>
      </c>
      <c r="AJ105" s="574" t="str">
        <f>IF($L105="","",IF(LOG_ST!AN104=1,"OK",IF(LOG_ST!AN104=2,"NR",IF(OR(LOG_ST!AN104=0,LOG_ST!AN104="X"),"N/A"))))</f>
        <v/>
      </c>
      <c r="AK105" s="574" t="str">
        <f>IF($L105="","",IF(LOG_ST!AO104=1,"OK",IF(LOG_ST!AO104=2,"NR",IF(OR(LOG_ST!AO104=0,LOG_ST!AO104="X"),"N/A"))))</f>
        <v/>
      </c>
      <c r="AL105" s="574" t="str">
        <f>IF($L105="","",IF(LOG_ST!AP104=1,"OK",IF(LOG_ST!AP104=2,"NR",IF(OR(LOG_ST!AP104=0,LOG_ST!AP104="X"),"N/A"))))</f>
        <v/>
      </c>
      <c r="AM105" s="574" t="str">
        <f>IF($L105="","",IF(LOG_ST!AQ104=1,"OK",IF(LOG_ST!AQ104=2,"NR",IF(OR(LOG_ST!AQ104=0,LOG_ST!AQ104="X"),"N/A"))))</f>
        <v/>
      </c>
      <c r="AN105" s="550" t="str">
        <f t="shared" si="1"/>
        <v/>
      </c>
    </row>
    <row r="106" spans="2:40" x14ac:dyDescent="0.25">
      <c r="B106" s="551" t="str">
        <f>IF(LOG_ST!F105="","",VLOOKUP(LOG_ST!F105,DATA_BASE!$A$46:$C$57,2,FALSE))</f>
        <v/>
      </c>
      <c r="C106" s="570" t="str">
        <f>IF(LOG_ST!G105="","",VLOOKUP(LOG_ST!G105,DATA_HDG,2,FALSE))</f>
        <v/>
      </c>
      <c r="D106" s="571" t="str">
        <f>IF(LOG_ST!H105="","",LOG_ST!H105)</f>
        <v/>
      </c>
      <c r="E106" s="570" t="str">
        <f>IF(LOG_ST!I105="","",VLOOKUP(LOG_ST!I105,DATA_COP,2,FALSE))</f>
        <v/>
      </c>
      <c r="F106" s="573" t="str">
        <f>IF(LOG_ST!J105="","",LOG_ST!J105)</f>
        <v/>
      </c>
      <c r="G106" s="570" t="str">
        <f>IF(LOG_ST!K105="","",VLOOKUP(LOG_ST!K105,DATA_SCIES,2,FALSE))</f>
        <v/>
      </c>
      <c r="H106" s="570" t="str">
        <f>IF(LOG_ST!L105="","",VLOOKUP(LOG_ST!L105,DATA_ST!$U$7:$V$64,2,FALSE))</f>
        <v/>
      </c>
      <c r="I106" s="570" t="str">
        <f>IF(LOG_ST!M105="","",LOG_ST!M105)</f>
        <v/>
      </c>
      <c r="J106" s="570" t="str">
        <f>IF(LOG_ST!N105="","",LOG_ST!N105)</f>
        <v/>
      </c>
      <c r="K106" s="573" t="str">
        <f>IF(LOG_ST!O105="","",LOG_ST!O105)</f>
        <v/>
      </c>
      <c r="L106" s="573" t="str">
        <f>IF(LOG_ST!P105="","",LOG_ST!P105)</f>
        <v/>
      </c>
      <c r="M106" s="574" t="str">
        <f>IF($L106="","",IF(LOG_ST!Q105=1,"OK",IF(LOG_ST!Q105=2,"NR",IF(OR(LOG_ST!Q105=0,LOG_ST!Q105="X"),"N/A"))))</f>
        <v/>
      </c>
      <c r="N106" s="574" t="str">
        <f>IF($L106="","",IF(LOG_ST!R105=1,"OK",IF(LOG_ST!R105=2,"NR",IF(OR(LOG_ST!R105=0,LOG_ST!R105="X"),"N/A"))))</f>
        <v/>
      </c>
      <c r="O106" s="574" t="str">
        <f>IF($L106="","",IF(LOG_ST!S105=1,"OK",IF(LOG_ST!S105=2,"NR",IF(OR(LOG_ST!S105=0,LOG_ST!S105="X"),"N/A"))))</f>
        <v/>
      </c>
      <c r="P106" s="574" t="str">
        <f>IF($L106="","",IF(LOG_ST!T105=1,"OK",IF(LOG_ST!T105=2,"NR",IF(OR(LOG_ST!T105=0,LOG_ST!T105="X"),"N/A"))))</f>
        <v/>
      </c>
      <c r="Q106" s="574" t="str">
        <f>IF($L106="","",IF(LOG_ST!U105=1,"OK",IF(LOG_ST!U105=2,"NR",IF(OR(LOG_ST!U105=0,LOG_ST!U105="X"),"N/A"))))</f>
        <v/>
      </c>
      <c r="R106" s="574" t="str">
        <f>IF($L106="","",IF(LOG_ST!V105=1,"OK",IF(LOG_ST!V105=2,"NR",IF(OR(LOG_ST!V105=0,LOG_ST!V105="X"),"N/A"))))</f>
        <v/>
      </c>
      <c r="S106" s="574" t="str">
        <f>IF($L106="","",IF(LOG_ST!W105=1,"OK",IF(LOG_ST!W105=2,"NR",IF(OR(LOG_ST!W105=0,LOG_ST!W105="X"),"N/A"))))</f>
        <v/>
      </c>
      <c r="T106" s="574" t="str">
        <f>IF($L106="","",IF(LOG_ST!X105=1,"OK",IF(LOG_ST!X105=2,"NR",IF(OR(LOG_ST!X105=0,LOG_ST!X105="X"),"N/A"))))</f>
        <v/>
      </c>
      <c r="U106" s="574" t="str">
        <f>IF($L106="","",IF(LOG_ST!Y105=1,"OK",IF(LOG_ST!Y105=2,"NR",IF(OR(LOG_ST!Y105=0,LOG_ST!Y105="X"),"N/A"))))</f>
        <v/>
      </c>
      <c r="V106" s="574" t="str">
        <f>IF($L106="","",IF(LOG_ST!Z105=1,"OK",IF(LOG_ST!Z105=2,"NR",IF(OR(LOG_ST!Z105=0,LOG_ST!Z105="X"),"N/A"))))</f>
        <v/>
      </c>
      <c r="W106" s="574" t="str">
        <f>IF($L106="","",IF(LOG_ST!AA105=1,"OK",IF(LOG_ST!AA105=2,"NR",IF(OR(LOG_ST!AA105=0,LOG_ST!AA105="X"),"N/A"))))</f>
        <v/>
      </c>
      <c r="X106" s="574" t="str">
        <f>IF($L106="","",IF(LOG_ST!AB105=1,"OK",IF(LOG_ST!AB105=2,"NR",IF(OR(LOG_ST!AB105=0,LOG_ST!AB105="X"),"N/A"))))</f>
        <v/>
      </c>
      <c r="Y106" s="574" t="str">
        <f>IF($L106="","",IF(LOG_ST!AC105=1,"OK",IF(LOG_ST!AC105=2,"NR",IF(OR(LOG_ST!AC105=0,LOG_ST!AC105="X"),"N/A"))))</f>
        <v/>
      </c>
      <c r="Z106" s="574" t="str">
        <f>IF($L106="","",IF(OR(LOG_ST!AD105=0,LOG_ST!AD105="X"),"N/A",LOG_ST!AD105))</f>
        <v/>
      </c>
      <c r="AA106" s="574" t="str">
        <f>IF($L106="","",IF(LOG_ST!AE105=1,"OK",IF(LOG_ST!AE105=2,"NR",IF(OR(LOG_ST!AE105=0,LOG_ST!AE105="X"),"N/A"))))</f>
        <v/>
      </c>
      <c r="AB106" s="574" t="str">
        <f>IF($L106="","",IF(LOG_ST!AF105=1,"OK",IF(LOG_ST!AF105=2,"NR",IF(OR(LOG_ST!AF105=0,LOG_ST!AF105="X"),"N/A"))))</f>
        <v/>
      </c>
      <c r="AC106" s="574" t="str">
        <f>IF($L106="","",IF(LOG_ST!AG105=1,"OK",IF(LOG_ST!AG105=2,"NR",IF(OR(LOG_ST!AG105=0,LOG_ST!AG105="X"),"N/A"))))</f>
        <v/>
      </c>
      <c r="AD106" s="574" t="str">
        <f>IF($L106="","",IF(OR(LOG_ST!AH105=0,LOG_ST!AH105="X"),"N/A",LOG_ST!AH105))</f>
        <v/>
      </c>
      <c r="AE106" s="574" t="str">
        <f>IF($L106="","",IF(LOG_ST!AI105=1,"OK",IF(LOG_ST!AI105=2,"NR",IF(OR(LOG_ST!AI105=0,LOG_ST!AI105="X"),"N/A"))))</f>
        <v/>
      </c>
      <c r="AF106" s="574" t="str">
        <f>IF($L106="","",IF(LOG_ST!AJ105=1,"OK",IF(LOG_ST!AJ105=2,"NR",IF(OR(LOG_ST!AJ105=0,LOG_ST!AJ105="X"),"N/A"))))</f>
        <v/>
      </c>
      <c r="AG106" s="574" t="str">
        <f>IF($L106="","",IF(LOG_ST!AK105=1,"OK",IF(LOG_ST!AK105=2,"NR",IF(OR(LOG_ST!AK105=0,LOG_ST!AK105="X"),"N/A"))))</f>
        <v/>
      </c>
      <c r="AH106" s="574" t="str">
        <f>IF($L106="","",IF(LOG_ST!AL105=1,"OK",IF(LOG_ST!AL105=2,"NR",IF(OR(LOG_ST!AL105=0,LOG_ST!AL105="X"),"N/A"))))</f>
        <v/>
      </c>
      <c r="AI106" s="574" t="str">
        <f>IF($L106="","",IF(LOG_ST!AM105=1,"OK",IF(LOG_ST!AM105=2,"NR",IF(OR(LOG_ST!AM105=0,LOG_ST!AM105="X"),"N/A"))))</f>
        <v/>
      </c>
      <c r="AJ106" s="574" t="str">
        <f>IF($L106="","",IF(LOG_ST!AN105=1,"OK",IF(LOG_ST!AN105=2,"NR",IF(OR(LOG_ST!AN105=0,LOG_ST!AN105="X"),"N/A"))))</f>
        <v/>
      </c>
      <c r="AK106" s="574" t="str">
        <f>IF($L106="","",IF(LOG_ST!AO105=1,"OK",IF(LOG_ST!AO105=2,"NR",IF(OR(LOG_ST!AO105=0,LOG_ST!AO105="X"),"N/A"))))</f>
        <v/>
      </c>
      <c r="AL106" s="574" t="str">
        <f>IF($L106="","",IF(LOG_ST!AP105=1,"OK",IF(LOG_ST!AP105=2,"NR",IF(OR(LOG_ST!AP105=0,LOG_ST!AP105="X"),"N/A"))))</f>
        <v/>
      </c>
      <c r="AM106" s="574" t="str">
        <f>IF($L106="","",IF(LOG_ST!AQ105=1,"OK",IF(LOG_ST!AQ105=2,"NR",IF(OR(LOG_ST!AQ105=0,LOG_ST!AQ105="X"),"N/A"))))</f>
        <v/>
      </c>
      <c r="AN106" s="550" t="str">
        <f t="shared" si="1"/>
        <v/>
      </c>
    </row>
    <row r="107" spans="2:40" x14ac:dyDescent="0.25">
      <c r="B107" s="551" t="str">
        <f>IF(LOG_ST!F106="","",VLOOKUP(LOG_ST!F106,DATA_BASE!$A$46:$C$57,2,FALSE))</f>
        <v/>
      </c>
      <c r="C107" s="570" t="str">
        <f>IF(LOG_ST!G106="","",VLOOKUP(LOG_ST!G106,DATA_HDG,2,FALSE))</f>
        <v/>
      </c>
      <c r="D107" s="571" t="str">
        <f>IF(LOG_ST!H106="","",LOG_ST!H106)</f>
        <v/>
      </c>
      <c r="E107" s="570" t="str">
        <f>IF(LOG_ST!I106="","",VLOOKUP(LOG_ST!I106,DATA_COP,2,FALSE))</f>
        <v/>
      </c>
      <c r="F107" s="573" t="str">
        <f>IF(LOG_ST!J106="","",LOG_ST!J106)</f>
        <v/>
      </c>
      <c r="G107" s="570" t="str">
        <f>IF(LOG_ST!K106="","",VLOOKUP(LOG_ST!K106,DATA_SCIES,2,FALSE))</f>
        <v/>
      </c>
      <c r="H107" s="570" t="str">
        <f>IF(LOG_ST!L106="","",VLOOKUP(LOG_ST!L106,DATA_ST!$U$7:$V$64,2,FALSE))</f>
        <v/>
      </c>
      <c r="I107" s="570" t="str">
        <f>IF(LOG_ST!M106="","",LOG_ST!M106)</f>
        <v/>
      </c>
      <c r="J107" s="570" t="str">
        <f>IF(LOG_ST!N106="","",LOG_ST!N106)</f>
        <v/>
      </c>
      <c r="K107" s="573" t="str">
        <f>IF(LOG_ST!O106="","",LOG_ST!O106)</f>
        <v/>
      </c>
      <c r="L107" s="573" t="str">
        <f>IF(LOG_ST!P106="","",LOG_ST!P106)</f>
        <v/>
      </c>
      <c r="M107" s="574" t="str">
        <f>IF($L107="","",IF(LOG_ST!Q106=1,"OK",IF(LOG_ST!Q106=2,"NR",IF(OR(LOG_ST!Q106=0,LOG_ST!Q106="X"),"N/A"))))</f>
        <v/>
      </c>
      <c r="N107" s="574" t="str">
        <f>IF($L107="","",IF(LOG_ST!R106=1,"OK",IF(LOG_ST!R106=2,"NR",IF(OR(LOG_ST!R106=0,LOG_ST!R106="X"),"N/A"))))</f>
        <v/>
      </c>
      <c r="O107" s="574" t="str">
        <f>IF($L107="","",IF(LOG_ST!S106=1,"OK",IF(LOG_ST!S106=2,"NR",IF(OR(LOG_ST!S106=0,LOG_ST!S106="X"),"N/A"))))</f>
        <v/>
      </c>
      <c r="P107" s="574" t="str">
        <f>IF($L107="","",IF(LOG_ST!T106=1,"OK",IF(LOG_ST!T106=2,"NR",IF(OR(LOG_ST!T106=0,LOG_ST!T106="X"),"N/A"))))</f>
        <v/>
      </c>
      <c r="Q107" s="574" t="str">
        <f>IF($L107="","",IF(LOG_ST!U106=1,"OK",IF(LOG_ST!U106=2,"NR",IF(OR(LOG_ST!U106=0,LOG_ST!U106="X"),"N/A"))))</f>
        <v/>
      </c>
      <c r="R107" s="574" t="str">
        <f>IF($L107="","",IF(LOG_ST!V106=1,"OK",IF(LOG_ST!V106=2,"NR",IF(OR(LOG_ST!V106=0,LOG_ST!V106="X"),"N/A"))))</f>
        <v/>
      </c>
      <c r="S107" s="574" t="str">
        <f>IF($L107="","",IF(LOG_ST!W106=1,"OK",IF(LOG_ST!W106=2,"NR",IF(OR(LOG_ST!W106=0,LOG_ST!W106="X"),"N/A"))))</f>
        <v/>
      </c>
      <c r="T107" s="574" t="str">
        <f>IF($L107="","",IF(LOG_ST!X106=1,"OK",IF(LOG_ST!X106=2,"NR",IF(OR(LOG_ST!X106=0,LOG_ST!X106="X"),"N/A"))))</f>
        <v/>
      </c>
      <c r="U107" s="574" t="str">
        <f>IF($L107="","",IF(LOG_ST!Y106=1,"OK",IF(LOG_ST!Y106=2,"NR",IF(OR(LOG_ST!Y106=0,LOG_ST!Y106="X"),"N/A"))))</f>
        <v/>
      </c>
      <c r="V107" s="574" t="str">
        <f>IF($L107="","",IF(LOG_ST!Z106=1,"OK",IF(LOG_ST!Z106=2,"NR",IF(OR(LOG_ST!Z106=0,LOG_ST!Z106="X"),"N/A"))))</f>
        <v/>
      </c>
      <c r="W107" s="574" t="str">
        <f>IF($L107="","",IF(LOG_ST!AA106=1,"OK",IF(LOG_ST!AA106=2,"NR",IF(OR(LOG_ST!AA106=0,LOG_ST!AA106="X"),"N/A"))))</f>
        <v/>
      </c>
      <c r="X107" s="574" t="str">
        <f>IF($L107="","",IF(LOG_ST!AB106=1,"OK",IF(LOG_ST!AB106=2,"NR",IF(OR(LOG_ST!AB106=0,LOG_ST!AB106="X"),"N/A"))))</f>
        <v/>
      </c>
      <c r="Y107" s="574" t="str">
        <f>IF($L107="","",IF(LOG_ST!AC106=1,"OK",IF(LOG_ST!AC106=2,"NR",IF(OR(LOG_ST!AC106=0,LOG_ST!AC106="X"),"N/A"))))</f>
        <v/>
      </c>
      <c r="Z107" s="574" t="str">
        <f>IF($L107="","",IF(OR(LOG_ST!AD106=0,LOG_ST!AD106="X"),"N/A",LOG_ST!AD106))</f>
        <v/>
      </c>
      <c r="AA107" s="574" t="str">
        <f>IF($L107="","",IF(LOG_ST!AE106=1,"OK",IF(LOG_ST!AE106=2,"NR",IF(OR(LOG_ST!AE106=0,LOG_ST!AE106="X"),"N/A"))))</f>
        <v/>
      </c>
      <c r="AB107" s="574" t="str">
        <f>IF($L107="","",IF(LOG_ST!AF106=1,"OK",IF(LOG_ST!AF106=2,"NR",IF(OR(LOG_ST!AF106=0,LOG_ST!AF106="X"),"N/A"))))</f>
        <v/>
      </c>
      <c r="AC107" s="574" t="str">
        <f>IF($L107="","",IF(LOG_ST!AG106=1,"OK",IF(LOG_ST!AG106=2,"NR",IF(OR(LOG_ST!AG106=0,LOG_ST!AG106="X"),"N/A"))))</f>
        <v/>
      </c>
      <c r="AD107" s="574" t="str">
        <f>IF($L107="","",IF(OR(LOG_ST!AH106=0,LOG_ST!AH106="X"),"N/A",LOG_ST!AH106))</f>
        <v/>
      </c>
      <c r="AE107" s="574" t="str">
        <f>IF($L107="","",IF(LOG_ST!AI106=1,"OK",IF(LOG_ST!AI106=2,"NR",IF(OR(LOG_ST!AI106=0,LOG_ST!AI106="X"),"N/A"))))</f>
        <v/>
      </c>
      <c r="AF107" s="574" t="str">
        <f>IF($L107="","",IF(LOG_ST!AJ106=1,"OK",IF(LOG_ST!AJ106=2,"NR",IF(OR(LOG_ST!AJ106=0,LOG_ST!AJ106="X"),"N/A"))))</f>
        <v/>
      </c>
      <c r="AG107" s="574" t="str">
        <f>IF($L107="","",IF(LOG_ST!AK106=1,"OK",IF(LOG_ST!AK106=2,"NR",IF(OR(LOG_ST!AK106=0,LOG_ST!AK106="X"),"N/A"))))</f>
        <v/>
      </c>
      <c r="AH107" s="574" t="str">
        <f>IF($L107="","",IF(LOG_ST!AL106=1,"OK",IF(LOG_ST!AL106=2,"NR",IF(OR(LOG_ST!AL106=0,LOG_ST!AL106="X"),"N/A"))))</f>
        <v/>
      </c>
      <c r="AI107" s="574" t="str">
        <f>IF($L107="","",IF(LOG_ST!AM106=1,"OK",IF(LOG_ST!AM106=2,"NR",IF(OR(LOG_ST!AM106=0,LOG_ST!AM106="X"),"N/A"))))</f>
        <v/>
      </c>
      <c r="AJ107" s="574" t="str">
        <f>IF($L107="","",IF(LOG_ST!AN106=1,"OK",IF(LOG_ST!AN106=2,"NR",IF(OR(LOG_ST!AN106=0,LOG_ST!AN106="X"),"N/A"))))</f>
        <v/>
      </c>
      <c r="AK107" s="574" t="str">
        <f>IF($L107="","",IF(LOG_ST!AO106=1,"OK",IF(LOG_ST!AO106=2,"NR",IF(OR(LOG_ST!AO106=0,LOG_ST!AO106="X"),"N/A"))))</f>
        <v/>
      </c>
      <c r="AL107" s="574" t="str">
        <f>IF($L107="","",IF(LOG_ST!AP106=1,"OK",IF(LOG_ST!AP106=2,"NR",IF(OR(LOG_ST!AP106=0,LOG_ST!AP106="X"),"N/A"))))</f>
        <v/>
      </c>
      <c r="AM107" s="574" t="str">
        <f>IF($L107="","",IF(LOG_ST!AQ106=1,"OK",IF(LOG_ST!AQ106=2,"NR",IF(OR(LOG_ST!AQ106=0,LOG_ST!AQ106="X"),"N/A"))))</f>
        <v/>
      </c>
      <c r="AN107" s="550" t="str">
        <f t="shared" si="1"/>
        <v/>
      </c>
    </row>
    <row r="108" spans="2:40" x14ac:dyDescent="0.25">
      <c r="B108" s="551" t="str">
        <f>IF(LOG_ST!F107="","",VLOOKUP(LOG_ST!F107,DATA_BASE!$A$46:$C$57,2,FALSE))</f>
        <v/>
      </c>
      <c r="C108" s="570" t="str">
        <f>IF(LOG_ST!G107="","",VLOOKUP(LOG_ST!G107,DATA_HDG,2,FALSE))</f>
        <v/>
      </c>
      <c r="D108" s="571" t="str">
        <f>IF(LOG_ST!H107="","",LOG_ST!H107)</f>
        <v/>
      </c>
      <c r="E108" s="570" t="str">
        <f>IF(LOG_ST!I107="","",VLOOKUP(LOG_ST!I107,DATA_COP,2,FALSE))</f>
        <v/>
      </c>
      <c r="F108" s="573" t="str">
        <f>IF(LOG_ST!J107="","",LOG_ST!J107)</f>
        <v/>
      </c>
      <c r="G108" s="570" t="str">
        <f>IF(LOG_ST!K107="","",VLOOKUP(LOG_ST!K107,DATA_SCIES,2,FALSE))</f>
        <v/>
      </c>
      <c r="H108" s="570" t="str">
        <f>IF(LOG_ST!L107="","",VLOOKUP(LOG_ST!L107,DATA_ST!$U$7:$V$64,2,FALSE))</f>
        <v/>
      </c>
      <c r="I108" s="570" t="str">
        <f>IF(LOG_ST!M107="","",LOG_ST!M107)</f>
        <v/>
      </c>
      <c r="J108" s="570" t="str">
        <f>IF(LOG_ST!N107="","",LOG_ST!N107)</f>
        <v/>
      </c>
      <c r="K108" s="573" t="str">
        <f>IF(LOG_ST!O107="","",LOG_ST!O107)</f>
        <v/>
      </c>
      <c r="L108" s="573" t="str">
        <f>IF(LOG_ST!P107="","",LOG_ST!P107)</f>
        <v/>
      </c>
      <c r="M108" s="574" t="str">
        <f>IF($L108="","",IF(LOG_ST!Q107=1,"OK",IF(LOG_ST!Q107=2,"NR",IF(OR(LOG_ST!Q107=0,LOG_ST!Q107="X"),"N/A"))))</f>
        <v/>
      </c>
      <c r="N108" s="574" t="str">
        <f>IF($L108="","",IF(LOG_ST!R107=1,"OK",IF(LOG_ST!R107=2,"NR",IF(OR(LOG_ST!R107=0,LOG_ST!R107="X"),"N/A"))))</f>
        <v/>
      </c>
      <c r="O108" s="574" t="str">
        <f>IF($L108="","",IF(LOG_ST!S107=1,"OK",IF(LOG_ST!S107=2,"NR",IF(OR(LOG_ST!S107=0,LOG_ST!S107="X"),"N/A"))))</f>
        <v/>
      </c>
      <c r="P108" s="574" t="str">
        <f>IF($L108="","",IF(LOG_ST!T107=1,"OK",IF(LOG_ST!T107=2,"NR",IF(OR(LOG_ST!T107=0,LOG_ST!T107="X"),"N/A"))))</f>
        <v/>
      </c>
      <c r="Q108" s="574" t="str">
        <f>IF($L108="","",IF(LOG_ST!U107=1,"OK",IF(LOG_ST!U107=2,"NR",IF(OR(LOG_ST!U107=0,LOG_ST!U107="X"),"N/A"))))</f>
        <v/>
      </c>
      <c r="R108" s="574" t="str">
        <f>IF($L108="","",IF(LOG_ST!V107=1,"OK",IF(LOG_ST!V107=2,"NR",IF(OR(LOG_ST!V107=0,LOG_ST!V107="X"),"N/A"))))</f>
        <v/>
      </c>
      <c r="S108" s="574" t="str">
        <f>IF($L108="","",IF(LOG_ST!W107=1,"OK",IF(LOG_ST!W107=2,"NR",IF(OR(LOG_ST!W107=0,LOG_ST!W107="X"),"N/A"))))</f>
        <v/>
      </c>
      <c r="T108" s="574" t="str">
        <f>IF($L108="","",IF(LOG_ST!X107=1,"OK",IF(LOG_ST!X107=2,"NR",IF(OR(LOG_ST!X107=0,LOG_ST!X107="X"),"N/A"))))</f>
        <v/>
      </c>
      <c r="U108" s="574" t="str">
        <f>IF($L108="","",IF(LOG_ST!Y107=1,"OK",IF(LOG_ST!Y107=2,"NR",IF(OR(LOG_ST!Y107=0,LOG_ST!Y107="X"),"N/A"))))</f>
        <v/>
      </c>
      <c r="V108" s="574" t="str">
        <f>IF($L108="","",IF(LOG_ST!Z107=1,"OK",IF(LOG_ST!Z107=2,"NR",IF(OR(LOG_ST!Z107=0,LOG_ST!Z107="X"),"N/A"))))</f>
        <v/>
      </c>
      <c r="W108" s="574" t="str">
        <f>IF($L108="","",IF(LOG_ST!AA107=1,"OK",IF(LOG_ST!AA107=2,"NR",IF(OR(LOG_ST!AA107=0,LOG_ST!AA107="X"),"N/A"))))</f>
        <v/>
      </c>
      <c r="X108" s="574" t="str">
        <f>IF($L108="","",IF(LOG_ST!AB107=1,"OK",IF(LOG_ST!AB107=2,"NR",IF(OR(LOG_ST!AB107=0,LOG_ST!AB107="X"),"N/A"))))</f>
        <v/>
      </c>
      <c r="Y108" s="574" t="str">
        <f>IF($L108="","",IF(LOG_ST!AC107=1,"OK",IF(LOG_ST!AC107=2,"NR",IF(OR(LOG_ST!AC107=0,LOG_ST!AC107="X"),"N/A"))))</f>
        <v/>
      </c>
      <c r="Z108" s="574" t="str">
        <f>IF($L108="","",IF(OR(LOG_ST!AD107=0,LOG_ST!AD107="X"),"N/A",LOG_ST!AD107))</f>
        <v/>
      </c>
      <c r="AA108" s="574" t="str">
        <f>IF($L108="","",IF(LOG_ST!AE107=1,"OK",IF(LOG_ST!AE107=2,"NR",IF(OR(LOG_ST!AE107=0,LOG_ST!AE107="X"),"N/A"))))</f>
        <v/>
      </c>
      <c r="AB108" s="574" t="str">
        <f>IF($L108="","",IF(LOG_ST!AF107=1,"OK",IF(LOG_ST!AF107=2,"NR",IF(OR(LOG_ST!AF107=0,LOG_ST!AF107="X"),"N/A"))))</f>
        <v/>
      </c>
      <c r="AC108" s="574" t="str">
        <f>IF($L108="","",IF(LOG_ST!AG107=1,"OK",IF(LOG_ST!AG107=2,"NR",IF(OR(LOG_ST!AG107=0,LOG_ST!AG107="X"),"N/A"))))</f>
        <v/>
      </c>
      <c r="AD108" s="574" t="str">
        <f>IF($L108="","",IF(OR(LOG_ST!AH107=0,LOG_ST!AH107="X"),"N/A",LOG_ST!AH107))</f>
        <v/>
      </c>
      <c r="AE108" s="574" t="str">
        <f>IF($L108="","",IF(LOG_ST!AI107=1,"OK",IF(LOG_ST!AI107=2,"NR",IF(OR(LOG_ST!AI107=0,LOG_ST!AI107="X"),"N/A"))))</f>
        <v/>
      </c>
      <c r="AF108" s="574" t="str">
        <f>IF($L108="","",IF(LOG_ST!AJ107=1,"OK",IF(LOG_ST!AJ107=2,"NR",IF(OR(LOG_ST!AJ107=0,LOG_ST!AJ107="X"),"N/A"))))</f>
        <v/>
      </c>
      <c r="AG108" s="574" t="str">
        <f>IF($L108="","",IF(LOG_ST!AK107=1,"OK",IF(LOG_ST!AK107=2,"NR",IF(OR(LOG_ST!AK107=0,LOG_ST!AK107="X"),"N/A"))))</f>
        <v/>
      </c>
      <c r="AH108" s="574" t="str">
        <f>IF($L108="","",IF(LOG_ST!AL107=1,"OK",IF(LOG_ST!AL107=2,"NR",IF(OR(LOG_ST!AL107=0,LOG_ST!AL107="X"),"N/A"))))</f>
        <v/>
      </c>
      <c r="AI108" s="574" t="str">
        <f>IF($L108="","",IF(LOG_ST!AM107=1,"OK",IF(LOG_ST!AM107=2,"NR",IF(OR(LOG_ST!AM107=0,LOG_ST!AM107="X"),"N/A"))))</f>
        <v/>
      </c>
      <c r="AJ108" s="574" t="str">
        <f>IF($L108="","",IF(LOG_ST!AN107=1,"OK",IF(LOG_ST!AN107=2,"NR",IF(OR(LOG_ST!AN107=0,LOG_ST!AN107="X"),"N/A"))))</f>
        <v/>
      </c>
      <c r="AK108" s="574" t="str">
        <f>IF($L108="","",IF(LOG_ST!AO107=1,"OK",IF(LOG_ST!AO107=2,"NR",IF(OR(LOG_ST!AO107=0,LOG_ST!AO107="X"),"N/A"))))</f>
        <v/>
      </c>
      <c r="AL108" s="574" t="str">
        <f>IF($L108="","",IF(LOG_ST!AP107=1,"OK",IF(LOG_ST!AP107=2,"NR",IF(OR(LOG_ST!AP107=0,LOG_ST!AP107="X"),"N/A"))))</f>
        <v/>
      </c>
      <c r="AM108" s="574" t="str">
        <f>IF($L108="","",IF(LOG_ST!AQ107=1,"OK",IF(LOG_ST!AQ107=2,"NR",IF(OR(LOG_ST!AQ107=0,LOG_ST!AQ107="X"),"N/A"))))</f>
        <v/>
      </c>
      <c r="AN108" s="550" t="str">
        <f t="shared" si="1"/>
        <v/>
      </c>
    </row>
    <row r="109" spans="2:40" x14ac:dyDescent="0.25">
      <c r="B109" s="551" t="str">
        <f>IF(LOG_ST!F108="","",VLOOKUP(LOG_ST!F108,DATA_BASE!$A$46:$C$57,2,FALSE))</f>
        <v/>
      </c>
      <c r="C109" s="570" t="str">
        <f>IF(LOG_ST!G108="","",VLOOKUP(LOG_ST!G108,DATA_HDG,2,FALSE))</f>
        <v/>
      </c>
      <c r="D109" s="571" t="str">
        <f>IF(LOG_ST!H108="","",LOG_ST!H108)</f>
        <v/>
      </c>
      <c r="E109" s="570" t="str">
        <f>IF(LOG_ST!I108="","",VLOOKUP(LOG_ST!I108,DATA_COP,2,FALSE))</f>
        <v/>
      </c>
      <c r="F109" s="573" t="str">
        <f>IF(LOG_ST!J108="","",LOG_ST!J108)</f>
        <v/>
      </c>
      <c r="G109" s="570" t="str">
        <f>IF(LOG_ST!K108="","",VLOOKUP(LOG_ST!K108,DATA_SCIES,2,FALSE))</f>
        <v/>
      </c>
      <c r="H109" s="570" t="str">
        <f>IF(LOG_ST!L108="","",VLOOKUP(LOG_ST!L108,DATA_ST!$U$7:$V$64,2,FALSE))</f>
        <v/>
      </c>
      <c r="I109" s="570" t="str">
        <f>IF(LOG_ST!M108="","",LOG_ST!M108)</f>
        <v/>
      </c>
      <c r="J109" s="570" t="str">
        <f>IF(LOG_ST!N108="","",LOG_ST!N108)</f>
        <v/>
      </c>
      <c r="K109" s="573" t="str">
        <f>IF(LOG_ST!O108="","",LOG_ST!O108)</f>
        <v/>
      </c>
      <c r="L109" s="573" t="str">
        <f>IF(LOG_ST!P108="","",LOG_ST!P108)</f>
        <v/>
      </c>
      <c r="M109" s="574" t="str">
        <f>IF($L109="","",IF(LOG_ST!Q108=1,"OK",IF(LOG_ST!Q108=2,"NR",IF(OR(LOG_ST!Q108=0,LOG_ST!Q108="X"),"N/A"))))</f>
        <v/>
      </c>
      <c r="N109" s="574" t="str">
        <f>IF($L109="","",IF(LOG_ST!R108=1,"OK",IF(LOG_ST!R108=2,"NR",IF(OR(LOG_ST!R108=0,LOG_ST!R108="X"),"N/A"))))</f>
        <v/>
      </c>
      <c r="O109" s="574" t="str">
        <f>IF($L109="","",IF(LOG_ST!S108=1,"OK",IF(LOG_ST!S108=2,"NR",IF(OR(LOG_ST!S108=0,LOG_ST!S108="X"),"N/A"))))</f>
        <v/>
      </c>
      <c r="P109" s="574" t="str">
        <f>IF($L109="","",IF(LOG_ST!T108=1,"OK",IF(LOG_ST!T108=2,"NR",IF(OR(LOG_ST!T108=0,LOG_ST!T108="X"),"N/A"))))</f>
        <v/>
      </c>
      <c r="Q109" s="574" t="str">
        <f>IF($L109="","",IF(LOG_ST!U108=1,"OK",IF(LOG_ST!U108=2,"NR",IF(OR(LOG_ST!U108=0,LOG_ST!U108="X"),"N/A"))))</f>
        <v/>
      </c>
      <c r="R109" s="574" t="str">
        <f>IF($L109="","",IF(LOG_ST!V108=1,"OK",IF(LOG_ST!V108=2,"NR",IF(OR(LOG_ST!V108=0,LOG_ST!V108="X"),"N/A"))))</f>
        <v/>
      </c>
      <c r="S109" s="574" t="str">
        <f>IF($L109="","",IF(LOG_ST!W108=1,"OK",IF(LOG_ST!W108=2,"NR",IF(OR(LOG_ST!W108=0,LOG_ST!W108="X"),"N/A"))))</f>
        <v/>
      </c>
      <c r="T109" s="574" t="str">
        <f>IF($L109="","",IF(LOG_ST!X108=1,"OK",IF(LOG_ST!X108=2,"NR",IF(OR(LOG_ST!X108=0,LOG_ST!X108="X"),"N/A"))))</f>
        <v/>
      </c>
      <c r="U109" s="574" t="str">
        <f>IF($L109="","",IF(LOG_ST!Y108=1,"OK",IF(LOG_ST!Y108=2,"NR",IF(OR(LOG_ST!Y108=0,LOG_ST!Y108="X"),"N/A"))))</f>
        <v/>
      </c>
      <c r="V109" s="574" t="str">
        <f>IF($L109="","",IF(LOG_ST!Z108=1,"OK",IF(LOG_ST!Z108=2,"NR",IF(OR(LOG_ST!Z108=0,LOG_ST!Z108="X"),"N/A"))))</f>
        <v/>
      </c>
      <c r="W109" s="574" t="str">
        <f>IF($L109="","",IF(LOG_ST!AA108=1,"OK",IF(LOG_ST!AA108=2,"NR",IF(OR(LOG_ST!AA108=0,LOG_ST!AA108="X"),"N/A"))))</f>
        <v/>
      </c>
      <c r="X109" s="574" t="str">
        <f>IF($L109="","",IF(LOG_ST!AB108=1,"OK",IF(LOG_ST!AB108=2,"NR",IF(OR(LOG_ST!AB108=0,LOG_ST!AB108="X"),"N/A"))))</f>
        <v/>
      </c>
      <c r="Y109" s="574" t="str">
        <f>IF($L109="","",IF(LOG_ST!AC108=1,"OK",IF(LOG_ST!AC108=2,"NR",IF(OR(LOG_ST!AC108=0,LOG_ST!AC108="X"),"N/A"))))</f>
        <v/>
      </c>
      <c r="Z109" s="574" t="str">
        <f>IF($L109="","",IF(OR(LOG_ST!AD108=0,LOG_ST!AD108="X"),"N/A",LOG_ST!AD108))</f>
        <v/>
      </c>
      <c r="AA109" s="574" t="str">
        <f>IF($L109="","",IF(LOG_ST!AE108=1,"OK",IF(LOG_ST!AE108=2,"NR",IF(OR(LOG_ST!AE108=0,LOG_ST!AE108="X"),"N/A"))))</f>
        <v/>
      </c>
      <c r="AB109" s="574" t="str">
        <f>IF($L109="","",IF(LOG_ST!AF108=1,"OK",IF(LOG_ST!AF108=2,"NR",IF(OR(LOG_ST!AF108=0,LOG_ST!AF108="X"),"N/A"))))</f>
        <v/>
      </c>
      <c r="AC109" s="574" t="str">
        <f>IF($L109="","",IF(LOG_ST!AG108=1,"OK",IF(LOG_ST!AG108=2,"NR",IF(OR(LOG_ST!AG108=0,LOG_ST!AG108="X"),"N/A"))))</f>
        <v/>
      </c>
      <c r="AD109" s="574" t="str">
        <f>IF($L109="","",IF(OR(LOG_ST!AH108=0,LOG_ST!AH108="X"),"N/A",LOG_ST!AH108))</f>
        <v/>
      </c>
      <c r="AE109" s="574" t="str">
        <f>IF($L109="","",IF(LOG_ST!AI108=1,"OK",IF(LOG_ST!AI108=2,"NR",IF(OR(LOG_ST!AI108=0,LOG_ST!AI108="X"),"N/A"))))</f>
        <v/>
      </c>
      <c r="AF109" s="574" t="str">
        <f>IF($L109="","",IF(LOG_ST!AJ108=1,"OK",IF(LOG_ST!AJ108=2,"NR",IF(OR(LOG_ST!AJ108=0,LOG_ST!AJ108="X"),"N/A"))))</f>
        <v/>
      </c>
      <c r="AG109" s="574" t="str">
        <f>IF($L109="","",IF(LOG_ST!AK108=1,"OK",IF(LOG_ST!AK108=2,"NR",IF(OR(LOG_ST!AK108=0,LOG_ST!AK108="X"),"N/A"))))</f>
        <v/>
      </c>
      <c r="AH109" s="574" t="str">
        <f>IF($L109="","",IF(LOG_ST!AL108=1,"OK",IF(LOG_ST!AL108=2,"NR",IF(OR(LOG_ST!AL108=0,LOG_ST!AL108="X"),"N/A"))))</f>
        <v/>
      </c>
      <c r="AI109" s="574" t="str">
        <f>IF($L109="","",IF(LOG_ST!AM108=1,"OK",IF(LOG_ST!AM108=2,"NR",IF(OR(LOG_ST!AM108=0,LOG_ST!AM108="X"),"N/A"))))</f>
        <v/>
      </c>
      <c r="AJ109" s="574" t="str">
        <f>IF($L109="","",IF(LOG_ST!AN108=1,"OK",IF(LOG_ST!AN108=2,"NR",IF(OR(LOG_ST!AN108=0,LOG_ST!AN108="X"),"N/A"))))</f>
        <v/>
      </c>
      <c r="AK109" s="574" t="str">
        <f>IF($L109="","",IF(LOG_ST!AO108=1,"OK",IF(LOG_ST!AO108=2,"NR",IF(OR(LOG_ST!AO108=0,LOG_ST!AO108="X"),"N/A"))))</f>
        <v/>
      </c>
      <c r="AL109" s="574" t="str">
        <f>IF($L109="","",IF(LOG_ST!AP108=1,"OK",IF(LOG_ST!AP108=2,"NR",IF(OR(LOG_ST!AP108=0,LOG_ST!AP108="X"),"N/A"))))</f>
        <v/>
      </c>
      <c r="AM109" s="574" t="str">
        <f>IF($L109="","",IF(LOG_ST!AQ108=1,"OK",IF(LOG_ST!AQ108=2,"NR",IF(OR(LOG_ST!AQ108=0,LOG_ST!AQ108="X"),"N/A"))))</f>
        <v/>
      </c>
      <c r="AN109" s="550" t="str">
        <f t="shared" si="1"/>
        <v/>
      </c>
    </row>
    <row r="110" spans="2:40" x14ac:dyDescent="0.25">
      <c r="B110" s="551" t="str">
        <f>IF(LOG_ST!F109="","",VLOOKUP(LOG_ST!F109,DATA_BASE!$A$46:$C$57,2,FALSE))</f>
        <v/>
      </c>
      <c r="C110" s="570" t="str">
        <f>IF(LOG_ST!G109="","",VLOOKUP(LOG_ST!G109,DATA_HDG,2,FALSE))</f>
        <v/>
      </c>
      <c r="D110" s="571" t="str">
        <f>IF(LOG_ST!H109="","",LOG_ST!H109)</f>
        <v/>
      </c>
      <c r="E110" s="570" t="str">
        <f>IF(LOG_ST!I109="","",VLOOKUP(LOG_ST!I109,DATA_COP,2,FALSE))</f>
        <v/>
      </c>
      <c r="F110" s="573" t="str">
        <f>IF(LOG_ST!J109="","",LOG_ST!J109)</f>
        <v/>
      </c>
      <c r="G110" s="570" t="str">
        <f>IF(LOG_ST!K109="","",VLOOKUP(LOG_ST!K109,DATA_SCIES,2,FALSE))</f>
        <v/>
      </c>
      <c r="H110" s="570" t="str">
        <f>IF(LOG_ST!L109="","",VLOOKUP(LOG_ST!L109,DATA_ST!$U$7:$V$64,2,FALSE))</f>
        <v/>
      </c>
      <c r="I110" s="570" t="str">
        <f>IF(LOG_ST!M109="","",LOG_ST!M109)</f>
        <v/>
      </c>
      <c r="J110" s="570" t="str">
        <f>IF(LOG_ST!N109="","",LOG_ST!N109)</f>
        <v/>
      </c>
      <c r="K110" s="573" t="str">
        <f>IF(LOG_ST!O109="","",LOG_ST!O109)</f>
        <v/>
      </c>
      <c r="L110" s="573" t="str">
        <f>IF(LOG_ST!P109="","",LOG_ST!P109)</f>
        <v/>
      </c>
      <c r="M110" s="574" t="str">
        <f>IF($L110="","",IF(LOG_ST!Q109=1,"OK",IF(LOG_ST!Q109=2,"NR",IF(OR(LOG_ST!Q109=0,LOG_ST!Q109="X"),"N/A"))))</f>
        <v/>
      </c>
      <c r="N110" s="574" t="str">
        <f>IF($L110="","",IF(LOG_ST!R109=1,"OK",IF(LOG_ST!R109=2,"NR",IF(OR(LOG_ST!R109=0,LOG_ST!R109="X"),"N/A"))))</f>
        <v/>
      </c>
      <c r="O110" s="574" t="str">
        <f>IF($L110="","",IF(LOG_ST!S109=1,"OK",IF(LOG_ST!S109=2,"NR",IF(OR(LOG_ST!S109=0,LOG_ST!S109="X"),"N/A"))))</f>
        <v/>
      </c>
      <c r="P110" s="574" t="str">
        <f>IF($L110="","",IF(LOG_ST!T109=1,"OK",IF(LOG_ST!T109=2,"NR",IF(OR(LOG_ST!T109=0,LOG_ST!T109="X"),"N/A"))))</f>
        <v/>
      </c>
      <c r="Q110" s="574" t="str">
        <f>IF($L110="","",IF(LOG_ST!U109=1,"OK",IF(LOG_ST!U109=2,"NR",IF(OR(LOG_ST!U109=0,LOG_ST!U109="X"),"N/A"))))</f>
        <v/>
      </c>
      <c r="R110" s="574" t="str">
        <f>IF($L110="","",IF(LOG_ST!V109=1,"OK",IF(LOG_ST!V109=2,"NR",IF(OR(LOG_ST!V109=0,LOG_ST!V109="X"),"N/A"))))</f>
        <v/>
      </c>
      <c r="S110" s="574" t="str">
        <f>IF($L110="","",IF(LOG_ST!W109=1,"OK",IF(LOG_ST!W109=2,"NR",IF(OR(LOG_ST!W109=0,LOG_ST!W109="X"),"N/A"))))</f>
        <v/>
      </c>
      <c r="T110" s="574" t="str">
        <f>IF($L110="","",IF(LOG_ST!X109=1,"OK",IF(LOG_ST!X109=2,"NR",IF(OR(LOG_ST!X109=0,LOG_ST!X109="X"),"N/A"))))</f>
        <v/>
      </c>
      <c r="U110" s="574" t="str">
        <f>IF($L110="","",IF(LOG_ST!Y109=1,"OK",IF(LOG_ST!Y109=2,"NR",IF(OR(LOG_ST!Y109=0,LOG_ST!Y109="X"),"N/A"))))</f>
        <v/>
      </c>
      <c r="V110" s="574" t="str">
        <f>IF($L110="","",IF(LOG_ST!Z109=1,"OK",IF(LOG_ST!Z109=2,"NR",IF(OR(LOG_ST!Z109=0,LOG_ST!Z109="X"),"N/A"))))</f>
        <v/>
      </c>
      <c r="W110" s="574" t="str">
        <f>IF($L110="","",IF(LOG_ST!AA109=1,"OK",IF(LOG_ST!AA109=2,"NR",IF(OR(LOG_ST!AA109=0,LOG_ST!AA109="X"),"N/A"))))</f>
        <v/>
      </c>
      <c r="X110" s="574" t="str">
        <f>IF($L110="","",IF(LOG_ST!AB109=1,"OK",IF(LOG_ST!AB109=2,"NR",IF(OR(LOG_ST!AB109=0,LOG_ST!AB109="X"),"N/A"))))</f>
        <v/>
      </c>
      <c r="Y110" s="574" t="str">
        <f>IF($L110="","",IF(LOG_ST!AC109=1,"OK",IF(LOG_ST!AC109=2,"NR",IF(OR(LOG_ST!AC109=0,LOG_ST!AC109="X"),"N/A"))))</f>
        <v/>
      </c>
      <c r="Z110" s="574" t="str">
        <f>IF($L110="","",IF(OR(LOG_ST!AD109=0,LOG_ST!AD109="X"),"N/A",LOG_ST!AD109))</f>
        <v/>
      </c>
      <c r="AA110" s="574" t="str">
        <f>IF($L110="","",IF(LOG_ST!AE109=1,"OK",IF(LOG_ST!AE109=2,"NR",IF(OR(LOG_ST!AE109=0,LOG_ST!AE109="X"),"N/A"))))</f>
        <v/>
      </c>
      <c r="AB110" s="574" t="str">
        <f>IF($L110="","",IF(LOG_ST!AF109=1,"OK",IF(LOG_ST!AF109=2,"NR",IF(OR(LOG_ST!AF109=0,LOG_ST!AF109="X"),"N/A"))))</f>
        <v/>
      </c>
      <c r="AC110" s="574" t="str">
        <f>IF($L110="","",IF(LOG_ST!AG109=1,"OK",IF(LOG_ST!AG109=2,"NR",IF(OR(LOG_ST!AG109=0,LOG_ST!AG109="X"),"N/A"))))</f>
        <v/>
      </c>
      <c r="AD110" s="574" t="str">
        <f>IF($L110="","",IF(OR(LOG_ST!AH109=0,LOG_ST!AH109="X"),"N/A",LOG_ST!AH109))</f>
        <v/>
      </c>
      <c r="AE110" s="574" t="str">
        <f>IF($L110="","",IF(LOG_ST!AI109=1,"OK",IF(LOG_ST!AI109=2,"NR",IF(OR(LOG_ST!AI109=0,LOG_ST!AI109="X"),"N/A"))))</f>
        <v/>
      </c>
      <c r="AF110" s="574" t="str">
        <f>IF($L110="","",IF(LOG_ST!AJ109=1,"OK",IF(LOG_ST!AJ109=2,"NR",IF(OR(LOG_ST!AJ109=0,LOG_ST!AJ109="X"),"N/A"))))</f>
        <v/>
      </c>
      <c r="AG110" s="574" t="str">
        <f>IF($L110="","",IF(LOG_ST!AK109=1,"OK",IF(LOG_ST!AK109=2,"NR",IF(OR(LOG_ST!AK109=0,LOG_ST!AK109="X"),"N/A"))))</f>
        <v/>
      </c>
      <c r="AH110" s="574" t="str">
        <f>IF($L110="","",IF(LOG_ST!AL109=1,"OK",IF(LOG_ST!AL109=2,"NR",IF(OR(LOG_ST!AL109=0,LOG_ST!AL109="X"),"N/A"))))</f>
        <v/>
      </c>
      <c r="AI110" s="574" t="str">
        <f>IF($L110="","",IF(LOG_ST!AM109=1,"OK",IF(LOG_ST!AM109=2,"NR",IF(OR(LOG_ST!AM109=0,LOG_ST!AM109="X"),"N/A"))))</f>
        <v/>
      </c>
      <c r="AJ110" s="574" t="str">
        <f>IF($L110="","",IF(LOG_ST!AN109=1,"OK",IF(LOG_ST!AN109=2,"NR",IF(OR(LOG_ST!AN109=0,LOG_ST!AN109="X"),"N/A"))))</f>
        <v/>
      </c>
      <c r="AK110" s="574" t="str">
        <f>IF($L110="","",IF(LOG_ST!AO109=1,"OK",IF(LOG_ST!AO109=2,"NR",IF(OR(LOG_ST!AO109=0,LOG_ST!AO109="X"),"N/A"))))</f>
        <v/>
      </c>
      <c r="AL110" s="574" t="str">
        <f>IF($L110="","",IF(LOG_ST!AP109=1,"OK",IF(LOG_ST!AP109=2,"NR",IF(OR(LOG_ST!AP109=0,LOG_ST!AP109="X"),"N/A"))))</f>
        <v/>
      </c>
      <c r="AM110" s="574" t="str">
        <f>IF($L110="","",IF(LOG_ST!AQ109=1,"OK",IF(LOG_ST!AQ109=2,"NR",IF(OR(LOG_ST!AQ109=0,LOG_ST!AQ109="X"),"N/A"))))</f>
        <v/>
      </c>
      <c r="AN110" s="550" t="str">
        <f t="shared" si="1"/>
        <v/>
      </c>
    </row>
    <row r="111" spans="2:40" x14ac:dyDescent="0.25">
      <c r="B111" s="551" t="str">
        <f>IF(LOG_ST!F110="","",VLOOKUP(LOG_ST!F110,DATA_BASE!$A$46:$C$57,2,FALSE))</f>
        <v/>
      </c>
      <c r="C111" s="570" t="str">
        <f>IF(LOG_ST!G110="","",VLOOKUP(LOG_ST!G110,DATA_HDG,2,FALSE))</f>
        <v/>
      </c>
      <c r="D111" s="571" t="str">
        <f>IF(LOG_ST!H110="","",LOG_ST!H110)</f>
        <v/>
      </c>
      <c r="E111" s="570" t="str">
        <f>IF(LOG_ST!I110="","",VLOOKUP(LOG_ST!I110,DATA_COP,2,FALSE))</f>
        <v/>
      </c>
      <c r="F111" s="573" t="str">
        <f>IF(LOG_ST!J110="","",LOG_ST!J110)</f>
        <v/>
      </c>
      <c r="G111" s="570" t="str">
        <f>IF(LOG_ST!K110="","",VLOOKUP(LOG_ST!K110,DATA_SCIES,2,FALSE))</f>
        <v/>
      </c>
      <c r="H111" s="570" t="str">
        <f>IF(LOG_ST!L110="","",VLOOKUP(LOG_ST!L110,DATA_ST!$U$7:$V$64,2,FALSE))</f>
        <v/>
      </c>
      <c r="I111" s="570" t="str">
        <f>IF(LOG_ST!M110="","",LOG_ST!M110)</f>
        <v/>
      </c>
      <c r="J111" s="570" t="str">
        <f>IF(LOG_ST!N110="","",LOG_ST!N110)</f>
        <v/>
      </c>
      <c r="K111" s="573" t="str">
        <f>IF(LOG_ST!O110="","",LOG_ST!O110)</f>
        <v/>
      </c>
      <c r="L111" s="573" t="str">
        <f>IF(LOG_ST!P110="","",LOG_ST!P110)</f>
        <v/>
      </c>
      <c r="M111" s="574" t="str">
        <f>IF($L111="","",IF(LOG_ST!Q110=1,"OK",IF(LOG_ST!Q110=2,"NR",IF(OR(LOG_ST!Q110=0,LOG_ST!Q110="X"),"N/A"))))</f>
        <v/>
      </c>
      <c r="N111" s="574" t="str">
        <f>IF($L111="","",IF(LOG_ST!R110=1,"OK",IF(LOG_ST!R110=2,"NR",IF(OR(LOG_ST!R110=0,LOG_ST!R110="X"),"N/A"))))</f>
        <v/>
      </c>
      <c r="O111" s="574" t="str">
        <f>IF($L111="","",IF(LOG_ST!S110=1,"OK",IF(LOG_ST!S110=2,"NR",IF(OR(LOG_ST!S110=0,LOG_ST!S110="X"),"N/A"))))</f>
        <v/>
      </c>
      <c r="P111" s="574" t="str">
        <f>IF($L111="","",IF(LOG_ST!T110=1,"OK",IF(LOG_ST!T110=2,"NR",IF(OR(LOG_ST!T110=0,LOG_ST!T110="X"),"N/A"))))</f>
        <v/>
      </c>
      <c r="Q111" s="574" t="str">
        <f>IF($L111="","",IF(LOG_ST!U110=1,"OK",IF(LOG_ST!U110=2,"NR",IF(OR(LOG_ST!U110=0,LOG_ST!U110="X"),"N/A"))))</f>
        <v/>
      </c>
      <c r="R111" s="574" t="str">
        <f>IF($L111="","",IF(LOG_ST!V110=1,"OK",IF(LOG_ST!V110=2,"NR",IF(OR(LOG_ST!V110=0,LOG_ST!V110="X"),"N/A"))))</f>
        <v/>
      </c>
      <c r="S111" s="574" t="str">
        <f>IF($L111="","",IF(LOG_ST!W110=1,"OK",IF(LOG_ST!W110=2,"NR",IF(OR(LOG_ST!W110=0,LOG_ST!W110="X"),"N/A"))))</f>
        <v/>
      </c>
      <c r="T111" s="574" t="str">
        <f>IF($L111="","",IF(LOG_ST!X110=1,"OK",IF(LOG_ST!X110=2,"NR",IF(OR(LOG_ST!X110=0,LOG_ST!X110="X"),"N/A"))))</f>
        <v/>
      </c>
      <c r="U111" s="574" t="str">
        <f>IF($L111="","",IF(LOG_ST!Y110=1,"OK",IF(LOG_ST!Y110=2,"NR",IF(OR(LOG_ST!Y110=0,LOG_ST!Y110="X"),"N/A"))))</f>
        <v/>
      </c>
      <c r="V111" s="574" t="str">
        <f>IF($L111="","",IF(LOG_ST!Z110=1,"OK",IF(LOG_ST!Z110=2,"NR",IF(OR(LOG_ST!Z110=0,LOG_ST!Z110="X"),"N/A"))))</f>
        <v/>
      </c>
      <c r="W111" s="574" t="str">
        <f>IF($L111="","",IF(LOG_ST!AA110=1,"OK",IF(LOG_ST!AA110=2,"NR",IF(OR(LOG_ST!AA110=0,LOG_ST!AA110="X"),"N/A"))))</f>
        <v/>
      </c>
      <c r="X111" s="574" t="str">
        <f>IF($L111="","",IF(LOG_ST!AB110=1,"OK",IF(LOG_ST!AB110=2,"NR",IF(OR(LOG_ST!AB110=0,LOG_ST!AB110="X"),"N/A"))))</f>
        <v/>
      </c>
      <c r="Y111" s="574" t="str">
        <f>IF($L111="","",IF(LOG_ST!AC110=1,"OK",IF(LOG_ST!AC110=2,"NR",IF(OR(LOG_ST!AC110=0,LOG_ST!AC110="X"),"N/A"))))</f>
        <v/>
      </c>
      <c r="Z111" s="574" t="str">
        <f>IF($L111="","",IF(OR(LOG_ST!AD110=0,LOG_ST!AD110="X"),"N/A",LOG_ST!AD110))</f>
        <v/>
      </c>
      <c r="AA111" s="574" t="str">
        <f>IF($L111="","",IF(LOG_ST!AE110=1,"OK",IF(LOG_ST!AE110=2,"NR",IF(OR(LOG_ST!AE110=0,LOG_ST!AE110="X"),"N/A"))))</f>
        <v/>
      </c>
      <c r="AB111" s="574" t="str">
        <f>IF($L111="","",IF(LOG_ST!AF110=1,"OK",IF(LOG_ST!AF110=2,"NR",IF(OR(LOG_ST!AF110=0,LOG_ST!AF110="X"),"N/A"))))</f>
        <v/>
      </c>
      <c r="AC111" s="574" t="str">
        <f>IF($L111="","",IF(LOG_ST!AG110=1,"OK",IF(LOG_ST!AG110=2,"NR",IF(OR(LOG_ST!AG110=0,LOG_ST!AG110="X"),"N/A"))))</f>
        <v/>
      </c>
      <c r="AD111" s="574" t="str">
        <f>IF($L111="","",IF(OR(LOG_ST!AH110=0,LOG_ST!AH110="X"),"N/A",LOG_ST!AH110))</f>
        <v/>
      </c>
      <c r="AE111" s="574" t="str">
        <f>IF($L111="","",IF(LOG_ST!AI110=1,"OK",IF(LOG_ST!AI110=2,"NR",IF(OR(LOG_ST!AI110=0,LOG_ST!AI110="X"),"N/A"))))</f>
        <v/>
      </c>
      <c r="AF111" s="574" t="str">
        <f>IF($L111="","",IF(LOG_ST!AJ110=1,"OK",IF(LOG_ST!AJ110=2,"NR",IF(OR(LOG_ST!AJ110=0,LOG_ST!AJ110="X"),"N/A"))))</f>
        <v/>
      </c>
      <c r="AG111" s="574" t="str">
        <f>IF($L111="","",IF(LOG_ST!AK110=1,"OK",IF(LOG_ST!AK110=2,"NR",IF(OR(LOG_ST!AK110=0,LOG_ST!AK110="X"),"N/A"))))</f>
        <v/>
      </c>
      <c r="AH111" s="574" t="str">
        <f>IF($L111="","",IF(LOG_ST!AL110=1,"OK",IF(LOG_ST!AL110=2,"NR",IF(OR(LOG_ST!AL110=0,LOG_ST!AL110="X"),"N/A"))))</f>
        <v/>
      </c>
      <c r="AI111" s="574" t="str">
        <f>IF($L111="","",IF(LOG_ST!AM110=1,"OK",IF(LOG_ST!AM110=2,"NR",IF(OR(LOG_ST!AM110=0,LOG_ST!AM110="X"),"N/A"))))</f>
        <v/>
      </c>
      <c r="AJ111" s="574" t="str">
        <f>IF($L111="","",IF(LOG_ST!AN110=1,"OK",IF(LOG_ST!AN110=2,"NR",IF(OR(LOG_ST!AN110=0,LOG_ST!AN110="X"),"N/A"))))</f>
        <v/>
      </c>
      <c r="AK111" s="574" t="str">
        <f>IF($L111="","",IF(LOG_ST!AO110=1,"OK",IF(LOG_ST!AO110=2,"NR",IF(OR(LOG_ST!AO110=0,LOG_ST!AO110="X"),"N/A"))))</f>
        <v/>
      </c>
      <c r="AL111" s="574" t="str">
        <f>IF($L111="","",IF(LOG_ST!AP110=1,"OK",IF(LOG_ST!AP110=2,"NR",IF(OR(LOG_ST!AP110=0,LOG_ST!AP110="X"),"N/A"))))</f>
        <v/>
      </c>
      <c r="AM111" s="574" t="str">
        <f>IF($L111="","",IF(LOG_ST!AQ110=1,"OK",IF(LOG_ST!AQ110=2,"NR",IF(OR(LOG_ST!AQ110=0,LOG_ST!AQ110="X"),"N/A"))))</f>
        <v/>
      </c>
      <c r="AN111" s="550" t="str">
        <f t="shared" si="1"/>
        <v/>
      </c>
    </row>
    <row r="112" spans="2:40" x14ac:dyDescent="0.25">
      <c r="B112" s="551" t="str">
        <f>IF(LOG_ST!F111="","",VLOOKUP(LOG_ST!F111,DATA_BASE!$A$46:$C$57,2,FALSE))</f>
        <v/>
      </c>
      <c r="C112" s="570" t="str">
        <f>IF(LOG_ST!G111="","",VLOOKUP(LOG_ST!G111,DATA_HDG,2,FALSE))</f>
        <v/>
      </c>
      <c r="D112" s="571" t="str">
        <f>IF(LOG_ST!H111="","",LOG_ST!H111)</f>
        <v/>
      </c>
      <c r="E112" s="570" t="str">
        <f>IF(LOG_ST!I111="","",VLOOKUP(LOG_ST!I111,DATA_COP,2,FALSE))</f>
        <v/>
      </c>
      <c r="F112" s="573" t="str">
        <f>IF(LOG_ST!J111="","",LOG_ST!J111)</f>
        <v/>
      </c>
      <c r="G112" s="570" t="str">
        <f>IF(LOG_ST!K111="","",VLOOKUP(LOG_ST!K111,DATA_SCIES,2,FALSE))</f>
        <v/>
      </c>
      <c r="H112" s="570" t="str">
        <f>IF(LOG_ST!L111="","",VLOOKUP(LOG_ST!L111,DATA_ST!$U$7:$V$64,2,FALSE))</f>
        <v/>
      </c>
      <c r="I112" s="570" t="str">
        <f>IF(LOG_ST!M111="","",LOG_ST!M111)</f>
        <v/>
      </c>
      <c r="J112" s="570" t="str">
        <f>IF(LOG_ST!N111="","",LOG_ST!N111)</f>
        <v/>
      </c>
      <c r="K112" s="573" t="str">
        <f>IF(LOG_ST!O111="","",LOG_ST!O111)</f>
        <v/>
      </c>
      <c r="L112" s="573" t="str">
        <f>IF(LOG_ST!P111="","",LOG_ST!P111)</f>
        <v/>
      </c>
      <c r="M112" s="574" t="str">
        <f>IF($L112="","",IF(LOG_ST!Q111=1,"OK",IF(LOG_ST!Q111=2,"NR",IF(OR(LOG_ST!Q111=0,LOG_ST!Q111="X"),"N/A"))))</f>
        <v/>
      </c>
      <c r="N112" s="574" t="str">
        <f>IF($L112="","",IF(LOG_ST!R111=1,"OK",IF(LOG_ST!R111=2,"NR",IF(OR(LOG_ST!R111=0,LOG_ST!R111="X"),"N/A"))))</f>
        <v/>
      </c>
      <c r="O112" s="574" t="str">
        <f>IF($L112="","",IF(LOG_ST!S111=1,"OK",IF(LOG_ST!S111=2,"NR",IF(OR(LOG_ST!S111=0,LOG_ST!S111="X"),"N/A"))))</f>
        <v/>
      </c>
      <c r="P112" s="574" t="str">
        <f>IF($L112="","",IF(LOG_ST!T111=1,"OK",IF(LOG_ST!T111=2,"NR",IF(OR(LOG_ST!T111=0,LOG_ST!T111="X"),"N/A"))))</f>
        <v/>
      </c>
      <c r="Q112" s="574" t="str">
        <f>IF($L112="","",IF(LOG_ST!U111=1,"OK",IF(LOG_ST!U111=2,"NR",IF(OR(LOG_ST!U111=0,LOG_ST!U111="X"),"N/A"))))</f>
        <v/>
      </c>
      <c r="R112" s="574" t="str">
        <f>IF($L112="","",IF(LOG_ST!V111=1,"OK",IF(LOG_ST!V111=2,"NR",IF(OR(LOG_ST!V111=0,LOG_ST!V111="X"),"N/A"))))</f>
        <v/>
      </c>
      <c r="S112" s="574" t="str">
        <f>IF($L112="","",IF(LOG_ST!W111=1,"OK",IF(LOG_ST!W111=2,"NR",IF(OR(LOG_ST!W111=0,LOG_ST!W111="X"),"N/A"))))</f>
        <v/>
      </c>
      <c r="T112" s="574" t="str">
        <f>IF($L112="","",IF(LOG_ST!X111=1,"OK",IF(LOG_ST!X111=2,"NR",IF(OR(LOG_ST!X111=0,LOG_ST!X111="X"),"N/A"))))</f>
        <v/>
      </c>
      <c r="U112" s="574" t="str">
        <f>IF($L112="","",IF(LOG_ST!Y111=1,"OK",IF(LOG_ST!Y111=2,"NR",IF(OR(LOG_ST!Y111=0,LOG_ST!Y111="X"),"N/A"))))</f>
        <v/>
      </c>
      <c r="V112" s="574" t="str">
        <f>IF($L112="","",IF(LOG_ST!Z111=1,"OK",IF(LOG_ST!Z111=2,"NR",IF(OR(LOG_ST!Z111=0,LOG_ST!Z111="X"),"N/A"))))</f>
        <v/>
      </c>
      <c r="W112" s="574" t="str">
        <f>IF($L112="","",IF(LOG_ST!AA111=1,"OK",IF(LOG_ST!AA111=2,"NR",IF(OR(LOG_ST!AA111=0,LOG_ST!AA111="X"),"N/A"))))</f>
        <v/>
      </c>
      <c r="X112" s="574" t="str">
        <f>IF($L112="","",IF(LOG_ST!AB111=1,"OK",IF(LOG_ST!AB111=2,"NR",IF(OR(LOG_ST!AB111=0,LOG_ST!AB111="X"),"N/A"))))</f>
        <v/>
      </c>
      <c r="Y112" s="574" t="str">
        <f>IF($L112="","",IF(LOG_ST!AC111=1,"OK",IF(LOG_ST!AC111=2,"NR",IF(OR(LOG_ST!AC111=0,LOG_ST!AC111="X"),"N/A"))))</f>
        <v/>
      </c>
      <c r="Z112" s="574" t="str">
        <f>IF($L112="","",IF(OR(LOG_ST!AD111=0,LOG_ST!AD111="X"),"N/A",LOG_ST!AD111))</f>
        <v/>
      </c>
      <c r="AA112" s="574" t="str">
        <f>IF($L112="","",IF(LOG_ST!AE111=1,"OK",IF(LOG_ST!AE111=2,"NR",IF(OR(LOG_ST!AE111=0,LOG_ST!AE111="X"),"N/A"))))</f>
        <v/>
      </c>
      <c r="AB112" s="574" t="str">
        <f>IF($L112="","",IF(LOG_ST!AF111=1,"OK",IF(LOG_ST!AF111=2,"NR",IF(OR(LOG_ST!AF111=0,LOG_ST!AF111="X"),"N/A"))))</f>
        <v/>
      </c>
      <c r="AC112" s="574" t="str">
        <f>IF($L112="","",IF(LOG_ST!AG111=1,"OK",IF(LOG_ST!AG111=2,"NR",IF(OR(LOG_ST!AG111=0,LOG_ST!AG111="X"),"N/A"))))</f>
        <v/>
      </c>
      <c r="AD112" s="574" t="str">
        <f>IF($L112="","",IF(OR(LOG_ST!AH111=0,LOG_ST!AH111="X"),"N/A",LOG_ST!AH111))</f>
        <v/>
      </c>
      <c r="AE112" s="574" t="str">
        <f>IF($L112="","",IF(LOG_ST!AI111=1,"OK",IF(LOG_ST!AI111=2,"NR",IF(OR(LOG_ST!AI111=0,LOG_ST!AI111="X"),"N/A"))))</f>
        <v/>
      </c>
      <c r="AF112" s="574" t="str">
        <f>IF($L112="","",IF(LOG_ST!AJ111=1,"OK",IF(LOG_ST!AJ111=2,"NR",IF(OR(LOG_ST!AJ111=0,LOG_ST!AJ111="X"),"N/A"))))</f>
        <v/>
      </c>
      <c r="AG112" s="574" t="str">
        <f>IF($L112="","",IF(LOG_ST!AK111=1,"OK",IF(LOG_ST!AK111=2,"NR",IF(OR(LOG_ST!AK111=0,LOG_ST!AK111="X"),"N/A"))))</f>
        <v/>
      </c>
      <c r="AH112" s="574" t="str">
        <f>IF($L112="","",IF(LOG_ST!AL111=1,"OK",IF(LOG_ST!AL111=2,"NR",IF(OR(LOG_ST!AL111=0,LOG_ST!AL111="X"),"N/A"))))</f>
        <v/>
      </c>
      <c r="AI112" s="574" t="str">
        <f>IF($L112="","",IF(LOG_ST!AM111=1,"OK",IF(LOG_ST!AM111=2,"NR",IF(OR(LOG_ST!AM111=0,LOG_ST!AM111="X"),"N/A"))))</f>
        <v/>
      </c>
      <c r="AJ112" s="574" t="str">
        <f>IF($L112="","",IF(LOG_ST!AN111=1,"OK",IF(LOG_ST!AN111=2,"NR",IF(OR(LOG_ST!AN111=0,LOG_ST!AN111="X"),"N/A"))))</f>
        <v/>
      </c>
      <c r="AK112" s="574" t="str">
        <f>IF($L112="","",IF(LOG_ST!AO111=1,"OK",IF(LOG_ST!AO111=2,"NR",IF(OR(LOG_ST!AO111=0,LOG_ST!AO111="X"),"N/A"))))</f>
        <v/>
      </c>
      <c r="AL112" s="574" t="str">
        <f>IF($L112="","",IF(LOG_ST!AP111=1,"OK",IF(LOG_ST!AP111=2,"NR",IF(OR(LOG_ST!AP111=0,LOG_ST!AP111="X"),"N/A"))))</f>
        <v/>
      </c>
      <c r="AM112" s="574" t="str">
        <f>IF($L112="","",IF(LOG_ST!AQ111=1,"OK",IF(LOG_ST!AQ111=2,"NR",IF(OR(LOG_ST!AQ111=0,LOG_ST!AQ111="X"),"N/A"))))</f>
        <v/>
      </c>
      <c r="AN112" s="550" t="str">
        <f t="shared" si="1"/>
        <v/>
      </c>
    </row>
    <row r="113" spans="2:40" x14ac:dyDescent="0.25">
      <c r="B113" s="551" t="str">
        <f>IF(LOG_ST!F112="","",VLOOKUP(LOG_ST!F112,DATA_BASE!$A$46:$C$57,2,FALSE))</f>
        <v/>
      </c>
      <c r="C113" s="570" t="str">
        <f>IF(LOG_ST!G112="","",VLOOKUP(LOG_ST!G112,DATA_HDG,2,FALSE))</f>
        <v/>
      </c>
      <c r="D113" s="571" t="str">
        <f>IF(LOG_ST!H112="","",LOG_ST!H112)</f>
        <v/>
      </c>
      <c r="E113" s="570" t="str">
        <f>IF(LOG_ST!I112="","",VLOOKUP(LOG_ST!I112,DATA_COP,2,FALSE))</f>
        <v/>
      </c>
      <c r="F113" s="573" t="str">
        <f>IF(LOG_ST!J112="","",LOG_ST!J112)</f>
        <v/>
      </c>
      <c r="G113" s="570" t="str">
        <f>IF(LOG_ST!K112="","",VLOOKUP(LOG_ST!K112,DATA_SCIES,2,FALSE))</f>
        <v/>
      </c>
      <c r="H113" s="570" t="str">
        <f>IF(LOG_ST!L112="","",VLOOKUP(LOG_ST!L112,DATA_ST!$U$7:$V$64,2,FALSE))</f>
        <v/>
      </c>
      <c r="I113" s="570" t="str">
        <f>IF(LOG_ST!M112="","",LOG_ST!M112)</f>
        <v/>
      </c>
      <c r="J113" s="570" t="str">
        <f>IF(LOG_ST!N112="","",LOG_ST!N112)</f>
        <v/>
      </c>
      <c r="K113" s="573" t="str">
        <f>IF(LOG_ST!O112="","",LOG_ST!O112)</f>
        <v/>
      </c>
      <c r="L113" s="573" t="str">
        <f>IF(LOG_ST!P112="","",LOG_ST!P112)</f>
        <v/>
      </c>
      <c r="M113" s="574" t="str">
        <f>IF($L113="","",IF(LOG_ST!Q112=1,"OK",IF(LOG_ST!Q112=2,"NR",IF(OR(LOG_ST!Q112=0,LOG_ST!Q112="X"),"N/A"))))</f>
        <v/>
      </c>
      <c r="N113" s="574" t="str">
        <f>IF($L113="","",IF(LOG_ST!R112=1,"OK",IF(LOG_ST!R112=2,"NR",IF(OR(LOG_ST!R112=0,LOG_ST!R112="X"),"N/A"))))</f>
        <v/>
      </c>
      <c r="O113" s="574" t="str">
        <f>IF($L113="","",IF(LOG_ST!S112=1,"OK",IF(LOG_ST!S112=2,"NR",IF(OR(LOG_ST!S112=0,LOG_ST!S112="X"),"N/A"))))</f>
        <v/>
      </c>
      <c r="P113" s="574" t="str">
        <f>IF($L113="","",IF(LOG_ST!T112=1,"OK",IF(LOG_ST!T112=2,"NR",IF(OR(LOG_ST!T112=0,LOG_ST!T112="X"),"N/A"))))</f>
        <v/>
      </c>
      <c r="Q113" s="574" t="str">
        <f>IF($L113="","",IF(LOG_ST!U112=1,"OK",IF(LOG_ST!U112=2,"NR",IF(OR(LOG_ST!U112=0,LOG_ST!U112="X"),"N/A"))))</f>
        <v/>
      </c>
      <c r="R113" s="574" t="str">
        <f>IF($L113="","",IF(LOG_ST!V112=1,"OK",IF(LOG_ST!V112=2,"NR",IF(OR(LOG_ST!V112=0,LOG_ST!V112="X"),"N/A"))))</f>
        <v/>
      </c>
      <c r="S113" s="574" t="str">
        <f>IF($L113="","",IF(LOG_ST!W112=1,"OK",IF(LOG_ST!W112=2,"NR",IF(OR(LOG_ST!W112=0,LOG_ST!W112="X"),"N/A"))))</f>
        <v/>
      </c>
      <c r="T113" s="574" t="str">
        <f>IF($L113="","",IF(LOG_ST!X112=1,"OK",IF(LOG_ST!X112=2,"NR",IF(OR(LOG_ST!X112=0,LOG_ST!X112="X"),"N/A"))))</f>
        <v/>
      </c>
      <c r="U113" s="574" t="str">
        <f>IF($L113="","",IF(LOG_ST!Y112=1,"OK",IF(LOG_ST!Y112=2,"NR",IF(OR(LOG_ST!Y112=0,LOG_ST!Y112="X"),"N/A"))))</f>
        <v/>
      </c>
      <c r="V113" s="574" t="str">
        <f>IF($L113="","",IF(LOG_ST!Z112=1,"OK",IF(LOG_ST!Z112=2,"NR",IF(OR(LOG_ST!Z112=0,LOG_ST!Z112="X"),"N/A"))))</f>
        <v/>
      </c>
      <c r="W113" s="574" t="str">
        <f>IF($L113="","",IF(LOG_ST!AA112=1,"OK",IF(LOG_ST!AA112=2,"NR",IF(OR(LOG_ST!AA112=0,LOG_ST!AA112="X"),"N/A"))))</f>
        <v/>
      </c>
      <c r="X113" s="574" t="str">
        <f>IF($L113="","",IF(LOG_ST!AB112=1,"OK",IF(LOG_ST!AB112=2,"NR",IF(OR(LOG_ST!AB112=0,LOG_ST!AB112="X"),"N/A"))))</f>
        <v/>
      </c>
      <c r="Y113" s="574" t="str">
        <f>IF($L113="","",IF(LOG_ST!AC112=1,"OK",IF(LOG_ST!AC112=2,"NR",IF(OR(LOG_ST!AC112=0,LOG_ST!AC112="X"),"N/A"))))</f>
        <v/>
      </c>
      <c r="Z113" s="574" t="str">
        <f>IF($L113="","",IF(OR(LOG_ST!AD112=0,LOG_ST!AD112="X"),"N/A",LOG_ST!AD112))</f>
        <v/>
      </c>
      <c r="AA113" s="574" t="str">
        <f>IF($L113="","",IF(LOG_ST!AE112=1,"OK",IF(LOG_ST!AE112=2,"NR",IF(OR(LOG_ST!AE112=0,LOG_ST!AE112="X"),"N/A"))))</f>
        <v/>
      </c>
      <c r="AB113" s="574" t="str">
        <f>IF($L113="","",IF(LOG_ST!AF112=1,"OK",IF(LOG_ST!AF112=2,"NR",IF(OR(LOG_ST!AF112=0,LOG_ST!AF112="X"),"N/A"))))</f>
        <v/>
      </c>
      <c r="AC113" s="574" t="str">
        <f>IF($L113="","",IF(LOG_ST!AG112=1,"OK",IF(LOG_ST!AG112=2,"NR",IF(OR(LOG_ST!AG112=0,LOG_ST!AG112="X"),"N/A"))))</f>
        <v/>
      </c>
      <c r="AD113" s="574" t="str">
        <f>IF($L113="","",IF(OR(LOG_ST!AH112=0,LOG_ST!AH112="X"),"N/A",LOG_ST!AH112))</f>
        <v/>
      </c>
      <c r="AE113" s="574" t="str">
        <f>IF($L113="","",IF(LOG_ST!AI112=1,"OK",IF(LOG_ST!AI112=2,"NR",IF(OR(LOG_ST!AI112=0,LOG_ST!AI112="X"),"N/A"))))</f>
        <v/>
      </c>
      <c r="AF113" s="574" t="str">
        <f>IF($L113="","",IF(LOG_ST!AJ112=1,"OK",IF(LOG_ST!AJ112=2,"NR",IF(OR(LOG_ST!AJ112=0,LOG_ST!AJ112="X"),"N/A"))))</f>
        <v/>
      </c>
      <c r="AG113" s="574" t="str">
        <f>IF($L113="","",IF(LOG_ST!AK112=1,"OK",IF(LOG_ST!AK112=2,"NR",IF(OR(LOG_ST!AK112=0,LOG_ST!AK112="X"),"N/A"))))</f>
        <v/>
      </c>
      <c r="AH113" s="574" t="str">
        <f>IF($L113="","",IF(LOG_ST!AL112=1,"OK",IF(LOG_ST!AL112=2,"NR",IF(OR(LOG_ST!AL112=0,LOG_ST!AL112="X"),"N/A"))))</f>
        <v/>
      </c>
      <c r="AI113" s="574" t="str">
        <f>IF($L113="","",IF(LOG_ST!AM112=1,"OK",IF(LOG_ST!AM112=2,"NR",IF(OR(LOG_ST!AM112=0,LOG_ST!AM112="X"),"N/A"))))</f>
        <v/>
      </c>
      <c r="AJ113" s="574" t="str">
        <f>IF($L113="","",IF(LOG_ST!AN112=1,"OK",IF(LOG_ST!AN112=2,"NR",IF(OR(LOG_ST!AN112=0,LOG_ST!AN112="X"),"N/A"))))</f>
        <v/>
      </c>
      <c r="AK113" s="574" t="str">
        <f>IF($L113="","",IF(LOG_ST!AO112=1,"OK",IF(LOG_ST!AO112=2,"NR",IF(OR(LOG_ST!AO112=0,LOG_ST!AO112="X"),"N/A"))))</f>
        <v/>
      </c>
      <c r="AL113" s="574" t="str">
        <f>IF($L113="","",IF(LOG_ST!AP112=1,"OK",IF(LOG_ST!AP112=2,"NR",IF(OR(LOG_ST!AP112=0,LOG_ST!AP112="X"),"N/A"))))</f>
        <v/>
      </c>
      <c r="AM113" s="574" t="str">
        <f>IF($L113="","",IF(LOG_ST!AQ112=1,"OK",IF(LOG_ST!AQ112=2,"NR",IF(OR(LOG_ST!AQ112=0,LOG_ST!AQ112="X"),"N/A"))))</f>
        <v/>
      </c>
      <c r="AN113" s="550" t="str">
        <f t="shared" si="1"/>
        <v/>
      </c>
    </row>
    <row r="114" spans="2:40" x14ac:dyDescent="0.25">
      <c r="B114" s="551" t="str">
        <f>IF(LOG_ST!F113="","",VLOOKUP(LOG_ST!F113,DATA_BASE!$A$46:$C$57,2,FALSE))</f>
        <v/>
      </c>
      <c r="C114" s="570" t="str">
        <f>IF(LOG_ST!G113="","",VLOOKUP(LOG_ST!G113,DATA_HDG,2,FALSE))</f>
        <v/>
      </c>
      <c r="D114" s="571" t="str">
        <f>IF(LOG_ST!H113="","",LOG_ST!H113)</f>
        <v/>
      </c>
      <c r="E114" s="570" t="str">
        <f>IF(LOG_ST!I113="","",VLOOKUP(LOG_ST!I113,DATA_COP,2,FALSE))</f>
        <v/>
      </c>
      <c r="F114" s="573" t="str">
        <f>IF(LOG_ST!J113="","",LOG_ST!J113)</f>
        <v/>
      </c>
      <c r="G114" s="570" t="str">
        <f>IF(LOG_ST!K113="","",VLOOKUP(LOG_ST!K113,DATA_SCIES,2,FALSE))</f>
        <v/>
      </c>
      <c r="H114" s="570" t="str">
        <f>IF(LOG_ST!L113="","",VLOOKUP(LOG_ST!L113,DATA_ST!$U$7:$V$64,2,FALSE))</f>
        <v/>
      </c>
      <c r="I114" s="570" t="str">
        <f>IF(LOG_ST!M113="","",LOG_ST!M113)</f>
        <v/>
      </c>
      <c r="J114" s="570" t="str">
        <f>IF(LOG_ST!N113="","",LOG_ST!N113)</f>
        <v/>
      </c>
      <c r="K114" s="573" t="str">
        <f>IF(LOG_ST!O113="","",LOG_ST!O113)</f>
        <v/>
      </c>
      <c r="L114" s="573" t="str">
        <f>IF(LOG_ST!P113="","",LOG_ST!P113)</f>
        <v/>
      </c>
      <c r="M114" s="574" t="str">
        <f>IF($L114="","",IF(LOG_ST!Q113=1,"OK",IF(LOG_ST!Q113=2,"NR",IF(OR(LOG_ST!Q113=0,LOG_ST!Q113="X"),"N/A"))))</f>
        <v/>
      </c>
      <c r="N114" s="574" t="str">
        <f>IF($L114="","",IF(LOG_ST!R113=1,"OK",IF(LOG_ST!R113=2,"NR",IF(OR(LOG_ST!R113=0,LOG_ST!R113="X"),"N/A"))))</f>
        <v/>
      </c>
      <c r="O114" s="574" t="str">
        <f>IF($L114="","",IF(LOG_ST!S113=1,"OK",IF(LOG_ST!S113=2,"NR",IF(OR(LOG_ST!S113=0,LOG_ST!S113="X"),"N/A"))))</f>
        <v/>
      </c>
      <c r="P114" s="574" t="str">
        <f>IF($L114="","",IF(LOG_ST!T113=1,"OK",IF(LOG_ST!T113=2,"NR",IF(OR(LOG_ST!T113=0,LOG_ST!T113="X"),"N/A"))))</f>
        <v/>
      </c>
      <c r="Q114" s="574" t="str">
        <f>IF($L114="","",IF(LOG_ST!U113=1,"OK",IF(LOG_ST!U113=2,"NR",IF(OR(LOG_ST!U113=0,LOG_ST!U113="X"),"N/A"))))</f>
        <v/>
      </c>
      <c r="R114" s="574" t="str">
        <f>IF($L114="","",IF(LOG_ST!V113=1,"OK",IF(LOG_ST!V113=2,"NR",IF(OR(LOG_ST!V113=0,LOG_ST!V113="X"),"N/A"))))</f>
        <v/>
      </c>
      <c r="S114" s="574" t="str">
        <f>IF($L114="","",IF(LOG_ST!W113=1,"OK",IF(LOG_ST!W113=2,"NR",IF(OR(LOG_ST!W113=0,LOG_ST!W113="X"),"N/A"))))</f>
        <v/>
      </c>
      <c r="T114" s="574" t="str">
        <f>IF($L114="","",IF(LOG_ST!X113=1,"OK",IF(LOG_ST!X113=2,"NR",IF(OR(LOG_ST!X113=0,LOG_ST!X113="X"),"N/A"))))</f>
        <v/>
      </c>
      <c r="U114" s="574" t="str">
        <f>IF($L114="","",IF(LOG_ST!Y113=1,"OK",IF(LOG_ST!Y113=2,"NR",IF(OR(LOG_ST!Y113=0,LOG_ST!Y113="X"),"N/A"))))</f>
        <v/>
      </c>
      <c r="V114" s="574" t="str">
        <f>IF($L114="","",IF(LOG_ST!Z113=1,"OK",IF(LOG_ST!Z113=2,"NR",IF(OR(LOG_ST!Z113=0,LOG_ST!Z113="X"),"N/A"))))</f>
        <v/>
      </c>
      <c r="W114" s="574" t="str">
        <f>IF($L114="","",IF(LOG_ST!AA113=1,"OK",IF(LOG_ST!AA113=2,"NR",IF(OR(LOG_ST!AA113=0,LOG_ST!AA113="X"),"N/A"))))</f>
        <v/>
      </c>
      <c r="X114" s="574" t="str">
        <f>IF($L114="","",IF(LOG_ST!AB113=1,"OK",IF(LOG_ST!AB113=2,"NR",IF(OR(LOG_ST!AB113=0,LOG_ST!AB113="X"),"N/A"))))</f>
        <v/>
      </c>
      <c r="Y114" s="574" t="str">
        <f>IF($L114="","",IF(LOG_ST!AC113=1,"OK",IF(LOG_ST!AC113=2,"NR",IF(OR(LOG_ST!AC113=0,LOG_ST!AC113="X"),"N/A"))))</f>
        <v/>
      </c>
      <c r="Z114" s="574" t="str">
        <f>IF($L114="","",IF(OR(LOG_ST!AD113=0,LOG_ST!AD113="X"),"N/A",LOG_ST!AD113))</f>
        <v/>
      </c>
      <c r="AA114" s="574" t="str">
        <f>IF($L114="","",IF(LOG_ST!AE113=1,"OK",IF(LOG_ST!AE113=2,"NR",IF(OR(LOG_ST!AE113=0,LOG_ST!AE113="X"),"N/A"))))</f>
        <v/>
      </c>
      <c r="AB114" s="574" t="str">
        <f>IF($L114="","",IF(LOG_ST!AF113=1,"OK",IF(LOG_ST!AF113=2,"NR",IF(OR(LOG_ST!AF113=0,LOG_ST!AF113="X"),"N/A"))))</f>
        <v/>
      </c>
      <c r="AC114" s="574" t="str">
        <f>IF($L114="","",IF(LOG_ST!AG113=1,"OK",IF(LOG_ST!AG113=2,"NR",IF(OR(LOG_ST!AG113=0,LOG_ST!AG113="X"),"N/A"))))</f>
        <v/>
      </c>
      <c r="AD114" s="574" t="str">
        <f>IF($L114="","",IF(OR(LOG_ST!AH113=0,LOG_ST!AH113="X"),"N/A",LOG_ST!AH113))</f>
        <v/>
      </c>
      <c r="AE114" s="574" t="str">
        <f>IF($L114="","",IF(LOG_ST!AI113=1,"OK",IF(LOG_ST!AI113=2,"NR",IF(OR(LOG_ST!AI113=0,LOG_ST!AI113="X"),"N/A"))))</f>
        <v/>
      </c>
      <c r="AF114" s="574" t="str">
        <f>IF($L114="","",IF(LOG_ST!AJ113=1,"OK",IF(LOG_ST!AJ113=2,"NR",IF(OR(LOG_ST!AJ113=0,LOG_ST!AJ113="X"),"N/A"))))</f>
        <v/>
      </c>
      <c r="AG114" s="574" t="str">
        <f>IF($L114="","",IF(LOG_ST!AK113=1,"OK",IF(LOG_ST!AK113=2,"NR",IF(OR(LOG_ST!AK113=0,LOG_ST!AK113="X"),"N/A"))))</f>
        <v/>
      </c>
      <c r="AH114" s="574" t="str">
        <f>IF($L114="","",IF(LOG_ST!AL113=1,"OK",IF(LOG_ST!AL113=2,"NR",IF(OR(LOG_ST!AL113=0,LOG_ST!AL113="X"),"N/A"))))</f>
        <v/>
      </c>
      <c r="AI114" s="574" t="str">
        <f>IF($L114="","",IF(LOG_ST!AM113=1,"OK",IF(LOG_ST!AM113=2,"NR",IF(OR(LOG_ST!AM113=0,LOG_ST!AM113="X"),"N/A"))))</f>
        <v/>
      </c>
      <c r="AJ114" s="574" t="str">
        <f>IF($L114="","",IF(LOG_ST!AN113=1,"OK",IF(LOG_ST!AN113=2,"NR",IF(OR(LOG_ST!AN113=0,LOG_ST!AN113="X"),"N/A"))))</f>
        <v/>
      </c>
      <c r="AK114" s="574" t="str">
        <f>IF($L114="","",IF(LOG_ST!AO113=1,"OK",IF(LOG_ST!AO113=2,"NR",IF(OR(LOG_ST!AO113=0,LOG_ST!AO113="X"),"N/A"))))</f>
        <v/>
      </c>
      <c r="AL114" s="574" t="str">
        <f>IF($L114="","",IF(LOG_ST!AP113=1,"OK",IF(LOG_ST!AP113=2,"NR",IF(OR(LOG_ST!AP113=0,LOG_ST!AP113="X"),"N/A"))))</f>
        <v/>
      </c>
      <c r="AM114" s="574" t="str">
        <f>IF($L114="","",IF(LOG_ST!AQ113=1,"OK",IF(LOG_ST!AQ113=2,"NR",IF(OR(LOG_ST!AQ113=0,LOG_ST!AQ113="X"),"N/A"))))</f>
        <v/>
      </c>
      <c r="AN114" s="550" t="str">
        <f t="shared" si="1"/>
        <v/>
      </c>
    </row>
    <row r="115" spans="2:40" x14ac:dyDescent="0.25">
      <c r="B115" s="551" t="str">
        <f>IF(LOG_ST!F114="","",VLOOKUP(LOG_ST!F114,DATA_BASE!$A$46:$C$57,2,FALSE))</f>
        <v/>
      </c>
      <c r="C115" s="570" t="str">
        <f>IF(LOG_ST!G114="","",VLOOKUP(LOG_ST!G114,DATA_HDG,2,FALSE))</f>
        <v/>
      </c>
      <c r="D115" s="571" t="str">
        <f>IF(LOG_ST!H114="","",LOG_ST!H114)</f>
        <v/>
      </c>
      <c r="E115" s="570" t="str">
        <f>IF(LOG_ST!I114="","",VLOOKUP(LOG_ST!I114,DATA_COP,2,FALSE))</f>
        <v/>
      </c>
      <c r="F115" s="573" t="str">
        <f>IF(LOG_ST!J114="","",LOG_ST!J114)</f>
        <v/>
      </c>
      <c r="G115" s="570" t="str">
        <f>IF(LOG_ST!K114="","",VLOOKUP(LOG_ST!K114,DATA_SCIES,2,FALSE))</f>
        <v/>
      </c>
      <c r="H115" s="570" t="str">
        <f>IF(LOG_ST!L114="","",VLOOKUP(LOG_ST!L114,DATA_ST!$U$7:$V$64,2,FALSE))</f>
        <v/>
      </c>
      <c r="I115" s="570" t="str">
        <f>IF(LOG_ST!M114="","",LOG_ST!M114)</f>
        <v/>
      </c>
      <c r="J115" s="570" t="str">
        <f>IF(LOG_ST!N114="","",LOG_ST!N114)</f>
        <v/>
      </c>
      <c r="K115" s="573" t="str">
        <f>IF(LOG_ST!O114="","",LOG_ST!O114)</f>
        <v/>
      </c>
      <c r="L115" s="573" t="str">
        <f>IF(LOG_ST!P114="","",LOG_ST!P114)</f>
        <v/>
      </c>
      <c r="M115" s="574" t="str">
        <f>IF($L115="","",IF(LOG_ST!Q114=1,"OK",IF(LOG_ST!Q114=2,"NR",IF(OR(LOG_ST!Q114=0,LOG_ST!Q114="X"),"N/A"))))</f>
        <v/>
      </c>
      <c r="N115" s="574" t="str">
        <f>IF($L115="","",IF(LOG_ST!R114=1,"OK",IF(LOG_ST!R114=2,"NR",IF(OR(LOG_ST!R114=0,LOG_ST!R114="X"),"N/A"))))</f>
        <v/>
      </c>
      <c r="O115" s="574" t="str">
        <f>IF($L115="","",IF(LOG_ST!S114=1,"OK",IF(LOG_ST!S114=2,"NR",IF(OR(LOG_ST!S114=0,LOG_ST!S114="X"),"N/A"))))</f>
        <v/>
      </c>
      <c r="P115" s="574" t="str">
        <f>IF($L115="","",IF(LOG_ST!T114=1,"OK",IF(LOG_ST!T114=2,"NR",IF(OR(LOG_ST!T114=0,LOG_ST!T114="X"),"N/A"))))</f>
        <v/>
      </c>
      <c r="Q115" s="574" t="str">
        <f>IF($L115="","",IF(LOG_ST!U114=1,"OK",IF(LOG_ST!U114=2,"NR",IF(OR(LOG_ST!U114=0,LOG_ST!U114="X"),"N/A"))))</f>
        <v/>
      </c>
      <c r="R115" s="574" t="str">
        <f>IF($L115="","",IF(LOG_ST!V114=1,"OK",IF(LOG_ST!V114=2,"NR",IF(OR(LOG_ST!V114=0,LOG_ST!V114="X"),"N/A"))))</f>
        <v/>
      </c>
      <c r="S115" s="574" t="str">
        <f>IF($L115="","",IF(LOG_ST!W114=1,"OK",IF(LOG_ST!W114=2,"NR",IF(OR(LOG_ST!W114=0,LOG_ST!W114="X"),"N/A"))))</f>
        <v/>
      </c>
      <c r="T115" s="574" t="str">
        <f>IF($L115="","",IF(LOG_ST!X114=1,"OK",IF(LOG_ST!X114=2,"NR",IF(OR(LOG_ST!X114=0,LOG_ST!X114="X"),"N/A"))))</f>
        <v/>
      </c>
      <c r="U115" s="574" t="str">
        <f>IF($L115="","",IF(LOG_ST!Y114=1,"OK",IF(LOG_ST!Y114=2,"NR",IF(OR(LOG_ST!Y114=0,LOG_ST!Y114="X"),"N/A"))))</f>
        <v/>
      </c>
      <c r="V115" s="574" t="str">
        <f>IF($L115="","",IF(LOG_ST!Z114=1,"OK",IF(LOG_ST!Z114=2,"NR",IF(OR(LOG_ST!Z114=0,LOG_ST!Z114="X"),"N/A"))))</f>
        <v/>
      </c>
      <c r="W115" s="574" t="str">
        <f>IF($L115="","",IF(LOG_ST!AA114=1,"OK",IF(LOG_ST!AA114=2,"NR",IF(OR(LOG_ST!AA114=0,LOG_ST!AA114="X"),"N/A"))))</f>
        <v/>
      </c>
      <c r="X115" s="574" t="str">
        <f>IF($L115="","",IF(LOG_ST!AB114=1,"OK",IF(LOG_ST!AB114=2,"NR",IF(OR(LOG_ST!AB114=0,LOG_ST!AB114="X"),"N/A"))))</f>
        <v/>
      </c>
      <c r="Y115" s="574" t="str">
        <f>IF($L115="","",IF(LOG_ST!AC114=1,"OK",IF(LOG_ST!AC114=2,"NR",IF(OR(LOG_ST!AC114=0,LOG_ST!AC114="X"),"N/A"))))</f>
        <v/>
      </c>
      <c r="Z115" s="574" t="str">
        <f>IF($L115="","",IF(OR(LOG_ST!AD114=0,LOG_ST!AD114="X"),"N/A",LOG_ST!AD114))</f>
        <v/>
      </c>
      <c r="AA115" s="574" t="str">
        <f>IF($L115="","",IF(LOG_ST!AE114=1,"OK",IF(LOG_ST!AE114=2,"NR",IF(OR(LOG_ST!AE114=0,LOG_ST!AE114="X"),"N/A"))))</f>
        <v/>
      </c>
      <c r="AB115" s="574" t="str">
        <f>IF($L115="","",IF(LOG_ST!AF114=1,"OK",IF(LOG_ST!AF114=2,"NR",IF(OR(LOG_ST!AF114=0,LOG_ST!AF114="X"),"N/A"))))</f>
        <v/>
      </c>
      <c r="AC115" s="574" t="str">
        <f>IF($L115="","",IF(LOG_ST!AG114=1,"OK",IF(LOG_ST!AG114=2,"NR",IF(OR(LOG_ST!AG114=0,LOG_ST!AG114="X"),"N/A"))))</f>
        <v/>
      </c>
      <c r="AD115" s="574" t="str">
        <f>IF($L115="","",IF(OR(LOG_ST!AH114=0,LOG_ST!AH114="X"),"N/A",LOG_ST!AH114))</f>
        <v/>
      </c>
      <c r="AE115" s="574" t="str">
        <f>IF($L115="","",IF(LOG_ST!AI114=1,"OK",IF(LOG_ST!AI114=2,"NR",IF(OR(LOG_ST!AI114=0,LOG_ST!AI114="X"),"N/A"))))</f>
        <v/>
      </c>
      <c r="AF115" s="574" t="str">
        <f>IF($L115="","",IF(LOG_ST!AJ114=1,"OK",IF(LOG_ST!AJ114=2,"NR",IF(OR(LOG_ST!AJ114=0,LOG_ST!AJ114="X"),"N/A"))))</f>
        <v/>
      </c>
      <c r="AG115" s="574" t="str">
        <f>IF($L115="","",IF(LOG_ST!AK114=1,"OK",IF(LOG_ST!AK114=2,"NR",IF(OR(LOG_ST!AK114=0,LOG_ST!AK114="X"),"N/A"))))</f>
        <v/>
      </c>
      <c r="AH115" s="574" t="str">
        <f>IF($L115="","",IF(LOG_ST!AL114=1,"OK",IF(LOG_ST!AL114=2,"NR",IF(OR(LOG_ST!AL114=0,LOG_ST!AL114="X"),"N/A"))))</f>
        <v/>
      </c>
      <c r="AI115" s="574" t="str">
        <f>IF($L115="","",IF(LOG_ST!AM114=1,"OK",IF(LOG_ST!AM114=2,"NR",IF(OR(LOG_ST!AM114=0,LOG_ST!AM114="X"),"N/A"))))</f>
        <v/>
      </c>
      <c r="AJ115" s="574" t="str">
        <f>IF($L115="","",IF(LOG_ST!AN114=1,"OK",IF(LOG_ST!AN114=2,"NR",IF(OR(LOG_ST!AN114=0,LOG_ST!AN114="X"),"N/A"))))</f>
        <v/>
      </c>
      <c r="AK115" s="574" t="str">
        <f>IF($L115="","",IF(LOG_ST!AO114=1,"OK",IF(LOG_ST!AO114=2,"NR",IF(OR(LOG_ST!AO114=0,LOG_ST!AO114="X"),"N/A"))))</f>
        <v/>
      </c>
      <c r="AL115" s="574" t="str">
        <f>IF($L115="","",IF(LOG_ST!AP114=1,"OK",IF(LOG_ST!AP114=2,"NR",IF(OR(LOG_ST!AP114=0,LOG_ST!AP114="X"),"N/A"))))</f>
        <v/>
      </c>
      <c r="AM115" s="574" t="str">
        <f>IF($L115="","",IF(LOG_ST!AQ114=1,"OK",IF(LOG_ST!AQ114=2,"NR",IF(OR(LOG_ST!AQ114=0,LOG_ST!AQ114="X"),"N/A"))))</f>
        <v/>
      </c>
      <c r="AN115" s="550" t="str">
        <f t="shared" si="1"/>
        <v/>
      </c>
    </row>
    <row r="116" spans="2:40" x14ac:dyDescent="0.25">
      <c r="B116" s="551" t="str">
        <f>IF(LOG_ST!F115="","",VLOOKUP(LOG_ST!F115,DATA_BASE!$A$46:$C$57,2,FALSE))</f>
        <v/>
      </c>
      <c r="C116" s="570" t="str">
        <f>IF(LOG_ST!G115="","",VLOOKUP(LOG_ST!G115,DATA_HDG,2,FALSE))</f>
        <v/>
      </c>
      <c r="D116" s="571" t="str">
        <f>IF(LOG_ST!H115="","",LOG_ST!H115)</f>
        <v/>
      </c>
      <c r="E116" s="570" t="str">
        <f>IF(LOG_ST!I115="","",VLOOKUP(LOG_ST!I115,DATA_COP,2,FALSE))</f>
        <v/>
      </c>
      <c r="F116" s="573" t="str">
        <f>IF(LOG_ST!J115="","",LOG_ST!J115)</f>
        <v/>
      </c>
      <c r="G116" s="570" t="str">
        <f>IF(LOG_ST!K115="","",VLOOKUP(LOG_ST!K115,DATA_SCIES,2,FALSE))</f>
        <v/>
      </c>
      <c r="H116" s="570" t="str">
        <f>IF(LOG_ST!L115="","",VLOOKUP(LOG_ST!L115,DATA_ST!$U$7:$V$64,2,FALSE))</f>
        <v/>
      </c>
      <c r="I116" s="570" t="str">
        <f>IF(LOG_ST!M115="","",LOG_ST!M115)</f>
        <v/>
      </c>
      <c r="J116" s="570" t="str">
        <f>IF(LOG_ST!N115="","",LOG_ST!N115)</f>
        <v/>
      </c>
      <c r="K116" s="573" t="str">
        <f>IF(LOG_ST!O115="","",LOG_ST!O115)</f>
        <v/>
      </c>
      <c r="L116" s="573" t="str">
        <f>IF(LOG_ST!P115="","",LOG_ST!P115)</f>
        <v/>
      </c>
      <c r="M116" s="574" t="str">
        <f>IF($L116="","",IF(LOG_ST!Q115=1,"OK",IF(LOG_ST!Q115=2,"NR",IF(OR(LOG_ST!Q115=0,LOG_ST!Q115="X"),"N/A"))))</f>
        <v/>
      </c>
      <c r="N116" s="574" t="str">
        <f>IF($L116="","",IF(LOG_ST!R115=1,"OK",IF(LOG_ST!R115=2,"NR",IF(OR(LOG_ST!R115=0,LOG_ST!R115="X"),"N/A"))))</f>
        <v/>
      </c>
      <c r="O116" s="574" t="str">
        <f>IF($L116="","",IF(LOG_ST!S115=1,"OK",IF(LOG_ST!S115=2,"NR",IF(OR(LOG_ST!S115=0,LOG_ST!S115="X"),"N/A"))))</f>
        <v/>
      </c>
      <c r="P116" s="574" t="str">
        <f>IF($L116="","",IF(LOG_ST!T115=1,"OK",IF(LOG_ST!T115=2,"NR",IF(OR(LOG_ST!T115=0,LOG_ST!T115="X"),"N/A"))))</f>
        <v/>
      </c>
      <c r="Q116" s="574" t="str">
        <f>IF($L116="","",IF(LOG_ST!U115=1,"OK",IF(LOG_ST!U115=2,"NR",IF(OR(LOG_ST!U115=0,LOG_ST!U115="X"),"N/A"))))</f>
        <v/>
      </c>
      <c r="R116" s="574" t="str">
        <f>IF($L116="","",IF(LOG_ST!V115=1,"OK",IF(LOG_ST!V115=2,"NR",IF(OR(LOG_ST!V115=0,LOG_ST!V115="X"),"N/A"))))</f>
        <v/>
      </c>
      <c r="S116" s="574" t="str">
        <f>IF($L116="","",IF(LOG_ST!W115=1,"OK",IF(LOG_ST!W115=2,"NR",IF(OR(LOG_ST!W115=0,LOG_ST!W115="X"),"N/A"))))</f>
        <v/>
      </c>
      <c r="T116" s="574" t="str">
        <f>IF($L116="","",IF(LOG_ST!X115=1,"OK",IF(LOG_ST!X115=2,"NR",IF(OR(LOG_ST!X115=0,LOG_ST!X115="X"),"N/A"))))</f>
        <v/>
      </c>
      <c r="U116" s="574" t="str">
        <f>IF($L116="","",IF(LOG_ST!Y115=1,"OK",IF(LOG_ST!Y115=2,"NR",IF(OR(LOG_ST!Y115=0,LOG_ST!Y115="X"),"N/A"))))</f>
        <v/>
      </c>
      <c r="V116" s="574" t="str">
        <f>IF($L116="","",IF(LOG_ST!Z115=1,"OK",IF(LOG_ST!Z115=2,"NR",IF(OR(LOG_ST!Z115=0,LOG_ST!Z115="X"),"N/A"))))</f>
        <v/>
      </c>
      <c r="W116" s="574" t="str">
        <f>IF($L116="","",IF(LOG_ST!AA115=1,"OK",IF(LOG_ST!AA115=2,"NR",IF(OR(LOG_ST!AA115=0,LOG_ST!AA115="X"),"N/A"))))</f>
        <v/>
      </c>
      <c r="X116" s="574" t="str">
        <f>IF($L116="","",IF(LOG_ST!AB115=1,"OK",IF(LOG_ST!AB115=2,"NR",IF(OR(LOG_ST!AB115=0,LOG_ST!AB115="X"),"N/A"))))</f>
        <v/>
      </c>
      <c r="Y116" s="574" t="str">
        <f>IF($L116="","",IF(LOG_ST!AC115=1,"OK",IF(LOG_ST!AC115=2,"NR",IF(OR(LOG_ST!AC115=0,LOG_ST!AC115="X"),"N/A"))))</f>
        <v/>
      </c>
      <c r="Z116" s="574" t="str">
        <f>IF($L116="","",IF(OR(LOG_ST!AD115=0,LOG_ST!AD115="X"),"N/A",LOG_ST!AD115))</f>
        <v/>
      </c>
      <c r="AA116" s="574" t="str">
        <f>IF($L116="","",IF(LOG_ST!AE115=1,"OK",IF(LOG_ST!AE115=2,"NR",IF(OR(LOG_ST!AE115=0,LOG_ST!AE115="X"),"N/A"))))</f>
        <v/>
      </c>
      <c r="AB116" s="574" t="str">
        <f>IF($L116="","",IF(LOG_ST!AF115=1,"OK",IF(LOG_ST!AF115=2,"NR",IF(OR(LOG_ST!AF115=0,LOG_ST!AF115="X"),"N/A"))))</f>
        <v/>
      </c>
      <c r="AC116" s="574" t="str">
        <f>IF($L116="","",IF(LOG_ST!AG115=1,"OK",IF(LOG_ST!AG115=2,"NR",IF(OR(LOG_ST!AG115=0,LOG_ST!AG115="X"),"N/A"))))</f>
        <v/>
      </c>
      <c r="AD116" s="574" t="str">
        <f>IF($L116="","",IF(OR(LOG_ST!AH115=0,LOG_ST!AH115="X"),"N/A",LOG_ST!AH115))</f>
        <v/>
      </c>
      <c r="AE116" s="574" t="str">
        <f>IF($L116="","",IF(LOG_ST!AI115=1,"OK",IF(LOG_ST!AI115=2,"NR",IF(OR(LOG_ST!AI115=0,LOG_ST!AI115="X"),"N/A"))))</f>
        <v/>
      </c>
      <c r="AF116" s="574" t="str">
        <f>IF($L116="","",IF(LOG_ST!AJ115=1,"OK",IF(LOG_ST!AJ115=2,"NR",IF(OR(LOG_ST!AJ115=0,LOG_ST!AJ115="X"),"N/A"))))</f>
        <v/>
      </c>
      <c r="AG116" s="574" t="str">
        <f>IF($L116="","",IF(LOG_ST!AK115=1,"OK",IF(LOG_ST!AK115=2,"NR",IF(OR(LOG_ST!AK115=0,LOG_ST!AK115="X"),"N/A"))))</f>
        <v/>
      </c>
      <c r="AH116" s="574" t="str">
        <f>IF($L116="","",IF(LOG_ST!AL115=1,"OK",IF(LOG_ST!AL115=2,"NR",IF(OR(LOG_ST!AL115=0,LOG_ST!AL115="X"),"N/A"))))</f>
        <v/>
      </c>
      <c r="AI116" s="574" t="str">
        <f>IF($L116="","",IF(LOG_ST!AM115=1,"OK",IF(LOG_ST!AM115=2,"NR",IF(OR(LOG_ST!AM115=0,LOG_ST!AM115="X"),"N/A"))))</f>
        <v/>
      </c>
      <c r="AJ116" s="574" t="str">
        <f>IF($L116="","",IF(LOG_ST!AN115=1,"OK",IF(LOG_ST!AN115=2,"NR",IF(OR(LOG_ST!AN115=0,LOG_ST!AN115="X"),"N/A"))))</f>
        <v/>
      </c>
      <c r="AK116" s="574" t="str">
        <f>IF($L116="","",IF(LOG_ST!AO115=1,"OK",IF(LOG_ST!AO115=2,"NR",IF(OR(LOG_ST!AO115=0,LOG_ST!AO115="X"),"N/A"))))</f>
        <v/>
      </c>
      <c r="AL116" s="574" t="str">
        <f>IF($L116="","",IF(LOG_ST!AP115=1,"OK",IF(LOG_ST!AP115=2,"NR",IF(OR(LOG_ST!AP115=0,LOG_ST!AP115="X"),"N/A"))))</f>
        <v/>
      </c>
      <c r="AM116" s="574" t="str">
        <f>IF($L116="","",IF(LOG_ST!AQ115=1,"OK",IF(LOG_ST!AQ115=2,"NR",IF(OR(LOG_ST!AQ115=0,LOG_ST!AQ115="X"),"N/A"))))</f>
        <v/>
      </c>
      <c r="AN116" s="550" t="str">
        <f t="shared" si="1"/>
        <v/>
      </c>
    </row>
    <row r="117" spans="2:40" x14ac:dyDescent="0.25">
      <c r="B117" s="551" t="str">
        <f>IF(LOG_ST!F116="","",VLOOKUP(LOG_ST!F116,DATA_BASE!$A$46:$C$57,2,FALSE))</f>
        <v/>
      </c>
      <c r="C117" s="570" t="str">
        <f>IF(LOG_ST!G116="","",VLOOKUP(LOG_ST!G116,DATA_HDG,2,FALSE))</f>
        <v/>
      </c>
      <c r="D117" s="571" t="str">
        <f>IF(LOG_ST!H116="","",LOG_ST!H116)</f>
        <v/>
      </c>
      <c r="E117" s="570" t="str">
        <f>IF(LOG_ST!I116="","",VLOOKUP(LOG_ST!I116,DATA_COP,2,FALSE))</f>
        <v/>
      </c>
      <c r="F117" s="573" t="str">
        <f>IF(LOG_ST!J116="","",LOG_ST!J116)</f>
        <v/>
      </c>
      <c r="G117" s="570" t="str">
        <f>IF(LOG_ST!K116="","",VLOOKUP(LOG_ST!K116,DATA_SCIES,2,FALSE))</f>
        <v/>
      </c>
      <c r="H117" s="570" t="str">
        <f>IF(LOG_ST!L116="","",VLOOKUP(LOG_ST!L116,DATA_ST!$U$7:$V$64,2,FALSE))</f>
        <v/>
      </c>
      <c r="I117" s="570" t="str">
        <f>IF(LOG_ST!M116="","",LOG_ST!M116)</f>
        <v/>
      </c>
      <c r="J117" s="570" t="str">
        <f>IF(LOG_ST!N116="","",LOG_ST!N116)</f>
        <v/>
      </c>
      <c r="K117" s="573" t="str">
        <f>IF(LOG_ST!O116="","",LOG_ST!O116)</f>
        <v/>
      </c>
      <c r="L117" s="573" t="str">
        <f>IF(LOG_ST!P116="","",LOG_ST!P116)</f>
        <v/>
      </c>
      <c r="M117" s="574" t="str">
        <f>IF($L117="","",IF(LOG_ST!Q116=1,"OK",IF(LOG_ST!Q116=2,"NR",IF(OR(LOG_ST!Q116=0,LOG_ST!Q116="X"),"N/A"))))</f>
        <v/>
      </c>
      <c r="N117" s="574" t="str">
        <f>IF($L117="","",IF(LOG_ST!R116=1,"OK",IF(LOG_ST!R116=2,"NR",IF(OR(LOG_ST!R116=0,LOG_ST!R116="X"),"N/A"))))</f>
        <v/>
      </c>
      <c r="O117" s="574" t="str">
        <f>IF($L117="","",IF(LOG_ST!S116=1,"OK",IF(LOG_ST!S116=2,"NR",IF(OR(LOG_ST!S116=0,LOG_ST!S116="X"),"N/A"))))</f>
        <v/>
      </c>
      <c r="P117" s="574" t="str">
        <f>IF($L117="","",IF(LOG_ST!T116=1,"OK",IF(LOG_ST!T116=2,"NR",IF(OR(LOG_ST!T116=0,LOG_ST!T116="X"),"N/A"))))</f>
        <v/>
      </c>
      <c r="Q117" s="574" t="str">
        <f>IF($L117="","",IF(LOG_ST!U116=1,"OK",IF(LOG_ST!U116=2,"NR",IF(OR(LOG_ST!U116=0,LOG_ST!U116="X"),"N/A"))))</f>
        <v/>
      </c>
      <c r="R117" s="574" t="str">
        <f>IF($L117="","",IF(LOG_ST!V116=1,"OK",IF(LOG_ST!V116=2,"NR",IF(OR(LOG_ST!V116=0,LOG_ST!V116="X"),"N/A"))))</f>
        <v/>
      </c>
      <c r="S117" s="574" t="str">
        <f>IF($L117="","",IF(LOG_ST!W116=1,"OK",IF(LOG_ST!W116=2,"NR",IF(OR(LOG_ST!W116=0,LOG_ST!W116="X"),"N/A"))))</f>
        <v/>
      </c>
      <c r="T117" s="574" t="str">
        <f>IF($L117="","",IF(LOG_ST!X116=1,"OK",IF(LOG_ST!X116=2,"NR",IF(OR(LOG_ST!X116=0,LOG_ST!X116="X"),"N/A"))))</f>
        <v/>
      </c>
      <c r="U117" s="574" t="str">
        <f>IF($L117="","",IF(LOG_ST!Y116=1,"OK",IF(LOG_ST!Y116=2,"NR",IF(OR(LOG_ST!Y116=0,LOG_ST!Y116="X"),"N/A"))))</f>
        <v/>
      </c>
      <c r="V117" s="574" t="str">
        <f>IF($L117="","",IF(LOG_ST!Z116=1,"OK",IF(LOG_ST!Z116=2,"NR",IF(OR(LOG_ST!Z116=0,LOG_ST!Z116="X"),"N/A"))))</f>
        <v/>
      </c>
      <c r="W117" s="574" t="str">
        <f>IF($L117="","",IF(LOG_ST!AA116=1,"OK",IF(LOG_ST!AA116=2,"NR",IF(OR(LOG_ST!AA116=0,LOG_ST!AA116="X"),"N/A"))))</f>
        <v/>
      </c>
      <c r="X117" s="574" t="str">
        <f>IF($L117="","",IF(LOG_ST!AB116=1,"OK",IF(LOG_ST!AB116=2,"NR",IF(OR(LOG_ST!AB116=0,LOG_ST!AB116="X"),"N/A"))))</f>
        <v/>
      </c>
      <c r="Y117" s="574" t="str">
        <f>IF($L117="","",IF(LOG_ST!AC116=1,"OK",IF(LOG_ST!AC116=2,"NR",IF(OR(LOG_ST!AC116=0,LOG_ST!AC116="X"),"N/A"))))</f>
        <v/>
      </c>
      <c r="Z117" s="574" t="str">
        <f>IF($L117="","",IF(OR(LOG_ST!AD116=0,LOG_ST!AD116="X"),"N/A",LOG_ST!AD116))</f>
        <v/>
      </c>
      <c r="AA117" s="574" t="str">
        <f>IF($L117="","",IF(LOG_ST!AE116=1,"OK",IF(LOG_ST!AE116=2,"NR",IF(OR(LOG_ST!AE116=0,LOG_ST!AE116="X"),"N/A"))))</f>
        <v/>
      </c>
      <c r="AB117" s="574" t="str">
        <f>IF($L117="","",IF(LOG_ST!AF116=1,"OK",IF(LOG_ST!AF116=2,"NR",IF(OR(LOG_ST!AF116=0,LOG_ST!AF116="X"),"N/A"))))</f>
        <v/>
      </c>
      <c r="AC117" s="574" t="str">
        <f>IF($L117="","",IF(LOG_ST!AG116=1,"OK",IF(LOG_ST!AG116=2,"NR",IF(OR(LOG_ST!AG116=0,LOG_ST!AG116="X"),"N/A"))))</f>
        <v/>
      </c>
      <c r="AD117" s="574" t="str">
        <f>IF($L117="","",IF(OR(LOG_ST!AH116=0,LOG_ST!AH116="X"),"N/A",LOG_ST!AH116))</f>
        <v/>
      </c>
      <c r="AE117" s="574" t="str">
        <f>IF($L117="","",IF(LOG_ST!AI116=1,"OK",IF(LOG_ST!AI116=2,"NR",IF(OR(LOG_ST!AI116=0,LOG_ST!AI116="X"),"N/A"))))</f>
        <v/>
      </c>
      <c r="AF117" s="574" t="str">
        <f>IF($L117="","",IF(LOG_ST!AJ116=1,"OK",IF(LOG_ST!AJ116=2,"NR",IF(OR(LOG_ST!AJ116=0,LOG_ST!AJ116="X"),"N/A"))))</f>
        <v/>
      </c>
      <c r="AG117" s="574" t="str">
        <f>IF($L117="","",IF(LOG_ST!AK116=1,"OK",IF(LOG_ST!AK116=2,"NR",IF(OR(LOG_ST!AK116=0,LOG_ST!AK116="X"),"N/A"))))</f>
        <v/>
      </c>
      <c r="AH117" s="574" t="str">
        <f>IF($L117="","",IF(LOG_ST!AL116=1,"OK",IF(LOG_ST!AL116=2,"NR",IF(OR(LOG_ST!AL116=0,LOG_ST!AL116="X"),"N/A"))))</f>
        <v/>
      </c>
      <c r="AI117" s="574" t="str">
        <f>IF($L117="","",IF(LOG_ST!AM116=1,"OK",IF(LOG_ST!AM116=2,"NR",IF(OR(LOG_ST!AM116=0,LOG_ST!AM116="X"),"N/A"))))</f>
        <v/>
      </c>
      <c r="AJ117" s="574" t="str">
        <f>IF($L117="","",IF(LOG_ST!AN116=1,"OK",IF(LOG_ST!AN116=2,"NR",IF(OR(LOG_ST!AN116=0,LOG_ST!AN116="X"),"N/A"))))</f>
        <v/>
      </c>
      <c r="AK117" s="574" t="str">
        <f>IF($L117="","",IF(LOG_ST!AO116=1,"OK",IF(LOG_ST!AO116=2,"NR",IF(OR(LOG_ST!AO116=0,LOG_ST!AO116="X"),"N/A"))))</f>
        <v/>
      </c>
      <c r="AL117" s="574" t="str">
        <f>IF($L117="","",IF(LOG_ST!AP116=1,"OK",IF(LOG_ST!AP116=2,"NR",IF(OR(LOG_ST!AP116=0,LOG_ST!AP116="X"),"N/A"))))</f>
        <v/>
      </c>
      <c r="AM117" s="574" t="str">
        <f>IF($L117="","",IF(LOG_ST!AQ116=1,"OK",IF(LOG_ST!AQ116=2,"NR",IF(OR(LOG_ST!AQ116=0,LOG_ST!AQ116="X"),"N/A"))))</f>
        <v/>
      </c>
      <c r="AN117" s="550" t="str">
        <f t="shared" si="1"/>
        <v/>
      </c>
    </row>
    <row r="118" spans="2:40" x14ac:dyDescent="0.25">
      <c r="B118" s="551" t="str">
        <f>IF(LOG_ST!F117="","",VLOOKUP(LOG_ST!F117,DATA_BASE!$A$46:$C$57,2,FALSE))</f>
        <v/>
      </c>
      <c r="C118" s="570" t="str">
        <f>IF(LOG_ST!G117="","",VLOOKUP(LOG_ST!G117,DATA_HDG,2,FALSE))</f>
        <v/>
      </c>
      <c r="D118" s="571" t="str">
        <f>IF(LOG_ST!H117="","",LOG_ST!H117)</f>
        <v/>
      </c>
      <c r="E118" s="570" t="str">
        <f>IF(LOG_ST!I117="","",VLOOKUP(LOG_ST!I117,DATA_COP,2,FALSE))</f>
        <v/>
      </c>
      <c r="F118" s="573" t="str">
        <f>IF(LOG_ST!J117="","",LOG_ST!J117)</f>
        <v/>
      </c>
      <c r="G118" s="570" t="str">
        <f>IF(LOG_ST!K117="","",VLOOKUP(LOG_ST!K117,DATA_SCIES,2,FALSE))</f>
        <v/>
      </c>
      <c r="H118" s="570" t="str">
        <f>IF(LOG_ST!L117="","",VLOOKUP(LOG_ST!L117,DATA_ST!$U$7:$V$64,2,FALSE))</f>
        <v/>
      </c>
      <c r="I118" s="570" t="str">
        <f>IF(LOG_ST!M117="","",LOG_ST!M117)</f>
        <v/>
      </c>
      <c r="J118" s="570" t="str">
        <f>IF(LOG_ST!N117="","",LOG_ST!N117)</f>
        <v/>
      </c>
      <c r="K118" s="573" t="str">
        <f>IF(LOG_ST!O117="","",LOG_ST!O117)</f>
        <v/>
      </c>
      <c r="L118" s="573" t="str">
        <f>IF(LOG_ST!P117="","",LOG_ST!P117)</f>
        <v/>
      </c>
      <c r="M118" s="574" t="str">
        <f>IF($L118="","",IF(LOG_ST!Q117=1,"OK",IF(LOG_ST!Q117=2,"NR",IF(OR(LOG_ST!Q117=0,LOG_ST!Q117="X"),"N/A"))))</f>
        <v/>
      </c>
      <c r="N118" s="574" t="str">
        <f>IF($L118="","",IF(LOG_ST!R117=1,"OK",IF(LOG_ST!R117=2,"NR",IF(OR(LOG_ST!R117=0,LOG_ST!R117="X"),"N/A"))))</f>
        <v/>
      </c>
      <c r="O118" s="574" t="str">
        <f>IF($L118="","",IF(LOG_ST!S117=1,"OK",IF(LOG_ST!S117=2,"NR",IF(OR(LOG_ST!S117=0,LOG_ST!S117="X"),"N/A"))))</f>
        <v/>
      </c>
      <c r="P118" s="574" t="str">
        <f>IF($L118="","",IF(LOG_ST!T117=1,"OK",IF(LOG_ST!T117=2,"NR",IF(OR(LOG_ST!T117=0,LOG_ST!T117="X"),"N/A"))))</f>
        <v/>
      </c>
      <c r="Q118" s="574" t="str">
        <f>IF($L118="","",IF(LOG_ST!U117=1,"OK",IF(LOG_ST!U117=2,"NR",IF(OR(LOG_ST!U117=0,LOG_ST!U117="X"),"N/A"))))</f>
        <v/>
      </c>
      <c r="R118" s="574" t="str">
        <f>IF($L118="","",IF(LOG_ST!V117=1,"OK",IF(LOG_ST!V117=2,"NR",IF(OR(LOG_ST!V117=0,LOG_ST!V117="X"),"N/A"))))</f>
        <v/>
      </c>
      <c r="S118" s="574" t="str">
        <f>IF($L118="","",IF(LOG_ST!W117=1,"OK",IF(LOG_ST!W117=2,"NR",IF(OR(LOG_ST!W117=0,LOG_ST!W117="X"),"N/A"))))</f>
        <v/>
      </c>
      <c r="T118" s="574" t="str">
        <f>IF($L118="","",IF(LOG_ST!X117=1,"OK",IF(LOG_ST!X117=2,"NR",IF(OR(LOG_ST!X117=0,LOG_ST!X117="X"),"N/A"))))</f>
        <v/>
      </c>
      <c r="U118" s="574" t="str">
        <f>IF($L118="","",IF(LOG_ST!Y117=1,"OK",IF(LOG_ST!Y117=2,"NR",IF(OR(LOG_ST!Y117=0,LOG_ST!Y117="X"),"N/A"))))</f>
        <v/>
      </c>
      <c r="V118" s="574" t="str">
        <f>IF($L118="","",IF(LOG_ST!Z117=1,"OK",IF(LOG_ST!Z117=2,"NR",IF(OR(LOG_ST!Z117=0,LOG_ST!Z117="X"),"N/A"))))</f>
        <v/>
      </c>
      <c r="W118" s="574" t="str">
        <f>IF($L118="","",IF(LOG_ST!AA117=1,"OK",IF(LOG_ST!AA117=2,"NR",IF(OR(LOG_ST!AA117=0,LOG_ST!AA117="X"),"N/A"))))</f>
        <v/>
      </c>
      <c r="X118" s="574" t="str">
        <f>IF($L118="","",IF(LOG_ST!AB117=1,"OK",IF(LOG_ST!AB117=2,"NR",IF(OR(LOG_ST!AB117=0,LOG_ST!AB117="X"),"N/A"))))</f>
        <v/>
      </c>
      <c r="Y118" s="574" t="str">
        <f>IF($L118="","",IF(LOG_ST!AC117=1,"OK",IF(LOG_ST!AC117=2,"NR",IF(OR(LOG_ST!AC117=0,LOG_ST!AC117="X"),"N/A"))))</f>
        <v/>
      </c>
      <c r="Z118" s="574" t="str">
        <f>IF($L118="","",IF(OR(LOG_ST!AD117=0,LOG_ST!AD117="X"),"N/A",LOG_ST!AD117))</f>
        <v/>
      </c>
      <c r="AA118" s="574" t="str">
        <f>IF($L118="","",IF(LOG_ST!AE117=1,"OK",IF(LOG_ST!AE117=2,"NR",IF(OR(LOG_ST!AE117=0,LOG_ST!AE117="X"),"N/A"))))</f>
        <v/>
      </c>
      <c r="AB118" s="574" t="str">
        <f>IF($L118="","",IF(LOG_ST!AF117=1,"OK",IF(LOG_ST!AF117=2,"NR",IF(OR(LOG_ST!AF117=0,LOG_ST!AF117="X"),"N/A"))))</f>
        <v/>
      </c>
      <c r="AC118" s="574" t="str">
        <f>IF($L118="","",IF(LOG_ST!AG117=1,"OK",IF(LOG_ST!AG117=2,"NR",IF(OR(LOG_ST!AG117=0,LOG_ST!AG117="X"),"N/A"))))</f>
        <v/>
      </c>
      <c r="AD118" s="574" t="str">
        <f>IF($L118="","",IF(OR(LOG_ST!AH117=0,LOG_ST!AH117="X"),"N/A",LOG_ST!AH117))</f>
        <v/>
      </c>
      <c r="AE118" s="574" t="str">
        <f>IF($L118="","",IF(LOG_ST!AI117=1,"OK",IF(LOG_ST!AI117=2,"NR",IF(OR(LOG_ST!AI117=0,LOG_ST!AI117="X"),"N/A"))))</f>
        <v/>
      </c>
      <c r="AF118" s="574" t="str">
        <f>IF($L118="","",IF(LOG_ST!AJ117=1,"OK",IF(LOG_ST!AJ117=2,"NR",IF(OR(LOG_ST!AJ117=0,LOG_ST!AJ117="X"),"N/A"))))</f>
        <v/>
      </c>
      <c r="AG118" s="574" t="str">
        <f>IF($L118="","",IF(LOG_ST!AK117=1,"OK",IF(LOG_ST!AK117=2,"NR",IF(OR(LOG_ST!AK117=0,LOG_ST!AK117="X"),"N/A"))))</f>
        <v/>
      </c>
      <c r="AH118" s="574" t="str">
        <f>IF($L118="","",IF(LOG_ST!AL117=1,"OK",IF(LOG_ST!AL117=2,"NR",IF(OR(LOG_ST!AL117=0,LOG_ST!AL117="X"),"N/A"))))</f>
        <v/>
      </c>
      <c r="AI118" s="574" t="str">
        <f>IF($L118="","",IF(LOG_ST!AM117=1,"OK",IF(LOG_ST!AM117=2,"NR",IF(OR(LOG_ST!AM117=0,LOG_ST!AM117="X"),"N/A"))))</f>
        <v/>
      </c>
      <c r="AJ118" s="574" t="str">
        <f>IF($L118="","",IF(LOG_ST!AN117=1,"OK",IF(LOG_ST!AN117=2,"NR",IF(OR(LOG_ST!AN117=0,LOG_ST!AN117="X"),"N/A"))))</f>
        <v/>
      </c>
      <c r="AK118" s="574" t="str">
        <f>IF($L118="","",IF(LOG_ST!AO117=1,"OK",IF(LOG_ST!AO117=2,"NR",IF(OR(LOG_ST!AO117=0,LOG_ST!AO117="X"),"N/A"))))</f>
        <v/>
      </c>
      <c r="AL118" s="574" t="str">
        <f>IF($L118="","",IF(LOG_ST!AP117=1,"OK",IF(LOG_ST!AP117=2,"NR",IF(OR(LOG_ST!AP117=0,LOG_ST!AP117="X"),"N/A"))))</f>
        <v/>
      </c>
      <c r="AM118" s="574" t="str">
        <f>IF($L118="","",IF(LOG_ST!AQ117=1,"OK",IF(LOG_ST!AQ117=2,"NR",IF(OR(LOG_ST!AQ117=0,LOG_ST!AQ117="X"),"N/A"))))</f>
        <v/>
      </c>
      <c r="AN118" s="550" t="str">
        <f t="shared" si="1"/>
        <v/>
      </c>
    </row>
    <row r="119" spans="2:40" x14ac:dyDescent="0.25">
      <c r="B119" s="551" t="str">
        <f>IF(LOG_ST!F118="","",VLOOKUP(LOG_ST!F118,DATA_BASE!$A$46:$C$57,2,FALSE))</f>
        <v/>
      </c>
      <c r="C119" s="570" t="str">
        <f>IF(LOG_ST!G118="","",VLOOKUP(LOG_ST!G118,DATA_HDG,2,FALSE))</f>
        <v/>
      </c>
      <c r="D119" s="571" t="str">
        <f>IF(LOG_ST!H118="","",LOG_ST!H118)</f>
        <v/>
      </c>
      <c r="E119" s="570" t="str">
        <f>IF(LOG_ST!I118="","",VLOOKUP(LOG_ST!I118,DATA_COP,2,FALSE))</f>
        <v/>
      </c>
      <c r="F119" s="573" t="str">
        <f>IF(LOG_ST!J118="","",LOG_ST!J118)</f>
        <v/>
      </c>
      <c r="G119" s="570" t="str">
        <f>IF(LOG_ST!K118="","",VLOOKUP(LOG_ST!K118,DATA_SCIES,2,FALSE))</f>
        <v/>
      </c>
      <c r="H119" s="570" t="str">
        <f>IF(LOG_ST!L118="","",VLOOKUP(LOG_ST!L118,DATA_ST!$U$7:$V$64,2,FALSE))</f>
        <v/>
      </c>
      <c r="I119" s="570" t="str">
        <f>IF(LOG_ST!M118="","",LOG_ST!M118)</f>
        <v/>
      </c>
      <c r="J119" s="570" t="str">
        <f>IF(LOG_ST!N118="","",LOG_ST!N118)</f>
        <v/>
      </c>
      <c r="K119" s="573" t="str">
        <f>IF(LOG_ST!O118="","",LOG_ST!O118)</f>
        <v/>
      </c>
      <c r="L119" s="573" t="str">
        <f>IF(LOG_ST!P118="","",LOG_ST!P118)</f>
        <v/>
      </c>
      <c r="M119" s="574" t="str">
        <f>IF($L119="","",IF(LOG_ST!Q118=1,"OK",IF(LOG_ST!Q118=2,"NR",IF(OR(LOG_ST!Q118=0,LOG_ST!Q118="X"),"N/A"))))</f>
        <v/>
      </c>
      <c r="N119" s="574" t="str">
        <f>IF($L119="","",IF(LOG_ST!R118=1,"OK",IF(LOG_ST!R118=2,"NR",IF(OR(LOG_ST!R118=0,LOG_ST!R118="X"),"N/A"))))</f>
        <v/>
      </c>
      <c r="O119" s="574" t="str">
        <f>IF($L119="","",IF(LOG_ST!S118=1,"OK",IF(LOG_ST!S118=2,"NR",IF(OR(LOG_ST!S118=0,LOG_ST!S118="X"),"N/A"))))</f>
        <v/>
      </c>
      <c r="P119" s="574" t="str">
        <f>IF($L119="","",IF(LOG_ST!T118=1,"OK",IF(LOG_ST!T118=2,"NR",IF(OR(LOG_ST!T118=0,LOG_ST!T118="X"),"N/A"))))</f>
        <v/>
      </c>
      <c r="Q119" s="574" t="str">
        <f>IF($L119="","",IF(LOG_ST!U118=1,"OK",IF(LOG_ST!U118=2,"NR",IF(OR(LOG_ST!U118=0,LOG_ST!U118="X"),"N/A"))))</f>
        <v/>
      </c>
      <c r="R119" s="574" t="str">
        <f>IF($L119="","",IF(LOG_ST!V118=1,"OK",IF(LOG_ST!V118=2,"NR",IF(OR(LOG_ST!V118=0,LOG_ST!V118="X"),"N/A"))))</f>
        <v/>
      </c>
      <c r="S119" s="574" t="str">
        <f>IF($L119="","",IF(LOG_ST!W118=1,"OK",IF(LOG_ST!W118=2,"NR",IF(OR(LOG_ST!W118=0,LOG_ST!W118="X"),"N/A"))))</f>
        <v/>
      </c>
      <c r="T119" s="574" t="str">
        <f>IF($L119="","",IF(LOG_ST!X118=1,"OK",IF(LOG_ST!X118=2,"NR",IF(OR(LOG_ST!X118=0,LOG_ST!X118="X"),"N/A"))))</f>
        <v/>
      </c>
      <c r="U119" s="574" t="str">
        <f>IF($L119="","",IF(LOG_ST!Y118=1,"OK",IF(LOG_ST!Y118=2,"NR",IF(OR(LOG_ST!Y118=0,LOG_ST!Y118="X"),"N/A"))))</f>
        <v/>
      </c>
      <c r="V119" s="574" t="str">
        <f>IF($L119="","",IF(LOG_ST!Z118=1,"OK",IF(LOG_ST!Z118=2,"NR",IF(OR(LOG_ST!Z118=0,LOG_ST!Z118="X"),"N/A"))))</f>
        <v/>
      </c>
      <c r="W119" s="574" t="str">
        <f>IF($L119="","",IF(LOG_ST!AA118=1,"OK",IF(LOG_ST!AA118=2,"NR",IF(OR(LOG_ST!AA118=0,LOG_ST!AA118="X"),"N/A"))))</f>
        <v/>
      </c>
      <c r="X119" s="574" t="str">
        <f>IF($L119="","",IF(LOG_ST!AB118=1,"OK",IF(LOG_ST!AB118=2,"NR",IF(OR(LOG_ST!AB118=0,LOG_ST!AB118="X"),"N/A"))))</f>
        <v/>
      </c>
      <c r="Y119" s="574" t="str">
        <f>IF($L119="","",IF(LOG_ST!AC118=1,"OK",IF(LOG_ST!AC118=2,"NR",IF(OR(LOG_ST!AC118=0,LOG_ST!AC118="X"),"N/A"))))</f>
        <v/>
      </c>
      <c r="Z119" s="574" t="str">
        <f>IF($L119="","",IF(OR(LOG_ST!AD118=0,LOG_ST!AD118="X"),"N/A",LOG_ST!AD118))</f>
        <v/>
      </c>
      <c r="AA119" s="574" t="str">
        <f>IF($L119="","",IF(LOG_ST!AE118=1,"OK",IF(LOG_ST!AE118=2,"NR",IF(OR(LOG_ST!AE118=0,LOG_ST!AE118="X"),"N/A"))))</f>
        <v/>
      </c>
      <c r="AB119" s="574" t="str">
        <f>IF($L119="","",IF(LOG_ST!AF118=1,"OK",IF(LOG_ST!AF118=2,"NR",IF(OR(LOG_ST!AF118=0,LOG_ST!AF118="X"),"N/A"))))</f>
        <v/>
      </c>
      <c r="AC119" s="574" t="str">
        <f>IF($L119="","",IF(LOG_ST!AG118=1,"OK",IF(LOG_ST!AG118=2,"NR",IF(OR(LOG_ST!AG118=0,LOG_ST!AG118="X"),"N/A"))))</f>
        <v/>
      </c>
      <c r="AD119" s="574" t="str">
        <f>IF($L119="","",IF(OR(LOG_ST!AH118=0,LOG_ST!AH118="X"),"N/A",LOG_ST!AH118))</f>
        <v/>
      </c>
      <c r="AE119" s="574" t="str">
        <f>IF($L119="","",IF(LOG_ST!AI118=1,"OK",IF(LOG_ST!AI118=2,"NR",IF(OR(LOG_ST!AI118=0,LOG_ST!AI118="X"),"N/A"))))</f>
        <v/>
      </c>
      <c r="AF119" s="574" t="str">
        <f>IF($L119="","",IF(LOG_ST!AJ118=1,"OK",IF(LOG_ST!AJ118=2,"NR",IF(OR(LOG_ST!AJ118=0,LOG_ST!AJ118="X"),"N/A"))))</f>
        <v/>
      </c>
      <c r="AG119" s="574" t="str">
        <f>IF($L119="","",IF(LOG_ST!AK118=1,"OK",IF(LOG_ST!AK118=2,"NR",IF(OR(LOG_ST!AK118=0,LOG_ST!AK118="X"),"N/A"))))</f>
        <v/>
      </c>
      <c r="AH119" s="574" t="str">
        <f>IF($L119="","",IF(LOG_ST!AL118=1,"OK",IF(LOG_ST!AL118=2,"NR",IF(OR(LOG_ST!AL118=0,LOG_ST!AL118="X"),"N/A"))))</f>
        <v/>
      </c>
      <c r="AI119" s="574" t="str">
        <f>IF($L119="","",IF(LOG_ST!AM118=1,"OK",IF(LOG_ST!AM118=2,"NR",IF(OR(LOG_ST!AM118=0,LOG_ST!AM118="X"),"N/A"))))</f>
        <v/>
      </c>
      <c r="AJ119" s="574" t="str">
        <f>IF($L119="","",IF(LOG_ST!AN118=1,"OK",IF(LOG_ST!AN118=2,"NR",IF(OR(LOG_ST!AN118=0,LOG_ST!AN118="X"),"N/A"))))</f>
        <v/>
      </c>
      <c r="AK119" s="574" t="str">
        <f>IF($L119="","",IF(LOG_ST!AO118=1,"OK",IF(LOG_ST!AO118=2,"NR",IF(OR(LOG_ST!AO118=0,LOG_ST!AO118="X"),"N/A"))))</f>
        <v/>
      </c>
      <c r="AL119" s="574" t="str">
        <f>IF($L119="","",IF(LOG_ST!AP118=1,"OK",IF(LOG_ST!AP118=2,"NR",IF(OR(LOG_ST!AP118=0,LOG_ST!AP118="X"),"N/A"))))</f>
        <v/>
      </c>
      <c r="AM119" s="574" t="str">
        <f>IF($L119="","",IF(LOG_ST!AQ118=1,"OK",IF(LOG_ST!AQ118=2,"NR",IF(OR(LOG_ST!AQ118=0,LOG_ST!AQ118="X"),"N/A"))))</f>
        <v/>
      </c>
      <c r="AN119" s="550" t="str">
        <f t="shared" si="1"/>
        <v/>
      </c>
    </row>
    <row r="120" spans="2:40" x14ac:dyDescent="0.25">
      <c r="B120" s="551" t="str">
        <f>IF(LOG_ST!F119="","",VLOOKUP(LOG_ST!F119,DATA_BASE!$A$46:$C$57,2,FALSE))</f>
        <v/>
      </c>
      <c r="C120" s="570" t="str">
        <f>IF(LOG_ST!G119="","",VLOOKUP(LOG_ST!G119,DATA_HDG,2,FALSE))</f>
        <v/>
      </c>
      <c r="D120" s="571" t="str">
        <f>IF(LOG_ST!H119="","",LOG_ST!H119)</f>
        <v/>
      </c>
      <c r="E120" s="570" t="str">
        <f>IF(LOG_ST!I119="","",VLOOKUP(LOG_ST!I119,DATA_COP,2,FALSE))</f>
        <v/>
      </c>
      <c r="F120" s="573" t="str">
        <f>IF(LOG_ST!J119="","",LOG_ST!J119)</f>
        <v/>
      </c>
      <c r="G120" s="570" t="str">
        <f>IF(LOG_ST!K119="","",VLOOKUP(LOG_ST!K119,DATA_SCIES,2,FALSE))</f>
        <v/>
      </c>
      <c r="H120" s="570" t="str">
        <f>IF(LOG_ST!L119="","",VLOOKUP(LOG_ST!L119,DATA_ST!$U$7:$V$64,2,FALSE))</f>
        <v/>
      </c>
      <c r="I120" s="570" t="str">
        <f>IF(LOG_ST!M119="","",LOG_ST!M119)</f>
        <v/>
      </c>
      <c r="J120" s="570" t="str">
        <f>IF(LOG_ST!N119="","",LOG_ST!N119)</f>
        <v/>
      </c>
      <c r="K120" s="573" t="str">
        <f>IF(LOG_ST!O119="","",LOG_ST!O119)</f>
        <v/>
      </c>
      <c r="L120" s="573" t="str">
        <f>IF(LOG_ST!P119="","",LOG_ST!P119)</f>
        <v/>
      </c>
      <c r="M120" s="574" t="str">
        <f>IF($L120="","",IF(LOG_ST!Q119=1,"OK",IF(LOG_ST!Q119=2,"NR",IF(OR(LOG_ST!Q119=0,LOG_ST!Q119="X"),"N/A"))))</f>
        <v/>
      </c>
      <c r="N120" s="574" t="str">
        <f>IF($L120="","",IF(LOG_ST!R119=1,"OK",IF(LOG_ST!R119=2,"NR",IF(OR(LOG_ST!R119=0,LOG_ST!R119="X"),"N/A"))))</f>
        <v/>
      </c>
      <c r="O120" s="574" t="str">
        <f>IF($L120="","",IF(LOG_ST!S119=1,"OK",IF(LOG_ST!S119=2,"NR",IF(OR(LOG_ST!S119=0,LOG_ST!S119="X"),"N/A"))))</f>
        <v/>
      </c>
      <c r="P120" s="574" t="str">
        <f>IF($L120="","",IF(LOG_ST!T119=1,"OK",IF(LOG_ST!T119=2,"NR",IF(OR(LOG_ST!T119=0,LOG_ST!T119="X"),"N/A"))))</f>
        <v/>
      </c>
      <c r="Q120" s="574" t="str">
        <f>IF($L120="","",IF(LOG_ST!U119=1,"OK",IF(LOG_ST!U119=2,"NR",IF(OR(LOG_ST!U119=0,LOG_ST!U119="X"),"N/A"))))</f>
        <v/>
      </c>
      <c r="R120" s="574" t="str">
        <f>IF($L120="","",IF(LOG_ST!V119=1,"OK",IF(LOG_ST!V119=2,"NR",IF(OR(LOG_ST!V119=0,LOG_ST!V119="X"),"N/A"))))</f>
        <v/>
      </c>
      <c r="S120" s="574" t="str">
        <f>IF($L120="","",IF(LOG_ST!W119=1,"OK",IF(LOG_ST!W119=2,"NR",IF(OR(LOG_ST!W119=0,LOG_ST!W119="X"),"N/A"))))</f>
        <v/>
      </c>
      <c r="T120" s="574" t="str">
        <f>IF($L120="","",IF(LOG_ST!X119=1,"OK",IF(LOG_ST!X119=2,"NR",IF(OR(LOG_ST!X119=0,LOG_ST!X119="X"),"N/A"))))</f>
        <v/>
      </c>
      <c r="U120" s="574" t="str">
        <f>IF($L120="","",IF(LOG_ST!Y119=1,"OK",IF(LOG_ST!Y119=2,"NR",IF(OR(LOG_ST!Y119=0,LOG_ST!Y119="X"),"N/A"))))</f>
        <v/>
      </c>
      <c r="V120" s="574" t="str">
        <f>IF($L120="","",IF(LOG_ST!Z119=1,"OK",IF(LOG_ST!Z119=2,"NR",IF(OR(LOG_ST!Z119=0,LOG_ST!Z119="X"),"N/A"))))</f>
        <v/>
      </c>
      <c r="W120" s="574" t="str">
        <f>IF($L120="","",IF(LOG_ST!AA119=1,"OK",IF(LOG_ST!AA119=2,"NR",IF(OR(LOG_ST!AA119=0,LOG_ST!AA119="X"),"N/A"))))</f>
        <v/>
      </c>
      <c r="X120" s="574" t="str">
        <f>IF($L120="","",IF(LOG_ST!AB119=1,"OK",IF(LOG_ST!AB119=2,"NR",IF(OR(LOG_ST!AB119=0,LOG_ST!AB119="X"),"N/A"))))</f>
        <v/>
      </c>
      <c r="Y120" s="574" t="str">
        <f>IF($L120="","",IF(LOG_ST!AC119=1,"OK",IF(LOG_ST!AC119=2,"NR",IF(OR(LOG_ST!AC119=0,LOG_ST!AC119="X"),"N/A"))))</f>
        <v/>
      </c>
      <c r="Z120" s="574" t="str">
        <f>IF($L120="","",IF(OR(LOG_ST!AD119=0,LOG_ST!AD119="X"),"N/A",LOG_ST!AD119))</f>
        <v/>
      </c>
      <c r="AA120" s="574" t="str">
        <f>IF($L120="","",IF(LOG_ST!AE119=1,"OK",IF(LOG_ST!AE119=2,"NR",IF(OR(LOG_ST!AE119=0,LOG_ST!AE119="X"),"N/A"))))</f>
        <v/>
      </c>
      <c r="AB120" s="574" t="str">
        <f>IF($L120="","",IF(LOG_ST!AF119=1,"OK",IF(LOG_ST!AF119=2,"NR",IF(OR(LOG_ST!AF119=0,LOG_ST!AF119="X"),"N/A"))))</f>
        <v/>
      </c>
      <c r="AC120" s="574" t="str">
        <f>IF($L120="","",IF(LOG_ST!AG119=1,"OK",IF(LOG_ST!AG119=2,"NR",IF(OR(LOG_ST!AG119=0,LOG_ST!AG119="X"),"N/A"))))</f>
        <v/>
      </c>
      <c r="AD120" s="574" t="str">
        <f>IF($L120="","",IF(OR(LOG_ST!AH119=0,LOG_ST!AH119="X"),"N/A",LOG_ST!AH119))</f>
        <v/>
      </c>
      <c r="AE120" s="574" t="str">
        <f>IF($L120="","",IF(LOG_ST!AI119=1,"OK",IF(LOG_ST!AI119=2,"NR",IF(OR(LOG_ST!AI119=0,LOG_ST!AI119="X"),"N/A"))))</f>
        <v/>
      </c>
      <c r="AF120" s="574" t="str">
        <f>IF($L120="","",IF(LOG_ST!AJ119=1,"OK",IF(LOG_ST!AJ119=2,"NR",IF(OR(LOG_ST!AJ119=0,LOG_ST!AJ119="X"),"N/A"))))</f>
        <v/>
      </c>
      <c r="AG120" s="574" t="str">
        <f>IF($L120="","",IF(LOG_ST!AK119=1,"OK",IF(LOG_ST!AK119=2,"NR",IF(OR(LOG_ST!AK119=0,LOG_ST!AK119="X"),"N/A"))))</f>
        <v/>
      </c>
      <c r="AH120" s="574" t="str">
        <f>IF($L120="","",IF(LOG_ST!AL119=1,"OK",IF(LOG_ST!AL119=2,"NR",IF(OR(LOG_ST!AL119=0,LOG_ST!AL119="X"),"N/A"))))</f>
        <v/>
      </c>
      <c r="AI120" s="574" t="str">
        <f>IF($L120="","",IF(LOG_ST!AM119=1,"OK",IF(LOG_ST!AM119=2,"NR",IF(OR(LOG_ST!AM119=0,LOG_ST!AM119="X"),"N/A"))))</f>
        <v/>
      </c>
      <c r="AJ120" s="574" t="str">
        <f>IF($L120="","",IF(LOG_ST!AN119=1,"OK",IF(LOG_ST!AN119=2,"NR",IF(OR(LOG_ST!AN119=0,LOG_ST!AN119="X"),"N/A"))))</f>
        <v/>
      </c>
      <c r="AK120" s="574" t="str">
        <f>IF($L120="","",IF(LOG_ST!AO119=1,"OK",IF(LOG_ST!AO119=2,"NR",IF(OR(LOG_ST!AO119=0,LOG_ST!AO119="X"),"N/A"))))</f>
        <v/>
      </c>
      <c r="AL120" s="574" t="str">
        <f>IF($L120="","",IF(LOG_ST!AP119=1,"OK",IF(LOG_ST!AP119=2,"NR",IF(OR(LOG_ST!AP119=0,LOG_ST!AP119="X"),"N/A"))))</f>
        <v/>
      </c>
      <c r="AM120" s="574" t="str">
        <f>IF($L120="","",IF(LOG_ST!AQ119=1,"OK",IF(LOG_ST!AQ119=2,"NR",IF(OR(LOG_ST!AQ119=0,LOG_ST!AQ119="X"),"N/A"))))</f>
        <v/>
      </c>
      <c r="AN120" s="550" t="str">
        <f t="shared" si="1"/>
        <v/>
      </c>
    </row>
    <row r="121" spans="2:40" x14ac:dyDescent="0.25">
      <c r="B121" s="551" t="str">
        <f>IF(LOG_ST!F120="","",VLOOKUP(LOG_ST!F120,DATA_BASE!$A$46:$C$57,2,FALSE))</f>
        <v/>
      </c>
      <c r="C121" s="570" t="str">
        <f>IF(LOG_ST!G120="","",VLOOKUP(LOG_ST!G120,DATA_HDG,2,FALSE))</f>
        <v/>
      </c>
      <c r="D121" s="571" t="str">
        <f>IF(LOG_ST!H120="","",LOG_ST!H120)</f>
        <v/>
      </c>
      <c r="E121" s="570" t="str">
        <f>IF(LOG_ST!I120="","",VLOOKUP(LOG_ST!I120,DATA_COP,2,FALSE))</f>
        <v/>
      </c>
      <c r="F121" s="573" t="str">
        <f>IF(LOG_ST!J120="","",LOG_ST!J120)</f>
        <v/>
      </c>
      <c r="G121" s="570" t="str">
        <f>IF(LOG_ST!K120="","",VLOOKUP(LOG_ST!K120,DATA_SCIES,2,FALSE))</f>
        <v/>
      </c>
      <c r="H121" s="570" t="str">
        <f>IF(LOG_ST!L120="","",VLOOKUP(LOG_ST!L120,DATA_ST!$U$7:$V$64,2,FALSE))</f>
        <v/>
      </c>
      <c r="I121" s="570" t="str">
        <f>IF(LOG_ST!M120="","",LOG_ST!M120)</f>
        <v/>
      </c>
      <c r="J121" s="570" t="str">
        <f>IF(LOG_ST!N120="","",LOG_ST!N120)</f>
        <v/>
      </c>
      <c r="K121" s="573" t="str">
        <f>IF(LOG_ST!O120="","",LOG_ST!O120)</f>
        <v/>
      </c>
      <c r="L121" s="573" t="str">
        <f>IF(LOG_ST!P120="","",LOG_ST!P120)</f>
        <v/>
      </c>
      <c r="M121" s="574" t="str">
        <f>IF($L121="","",IF(LOG_ST!Q120=1,"OK",IF(LOG_ST!Q120=2,"NR",IF(OR(LOG_ST!Q120=0,LOG_ST!Q120="X"),"N/A"))))</f>
        <v/>
      </c>
      <c r="N121" s="574" t="str">
        <f>IF($L121="","",IF(LOG_ST!R120=1,"OK",IF(LOG_ST!R120=2,"NR",IF(OR(LOG_ST!R120=0,LOG_ST!R120="X"),"N/A"))))</f>
        <v/>
      </c>
      <c r="O121" s="574" t="str">
        <f>IF($L121="","",IF(LOG_ST!S120=1,"OK",IF(LOG_ST!S120=2,"NR",IF(OR(LOG_ST!S120=0,LOG_ST!S120="X"),"N/A"))))</f>
        <v/>
      </c>
      <c r="P121" s="574" t="str">
        <f>IF($L121="","",IF(LOG_ST!T120=1,"OK",IF(LOG_ST!T120=2,"NR",IF(OR(LOG_ST!T120=0,LOG_ST!T120="X"),"N/A"))))</f>
        <v/>
      </c>
      <c r="Q121" s="574" t="str">
        <f>IF($L121="","",IF(LOG_ST!U120=1,"OK",IF(LOG_ST!U120=2,"NR",IF(OR(LOG_ST!U120=0,LOG_ST!U120="X"),"N/A"))))</f>
        <v/>
      </c>
      <c r="R121" s="574" t="str">
        <f>IF($L121="","",IF(LOG_ST!V120=1,"OK",IF(LOG_ST!V120=2,"NR",IF(OR(LOG_ST!V120=0,LOG_ST!V120="X"),"N/A"))))</f>
        <v/>
      </c>
      <c r="S121" s="574" t="str">
        <f>IF($L121="","",IF(LOG_ST!W120=1,"OK",IF(LOG_ST!W120=2,"NR",IF(OR(LOG_ST!W120=0,LOG_ST!W120="X"),"N/A"))))</f>
        <v/>
      </c>
      <c r="T121" s="574" t="str">
        <f>IF($L121="","",IF(LOG_ST!X120=1,"OK",IF(LOG_ST!X120=2,"NR",IF(OR(LOG_ST!X120=0,LOG_ST!X120="X"),"N/A"))))</f>
        <v/>
      </c>
      <c r="U121" s="574" t="str">
        <f>IF($L121="","",IF(LOG_ST!Y120=1,"OK",IF(LOG_ST!Y120=2,"NR",IF(OR(LOG_ST!Y120=0,LOG_ST!Y120="X"),"N/A"))))</f>
        <v/>
      </c>
      <c r="V121" s="574" t="str">
        <f>IF($L121="","",IF(LOG_ST!Z120=1,"OK",IF(LOG_ST!Z120=2,"NR",IF(OR(LOG_ST!Z120=0,LOG_ST!Z120="X"),"N/A"))))</f>
        <v/>
      </c>
      <c r="W121" s="574" t="str">
        <f>IF($L121="","",IF(LOG_ST!AA120=1,"OK",IF(LOG_ST!AA120=2,"NR",IF(OR(LOG_ST!AA120=0,LOG_ST!AA120="X"),"N/A"))))</f>
        <v/>
      </c>
      <c r="X121" s="574" t="str">
        <f>IF($L121="","",IF(LOG_ST!AB120=1,"OK",IF(LOG_ST!AB120=2,"NR",IF(OR(LOG_ST!AB120=0,LOG_ST!AB120="X"),"N/A"))))</f>
        <v/>
      </c>
      <c r="Y121" s="574" t="str">
        <f>IF($L121="","",IF(LOG_ST!AC120=1,"OK",IF(LOG_ST!AC120=2,"NR",IF(OR(LOG_ST!AC120=0,LOG_ST!AC120="X"),"N/A"))))</f>
        <v/>
      </c>
      <c r="Z121" s="574" t="str">
        <f>IF($L121="","",IF(OR(LOG_ST!AD120=0,LOG_ST!AD120="X"),"N/A",LOG_ST!AD120))</f>
        <v/>
      </c>
      <c r="AA121" s="574" t="str">
        <f>IF($L121="","",IF(LOG_ST!AE120=1,"OK",IF(LOG_ST!AE120=2,"NR",IF(OR(LOG_ST!AE120=0,LOG_ST!AE120="X"),"N/A"))))</f>
        <v/>
      </c>
      <c r="AB121" s="574" t="str">
        <f>IF($L121="","",IF(LOG_ST!AF120=1,"OK",IF(LOG_ST!AF120=2,"NR",IF(OR(LOG_ST!AF120=0,LOG_ST!AF120="X"),"N/A"))))</f>
        <v/>
      </c>
      <c r="AC121" s="574" t="str">
        <f>IF($L121="","",IF(LOG_ST!AG120=1,"OK",IF(LOG_ST!AG120=2,"NR",IF(OR(LOG_ST!AG120=0,LOG_ST!AG120="X"),"N/A"))))</f>
        <v/>
      </c>
      <c r="AD121" s="574" t="str">
        <f>IF($L121="","",IF(OR(LOG_ST!AH120=0,LOG_ST!AH120="X"),"N/A",LOG_ST!AH120))</f>
        <v/>
      </c>
      <c r="AE121" s="574" t="str">
        <f>IF($L121="","",IF(LOG_ST!AI120=1,"OK",IF(LOG_ST!AI120=2,"NR",IF(OR(LOG_ST!AI120=0,LOG_ST!AI120="X"),"N/A"))))</f>
        <v/>
      </c>
      <c r="AF121" s="574" t="str">
        <f>IF($L121="","",IF(LOG_ST!AJ120=1,"OK",IF(LOG_ST!AJ120=2,"NR",IF(OR(LOG_ST!AJ120=0,LOG_ST!AJ120="X"),"N/A"))))</f>
        <v/>
      </c>
      <c r="AG121" s="574" t="str">
        <f>IF($L121="","",IF(LOG_ST!AK120=1,"OK",IF(LOG_ST!AK120=2,"NR",IF(OR(LOG_ST!AK120=0,LOG_ST!AK120="X"),"N/A"))))</f>
        <v/>
      </c>
      <c r="AH121" s="574" t="str">
        <f>IF($L121="","",IF(LOG_ST!AL120=1,"OK",IF(LOG_ST!AL120=2,"NR",IF(OR(LOG_ST!AL120=0,LOG_ST!AL120="X"),"N/A"))))</f>
        <v/>
      </c>
      <c r="AI121" s="574" t="str">
        <f>IF($L121="","",IF(LOG_ST!AM120=1,"OK",IF(LOG_ST!AM120=2,"NR",IF(OR(LOG_ST!AM120=0,LOG_ST!AM120="X"),"N/A"))))</f>
        <v/>
      </c>
      <c r="AJ121" s="574" t="str">
        <f>IF($L121="","",IF(LOG_ST!AN120=1,"OK",IF(LOG_ST!AN120=2,"NR",IF(OR(LOG_ST!AN120=0,LOG_ST!AN120="X"),"N/A"))))</f>
        <v/>
      </c>
      <c r="AK121" s="574" t="str">
        <f>IF($L121="","",IF(LOG_ST!AO120=1,"OK",IF(LOG_ST!AO120=2,"NR",IF(OR(LOG_ST!AO120=0,LOG_ST!AO120="X"),"N/A"))))</f>
        <v/>
      </c>
      <c r="AL121" s="574" t="str">
        <f>IF($L121="","",IF(LOG_ST!AP120=1,"OK",IF(LOG_ST!AP120=2,"NR",IF(OR(LOG_ST!AP120=0,LOG_ST!AP120="X"),"N/A"))))</f>
        <v/>
      </c>
      <c r="AM121" s="574" t="str">
        <f>IF($L121="","",IF(LOG_ST!AQ120=1,"OK",IF(LOG_ST!AQ120=2,"NR",IF(OR(LOG_ST!AQ120=0,LOG_ST!AQ120="X"),"N/A"))))</f>
        <v/>
      </c>
      <c r="AN121" s="550" t="str">
        <f t="shared" si="1"/>
        <v/>
      </c>
    </row>
    <row r="122" spans="2:40" x14ac:dyDescent="0.25">
      <c r="B122" s="551" t="str">
        <f>IF(LOG_ST!F121="","",VLOOKUP(LOG_ST!F121,DATA_BASE!$A$46:$C$57,2,FALSE))</f>
        <v/>
      </c>
      <c r="C122" s="570" t="str">
        <f>IF(LOG_ST!G121="","",VLOOKUP(LOG_ST!G121,DATA_HDG,2,FALSE))</f>
        <v/>
      </c>
      <c r="D122" s="571" t="str">
        <f>IF(LOG_ST!H121="","",LOG_ST!H121)</f>
        <v/>
      </c>
      <c r="E122" s="570" t="str">
        <f>IF(LOG_ST!I121="","",VLOOKUP(LOG_ST!I121,DATA_COP,2,FALSE))</f>
        <v/>
      </c>
      <c r="F122" s="573" t="str">
        <f>IF(LOG_ST!J121="","",LOG_ST!J121)</f>
        <v/>
      </c>
      <c r="G122" s="570" t="str">
        <f>IF(LOG_ST!K121="","",VLOOKUP(LOG_ST!K121,DATA_SCIES,2,FALSE))</f>
        <v/>
      </c>
      <c r="H122" s="570" t="str">
        <f>IF(LOG_ST!L121="","",VLOOKUP(LOG_ST!L121,DATA_ST!$U$7:$V$64,2,FALSE))</f>
        <v/>
      </c>
      <c r="I122" s="570" t="str">
        <f>IF(LOG_ST!M121="","",LOG_ST!M121)</f>
        <v/>
      </c>
      <c r="J122" s="570" t="str">
        <f>IF(LOG_ST!N121="","",LOG_ST!N121)</f>
        <v/>
      </c>
      <c r="K122" s="573" t="str">
        <f>IF(LOG_ST!O121="","",LOG_ST!O121)</f>
        <v/>
      </c>
      <c r="L122" s="573" t="str">
        <f>IF(LOG_ST!P121="","",LOG_ST!P121)</f>
        <v/>
      </c>
      <c r="M122" s="574" t="str">
        <f>IF($L122="","",IF(LOG_ST!Q121=1,"OK",IF(LOG_ST!Q121=2,"NR",IF(OR(LOG_ST!Q121=0,LOG_ST!Q121="X"),"N/A"))))</f>
        <v/>
      </c>
      <c r="N122" s="574" t="str">
        <f>IF($L122="","",IF(LOG_ST!R121=1,"OK",IF(LOG_ST!R121=2,"NR",IF(OR(LOG_ST!R121=0,LOG_ST!R121="X"),"N/A"))))</f>
        <v/>
      </c>
      <c r="O122" s="574" t="str">
        <f>IF($L122="","",IF(LOG_ST!S121=1,"OK",IF(LOG_ST!S121=2,"NR",IF(OR(LOG_ST!S121=0,LOG_ST!S121="X"),"N/A"))))</f>
        <v/>
      </c>
      <c r="P122" s="574" t="str">
        <f>IF($L122="","",IF(LOG_ST!T121=1,"OK",IF(LOG_ST!T121=2,"NR",IF(OR(LOG_ST!T121=0,LOG_ST!T121="X"),"N/A"))))</f>
        <v/>
      </c>
      <c r="Q122" s="574" t="str">
        <f>IF($L122="","",IF(LOG_ST!U121=1,"OK",IF(LOG_ST!U121=2,"NR",IF(OR(LOG_ST!U121=0,LOG_ST!U121="X"),"N/A"))))</f>
        <v/>
      </c>
      <c r="R122" s="574" t="str">
        <f>IF($L122="","",IF(LOG_ST!V121=1,"OK",IF(LOG_ST!V121=2,"NR",IF(OR(LOG_ST!V121=0,LOG_ST!V121="X"),"N/A"))))</f>
        <v/>
      </c>
      <c r="S122" s="574" t="str">
        <f>IF($L122="","",IF(LOG_ST!W121=1,"OK",IF(LOG_ST!W121=2,"NR",IF(OR(LOG_ST!W121=0,LOG_ST!W121="X"),"N/A"))))</f>
        <v/>
      </c>
      <c r="T122" s="574" t="str">
        <f>IF($L122="","",IF(LOG_ST!X121=1,"OK",IF(LOG_ST!X121=2,"NR",IF(OR(LOG_ST!X121=0,LOG_ST!X121="X"),"N/A"))))</f>
        <v/>
      </c>
      <c r="U122" s="574" t="str">
        <f>IF($L122="","",IF(LOG_ST!Y121=1,"OK",IF(LOG_ST!Y121=2,"NR",IF(OR(LOG_ST!Y121=0,LOG_ST!Y121="X"),"N/A"))))</f>
        <v/>
      </c>
      <c r="V122" s="574" t="str">
        <f>IF($L122="","",IF(LOG_ST!Z121=1,"OK",IF(LOG_ST!Z121=2,"NR",IF(OR(LOG_ST!Z121=0,LOG_ST!Z121="X"),"N/A"))))</f>
        <v/>
      </c>
      <c r="W122" s="574" t="str">
        <f>IF($L122="","",IF(LOG_ST!AA121=1,"OK",IF(LOG_ST!AA121=2,"NR",IF(OR(LOG_ST!AA121=0,LOG_ST!AA121="X"),"N/A"))))</f>
        <v/>
      </c>
      <c r="X122" s="574" t="str">
        <f>IF($L122="","",IF(LOG_ST!AB121=1,"OK",IF(LOG_ST!AB121=2,"NR",IF(OR(LOG_ST!AB121=0,LOG_ST!AB121="X"),"N/A"))))</f>
        <v/>
      </c>
      <c r="Y122" s="574" t="str">
        <f>IF($L122="","",IF(LOG_ST!AC121=1,"OK",IF(LOG_ST!AC121=2,"NR",IF(OR(LOG_ST!AC121=0,LOG_ST!AC121="X"),"N/A"))))</f>
        <v/>
      </c>
      <c r="Z122" s="574" t="str">
        <f>IF($L122="","",IF(OR(LOG_ST!AD121=0,LOG_ST!AD121="X"),"N/A",LOG_ST!AD121))</f>
        <v/>
      </c>
      <c r="AA122" s="574" t="str">
        <f>IF($L122="","",IF(LOG_ST!AE121=1,"OK",IF(LOG_ST!AE121=2,"NR",IF(OR(LOG_ST!AE121=0,LOG_ST!AE121="X"),"N/A"))))</f>
        <v/>
      </c>
      <c r="AB122" s="574" t="str">
        <f>IF($L122="","",IF(LOG_ST!AF121=1,"OK",IF(LOG_ST!AF121=2,"NR",IF(OR(LOG_ST!AF121=0,LOG_ST!AF121="X"),"N/A"))))</f>
        <v/>
      </c>
      <c r="AC122" s="574" t="str">
        <f>IF($L122="","",IF(LOG_ST!AG121=1,"OK",IF(LOG_ST!AG121=2,"NR",IF(OR(LOG_ST!AG121=0,LOG_ST!AG121="X"),"N/A"))))</f>
        <v/>
      </c>
      <c r="AD122" s="574" t="str">
        <f>IF($L122="","",IF(OR(LOG_ST!AH121=0,LOG_ST!AH121="X"),"N/A",LOG_ST!AH121))</f>
        <v/>
      </c>
      <c r="AE122" s="574" t="str">
        <f>IF($L122="","",IF(LOG_ST!AI121=1,"OK",IF(LOG_ST!AI121=2,"NR",IF(OR(LOG_ST!AI121=0,LOG_ST!AI121="X"),"N/A"))))</f>
        <v/>
      </c>
      <c r="AF122" s="574" t="str">
        <f>IF($L122="","",IF(LOG_ST!AJ121=1,"OK",IF(LOG_ST!AJ121=2,"NR",IF(OR(LOG_ST!AJ121=0,LOG_ST!AJ121="X"),"N/A"))))</f>
        <v/>
      </c>
      <c r="AG122" s="574" t="str">
        <f>IF($L122="","",IF(LOG_ST!AK121=1,"OK",IF(LOG_ST!AK121=2,"NR",IF(OR(LOG_ST!AK121=0,LOG_ST!AK121="X"),"N/A"))))</f>
        <v/>
      </c>
      <c r="AH122" s="574" t="str">
        <f>IF($L122="","",IF(LOG_ST!AL121=1,"OK",IF(LOG_ST!AL121=2,"NR",IF(OR(LOG_ST!AL121=0,LOG_ST!AL121="X"),"N/A"))))</f>
        <v/>
      </c>
      <c r="AI122" s="574" t="str">
        <f>IF($L122="","",IF(LOG_ST!AM121=1,"OK",IF(LOG_ST!AM121=2,"NR",IF(OR(LOG_ST!AM121=0,LOG_ST!AM121="X"),"N/A"))))</f>
        <v/>
      </c>
      <c r="AJ122" s="574" t="str">
        <f>IF($L122="","",IF(LOG_ST!AN121=1,"OK",IF(LOG_ST!AN121=2,"NR",IF(OR(LOG_ST!AN121=0,LOG_ST!AN121="X"),"N/A"))))</f>
        <v/>
      </c>
      <c r="AK122" s="574" t="str">
        <f>IF($L122="","",IF(LOG_ST!AO121=1,"OK",IF(LOG_ST!AO121=2,"NR",IF(OR(LOG_ST!AO121=0,LOG_ST!AO121="X"),"N/A"))))</f>
        <v/>
      </c>
      <c r="AL122" s="574" t="str">
        <f>IF($L122="","",IF(LOG_ST!AP121=1,"OK",IF(LOG_ST!AP121=2,"NR",IF(OR(LOG_ST!AP121=0,LOG_ST!AP121="X"),"N/A"))))</f>
        <v/>
      </c>
      <c r="AM122" s="574" t="str">
        <f>IF($L122="","",IF(LOG_ST!AQ121=1,"OK",IF(LOG_ST!AQ121=2,"NR",IF(OR(LOG_ST!AQ121=0,LOG_ST!AQ121="X"),"N/A"))))</f>
        <v/>
      </c>
      <c r="AN122" s="550" t="str">
        <f t="shared" si="1"/>
        <v/>
      </c>
    </row>
    <row r="123" spans="2:40" x14ac:dyDescent="0.25">
      <c r="B123" s="551" t="str">
        <f>IF(LOG_ST!F122="","",VLOOKUP(LOG_ST!F122,DATA_BASE!$A$46:$C$57,2,FALSE))</f>
        <v/>
      </c>
      <c r="C123" s="570" t="str">
        <f>IF(LOG_ST!G122="","",VLOOKUP(LOG_ST!G122,DATA_HDG,2,FALSE))</f>
        <v/>
      </c>
      <c r="D123" s="571" t="str">
        <f>IF(LOG_ST!H122="","",LOG_ST!H122)</f>
        <v/>
      </c>
      <c r="E123" s="570" t="str">
        <f>IF(LOG_ST!I122="","",VLOOKUP(LOG_ST!I122,DATA_COP,2,FALSE))</f>
        <v/>
      </c>
      <c r="F123" s="573" t="str">
        <f>IF(LOG_ST!J122="","",LOG_ST!J122)</f>
        <v/>
      </c>
      <c r="G123" s="570" t="str">
        <f>IF(LOG_ST!K122="","",VLOOKUP(LOG_ST!K122,DATA_SCIES,2,FALSE))</f>
        <v/>
      </c>
      <c r="H123" s="570" t="str">
        <f>IF(LOG_ST!L122="","",VLOOKUP(LOG_ST!L122,DATA_ST!$U$7:$V$64,2,FALSE))</f>
        <v/>
      </c>
      <c r="I123" s="570" t="str">
        <f>IF(LOG_ST!M122="","",LOG_ST!M122)</f>
        <v/>
      </c>
      <c r="J123" s="570" t="str">
        <f>IF(LOG_ST!N122="","",LOG_ST!N122)</f>
        <v/>
      </c>
      <c r="K123" s="573" t="str">
        <f>IF(LOG_ST!O122="","",LOG_ST!O122)</f>
        <v/>
      </c>
      <c r="L123" s="573" t="str">
        <f>IF(LOG_ST!P122="","",LOG_ST!P122)</f>
        <v/>
      </c>
      <c r="M123" s="574" t="str">
        <f>IF($L123="","",IF(LOG_ST!Q122=1,"OK",IF(LOG_ST!Q122=2,"NR",IF(OR(LOG_ST!Q122=0,LOG_ST!Q122="X"),"N/A"))))</f>
        <v/>
      </c>
      <c r="N123" s="574" t="str">
        <f>IF($L123="","",IF(LOG_ST!R122=1,"OK",IF(LOG_ST!R122=2,"NR",IF(OR(LOG_ST!R122=0,LOG_ST!R122="X"),"N/A"))))</f>
        <v/>
      </c>
      <c r="O123" s="574" t="str">
        <f>IF($L123="","",IF(LOG_ST!S122=1,"OK",IF(LOG_ST!S122=2,"NR",IF(OR(LOG_ST!S122=0,LOG_ST!S122="X"),"N/A"))))</f>
        <v/>
      </c>
      <c r="P123" s="574" t="str">
        <f>IF($L123="","",IF(LOG_ST!T122=1,"OK",IF(LOG_ST!T122=2,"NR",IF(OR(LOG_ST!T122=0,LOG_ST!T122="X"),"N/A"))))</f>
        <v/>
      </c>
      <c r="Q123" s="574" t="str">
        <f>IF($L123="","",IF(LOG_ST!U122=1,"OK",IF(LOG_ST!U122=2,"NR",IF(OR(LOG_ST!U122=0,LOG_ST!U122="X"),"N/A"))))</f>
        <v/>
      </c>
      <c r="R123" s="574" t="str">
        <f>IF($L123="","",IF(LOG_ST!V122=1,"OK",IF(LOG_ST!V122=2,"NR",IF(OR(LOG_ST!V122=0,LOG_ST!V122="X"),"N/A"))))</f>
        <v/>
      </c>
      <c r="S123" s="574" t="str">
        <f>IF($L123="","",IF(LOG_ST!W122=1,"OK",IF(LOG_ST!W122=2,"NR",IF(OR(LOG_ST!W122=0,LOG_ST!W122="X"),"N/A"))))</f>
        <v/>
      </c>
      <c r="T123" s="574" t="str">
        <f>IF($L123="","",IF(LOG_ST!X122=1,"OK",IF(LOG_ST!X122=2,"NR",IF(OR(LOG_ST!X122=0,LOG_ST!X122="X"),"N/A"))))</f>
        <v/>
      </c>
      <c r="U123" s="574" t="str">
        <f>IF($L123="","",IF(LOG_ST!Y122=1,"OK",IF(LOG_ST!Y122=2,"NR",IF(OR(LOG_ST!Y122=0,LOG_ST!Y122="X"),"N/A"))))</f>
        <v/>
      </c>
      <c r="V123" s="574" t="str">
        <f>IF($L123="","",IF(LOG_ST!Z122=1,"OK",IF(LOG_ST!Z122=2,"NR",IF(OR(LOG_ST!Z122=0,LOG_ST!Z122="X"),"N/A"))))</f>
        <v/>
      </c>
      <c r="W123" s="574" t="str">
        <f>IF($L123="","",IF(LOG_ST!AA122=1,"OK",IF(LOG_ST!AA122=2,"NR",IF(OR(LOG_ST!AA122=0,LOG_ST!AA122="X"),"N/A"))))</f>
        <v/>
      </c>
      <c r="X123" s="574" t="str">
        <f>IF($L123="","",IF(LOG_ST!AB122=1,"OK",IF(LOG_ST!AB122=2,"NR",IF(OR(LOG_ST!AB122=0,LOG_ST!AB122="X"),"N/A"))))</f>
        <v/>
      </c>
      <c r="Y123" s="574" t="str">
        <f>IF($L123="","",IF(LOG_ST!AC122=1,"OK",IF(LOG_ST!AC122=2,"NR",IF(OR(LOG_ST!AC122=0,LOG_ST!AC122="X"),"N/A"))))</f>
        <v/>
      </c>
      <c r="Z123" s="574" t="str">
        <f>IF($L123="","",IF(OR(LOG_ST!AD122=0,LOG_ST!AD122="X"),"N/A",LOG_ST!AD122))</f>
        <v/>
      </c>
      <c r="AA123" s="574" t="str">
        <f>IF($L123="","",IF(LOG_ST!AE122=1,"OK",IF(LOG_ST!AE122=2,"NR",IF(OR(LOG_ST!AE122=0,LOG_ST!AE122="X"),"N/A"))))</f>
        <v/>
      </c>
      <c r="AB123" s="574" t="str">
        <f>IF($L123="","",IF(LOG_ST!AF122=1,"OK",IF(LOG_ST!AF122=2,"NR",IF(OR(LOG_ST!AF122=0,LOG_ST!AF122="X"),"N/A"))))</f>
        <v/>
      </c>
      <c r="AC123" s="574" t="str">
        <f>IF($L123="","",IF(LOG_ST!AG122=1,"OK",IF(LOG_ST!AG122=2,"NR",IF(OR(LOG_ST!AG122=0,LOG_ST!AG122="X"),"N/A"))))</f>
        <v/>
      </c>
      <c r="AD123" s="574" t="str">
        <f>IF($L123="","",IF(OR(LOG_ST!AH122=0,LOG_ST!AH122="X"),"N/A",LOG_ST!AH122))</f>
        <v/>
      </c>
      <c r="AE123" s="574" t="str">
        <f>IF($L123="","",IF(LOG_ST!AI122=1,"OK",IF(LOG_ST!AI122=2,"NR",IF(OR(LOG_ST!AI122=0,LOG_ST!AI122="X"),"N/A"))))</f>
        <v/>
      </c>
      <c r="AF123" s="574" t="str">
        <f>IF($L123="","",IF(LOG_ST!AJ122=1,"OK",IF(LOG_ST!AJ122=2,"NR",IF(OR(LOG_ST!AJ122=0,LOG_ST!AJ122="X"),"N/A"))))</f>
        <v/>
      </c>
      <c r="AG123" s="574" t="str">
        <f>IF($L123="","",IF(LOG_ST!AK122=1,"OK",IF(LOG_ST!AK122=2,"NR",IF(OR(LOG_ST!AK122=0,LOG_ST!AK122="X"),"N/A"))))</f>
        <v/>
      </c>
      <c r="AH123" s="574" t="str">
        <f>IF($L123="","",IF(LOG_ST!AL122=1,"OK",IF(LOG_ST!AL122=2,"NR",IF(OR(LOG_ST!AL122=0,LOG_ST!AL122="X"),"N/A"))))</f>
        <v/>
      </c>
      <c r="AI123" s="574" t="str">
        <f>IF($L123="","",IF(LOG_ST!AM122=1,"OK",IF(LOG_ST!AM122=2,"NR",IF(OR(LOG_ST!AM122=0,LOG_ST!AM122="X"),"N/A"))))</f>
        <v/>
      </c>
      <c r="AJ123" s="574" t="str">
        <f>IF($L123="","",IF(LOG_ST!AN122=1,"OK",IF(LOG_ST!AN122=2,"NR",IF(OR(LOG_ST!AN122=0,LOG_ST!AN122="X"),"N/A"))))</f>
        <v/>
      </c>
      <c r="AK123" s="574" t="str">
        <f>IF($L123="","",IF(LOG_ST!AO122=1,"OK",IF(LOG_ST!AO122=2,"NR",IF(OR(LOG_ST!AO122=0,LOG_ST!AO122="X"),"N/A"))))</f>
        <v/>
      </c>
      <c r="AL123" s="574" t="str">
        <f>IF($L123="","",IF(LOG_ST!AP122=1,"OK",IF(LOG_ST!AP122=2,"NR",IF(OR(LOG_ST!AP122=0,LOG_ST!AP122="X"),"N/A"))))</f>
        <v/>
      </c>
      <c r="AM123" s="574" t="str">
        <f>IF($L123="","",IF(LOG_ST!AQ122=1,"OK",IF(LOG_ST!AQ122=2,"NR",IF(OR(LOG_ST!AQ122=0,LOG_ST!AQ122="X"),"N/A"))))</f>
        <v/>
      </c>
      <c r="AN123" s="550" t="str">
        <f t="shared" si="1"/>
        <v/>
      </c>
    </row>
    <row r="124" spans="2:40" x14ac:dyDescent="0.25">
      <c r="B124" s="551" t="str">
        <f>IF(LOG_ST!F123="","",VLOOKUP(LOG_ST!F123,DATA_BASE!$A$46:$C$57,2,FALSE))</f>
        <v/>
      </c>
      <c r="C124" s="570" t="str">
        <f>IF(LOG_ST!G123="","",VLOOKUP(LOG_ST!G123,DATA_HDG,2,FALSE))</f>
        <v/>
      </c>
      <c r="D124" s="571" t="str">
        <f>IF(LOG_ST!H123="","",LOG_ST!H123)</f>
        <v/>
      </c>
      <c r="E124" s="570" t="str">
        <f>IF(LOG_ST!I123="","",VLOOKUP(LOG_ST!I123,DATA_COP,2,FALSE))</f>
        <v/>
      </c>
      <c r="F124" s="573" t="str">
        <f>IF(LOG_ST!J123="","",LOG_ST!J123)</f>
        <v/>
      </c>
      <c r="G124" s="570" t="str">
        <f>IF(LOG_ST!K123="","",VLOOKUP(LOG_ST!K123,DATA_SCIES,2,FALSE))</f>
        <v/>
      </c>
      <c r="H124" s="570" t="str">
        <f>IF(LOG_ST!L123="","",VLOOKUP(LOG_ST!L123,DATA_ST!$U$7:$V$64,2,FALSE))</f>
        <v/>
      </c>
      <c r="I124" s="570" t="str">
        <f>IF(LOG_ST!M123="","",LOG_ST!M123)</f>
        <v/>
      </c>
      <c r="J124" s="570" t="str">
        <f>IF(LOG_ST!N123="","",LOG_ST!N123)</f>
        <v/>
      </c>
      <c r="K124" s="573" t="str">
        <f>IF(LOG_ST!O123="","",LOG_ST!O123)</f>
        <v/>
      </c>
      <c r="L124" s="573" t="str">
        <f>IF(LOG_ST!P123="","",LOG_ST!P123)</f>
        <v/>
      </c>
      <c r="M124" s="574" t="str">
        <f>IF($L124="","",IF(LOG_ST!Q123=1,"OK",IF(LOG_ST!Q123=2,"NR",IF(OR(LOG_ST!Q123=0,LOG_ST!Q123="X"),"N/A"))))</f>
        <v/>
      </c>
      <c r="N124" s="574" t="str">
        <f>IF($L124="","",IF(LOG_ST!R123=1,"OK",IF(LOG_ST!R123=2,"NR",IF(OR(LOG_ST!R123=0,LOG_ST!R123="X"),"N/A"))))</f>
        <v/>
      </c>
      <c r="O124" s="574" t="str">
        <f>IF($L124="","",IF(LOG_ST!S123=1,"OK",IF(LOG_ST!S123=2,"NR",IF(OR(LOG_ST!S123=0,LOG_ST!S123="X"),"N/A"))))</f>
        <v/>
      </c>
      <c r="P124" s="574" t="str">
        <f>IF($L124="","",IF(LOG_ST!T123=1,"OK",IF(LOG_ST!T123=2,"NR",IF(OR(LOG_ST!T123=0,LOG_ST!T123="X"),"N/A"))))</f>
        <v/>
      </c>
      <c r="Q124" s="574" t="str">
        <f>IF($L124="","",IF(LOG_ST!U123=1,"OK",IF(LOG_ST!U123=2,"NR",IF(OR(LOG_ST!U123=0,LOG_ST!U123="X"),"N/A"))))</f>
        <v/>
      </c>
      <c r="R124" s="574" t="str">
        <f>IF($L124="","",IF(LOG_ST!V123=1,"OK",IF(LOG_ST!V123=2,"NR",IF(OR(LOG_ST!V123=0,LOG_ST!V123="X"),"N/A"))))</f>
        <v/>
      </c>
      <c r="S124" s="574" t="str">
        <f>IF($L124="","",IF(LOG_ST!W123=1,"OK",IF(LOG_ST!W123=2,"NR",IF(OR(LOG_ST!W123=0,LOG_ST!W123="X"),"N/A"))))</f>
        <v/>
      </c>
      <c r="T124" s="574" t="str">
        <f>IF($L124="","",IF(LOG_ST!X123=1,"OK",IF(LOG_ST!X123=2,"NR",IF(OR(LOG_ST!X123=0,LOG_ST!X123="X"),"N/A"))))</f>
        <v/>
      </c>
      <c r="U124" s="574" t="str">
        <f>IF($L124="","",IF(LOG_ST!Y123=1,"OK",IF(LOG_ST!Y123=2,"NR",IF(OR(LOG_ST!Y123=0,LOG_ST!Y123="X"),"N/A"))))</f>
        <v/>
      </c>
      <c r="V124" s="574" t="str">
        <f>IF($L124="","",IF(LOG_ST!Z123=1,"OK",IF(LOG_ST!Z123=2,"NR",IF(OR(LOG_ST!Z123=0,LOG_ST!Z123="X"),"N/A"))))</f>
        <v/>
      </c>
      <c r="W124" s="574" t="str">
        <f>IF($L124="","",IF(LOG_ST!AA123=1,"OK",IF(LOG_ST!AA123=2,"NR",IF(OR(LOG_ST!AA123=0,LOG_ST!AA123="X"),"N/A"))))</f>
        <v/>
      </c>
      <c r="X124" s="574" t="str">
        <f>IF($L124="","",IF(LOG_ST!AB123=1,"OK",IF(LOG_ST!AB123=2,"NR",IF(OR(LOG_ST!AB123=0,LOG_ST!AB123="X"),"N/A"))))</f>
        <v/>
      </c>
      <c r="Y124" s="574" t="str">
        <f>IF($L124="","",IF(LOG_ST!AC123=1,"OK",IF(LOG_ST!AC123=2,"NR",IF(OR(LOG_ST!AC123=0,LOG_ST!AC123="X"),"N/A"))))</f>
        <v/>
      </c>
      <c r="Z124" s="574" t="str">
        <f>IF($L124="","",IF(OR(LOG_ST!AD123=0,LOG_ST!AD123="X"),"N/A",LOG_ST!AD123))</f>
        <v/>
      </c>
      <c r="AA124" s="574" t="str">
        <f>IF($L124="","",IF(LOG_ST!AE123=1,"OK",IF(LOG_ST!AE123=2,"NR",IF(OR(LOG_ST!AE123=0,LOG_ST!AE123="X"),"N/A"))))</f>
        <v/>
      </c>
      <c r="AB124" s="574" t="str">
        <f>IF($L124="","",IF(LOG_ST!AF123=1,"OK",IF(LOG_ST!AF123=2,"NR",IF(OR(LOG_ST!AF123=0,LOG_ST!AF123="X"),"N/A"))))</f>
        <v/>
      </c>
      <c r="AC124" s="574" t="str">
        <f>IF($L124="","",IF(LOG_ST!AG123=1,"OK",IF(LOG_ST!AG123=2,"NR",IF(OR(LOG_ST!AG123=0,LOG_ST!AG123="X"),"N/A"))))</f>
        <v/>
      </c>
      <c r="AD124" s="574" t="str">
        <f>IF($L124="","",IF(OR(LOG_ST!AH123=0,LOG_ST!AH123="X"),"N/A",LOG_ST!AH123))</f>
        <v/>
      </c>
      <c r="AE124" s="574" t="str">
        <f>IF($L124="","",IF(LOG_ST!AI123=1,"OK",IF(LOG_ST!AI123=2,"NR",IF(OR(LOG_ST!AI123=0,LOG_ST!AI123="X"),"N/A"))))</f>
        <v/>
      </c>
      <c r="AF124" s="574" t="str">
        <f>IF($L124="","",IF(LOG_ST!AJ123=1,"OK",IF(LOG_ST!AJ123=2,"NR",IF(OR(LOG_ST!AJ123=0,LOG_ST!AJ123="X"),"N/A"))))</f>
        <v/>
      </c>
      <c r="AG124" s="574" t="str">
        <f>IF($L124="","",IF(LOG_ST!AK123=1,"OK",IF(LOG_ST!AK123=2,"NR",IF(OR(LOG_ST!AK123=0,LOG_ST!AK123="X"),"N/A"))))</f>
        <v/>
      </c>
      <c r="AH124" s="574" t="str">
        <f>IF($L124="","",IF(LOG_ST!AL123=1,"OK",IF(LOG_ST!AL123=2,"NR",IF(OR(LOG_ST!AL123=0,LOG_ST!AL123="X"),"N/A"))))</f>
        <v/>
      </c>
      <c r="AI124" s="574" t="str">
        <f>IF($L124="","",IF(LOG_ST!AM123=1,"OK",IF(LOG_ST!AM123=2,"NR",IF(OR(LOG_ST!AM123=0,LOG_ST!AM123="X"),"N/A"))))</f>
        <v/>
      </c>
      <c r="AJ124" s="574" t="str">
        <f>IF($L124="","",IF(LOG_ST!AN123=1,"OK",IF(LOG_ST!AN123=2,"NR",IF(OR(LOG_ST!AN123=0,LOG_ST!AN123="X"),"N/A"))))</f>
        <v/>
      </c>
      <c r="AK124" s="574" t="str">
        <f>IF($L124="","",IF(LOG_ST!AO123=1,"OK",IF(LOG_ST!AO123=2,"NR",IF(OR(LOG_ST!AO123=0,LOG_ST!AO123="X"),"N/A"))))</f>
        <v/>
      </c>
      <c r="AL124" s="574" t="str">
        <f>IF($L124="","",IF(LOG_ST!AP123=1,"OK",IF(LOG_ST!AP123=2,"NR",IF(OR(LOG_ST!AP123=0,LOG_ST!AP123="X"),"N/A"))))</f>
        <v/>
      </c>
      <c r="AM124" s="574" t="str">
        <f>IF($L124="","",IF(LOG_ST!AQ123=1,"OK",IF(LOG_ST!AQ123=2,"NR",IF(OR(LOG_ST!AQ123=0,LOG_ST!AQ123="X"),"N/A"))))</f>
        <v/>
      </c>
      <c r="AN124" s="550" t="str">
        <f t="shared" si="1"/>
        <v/>
      </c>
    </row>
    <row r="125" spans="2:40" x14ac:dyDescent="0.25">
      <c r="B125" s="551" t="str">
        <f>IF(LOG_ST!F124="","",VLOOKUP(LOG_ST!F124,DATA_BASE!$A$46:$C$57,2,FALSE))</f>
        <v/>
      </c>
      <c r="C125" s="570" t="str">
        <f>IF(LOG_ST!G124="","",VLOOKUP(LOG_ST!G124,DATA_HDG,2,FALSE))</f>
        <v/>
      </c>
      <c r="D125" s="571" t="str">
        <f>IF(LOG_ST!H124="","",LOG_ST!H124)</f>
        <v/>
      </c>
      <c r="E125" s="570" t="str">
        <f>IF(LOG_ST!I124="","",VLOOKUP(LOG_ST!I124,DATA_COP,2,FALSE))</f>
        <v/>
      </c>
      <c r="F125" s="573" t="str">
        <f>IF(LOG_ST!J124="","",LOG_ST!J124)</f>
        <v/>
      </c>
      <c r="G125" s="570" t="str">
        <f>IF(LOG_ST!K124="","",VLOOKUP(LOG_ST!K124,DATA_SCIES,2,FALSE))</f>
        <v/>
      </c>
      <c r="H125" s="570" t="str">
        <f>IF(LOG_ST!L124="","",VLOOKUP(LOG_ST!L124,DATA_ST!$U$7:$V$64,2,FALSE))</f>
        <v/>
      </c>
      <c r="I125" s="570" t="str">
        <f>IF(LOG_ST!M124="","",LOG_ST!M124)</f>
        <v/>
      </c>
      <c r="J125" s="570" t="str">
        <f>IF(LOG_ST!N124="","",LOG_ST!N124)</f>
        <v/>
      </c>
      <c r="K125" s="573" t="str">
        <f>IF(LOG_ST!O124="","",LOG_ST!O124)</f>
        <v/>
      </c>
      <c r="L125" s="573" t="str">
        <f>IF(LOG_ST!P124="","",LOG_ST!P124)</f>
        <v/>
      </c>
      <c r="M125" s="574" t="str">
        <f>IF($L125="","",IF(LOG_ST!Q124=1,"OK",IF(LOG_ST!Q124=2,"NR",IF(OR(LOG_ST!Q124=0,LOG_ST!Q124="X"),"N/A"))))</f>
        <v/>
      </c>
      <c r="N125" s="574" t="str">
        <f>IF($L125="","",IF(LOG_ST!R124=1,"OK",IF(LOG_ST!R124=2,"NR",IF(OR(LOG_ST!R124=0,LOG_ST!R124="X"),"N/A"))))</f>
        <v/>
      </c>
      <c r="O125" s="574" t="str">
        <f>IF($L125="","",IF(LOG_ST!S124=1,"OK",IF(LOG_ST!S124=2,"NR",IF(OR(LOG_ST!S124=0,LOG_ST!S124="X"),"N/A"))))</f>
        <v/>
      </c>
      <c r="P125" s="574" t="str">
        <f>IF($L125="","",IF(LOG_ST!T124=1,"OK",IF(LOG_ST!T124=2,"NR",IF(OR(LOG_ST!T124=0,LOG_ST!T124="X"),"N/A"))))</f>
        <v/>
      </c>
      <c r="Q125" s="574" t="str">
        <f>IF($L125="","",IF(LOG_ST!U124=1,"OK",IF(LOG_ST!U124=2,"NR",IF(OR(LOG_ST!U124=0,LOG_ST!U124="X"),"N/A"))))</f>
        <v/>
      </c>
      <c r="R125" s="574" t="str">
        <f>IF($L125="","",IF(LOG_ST!V124=1,"OK",IF(LOG_ST!V124=2,"NR",IF(OR(LOG_ST!V124=0,LOG_ST!V124="X"),"N/A"))))</f>
        <v/>
      </c>
      <c r="S125" s="574" t="str">
        <f>IF($L125="","",IF(LOG_ST!W124=1,"OK",IF(LOG_ST!W124=2,"NR",IF(OR(LOG_ST!W124=0,LOG_ST!W124="X"),"N/A"))))</f>
        <v/>
      </c>
      <c r="T125" s="574" t="str">
        <f>IF($L125="","",IF(LOG_ST!X124=1,"OK",IF(LOG_ST!X124=2,"NR",IF(OR(LOG_ST!X124=0,LOG_ST!X124="X"),"N/A"))))</f>
        <v/>
      </c>
      <c r="U125" s="574" t="str">
        <f>IF($L125="","",IF(LOG_ST!Y124=1,"OK",IF(LOG_ST!Y124=2,"NR",IF(OR(LOG_ST!Y124=0,LOG_ST!Y124="X"),"N/A"))))</f>
        <v/>
      </c>
      <c r="V125" s="574" t="str">
        <f>IF($L125="","",IF(LOG_ST!Z124=1,"OK",IF(LOG_ST!Z124=2,"NR",IF(OR(LOG_ST!Z124=0,LOG_ST!Z124="X"),"N/A"))))</f>
        <v/>
      </c>
      <c r="W125" s="574" t="str">
        <f>IF($L125="","",IF(LOG_ST!AA124=1,"OK",IF(LOG_ST!AA124=2,"NR",IF(OR(LOG_ST!AA124=0,LOG_ST!AA124="X"),"N/A"))))</f>
        <v/>
      </c>
      <c r="X125" s="574" t="str">
        <f>IF($L125="","",IF(LOG_ST!AB124=1,"OK",IF(LOG_ST!AB124=2,"NR",IF(OR(LOG_ST!AB124=0,LOG_ST!AB124="X"),"N/A"))))</f>
        <v/>
      </c>
      <c r="Y125" s="574" t="str">
        <f>IF($L125="","",IF(LOG_ST!AC124=1,"OK",IF(LOG_ST!AC124=2,"NR",IF(OR(LOG_ST!AC124=0,LOG_ST!AC124="X"),"N/A"))))</f>
        <v/>
      </c>
      <c r="Z125" s="574" t="str">
        <f>IF($L125="","",IF(OR(LOG_ST!AD124=0,LOG_ST!AD124="X"),"N/A",LOG_ST!AD124))</f>
        <v/>
      </c>
      <c r="AA125" s="574" t="str">
        <f>IF($L125="","",IF(LOG_ST!AE124=1,"OK",IF(LOG_ST!AE124=2,"NR",IF(OR(LOG_ST!AE124=0,LOG_ST!AE124="X"),"N/A"))))</f>
        <v/>
      </c>
      <c r="AB125" s="574" t="str">
        <f>IF($L125="","",IF(LOG_ST!AF124=1,"OK",IF(LOG_ST!AF124=2,"NR",IF(OR(LOG_ST!AF124=0,LOG_ST!AF124="X"),"N/A"))))</f>
        <v/>
      </c>
      <c r="AC125" s="574" t="str">
        <f>IF($L125="","",IF(LOG_ST!AG124=1,"OK",IF(LOG_ST!AG124=2,"NR",IF(OR(LOG_ST!AG124=0,LOG_ST!AG124="X"),"N/A"))))</f>
        <v/>
      </c>
      <c r="AD125" s="574" t="str">
        <f>IF($L125="","",IF(OR(LOG_ST!AH124=0,LOG_ST!AH124="X"),"N/A",LOG_ST!AH124))</f>
        <v/>
      </c>
      <c r="AE125" s="574" t="str">
        <f>IF($L125="","",IF(LOG_ST!AI124=1,"OK",IF(LOG_ST!AI124=2,"NR",IF(OR(LOG_ST!AI124=0,LOG_ST!AI124="X"),"N/A"))))</f>
        <v/>
      </c>
      <c r="AF125" s="574" t="str">
        <f>IF($L125="","",IF(LOG_ST!AJ124=1,"OK",IF(LOG_ST!AJ124=2,"NR",IF(OR(LOG_ST!AJ124=0,LOG_ST!AJ124="X"),"N/A"))))</f>
        <v/>
      </c>
      <c r="AG125" s="574" t="str">
        <f>IF($L125="","",IF(LOG_ST!AK124=1,"OK",IF(LOG_ST!AK124=2,"NR",IF(OR(LOG_ST!AK124=0,LOG_ST!AK124="X"),"N/A"))))</f>
        <v/>
      </c>
      <c r="AH125" s="574" t="str">
        <f>IF($L125="","",IF(LOG_ST!AL124=1,"OK",IF(LOG_ST!AL124=2,"NR",IF(OR(LOG_ST!AL124=0,LOG_ST!AL124="X"),"N/A"))))</f>
        <v/>
      </c>
      <c r="AI125" s="574" t="str">
        <f>IF($L125="","",IF(LOG_ST!AM124=1,"OK",IF(LOG_ST!AM124=2,"NR",IF(OR(LOG_ST!AM124=0,LOG_ST!AM124="X"),"N/A"))))</f>
        <v/>
      </c>
      <c r="AJ125" s="574" t="str">
        <f>IF($L125="","",IF(LOG_ST!AN124=1,"OK",IF(LOG_ST!AN124=2,"NR",IF(OR(LOG_ST!AN124=0,LOG_ST!AN124="X"),"N/A"))))</f>
        <v/>
      </c>
      <c r="AK125" s="574" t="str">
        <f>IF($L125="","",IF(LOG_ST!AO124=1,"OK",IF(LOG_ST!AO124=2,"NR",IF(OR(LOG_ST!AO124=0,LOG_ST!AO124="X"),"N/A"))))</f>
        <v/>
      </c>
      <c r="AL125" s="574" t="str">
        <f>IF($L125="","",IF(LOG_ST!AP124=1,"OK",IF(LOG_ST!AP124=2,"NR",IF(OR(LOG_ST!AP124=0,LOG_ST!AP124="X"),"N/A"))))</f>
        <v/>
      </c>
      <c r="AM125" s="574" t="str">
        <f>IF($L125="","",IF(LOG_ST!AQ124=1,"OK",IF(LOG_ST!AQ124=2,"NR",IF(OR(LOG_ST!AQ124=0,LOG_ST!AQ124="X"),"N/A"))))</f>
        <v/>
      </c>
      <c r="AN125" s="550" t="str">
        <f t="shared" si="1"/>
        <v/>
      </c>
    </row>
    <row r="126" spans="2:40" x14ac:dyDescent="0.25">
      <c r="B126" s="551" t="str">
        <f>IF(LOG_ST!F125="","",VLOOKUP(LOG_ST!F125,DATA_BASE!$A$46:$C$57,2,FALSE))</f>
        <v/>
      </c>
      <c r="C126" s="570" t="str">
        <f>IF(LOG_ST!G125="","",VLOOKUP(LOG_ST!G125,DATA_HDG,2,FALSE))</f>
        <v/>
      </c>
      <c r="D126" s="571" t="str">
        <f>IF(LOG_ST!H125="","",LOG_ST!H125)</f>
        <v/>
      </c>
      <c r="E126" s="570" t="str">
        <f>IF(LOG_ST!I125="","",VLOOKUP(LOG_ST!I125,DATA_COP,2,FALSE))</f>
        <v/>
      </c>
      <c r="F126" s="573" t="str">
        <f>IF(LOG_ST!J125="","",LOG_ST!J125)</f>
        <v/>
      </c>
      <c r="G126" s="570" t="str">
        <f>IF(LOG_ST!K125="","",VLOOKUP(LOG_ST!K125,DATA_SCIES,2,FALSE))</f>
        <v/>
      </c>
      <c r="H126" s="570" t="str">
        <f>IF(LOG_ST!L125="","",VLOOKUP(LOG_ST!L125,DATA_ST!$U$7:$V$64,2,FALSE))</f>
        <v/>
      </c>
      <c r="I126" s="570" t="str">
        <f>IF(LOG_ST!M125="","",LOG_ST!M125)</f>
        <v/>
      </c>
      <c r="J126" s="570" t="str">
        <f>IF(LOG_ST!N125="","",LOG_ST!N125)</f>
        <v/>
      </c>
      <c r="K126" s="573" t="str">
        <f>IF(LOG_ST!O125="","",LOG_ST!O125)</f>
        <v/>
      </c>
      <c r="L126" s="573" t="str">
        <f>IF(LOG_ST!P125="","",LOG_ST!P125)</f>
        <v/>
      </c>
      <c r="M126" s="574" t="str">
        <f>IF($L126="","",IF(LOG_ST!Q125=1,"OK",IF(LOG_ST!Q125=2,"NR",IF(OR(LOG_ST!Q125=0,LOG_ST!Q125="X"),"N/A"))))</f>
        <v/>
      </c>
      <c r="N126" s="574" t="str">
        <f>IF($L126="","",IF(LOG_ST!R125=1,"OK",IF(LOG_ST!R125=2,"NR",IF(OR(LOG_ST!R125=0,LOG_ST!R125="X"),"N/A"))))</f>
        <v/>
      </c>
      <c r="O126" s="574" t="str">
        <f>IF($L126="","",IF(LOG_ST!S125=1,"OK",IF(LOG_ST!S125=2,"NR",IF(OR(LOG_ST!S125=0,LOG_ST!S125="X"),"N/A"))))</f>
        <v/>
      </c>
      <c r="P126" s="574" t="str">
        <f>IF($L126="","",IF(LOG_ST!T125=1,"OK",IF(LOG_ST!T125=2,"NR",IF(OR(LOG_ST!T125=0,LOG_ST!T125="X"),"N/A"))))</f>
        <v/>
      </c>
      <c r="Q126" s="574" t="str">
        <f>IF($L126="","",IF(LOG_ST!U125=1,"OK",IF(LOG_ST!U125=2,"NR",IF(OR(LOG_ST!U125=0,LOG_ST!U125="X"),"N/A"))))</f>
        <v/>
      </c>
      <c r="R126" s="574" t="str">
        <f>IF($L126="","",IF(LOG_ST!V125=1,"OK",IF(LOG_ST!V125=2,"NR",IF(OR(LOG_ST!V125=0,LOG_ST!V125="X"),"N/A"))))</f>
        <v/>
      </c>
      <c r="S126" s="574" t="str">
        <f>IF($L126="","",IF(LOG_ST!W125=1,"OK",IF(LOG_ST!W125=2,"NR",IF(OR(LOG_ST!W125=0,LOG_ST!W125="X"),"N/A"))))</f>
        <v/>
      </c>
      <c r="T126" s="574" t="str">
        <f>IF($L126="","",IF(LOG_ST!X125=1,"OK",IF(LOG_ST!X125=2,"NR",IF(OR(LOG_ST!X125=0,LOG_ST!X125="X"),"N/A"))))</f>
        <v/>
      </c>
      <c r="U126" s="574" t="str">
        <f>IF($L126="","",IF(LOG_ST!Y125=1,"OK",IF(LOG_ST!Y125=2,"NR",IF(OR(LOG_ST!Y125=0,LOG_ST!Y125="X"),"N/A"))))</f>
        <v/>
      </c>
      <c r="V126" s="574" t="str">
        <f>IF($L126="","",IF(LOG_ST!Z125=1,"OK",IF(LOG_ST!Z125=2,"NR",IF(OR(LOG_ST!Z125=0,LOG_ST!Z125="X"),"N/A"))))</f>
        <v/>
      </c>
      <c r="W126" s="574" t="str">
        <f>IF($L126="","",IF(LOG_ST!AA125=1,"OK",IF(LOG_ST!AA125=2,"NR",IF(OR(LOG_ST!AA125=0,LOG_ST!AA125="X"),"N/A"))))</f>
        <v/>
      </c>
      <c r="X126" s="574" t="str">
        <f>IF($L126="","",IF(LOG_ST!AB125=1,"OK",IF(LOG_ST!AB125=2,"NR",IF(OR(LOG_ST!AB125=0,LOG_ST!AB125="X"),"N/A"))))</f>
        <v/>
      </c>
      <c r="Y126" s="574" t="str">
        <f>IF($L126="","",IF(LOG_ST!AC125=1,"OK",IF(LOG_ST!AC125=2,"NR",IF(OR(LOG_ST!AC125=0,LOG_ST!AC125="X"),"N/A"))))</f>
        <v/>
      </c>
      <c r="Z126" s="574" t="str">
        <f>IF($L126="","",IF(OR(LOG_ST!AD125=0,LOG_ST!AD125="X"),"N/A",LOG_ST!AD125))</f>
        <v/>
      </c>
      <c r="AA126" s="574" t="str">
        <f>IF($L126="","",IF(LOG_ST!AE125=1,"OK",IF(LOG_ST!AE125=2,"NR",IF(OR(LOG_ST!AE125=0,LOG_ST!AE125="X"),"N/A"))))</f>
        <v/>
      </c>
      <c r="AB126" s="574" t="str">
        <f>IF($L126="","",IF(LOG_ST!AF125=1,"OK",IF(LOG_ST!AF125=2,"NR",IF(OR(LOG_ST!AF125=0,LOG_ST!AF125="X"),"N/A"))))</f>
        <v/>
      </c>
      <c r="AC126" s="574" t="str">
        <f>IF($L126="","",IF(LOG_ST!AG125=1,"OK",IF(LOG_ST!AG125=2,"NR",IF(OR(LOG_ST!AG125=0,LOG_ST!AG125="X"),"N/A"))))</f>
        <v/>
      </c>
      <c r="AD126" s="574" t="str">
        <f>IF($L126="","",IF(OR(LOG_ST!AH125=0,LOG_ST!AH125="X"),"N/A",LOG_ST!AH125))</f>
        <v/>
      </c>
      <c r="AE126" s="574" t="str">
        <f>IF($L126="","",IF(LOG_ST!AI125=1,"OK",IF(LOG_ST!AI125=2,"NR",IF(OR(LOG_ST!AI125=0,LOG_ST!AI125="X"),"N/A"))))</f>
        <v/>
      </c>
      <c r="AF126" s="574" t="str">
        <f>IF($L126="","",IF(LOG_ST!AJ125=1,"OK",IF(LOG_ST!AJ125=2,"NR",IF(OR(LOG_ST!AJ125=0,LOG_ST!AJ125="X"),"N/A"))))</f>
        <v/>
      </c>
      <c r="AG126" s="574" t="str">
        <f>IF($L126="","",IF(LOG_ST!AK125=1,"OK",IF(LOG_ST!AK125=2,"NR",IF(OR(LOG_ST!AK125=0,LOG_ST!AK125="X"),"N/A"))))</f>
        <v/>
      </c>
      <c r="AH126" s="574" t="str">
        <f>IF($L126="","",IF(LOG_ST!AL125=1,"OK",IF(LOG_ST!AL125=2,"NR",IF(OR(LOG_ST!AL125=0,LOG_ST!AL125="X"),"N/A"))))</f>
        <v/>
      </c>
      <c r="AI126" s="574" t="str">
        <f>IF($L126="","",IF(LOG_ST!AM125=1,"OK",IF(LOG_ST!AM125=2,"NR",IF(OR(LOG_ST!AM125=0,LOG_ST!AM125="X"),"N/A"))))</f>
        <v/>
      </c>
      <c r="AJ126" s="574" t="str">
        <f>IF($L126="","",IF(LOG_ST!AN125=1,"OK",IF(LOG_ST!AN125=2,"NR",IF(OR(LOG_ST!AN125=0,LOG_ST!AN125="X"),"N/A"))))</f>
        <v/>
      </c>
      <c r="AK126" s="574" t="str">
        <f>IF($L126="","",IF(LOG_ST!AO125=1,"OK",IF(LOG_ST!AO125=2,"NR",IF(OR(LOG_ST!AO125=0,LOG_ST!AO125="X"),"N/A"))))</f>
        <v/>
      </c>
      <c r="AL126" s="574" t="str">
        <f>IF($L126="","",IF(LOG_ST!AP125=1,"OK",IF(LOG_ST!AP125=2,"NR",IF(OR(LOG_ST!AP125=0,LOG_ST!AP125="X"),"N/A"))))</f>
        <v/>
      </c>
      <c r="AM126" s="574" t="str">
        <f>IF($L126="","",IF(LOG_ST!AQ125=1,"OK",IF(LOG_ST!AQ125=2,"NR",IF(OR(LOG_ST!AQ125=0,LOG_ST!AQ125="X"),"N/A"))))</f>
        <v/>
      </c>
      <c r="AN126" s="550" t="str">
        <f t="shared" si="1"/>
        <v/>
      </c>
    </row>
    <row r="127" spans="2:40" x14ac:dyDescent="0.25">
      <c r="B127" s="551" t="str">
        <f>IF(LOG_ST!F126="","",VLOOKUP(LOG_ST!F126,DATA_BASE!$A$46:$C$57,2,FALSE))</f>
        <v/>
      </c>
      <c r="C127" s="570" t="str">
        <f>IF(LOG_ST!G126="","",VLOOKUP(LOG_ST!G126,DATA_HDG,2,FALSE))</f>
        <v/>
      </c>
      <c r="D127" s="571" t="str">
        <f>IF(LOG_ST!H126="","",LOG_ST!H126)</f>
        <v/>
      </c>
      <c r="E127" s="570" t="str">
        <f>IF(LOG_ST!I126="","",VLOOKUP(LOG_ST!I126,DATA_COP,2,FALSE))</f>
        <v/>
      </c>
      <c r="F127" s="573" t="str">
        <f>IF(LOG_ST!J126="","",LOG_ST!J126)</f>
        <v/>
      </c>
      <c r="G127" s="570" t="str">
        <f>IF(LOG_ST!K126="","",VLOOKUP(LOG_ST!K126,DATA_SCIES,2,FALSE))</f>
        <v/>
      </c>
      <c r="H127" s="570" t="str">
        <f>IF(LOG_ST!L126="","",VLOOKUP(LOG_ST!L126,DATA_ST!$U$7:$V$64,2,FALSE))</f>
        <v/>
      </c>
      <c r="I127" s="570" t="str">
        <f>IF(LOG_ST!M126="","",LOG_ST!M126)</f>
        <v/>
      </c>
      <c r="J127" s="570" t="str">
        <f>IF(LOG_ST!N126="","",LOG_ST!N126)</f>
        <v/>
      </c>
      <c r="K127" s="573" t="str">
        <f>IF(LOG_ST!O126="","",LOG_ST!O126)</f>
        <v/>
      </c>
      <c r="L127" s="573" t="str">
        <f>IF(LOG_ST!P126="","",LOG_ST!P126)</f>
        <v/>
      </c>
      <c r="M127" s="574" t="str">
        <f>IF($L127="","",IF(LOG_ST!Q126=1,"OK",IF(LOG_ST!Q126=2,"NR",IF(OR(LOG_ST!Q126=0,LOG_ST!Q126="X"),"N/A"))))</f>
        <v/>
      </c>
      <c r="N127" s="574" t="str">
        <f>IF($L127="","",IF(LOG_ST!R126=1,"OK",IF(LOG_ST!R126=2,"NR",IF(OR(LOG_ST!R126=0,LOG_ST!R126="X"),"N/A"))))</f>
        <v/>
      </c>
      <c r="O127" s="574" t="str">
        <f>IF($L127="","",IF(LOG_ST!S126=1,"OK",IF(LOG_ST!S126=2,"NR",IF(OR(LOG_ST!S126=0,LOG_ST!S126="X"),"N/A"))))</f>
        <v/>
      </c>
      <c r="P127" s="574" t="str">
        <f>IF($L127="","",IF(LOG_ST!T126=1,"OK",IF(LOG_ST!T126=2,"NR",IF(OR(LOG_ST!T126=0,LOG_ST!T126="X"),"N/A"))))</f>
        <v/>
      </c>
      <c r="Q127" s="574" t="str">
        <f>IF($L127="","",IF(LOG_ST!U126=1,"OK",IF(LOG_ST!U126=2,"NR",IF(OR(LOG_ST!U126=0,LOG_ST!U126="X"),"N/A"))))</f>
        <v/>
      </c>
      <c r="R127" s="574" t="str">
        <f>IF($L127="","",IF(LOG_ST!V126=1,"OK",IF(LOG_ST!V126=2,"NR",IF(OR(LOG_ST!V126=0,LOG_ST!V126="X"),"N/A"))))</f>
        <v/>
      </c>
      <c r="S127" s="574" t="str">
        <f>IF($L127="","",IF(LOG_ST!W126=1,"OK",IF(LOG_ST!W126=2,"NR",IF(OR(LOG_ST!W126=0,LOG_ST!W126="X"),"N/A"))))</f>
        <v/>
      </c>
      <c r="T127" s="574" t="str">
        <f>IF($L127="","",IF(LOG_ST!X126=1,"OK",IF(LOG_ST!X126=2,"NR",IF(OR(LOG_ST!X126=0,LOG_ST!X126="X"),"N/A"))))</f>
        <v/>
      </c>
      <c r="U127" s="574" t="str">
        <f>IF($L127="","",IF(LOG_ST!Y126=1,"OK",IF(LOG_ST!Y126=2,"NR",IF(OR(LOG_ST!Y126=0,LOG_ST!Y126="X"),"N/A"))))</f>
        <v/>
      </c>
      <c r="V127" s="574" t="str">
        <f>IF($L127="","",IF(LOG_ST!Z126=1,"OK",IF(LOG_ST!Z126=2,"NR",IF(OR(LOG_ST!Z126=0,LOG_ST!Z126="X"),"N/A"))))</f>
        <v/>
      </c>
      <c r="W127" s="574" t="str">
        <f>IF($L127="","",IF(LOG_ST!AA126=1,"OK",IF(LOG_ST!AA126=2,"NR",IF(OR(LOG_ST!AA126=0,LOG_ST!AA126="X"),"N/A"))))</f>
        <v/>
      </c>
      <c r="X127" s="574" t="str">
        <f>IF($L127="","",IF(LOG_ST!AB126=1,"OK",IF(LOG_ST!AB126=2,"NR",IF(OR(LOG_ST!AB126=0,LOG_ST!AB126="X"),"N/A"))))</f>
        <v/>
      </c>
      <c r="Y127" s="574" t="str">
        <f>IF($L127="","",IF(LOG_ST!AC126=1,"OK",IF(LOG_ST!AC126=2,"NR",IF(OR(LOG_ST!AC126=0,LOG_ST!AC126="X"),"N/A"))))</f>
        <v/>
      </c>
      <c r="Z127" s="574" t="str">
        <f>IF($L127="","",IF(OR(LOG_ST!AD126=0,LOG_ST!AD126="X"),"N/A",LOG_ST!AD126))</f>
        <v/>
      </c>
      <c r="AA127" s="574" t="str">
        <f>IF($L127="","",IF(LOG_ST!AE126=1,"OK",IF(LOG_ST!AE126=2,"NR",IF(OR(LOG_ST!AE126=0,LOG_ST!AE126="X"),"N/A"))))</f>
        <v/>
      </c>
      <c r="AB127" s="574" t="str">
        <f>IF($L127="","",IF(LOG_ST!AF126=1,"OK",IF(LOG_ST!AF126=2,"NR",IF(OR(LOG_ST!AF126=0,LOG_ST!AF126="X"),"N/A"))))</f>
        <v/>
      </c>
      <c r="AC127" s="574" t="str">
        <f>IF($L127="","",IF(LOG_ST!AG126=1,"OK",IF(LOG_ST!AG126=2,"NR",IF(OR(LOG_ST!AG126=0,LOG_ST!AG126="X"),"N/A"))))</f>
        <v/>
      </c>
      <c r="AD127" s="574" t="str">
        <f>IF($L127="","",IF(OR(LOG_ST!AH126=0,LOG_ST!AH126="X"),"N/A",LOG_ST!AH126))</f>
        <v/>
      </c>
      <c r="AE127" s="574" t="str">
        <f>IF($L127="","",IF(LOG_ST!AI126=1,"OK",IF(LOG_ST!AI126=2,"NR",IF(OR(LOG_ST!AI126=0,LOG_ST!AI126="X"),"N/A"))))</f>
        <v/>
      </c>
      <c r="AF127" s="574" t="str">
        <f>IF($L127="","",IF(LOG_ST!AJ126=1,"OK",IF(LOG_ST!AJ126=2,"NR",IF(OR(LOG_ST!AJ126=0,LOG_ST!AJ126="X"),"N/A"))))</f>
        <v/>
      </c>
      <c r="AG127" s="574" t="str">
        <f>IF($L127="","",IF(LOG_ST!AK126=1,"OK",IF(LOG_ST!AK126=2,"NR",IF(OR(LOG_ST!AK126=0,LOG_ST!AK126="X"),"N/A"))))</f>
        <v/>
      </c>
      <c r="AH127" s="574" t="str">
        <f>IF($L127="","",IF(LOG_ST!AL126=1,"OK",IF(LOG_ST!AL126=2,"NR",IF(OR(LOG_ST!AL126=0,LOG_ST!AL126="X"),"N/A"))))</f>
        <v/>
      </c>
      <c r="AI127" s="574" t="str">
        <f>IF($L127="","",IF(LOG_ST!AM126=1,"OK",IF(LOG_ST!AM126=2,"NR",IF(OR(LOG_ST!AM126=0,LOG_ST!AM126="X"),"N/A"))))</f>
        <v/>
      </c>
      <c r="AJ127" s="574" t="str">
        <f>IF($L127="","",IF(LOG_ST!AN126=1,"OK",IF(LOG_ST!AN126=2,"NR",IF(OR(LOG_ST!AN126=0,LOG_ST!AN126="X"),"N/A"))))</f>
        <v/>
      </c>
      <c r="AK127" s="574" t="str">
        <f>IF($L127="","",IF(LOG_ST!AO126=1,"OK",IF(LOG_ST!AO126=2,"NR",IF(OR(LOG_ST!AO126=0,LOG_ST!AO126="X"),"N/A"))))</f>
        <v/>
      </c>
      <c r="AL127" s="574" t="str">
        <f>IF($L127="","",IF(LOG_ST!AP126=1,"OK",IF(LOG_ST!AP126=2,"NR",IF(OR(LOG_ST!AP126=0,LOG_ST!AP126="X"),"N/A"))))</f>
        <v/>
      </c>
      <c r="AM127" s="574" t="str">
        <f>IF($L127="","",IF(LOG_ST!AQ126=1,"OK",IF(LOG_ST!AQ126=2,"NR",IF(OR(LOG_ST!AQ126=0,LOG_ST!AQ126="X"),"N/A"))))</f>
        <v/>
      </c>
      <c r="AN127" s="550" t="str">
        <f t="shared" si="1"/>
        <v/>
      </c>
    </row>
    <row r="128" spans="2:40" x14ac:dyDescent="0.25">
      <c r="B128" s="551" t="str">
        <f>IF(LOG_ST!F127="","",VLOOKUP(LOG_ST!F127,DATA_BASE!$A$46:$C$57,2,FALSE))</f>
        <v/>
      </c>
      <c r="C128" s="570" t="str">
        <f>IF(LOG_ST!G127="","",VLOOKUP(LOG_ST!G127,DATA_HDG,2,FALSE))</f>
        <v/>
      </c>
      <c r="D128" s="571" t="str">
        <f>IF(LOG_ST!H127="","",LOG_ST!H127)</f>
        <v/>
      </c>
      <c r="E128" s="570" t="str">
        <f>IF(LOG_ST!I127="","",VLOOKUP(LOG_ST!I127,DATA_COP,2,FALSE))</f>
        <v/>
      </c>
      <c r="F128" s="573" t="str">
        <f>IF(LOG_ST!J127="","",LOG_ST!J127)</f>
        <v/>
      </c>
      <c r="G128" s="570" t="str">
        <f>IF(LOG_ST!K127="","",VLOOKUP(LOG_ST!K127,DATA_SCIES,2,FALSE))</f>
        <v/>
      </c>
      <c r="H128" s="570" t="str">
        <f>IF(LOG_ST!L127="","",VLOOKUP(LOG_ST!L127,DATA_ST!$U$7:$V$64,2,FALSE))</f>
        <v/>
      </c>
      <c r="I128" s="570" t="str">
        <f>IF(LOG_ST!M127="","",LOG_ST!M127)</f>
        <v/>
      </c>
      <c r="J128" s="570" t="str">
        <f>IF(LOG_ST!N127="","",LOG_ST!N127)</f>
        <v/>
      </c>
      <c r="K128" s="573" t="str">
        <f>IF(LOG_ST!O127="","",LOG_ST!O127)</f>
        <v/>
      </c>
      <c r="L128" s="573" t="str">
        <f>IF(LOG_ST!P127="","",LOG_ST!P127)</f>
        <v/>
      </c>
      <c r="M128" s="574" t="str">
        <f>IF($L128="","",IF(LOG_ST!Q127=1,"OK",IF(LOG_ST!Q127=2,"NR",IF(OR(LOG_ST!Q127=0,LOG_ST!Q127="X"),"N/A"))))</f>
        <v/>
      </c>
      <c r="N128" s="574" t="str">
        <f>IF($L128="","",IF(LOG_ST!R127=1,"OK",IF(LOG_ST!R127=2,"NR",IF(OR(LOG_ST!R127=0,LOG_ST!R127="X"),"N/A"))))</f>
        <v/>
      </c>
      <c r="O128" s="574" t="str">
        <f>IF($L128="","",IF(LOG_ST!S127=1,"OK",IF(LOG_ST!S127=2,"NR",IF(OR(LOG_ST!S127=0,LOG_ST!S127="X"),"N/A"))))</f>
        <v/>
      </c>
      <c r="P128" s="574" t="str">
        <f>IF($L128="","",IF(LOG_ST!T127=1,"OK",IF(LOG_ST!T127=2,"NR",IF(OR(LOG_ST!T127=0,LOG_ST!T127="X"),"N/A"))))</f>
        <v/>
      </c>
      <c r="Q128" s="574" t="str">
        <f>IF($L128="","",IF(LOG_ST!U127=1,"OK",IF(LOG_ST!U127=2,"NR",IF(OR(LOG_ST!U127=0,LOG_ST!U127="X"),"N/A"))))</f>
        <v/>
      </c>
      <c r="R128" s="574" t="str">
        <f>IF($L128="","",IF(LOG_ST!V127=1,"OK",IF(LOG_ST!V127=2,"NR",IF(OR(LOG_ST!V127=0,LOG_ST!V127="X"),"N/A"))))</f>
        <v/>
      </c>
      <c r="S128" s="574" t="str">
        <f>IF($L128="","",IF(LOG_ST!W127=1,"OK",IF(LOG_ST!W127=2,"NR",IF(OR(LOG_ST!W127=0,LOG_ST!W127="X"),"N/A"))))</f>
        <v/>
      </c>
      <c r="T128" s="574" t="str">
        <f>IF($L128="","",IF(LOG_ST!X127=1,"OK",IF(LOG_ST!X127=2,"NR",IF(OR(LOG_ST!X127=0,LOG_ST!X127="X"),"N/A"))))</f>
        <v/>
      </c>
      <c r="U128" s="574" t="str">
        <f>IF($L128="","",IF(LOG_ST!Y127=1,"OK",IF(LOG_ST!Y127=2,"NR",IF(OR(LOG_ST!Y127=0,LOG_ST!Y127="X"),"N/A"))))</f>
        <v/>
      </c>
      <c r="V128" s="574" t="str">
        <f>IF($L128="","",IF(LOG_ST!Z127=1,"OK",IF(LOG_ST!Z127=2,"NR",IF(OR(LOG_ST!Z127=0,LOG_ST!Z127="X"),"N/A"))))</f>
        <v/>
      </c>
      <c r="W128" s="574" t="str">
        <f>IF($L128="","",IF(LOG_ST!AA127=1,"OK",IF(LOG_ST!AA127=2,"NR",IF(OR(LOG_ST!AA127=0,LOG_ST!AA127="X"),"N/A"))))</f>
        <v/>
      </c>
      <c r="X128" s="574" t="str">
        <f>IF($L128="","",IF(LOG_ST!AB127=1,"OK",IF(LOG_ST!AB127=2,"NR",IF(OR(LOG_ST!AB127=0,LOG_ST!AB127="X"),"N/A"))))</f>
        <v/>
      </c>
      <c r="Y128" s="574" t="str">
        <f>IF($L128="","",IF(LOG_ST!AC127=1,"OK",IF(LOG_ST!AC127=2,"NR",IF(OR(LOG_ST!AC127=0,LOG_ST!AC127="X"),"N/A"))))</f>
        <v/>
      </c>
      <c r="Z128" s="574" t="str">
        <f>IF($L128="","",IF(OR(LOG_ST!AD127=0,LOG_ST!AD127="X"),"N/A",LOG_ST!AD127))</f>
        <v/>
      </c>
      <c r="AA128" s="574" t="str">
        <f>IF($L128="","",IF(LOG_ST!AE127=1,"OK",IF(LOG_ST!AE127=2,"NR",IF(OR(LOG_ST!AE127=0,LOG_ST!AE127="X"),"N/A"))))</f>
        <v/>
      </c>
      <c r="AB128" s="574" t="str">
        <f>IF($L128="","",IF(LOG_ST!AF127=1,"OK",IF(LOG_ST!AF127=2,"NR",IF(OR(LOG_ST!AF127=0,LOG_ST!AF127="X"),"N/A"))))</f>
        <v/>
      </c>
      <c r="AC128" s="574" t="str">
        <f>IF($L128="","",IF(LOG_ST!AG127=1,"OK",IF(LOG_ST!AG127=2,"NR",IF(OR(LOG_ST!AG127=0,LOG_ST!AG127="X"),"N/A"))))</f>
        <v/>
      </c>
      <c r="AD128" s="574" t="str">
        <f>IF($L128="","",IF(OR(LOG_ST!AH127=0,LOG_ST!AH127="X"),"N/A",LOG_ST!AH127))</f>
        <v/>
      </c>
      <c r="AE128" s="574" t="str">
        <f>IF($L128="","",IF(LOG_ST!AI127=1,"OK",IF(LOG_ST!AI127=2,"NR",IF(OR(LOG_ST!AI127=0,LOG_ST!AI127="X"),"N/A"))))</f>
        <v/>
      </c>
      <c r="AF128" s="574" t="str">
        <f>IF($L128="","",IF(LOG_ST!AJ127=1,"OK",IF(LOG_ST!AJ127=2,"NR",IF(OR(LOG_ST!AJ127=0,LOG_ST!AJ127="X"),"N/A"))))</f>
        <v/>
      </c>
      <c r="AG128" s="574" t="str">
        <f>IF($L128="","",IF(LOG_ST!AK127=1,"OK",IF(LOG_ST!AK127=2,"NR",IF(OR(LOG_ST!AK127=0,LOG_ST!AK127="X"),"N/A"))))</f>
        <v/>
      </c>
      <c r="AH128" s="574" t="str">
        <f>IF($L128="","",IF(LOG_ST!AL127=1,"OK",IF(LOG_ST!AL127=2,"NR",IF(OR(LOG_ST!AL127=0,LOG_ST!AL127="X"),"N/A"))))</f>
        <v/>
      </c>
      <c r="AI128" s="574" t="str">
        <f>IF($L128="","",IF(LOG_ST!AM127=1,"OK",IF(LOG_ST!AM127=2,"NR",IF(OR(LOG_ST!AM127=0,LOG_ST!AM127="X"),"N/A"))))</f>
        <v/>
      </c>
      <c r="AJ128" s="574" t="str">
        <f>IF($L128="","",IF(LOG_ST!AN127=1,"OK",IF(LOG_ST!AN127=2,"NR",IF(OR(LOG_ST!AN127=0,LOG_ST!AN127="X"),"N/A"))))</f>
        <v/>
      </c>
      <c r="AK128" s="574" t="str">
        <f>IF($L128="","",IF(LOG_ST!AO127=1,"OK",IF(LOG_ST!AO127=2,"NR",IF(OR(LOG_ST!AO127=0,LOG_ST!AO127="X"),"N/A"))))</f>
        <v/>
      </c>
      <c r="AL128" s="574" t="str">
        <f>IF($L128="","",IF(LOG_ST!AP127=1,"OK",IF(LOG_ST!AP127=2,"NR",IF(OR(LOG_ST!AP127=0,LOG_ST!AP127="X"),"N/A"))))</f>
        <v/>
      </c>
      <c r="AM128" s="574" t="str">
        <f>IF($L128="","",IF(LOG_ST!AQ127=1,"OK",IF(LOG_ST!AQ127=2,"NR",IF(OR(LOG_ST!AQ127=0,LOG_ST!AQ127="X"),"N/A"))))</f>
        <v/>
      </c>
      <c r="AN128" s="550" t="str">
        <f t="shared" si="1"/>
        <v/>
      </c>
    </row>
    <row r="129" spans="2:40" x14ac:dyDescent="0.25">
      <c r="B129" s="551" t="str">
        <f>IF(LOG_ST!F128="","",VLOOKUP(LOG_ST!F128,DATA_BASE!$A$46:$C$57,2,FALSE))</f>
        <v/>
      </c>
      <c r="C129" s="570" t="str">
        <f>IF(LOG_ST!G128="","",VLOOKUP(LOG_ST!G128,DATA_HDG,2,FALSE))</f>
        <v/>
      </c>
      <c r="D129" s="571" t="str">
        <f>IF(LOG_ST!H128="","",LOG_ST!H128)</f>
        <v/>
      </c>
      <c r="E129" s="570" t="str">
        <f>IF(LOG_ST!I128="","",VLOOKUP(LOG_ST!I128,DATA_COP,2,FALSE))</f>
        <v/>
      </c>
      <c r="F129" s="573" t="str">
        <f>IF(LOG_ST!J128="","",LOG_ST!J128)</f>
        <v/>
      </c>
      <c r="G129" s="570" t="str">
        <f>IF(LOG_ST!K128="","",VLOOKUP(LOG_ST!K128,DATA_SCIES,2,FALSE))</f>
        <v/>
      </c>
      <c r="H129" s="570" t="str">
        <f>IF(LOG_ST!L128="","",VLOOKUP(LOG_ST!L128,DATA_ST!$U$7:$V$64,2,FALSE))</f>
        <v/>
      </c>
      <c r="I129" s="570" t="str">
        <f>IF(LOG_ST!M128="","",LOG_ST!M128)</f>
        <v/>
      </c>
      <c r="J129" s="570" t="str">
        <f>IF(LOG_ST!N128="","",LOG_ST!N128)</f>
        <v/>
      </c>
      <c r="K129" s="573" t="str">
        <f>IF(LOG_ST!O128="","",LOG_ST!O128)</f>
        <v/>
      </c>
      <c r="L129" s="573" t="str">
        <f>IF(LOG_ST!P128="","",LOG_ST!P128)</f>
        <v/>
      </c>
      <c r="M129" s="574" t="str">
        <f>IF($L129="","",IF(LOG_ST!Q128=1,"OK",IF(LOG_ST!Q128=2,"NR",IF(OR(LOG_ST!Q128=0,LOG_ST!Q128="X"),"N/A"))))</f>
        <v/>
      </c>
      <c r="N129" s="574" t="str">
        <f>IF($L129="","",IF(LOG_ST!R128=1,"OK",IF(LOG_ST!R128=2,"NR",IF(OR(LOG_ST!R128=0,LOG_ST!R128="X"),"N/A"))))</f>
        <v/>
      </c>
      <c r="O129" s="574" t="str">
        <f>IF($L129="","",IF(LOG_ST!S128=1,"OK",IF(LOG_ST!S128=2,"NR",IF(OR(LOG_ST!S128=0,LOG_ST!S128="X"),"N/A"))))</f>
        <v/>
      </c>
      <c r="P129" s="574" t="str">
        <f>IF($L129="","",IF(LOG_ST!T128=1,"OK",IF(LOG_ST!T128=2,"NR",IF(OR(LOG_ST!T128=0,LOG_ST!T128="X"),"N/A"))))</f>
        <v/>
      </c>
      <c r="Q129" s="574" t="str">
        <f>IF($L129="","",IF(LOG_ST!U128=1,"OK",IF(LOG_ST!U128=2,"NR",IF(OR(LOG_ST!U128=0,LOG_ST!U128="X"),"N/A"))))</f>
        <v/>
      </c>
      <c r="R129" s="574" t="str">
        <f>IF($L129="","",IF(LOG_ST!V128=1,"OK",IF(LOG_ST!V128=2,"NR",IF(OR(LOG_ST!V128=0,LOG_ST!V128="X"),"N/A"))))</f>
        <v/>
      </c>
      <c r="S129" s="574" t="str">
        <f>IF($L129="","",IF(LOG_ST!W128=1,"OK",IF(LOG_ST!W128=2,"NR",IF(OR(LOG_ST!W128=0,LOG_ST!W128="X"),"N/A"))))</f>
        <v/>
      </c>
      <c r="T129" s="574" t="str">
        <f>IF($L129="","",IF(LOG_ST!X128=1,"OK",IF(LOG_ST!X128=2,"NR",IF(OR(LOG_ST!X128=0,LOG_ST!X128="X"),"N/A"))))</f>
        <v/>
      </c>
      <c r="U129" s="574" t="str">
        <f>IF($L129="","",IF(LOG_ST!Y128=1,"OK",IF(LOG_ST!Y128=2,"NR",IF(OR(LOG_ST!Y128=0,LOG_ST!Y128="X"),"N/A"))))</f>
        <v/>
      </c>
      <c r="V129" s="574" t="str">
        <f>IF($L129="","",IF(LOG_ST!Z128=1,"OK",IF(LOG_ST!Z128=2,"NR",IF(OR(LOG_ST!Z128=0,LOG_ST!Z128="X"),"N/A"))))</f>
        <v/>
      </c>
      <c r="W129" s="574" t="str">
        <f>IF($L129="","",IF(LOG_ST!AA128=1,"OK",IF(LOG_ST!AA128=2,"NR",IF(OR(LOG_ST!AA128=0,LOG_ST!AA128="X"),"N/A"))))</f>
        <v/>
      </c>
      <c r="X129" s="574" t="str">
        <f>IF($L129="","",IF(LOG_ST!AB128=1,"OK",IF(LOG_ST!AB128=2,"NR",IF(OR(LOG_ST!AB128=0,LOG_ST!AB128="X"),"N/A"))))</f>
        <v/>
      </c>
      <c r="Y129" s="574" t="str">
        <f>IF($L129="","",IF(LOG_ST!AC128=1,"OK",IF(LOG_ST!AC128=2,"NR",IF(OR(LOG_ST!AC128=0,LOG_ST!AC128="X"),"N/A"))))</f>
        <v/>
      </c>
      <c r="Z129" s="574" t="str">
        <f>IF($L129="","",IF(OR(LOG_ST!AD128=0,LOG_ST!AD128="X"),"N/A",LOG_ST!AD128))</f>
        <v/>
      </c>
      <c r="AA129" s="574" t="str">
        <f>IF($L129="","",IF(LOG_ST!AE128=1,"OK",IF(LOG_ST!AE128=2,"NR",IF(OR(LOG_ST!AE128=0,LOG_ST!AE128="X"),"N/A"))))</f>
        <v/>
      </c>
      <c r="AB129" s="574" t="str">
        <f>IF($L129="","",IF(LOG_ST!AF128=1,"OK",IF(LOG_ST!AF128=2,"NR",IF(OR(LOG_ST!AF128=0,LOG_ST!AF128="X"),"N/A"))))</f>
        <v/>
      </c>
      <c r="AC129" s="574" t="str">
        <f>IF($L129="","",IF(LOG_ST!AG128=1,"OK",IF(LOG_ST!AG128=2,"NR",IF(OR(LOG_ST!AG128=0,LOG_ST!AG128="X"),"N/A"))))</f>
        <v/>
      </c>
      <c r="AD129" s="574" t="str">
        <f>IF($L129="","",IF(OR(LOG_ST!AH128=0,LOG_ST!AH128="X"),"N/A",LOG_ST!AH128))</f>
        <v/>
      </c>
      <c r="AE129" s="574" t="str">
        <f>IF($L129="","",IF(LOG_ST!AI128=1,"OK",IF(LOG_ST!AI128=2,"NR",IF(OR(LOG_ST!AI128=0,LOG_ST!AI128="X"),"N/A"))))</f>
        <v/>
      </c>
      <c r="AF129" s="574" t="str">
        <f>IF($L129="","",IF(LOG_ST!AJ128=1,"OK",IF(LOG_ST!AJ128=2,"NR",IF(OR(LOG_ST!AJ128=0,LOG_ST!AJ128="X"),"N/A"))))</f>
        <v/>
      </c>
      <c r="AG129" s="574" t="str">
        <f>IF($L129="","",IF(LOG_ST!AK128=1,"OK",IF(LOG_ST!AK128=2,"NR",IF(OR(LOG_ST!AK128=0,LOG_ST!AK128="X"),"N/A"))))</f>
        <v/>
      </c>
      <c r="AH129" s="574" t="str">
        <f>IF($L129="","",IF(LOG_ST!AL128=1,"OK",IF(LOG_ST!AL128=2,"NR",IF(OR(LOG_ST!AL128=0,LOG_ST!AL128="X"),"N/A"))))</f>
        <v/>
      </c>
      <c r="AI129" s="574" t="str">
        <f>IF($L129="","",IF(LOG_ST!AM128=1,"OK",IF(LOG_ST!AM128=2,"NR",IF(OR(LOG_ST!AM128=0,LOG_ST!AM128="X"),"N/A"))))</f>
        <v/>
      </c>
      <c r="AJ129" s="574" t="str">
        <f>IF($L129="","",IF(LOG_ST!AN128=1,"OK",IF(LOG_ST!AN128=2,"NR",IF(OR(LOG_ST!AN128=0,LOG_ST!AN128="X"),"N/A"))))</f>
        <v/>
      </c>
      <c r="AK129" s="574" t="str">
        <f>IF($L129="","",IF(LOG_ST!AO128=1,"OK",IF(LOG_ST!AO128=2,"NR",IF(OR(LOG_ST!AO128=0,LOG_ST!AO128="X"),"N/A"))))</f>
        <v/>
      </c>
      <c r="AL129" s="574" t="str">
        <f>IF($L129="","",IF(LOG_ST!AP128=1,"OK",IF(LOG_ST!AP128=2,"NR",IF(OR(LOG_ST!AP128=0,LOG_ST!AP128="X"),"N/A"))))</f>
        <v/>
      </c>
      <c r="AM129" s="574" t="str">
        <f>IF($L129="","",IF(LOG_ST!AQ128=1,"OK",IF(LOG_ST!AQ128=2,"NR",IF(OR(LOG_ST!AQ128=0,LOG_ST!AQ128="X"),"N/A"))))</f>
        <v/>
      </c>
      <c r="AN129" s="550" t="str">
        <f t="shared" si="1"/>
        <v/>
      </c>
    </row>
    <row r="130" spans="2:40" x14ac:dyDescent="0.25">
      <c r="B130" s="551" t="str">
        <f>IF(LOG_ST!F129="","",VLOOKUP(LOG_ST!F129,DATA_BASE!$A$46:$C$57,2,FALSE))</f>
        <v/>
      </c>
      <c r="C130" s="570" t="str">
        <f>IF(LOG_ST!G129="","",VLOOKUP(LOG_ST!G129,DATA_HDG,2,FALSE))</f>
        <v/>
      </c>
      <c r="D130" s="571" t="str">
        <f>IF(LOG_ST!H129="","",LOG_ST!H129)</f>
        <v/>
      </c>
      <c r="E130" s="570" t="str">
        <f>IF(LOG_ST!I129="","",VLOOKUP(LOG_ST!I129,DATA_COP,2,FALSE))</f>
        <v/>
      </c>
      <c r="F130" s="573" t="str">
        <f>IF(LOG_ST!J129="","",LOG_ST!J129)</f>
        <v/>
      </c>
      <c r="G130" s="570" t="str">
        <f>IF(LOG_ST!K129="","",VLOOKUP(LOG_ST!K129,DATA_SCIES,2,FALSE))</f>
        <v/>
      </c>
      <c r="H130" s="570" t="str">
        <f>IF(LOG_ST!L129="","",VLOOKUP(LOG_ST!L129,DATA_ST!$U$7:$V$64,2,FALSE))</f>
        <v/>
      </c>
      <c r="I130" s="570" t="str">
        <f>IF(LOG_ST!M129="","",LOG_ST!M129)</f>
        <v/>
      </c>
      <c r="J130" s="570" t="str">
        <f>IF(LOG_ST!N129="","",LOG_ST!N129)</f>
        <v/>
      </c>
      <c r="K130" s="573" t="str">
        <f>IF(LOG_ST!O129="","",LOG_ST!O129)</f>
        <v/>
      </c>
      <c r="L130" s="573" t="str">
        <f>IF(LOG_ST!P129="","",LOG_ST!P129)</f>
        <v/>
      </c>
      <c r="M130" s="574" t="str">
        <f>IF($L130="","",IF(LOG_ST!Q129=1,"OK",IF(LOG_ST!Q129=2,"NR",IF(OR(LOG_ST!Q129=0,LOG_ST!Q129="X"),"N/A"))))</f>
        <v/>
      </c>
      <c r="N130" s="574" t="str">
        <f>IF($L130="","",IF(LOG_ST!R129=1,"OK",IF(LOG_ST!R129=2,"NR",IF(OR(LOG_ST!R129=0,LOG_ST!R129="X"),"N/A"))))</f>
        <v/>
      </c>
      <c r="O130" s="574" t="str">
        <f>IF($L130="","",IF(LOG_ST!S129=1,"OK",IF(LOG_ST!S129=2,"NR",IF(OR(LOG_ST!S129=0,LOG_ST!S129="X"),"N/A"))))</f>
        <v/>
      </c>
      <c r="P130" s="574" t="str">
        <f>IF($L130="","",IF(LOG_ST!T129=1,"OK",IF(LOG_ST!T129=2,"NR",IF(OR(LOG_ST!T129=0,LOG_ST!T129="X"),"N/A"))))</f>
        <v/>
      </c>
      <c r="Q130" s="574" t="str">
        <f>IF($L130="","",IF(LOG_ST!U129=1,"OK",IF(LOG_ST!U129=2,"NR",IF(OR(LOG_ST!U129=0,LOG_ST!U129="X"),"N/A"))))</f>
        <v/>
      </c>
      <c r="R130" s="574" t="str">
        <f>IF($L130="","",IF(LOG_ST!V129=1,"OK",IF(LOG_ST!V129=2,"NR",IF(OR(LOG_ST!V129=0,LOG_ST!V129="X"),"N/A"))))</f>
        <v/>
      </c>
      <c r="S130" s="574" t="str">
        <f>IF($L130="","",IF(LOG_ST!W129=1,"OK",IF(LOG_ST!W129=2,"NR",IF(OR(LOG_ST!W129=0,LOG_ST!W129="X"),"N/A"))))</f>
        <v/>
      </c>
      <c r="T130" s="574" t="str">
        <f>IF($L130="","",IF(LOG_ST!X129=1,"OK",IF(LOG_ST!X129=2,"NR",IF(OR(LOG_ST!X129=0,LOG_ST!X129="X"),"N/A"))))</f>
        <v/>
      </c>
      <c r="U130" s="574" t="str">
        <f>IF($L130="","",IF(LOG_ST!Y129=1,"OK",IF(LOG_ST!Y129=2,"NR",IF(OR(LOG_ST!Y129=0,LOG_ST!Y129="X"),"N/A"))))</f>
        <v/>
      </c>
      <c r="V130" s="574" t="str">
        <f>IF($L130="","",IF(LOG_ST!Z129=1,"OK",IF(LOG_ST!Z129=2,"NR",IF(OR(LOG_ST!Z129=0,LOG_ST!Z129="X"),"N/A"))))</f>
        <v/>
      </c>
      <c r="W130" s="574" t="str">
        <f>IF($L130="","",IF(LOG_ST!AA129=1,"OK",IF(LOG_ST!AA129=2,"NR",IF(OR(LOG_ST!AA129=0,LOG_ST!AA129="X"),"N/A"))))</f>
        <v/>
      </c>
      <c r="X130" s="574" t="str">
        <f>IF($L130="","",IF(LOG_ST!AB129=1,"OK",IF(LOG_ST!AB129=2,"NR",IF(OR(LOG_ST!AB129=0,LOG_ST!AB129="X"),"N/A"))))</f>
        <v/>
      </c>
      <c r="Y130" s="574" t="str">
        <f>IF($L130="","",IF(LOG_ST!AC129=1,"OK",IF(LOG_ST!AC129=2,"NR",IF(OR(LOG_ST!AC129=0,LOG_ST!AC129="X"),"N/A"))))</f>
        <v/>
      </c>
      <c r="Z130" s="574" t="str">
        <f>IF($L130="","",IF(OR(LOG_ST!AD129=0,LOG_ST!AD129="X"),"N/A",LOG_ST!AD129))</f>
        <v/>
      </c>
      <c r="AA130" s="574" t="str">
        <f>IF($L130="","",IF(LOG_ST!AE129=1,"OK",IF(LOG_ST!AE129=2,"NR",IF(OR(LOG_ST!AE129=0,LOG_ST!AE129="X"),"N/A"))))</f>
        <v/>
      </c>
      <c r="AB130" s="574" t="str">
        <f>IF($L130="","",IF(LOG_ST!AF129=1,"OK",IF(LOG_ST!AF129=2,"NR",IF(OR(LOG_ST!AF129=0,LOG_ST!AF129="X"),"N/A"))))</f>
        <v/>
      </c>
      <c r="AC130" s="574" t="str">
        <f>IF($L130="","",IF(LOG_ST!AG129=1,"OK",IF(LOG_ST!AG129=2,"NR",IF(OR(LOG_ST!AG129=0,LOG_ST!AG129="X"),"N/A"))))</f>
        <v/>
      </c>
      <c r="AD130" s="574" t="str">
        <f>IF($L130="","",IF(OR(LOG_ST!AH129=0,LOG_ST!AH129="X"),"N/A",LOG_ST!AH129))</f>
        <v/>
      </c>
      <c r="AE130" s="574" t="str">
        <f>IF($L130="","",IF(LOG_ST!AI129=1,"OK",IF(LOG_ST!AI129=2,"NR",IF(OR(LOG_ST!AI129=0,LOG_ST!AI129="X"),"N/A"))))</f>
        <v/>
      </c>
      <c r="AF130" s="574" t="str">
        <f>IF($L130="","",IF(LOG_ST!AJ129=1,"OK",IF(LOG_ST!AJ129=2,"NR",IF(OR(LOG_ST!AJ129=0,LOG_ST!AJ129="X"),"N/A"))))</f>
        <v/>
      </c>
      <c r="AG130" s="574" t="str">
        <f>IF($L130="","",IF(LOG_ST!AK129=1,"OK",IF(LOG_ST!AK129=2,"NR",IF(OR(LOG_ST!AK129=0,LOG_ST!AK129="X"),"N/A"))))</f>
        <v/>
      </c>
      <c r="AH130" s="574" t="str">
        <f>IF($L130="","",IF(LOG_ST!AL129=1,"OK",IF(LOG_ST!AL129=2,"NR",IF(OR(LOG_ST!AL129=0,LOG_ST!AL129="X"),"N/A"))))</f>
        <v/>
      </c>
      <c r="AI130" s="574" t="str">
        <f>IF($L130="","",IF(LOG_ST!AM129=1,"OK",IF(LOG_ST!AM129=2,"NR",IF(OR(LOG_ST!AM129=0,LOG_ST!AM129="X"),"N/A"))))</f>
        <v/>
      </c>
      <c r="AJ130" s="574" t="str">
        <f>IF($L130="","",IF(LOG_ST!AN129=1,"OK",IF(LOG_ST!AN129=2,"NR",IF(OR(LOG_ST!AN129=0,LOG_ST!AN129="X"),"N/A"))))</f>
        <v/>
      </c>
      <c r="AK130" s="574" t="str">
        <f>IF($L130="","",IF(LOG_ST!AO129=1,"OK",IF(LOG_ST!AO129=2,"NR",IF(OR(LOG_ST!AO129=0,LOG_ST!AO129="X"),"N/A"))))</f>
        <v/>
      </c>
      <c r="AL130" s="574" t="str">
        <f>IF($L130="","",IF(LOG_ST!AP129=1,"OK",IF(LOG_ST!AP129=2,"NR",IF(OR(LOG_ST!AP129=0,LOG_ST!AP129="X"),"N/A"))))</f>
        <v/>
      </c>
      <c r="AM130" s="574" t="str">
        <f>IF($L130="","",IF(LOG_ST!AQ129=1,"OK",IF(LOG_ST!AQ129=2,"NR",IF(OR(LOG_ST!AQ129=0,LOG_ST!AQ129="X"),"N/A"))))</f>
        <v/>
      </c>
      <c r="AN130" s="550" t="str">
        <f t="shared" si="1"/>
        <v/>
      </c>
    </row>
    <row r="131" spans="2:40" x14ac:dyDescent="0.25">
      <c r="B131" s="551" t="str">
        <f>IF(LOG_ST!F130="","",VLOOKUP(LOG_ST!F130,DATA_BASE!$A$46:$C$57,2,FALSE))</f>
        <v/>
      </c>
      <c r="C131" s="570" t="str">
        <f>IF(LOG_ST!G130="","",VLOOKUP(LOG_ST!G130,DATA_HDG,2,FALSE))</f>
        <v/>
      </c>
      <c r="D131" s="571" t="str">
        <f>IF(LOG_ST!H130="","",LOG_ST!H130)</f>
        <v/>
      </c>
      <c r="E131" s="570" t="str">
        <f>IF(LOG_ST!I130="","",VLOOKUP(LOG_ST!I130,DATA_COP,2,FALSE))</f>
        <v/>
      </c>
      <c r="F131" s="573" t="str">
        <f>IF(LOG_ST!J130="","",LOG_ST!J130)</f>
        <v/>
      </c>
      <c r="G131" s="570" t="str">
        <f>IF(LOG_ST!K130="","",VLOOKUP(LOG_ST!K130,DATA_SCIES,2,FALSE))</f>
        <v/>
      </c>
      <c r="H131" s="570" t="str">
        <f>IF(LOG_ST!L130="","",VLOOKUP(LOG_ST!L130,DATA_ST!$U$7:$V$64,2,FALSE))</f>
        <v/>
      </c>
      <c r="I131" s="570" t="str">
        <f>IF(LOG_ST!M130="","",LOG_ST!M130)</f>
        <v/>
      </c>
      <c r="J131" s="570" t="str">
        <f>IF(LOG_ST!N130="","",LOG_ST!N130)</f>
        <v/>
      </c>
      <c r="K131" s="573" t="str">
        <f>IF(LOG_ST!O130="","",LOG_ST!O130)</f>
        <v/>
      </c>
      <c r="L131" s="573" t="str">
        <f>IF(LOG_ST!P130="","",LOG_ST!P130)</f>
        <v/>
      </c>
      <c r="M131" s="574" t="str">
        <f>IF($L131="","",IF(LOG_ST!Q130=1,"OK",IF(LOG_ST!Q130=2,"NR",IF(OR(LOG_ST!Q130=0,LOG_ST!Q130="X"),"N/A"))))</f>
        <v/>
      </c>
      <c r="N131" s="574" t="str">
        <f>IF($L131="","",IF(LOG_ST!R130=1,"OK",IF(LOG_ST!R130=2,"NR",IF(OR(LOG_ST!R130=0,LOG_ST!R130="X"),"N/A"))))</f>
        <v/>
      </c>
      <c r="O131" s="574" t="str">
        <f>IF($L131="","",IF(LOG_ST!S130=1,"OK",IF(LOG_ST!S130=2,"NR",IF(OR(LOG_ST!S130=0,LOG_ST!S130="X"),"N/A"))))</f>
        <v/>
      </c>
      <c r="P131" s="574" t="str">
        <f>IF($L131="","",IF(LOG_ST!T130=1,"OK",IF(LOG_ST!T130=2,"NR",IF(OR(LOG_ST!T130=0,LOG_ST!T130="X"),"N/A"))))</f>
        <v/>
      </c>
      <c r="Q131" s="574" t="str">
        <f>IF($L131="","",IF(LOG_ST!U130=1,"OK",IF(LOG_ST!U130=2,"NR",IF(OR(LOG_ST!U130=0,LOG_ST!U130="X"),"N/A"))))</f>
        <v/>
      </c>
      <c r="R131" s="574" t="str">
        <f>IF($L131="","",IF(LOG_ST!V130=1,"OK",IF(LOG_ST!V130=2,"NR",IF(OR(LOG_ST!V130=0,LOG_ST!V130="X"),"N/A"))))</f>
        <v/>
      </c>
      <c r="S131" s="574" t="str">
        <f>IF($L131="","",IF(LOG_ST!W130=1,"OK",IF(LOG_ST!W130=2,"NR",IF(OR(LOG_ST!W130=0,LOG_ST!W130="X"),"N/A"))))</f>
        <v/>
      </c>
      <c r="T131" s="574" t="str">
        <f>IF($L131="","",IF(LOG_ST!X130=1,"OK",IF(LOG_ST!X130=2,"NR",IF(OR(LOG_ST!X130=0,LOG_ST!X130="X"),"N/A"))))</f>
        <v/>
      </c>
      <c r="U131" s="574" t="str">
        <f>IF($L131="","",IF(LOG_ST!Y130=1,"OK",IF(LOG_ST!Y130=2,"NR",IF(OR(LOG_ST!Y130=0,LOG_ST!Y130="X"),"N/A"))))</f>
        <v/>
      </c>
      <c r="V131" s="574" t="str">
        <f>IF($L131="","",IF(LOG_ST!Z130=1,"OK",IF(LOG_ST!Z130=2,"NR",IF(OR(LOG_ST!Z130=0,LOG_ST!Z130="X"),"N/A"))))</f>
        <v/>
      </c>
      <c r="W131" s="574" t="str">
        <f>IF($L131="","",IF(LOG_ST!AA130=1,"OK",IF(LOG_ST!AA130=2,"NR",IF(OR(LOG_ST!AA130=0,LOG_ST!AA130="X"),"N/A"))))</f>
        <v/>
      </c>
      <c r="X131" s="574" t="str">
        <f>IF($L131="","",IF(LOG_ST!AB130=1,"OK",IF(LOG_ST!AB130=2,"NR",IF(OR(LOG_ST!AB130=0,LOG_ST!AB130="X"),"N/A"))))</f>
        <v/>
      </c>
      <c r="Y131" s="574" t="str">
        <f>IF($L131="","",IF(LOG_ST!AC130=1,"OK",IF(LOG_ST!AC130=2,"NR",IF(OR(LOG_ST!AC130=0,LOG_ST!AC130="X"),"N/A"))))</f>
        <v/>
      </c>
      <c r="Z131" s="574" t="str">
        <f>IF($L131="","",IF(OR(LOG_ST!AD130=0,LOG_ST!AD130="X"),"N/A",LOG_ST!AD130))</f>
        <v/>
      </c>
      <c r="AA131" s="574" t="str">
        <f>IF($L131="","",IF(LOG_ST!AE130=1,"OK",IF(LOG_ST!AE130=2,"NR",IF(OR(LOG_ST!AE130=0,LOG_ST!AE130="X"),"N/A"))))</f>
        <v/>
      </c>
      <c r="AB131" s="574" t="str">
        <f>IF($L131="","",IF(LOG_ST!AF130=1,"OK",IF(LOG_ST!AF130=2,"NR",IF(OR(LOG_ST!AF130=0,LOG_ST!AF130="X"),"N/A"))))</f>
        <v/>
      </c>
      <c r="AC131" s="574" t="str">
        <f>IF($L131="","",IF(LOG_ST!AG130=1,"OK",IF(LOG_ST!AG130=2,"NR",IF(OR(LOG_ST!AG130=0,LOG_ST!AG130="X"),"N/A"))))</f>
        <v/>
      </c>
      <c r="AD131" s="574" t="str">
        <f>IF($L131="","",IF(OR(LOG_ST!AH130=0,LOG_ST!AH130="X"),"N/A",LOG_ST!AH130))</f>
        <v/>
      </c>
      <c r="AE131" s="574" t="str">
        <f>IF($L131="","",IF(LOG_ST!AI130=1,"OK",IF(LOG_ST!AI130=2,"NR",IF(OR(LOG_ST!AI130=0,LOG_ST!AI130="X"),"N/A"))))</f>
        <v/>
      </c>
      <c r="AF131" s="574" t="str">
        <f>IF($L131="","",IF(LOG_ST!AJ130=1,"OK",IF(LOG_ST!AJ130=2,"NR",IF(OR(LOG_ST!AJ130=0,LOG_ST!AJ130="X"),"N/A"))))</f>
        <v/>
      </c>
      <c r="AG131" s="574" t="str">
        <f>IF($L131="","",IF(LOG_ST!AK130=1,"OK",IF(LOG_ST!AK130=2,"NR",IF(OR(LOG_ST!AK130=0,LOG_ST!AK130="X"),"N/A"))))</f>
        <v/>
      </c>
      <c r="AH131" s="574" t="str">
        <f>IF($L131="","",IF(LOG_ST!AL130=1,"OK",IF(LOG_ST!AL130=2,"NR",IF(OR(LOG_ST!AL130=0,LOG_ST!AL130="X"),"N/A"))))</f>
        <v/>
      </c>
      <c r="AI131" s="574" t="str">
        <f>IF($L131="","",IF(LOG_ST!AM130=1,"OK",IF(LOG_ST!AM130=2,"NR",IF(OR(LOG_ST!AM130=0,LOG_ST!AM130="X"),"N/A"))))</f>
        <v/>
      </c>
      <c r="AJ131" s="574" t="str">
        <f>IF($L131="","",IF(LOG_ST!AN130=1,"OK",IF(LOG_ST!AN130=2,"NR",IF(OR(LOG_ST!AN130=0,LOG_ST!AN130="X"),"N/A"))))</f>
        <v/>
      </c>
      <c r="AK131" s="574" t="str">
        <f>IF($L131="","",IF(LOG_ST!AO130=1,"OK",IF(LOG_ST!AO130=2,"NR",IF(OR(LOG_ST!AO130=0,LOG_ST!AO130="X"),"N/A"))))</f>
        <v/>
      </c>
      <c r="AL131" s="574" t="str">
        <f>IF($L131="","",IF(LOG_ST!AP130=1,"OK",IF(LOG_ST!AP130=2,"NR",IF(OR(LOG_ST!AP130=0,LOG_ST!AP130="X"),"N/A"))))</f>
        <v/>
      </c>
      <c r="AM131" s="574" t="str">
        <f>IF($L131="","",IF(LOG_ST!AQ130=1,"OK",IF(LOG_ST!AQ130=2,"NR",IF(OR(LOG_ST!AQ130=0,LOG_ST!AQ130="X"),"N/A"))))</f>
        <v/>
      </c>
      <c r="AN131" s="550" t="str">
        <f t="shared" si="1"/>
        <v/>
      </c>
    </row>
    <row r="132" spans="2:40" x14ac:dyDescent="0.25">
      <c r="B132" s="551" t="str">
        <f>IF(LOG_ST!F131="","",VLOOKUP(LOG_ST!F131,DATA_BASE!$A$46:$C$57,2,FALSE))</f>
        <v/>
      </c>
      <c r="C132" s="570" t="str">
        <f>IF(LOG_ST!G131="","",VLOOKUP(LOG_ST!G131,DATA_HDG,2,FALSE))</f>
        <v/>
      </c>
      <c r="D132" s="571" t="str">
        <f>IF(LOG_ST!H131="","",LOG_ST!H131)</f>
        <v/>
      </c>
      <c r="E132" s="570" t="str">
        <f>IF(LOG_ST!I131="","",VLOOKUP(LOG_ST!I131,DATA_COP,2,FALSE))</f>
        <v/>
      </c>
      <c r="F132" s="573" t="str">
        <f>IF(LOG_ST!J131="","",LOG_ST!J131)</f>
        <v/>
      </c>
      <c r="G132" s="570" t="str">
        <f>IF(LOG_ST!K131="","",VLOOKUP(LOG_ST!K131,DATA_SCIES,2,FALSE))</f>
        <v/>
      </c>
      <c r="H132" s="570" t="str">
        <f>IF(LOG_ST!L131="","",VLOOKUP(LOG_ST!L131,DATA_ST!$U$7:$V$64,2,FALSE))</f>
        <v/>
      </c>
      <c r="I132" s="570" t="str">
        <f>IF(LOG_ST!M131="","",LOG_ST!M131)</f>
        <v/>
      </c>
      <c r="J132" s="570" t="str">
        <f>IF(LOG_ST!N131="","",LOG_ST!N131)</f>
        <v/>
      </c>
      <c r="K132" s="573" t="str">
        <f>IF(LOG_ST!O131="","",LOG_ST!O131)</f>
        <v/>
      </c>
      <c r="L132" s="573" t="str">
        <f>IF(LOG_ST!P131="","",LOG_ST!P131)</f>
        <v/>
      </c>
      <c r="M132" s="574" t="str">
        <f>IF($L132="","",IF(LOG_ST!Q131=1,"OK",IF(LOG_ST!Q131=2,"NR",IF(OR(LOG_ST!Q131=0,LOG_ST!Q131="X"),"N/A"))))</f>
        <v/>
      </c>
      <c r="N132" s="574" t="str">
        <f>IF($L132="","",IF(LOG_ST!R131=1,"OK",IF(LOG_ST!R131=2,"NR",IF(OR(LOG_ST!R131=0,LOG_ST!R131="X"),"N/A"))))</f>
        <v/>
      </c>
      <c r="O132" s="574" t="str">
        <f>IF($L132="","",IF(LOG_ST!S131=1,"OK",IF(LOG_ST!S131=2,"NR",IF(OR(LOG_ST!S131=0,LOG_ST!S131="X"),"N/A"))))</f>
        <v/>
      </c>
      <c r="P132" s="574" t="str">
        <f>IF($L132="","",IF(LOG_ST!T131=1,"OK",IF(LOG_ST!T131=2,"NR",IF(OR(LOG_ST!T131=0,LOG_ST!T131="X"),"N/A"))))</f>
        <v/>
      </c>
      <c r="Q132" s="574" t="str">
        <f>IF($L132="","",IF(LOG_ST!U131=1,"OK",IF(LOG_ST!U131=2,"NR",IF(OR(LOG_ST!U131=0,LOG_ST!U131="X"),"N/A"))))</f>
        <v/>
      </c>
      <c r="R132" s="574" t="str">
        <f>IF($L132="","",IF(LOG_ST!V131=1,"OK",IF(LOG_ST!V131=2,"NR",IF(OR(LOG_ST!V131=0,LOG_ST!V131="X"),"N/A"))))</f>
        <v/>
      </c>
      <c r="S132" s="574" t="str">
        <f>IF($L132="","",IF(LOG_ST!W131=1,"OK",IF(LOG_ST!W131=2,"NR",IF(OR(LOG_ST!W131=0,LOG_ST!W131="X"),"N/A"))))</f>
        <v/>
      </c>
      <c r="T132" s="574" t="str">
        <f>IF($L132="","",IF(LOG_ST!X131=1,"OK",IF(LOG_ST!X131=2,"NR",IF(OR(LOG_ST!X131=0,LOG_ST!X131="X"),"N/A"))))</f>
        <v/>
      </c>
      <c r="U132" s="574" t="str">
        <f>IF($L132="","",IF(LOG_ST!Y131=1,"OK",IF(LOG_ST!Y131=2,"NR",IF(OR(LOG_ST!Y131=0,LOG_ST!Y131="X"),"N/A"))))</f>
        <v/>
      </c>
      <c r="V132" s="574" t="str">
        <f>IF($L132="","",IF(LOG_ST!Z131=1,"OK",IF(LOG_ST!Z131=2,"NR",IF(OR(LOG_ST!Z131=0,LOG_ST!Z131="X"),"N/A"))))</f>
        <v/>
      </c>
      <c r="W132" s="574" t="str">
        <f>IF($L132="","",IF(LOG_ST!AA131=1,"OK",IF(LOG_ST!AA131=2,"NR",IF(OR(LOG_ST!AA131=0,LOG_ST!AA131="X"),"N/A"))))</f>
        <v/>
      </c>
      <c r="X132" s="574" t="str">
        <f>IF($L132="","",IF(LOG_ST!AB131=1,"OK",IF(LOG_ST!AB131=2,"NR",IF(OR(LOG_ST!AB131=0,LOG_ST!AB131="X"),"N/A"))))</f>
        <v/>
      </c>
      <c r="Y132" s="574" t="str">
        <f>IF($L132="","",IF(LOG_ST!AC131=1,"OK",IF(LOG_ST!AC131=2,"NR",IF(OR(LOG_ST!AC131=0,LOG_ST!AC131="X"),"N/A"))))</f>
        <v/>
      </c>
      <c r="Z132" s="574" t="str">
        <f>IF($L132="","",IF(OR(LOG_ST!AD131=0,LOG_ST!AD131="X"),"N/A",LOG_ST!AD131))</f>
        <v/>
      </c>
      <c r="AA132" s="574" t="str">
        <f>IF($L132="","",IF(LOG_ST!AE131=1,"OK",IF(LOG_ST!AE131=2,"NR",IF(OR(LOG_ST!AE131=0,LOG_ST!AE131="X"),"N/A"))))</f>
        <v/>
      </c>
      <c r="AB132" s="574" t="str">
        <f>IF($L132="","",IF(LOG_ST!AF131=1,"OK",IF(LOG_ST!AF131=2,"NR",IF(OR(LOG_ST!AF131=0,LOG_ST!AF131="X"),"N/A"))))</f>
        <v/>
      </c>
      <c r="AC132" s="574" t="str">
        <f>IF($L132="","",IF(LOG_ST!AG131=1,"OK",IF(LOG_ST!AG131=2,"NR",IF(OR(LOG_ST!AG131=0,LOG_ST!AG131="X"),"N/A"))))</f>
        <v/>
      </c>
      <c r="AD132" s="574" t="str">
        <f>IF($L132="","",IF(OR(LOG_ST!AH131=0,LOG_ST!AH131="X"),"N/A",LOG_ST!AH131))</f>
        <v/>
      </c>
      <c r="AE132" s="574" t="str">
        <f>IF($L132="","",IF(LOG_ST!AI131=1,"OK",IF(LOG_ST!AI131=2,"NR",IF(OR(LOG_ST!AI131=0,LOG_ST!AI131="X"),"N/A"))))</f>
        <v/>
      </c>
      <c r="AF132" s="574" t="str">
        <f>IF($L132="","",IF(LOG_ST!AJ131=1,"OK",IF(LOG_ST!AJ131=2,"NR",IF(OR(LOG_ST!AJ131=0,LOG_ST!AJ131="X"),"N/A"))))</f>
        <v/>
      </c>
      <c r="AG132" s="574" t="str">
        <f>IF($L132="","",IF(LOG_ST!AK131=1,"OK",IF(LOG_ST!AK131=2,"NR",IF(OR(LOG_ST!AK131=0,LOG_ST!AK131="X"),"N/A"))))</f>
        <v/>
      </c>
      <c r="AH132" s="574" t="str">
        <f>IF($L132="","",IF(LOG_ST!AL131=1,"OK",IF(LOG_ST!AL131=2,"NR",IF(OR(LOG_ST!AL131=0,LOG_ST!AL131="X"),"N/A"))))</f>
        <v/>
      </c>
      <c r="AI132" s="574" t="str">
        <f>IF($L132="","",IF(LOG_ST!AM131=1,"OK",IF(LOG_ST!AM131=2,"NR",IF(OR(LOG_ST!AM131=0,LOG_ST!AM131="X"),"N/A"))))</f>
        <v/>
      </c>
      <c r="AJ132" s="574" t="str">
        <f>IF($L132="","",IF(LOG_ST!AN131=1,"OK",IF(LOG_ST!AN131=2,"NR",IF(OR(LOG_ST!AN131=0,LOG_ST!AN131="X"),"N/A"))))</f>
        <v/>
      </c>
      <c r="AK132" s="574" t="str">
        <f>IF($L132="","",IF(LOG_ST!AO131=1,"OK",IF(LOG_ST!AO131=2,"NR",IF(OR(LOG_ST!AO131=0,LOG_ST!AO131="X"),"N/A"))))</f>
        <v/>
      </c>
      <c r="AL132" s="574" t="str">
        <f>IF($L132="","",IF(LOG_ST!AP131=1,"OK",IF(LOG_ST!AP131=2,"NR",IF(OR(LOG_ST!AP131=0,LOG_ST!AP131="X"),"N/A"))))</f>
        <v/>
      </c>
      <c r="AM132" s="574" t="str">
        <f>IF($L132="","",IF(LOG_ST!AQ131=1,"OK",IF(LOG_ST!AQ131=2,"NR",IF(OR(LOG_ST!AQ131=0,LOG_ST!AQ131="X"),"N/A"))))</f>
        <v/>
      </c>
      <c r="AN132" s="550" t="str">
        <f t="shared" si="1"/>
        <v/>
      </c>
    </row>
    <row r="133" spans="2:40" x14ac:dyDescent="0.25">
      <c r="B133" s="551" t="str">
        <f>IF(LOG_ST!F132="","",VLOOKUP(LOG_ST!F132,DATA_BASE!$A$46:$C$57,2,FALSE))</f>
        <v/>
      </c>
      <c r="C133" s="570" t="str">
        <f>IF(LOG_ST!G132="","",VLOOKUP(LOG_ST!G132,DATA_HDG,2,FALSE))</f>
        <v/>
      </c>
      <c r="D133" s="571" t="str">
        <f>IF(LOG_ST!H132="","",LOG_ST!H132)</f>
        <v/>
      </c>
      <c r="E133" s="570" t="str">
        <f>IF(LOG_ST!I132="","",VLOOKUP(LOG_ST!I132,DATA_COP,2,FALSE))</f>
        <v/>
      </c>
      <c r="F133" s="573" t="str">
        <f>IF(LOG_ST!J132="","",LOG_ST!J132)</f>
        <v/>
      </c>
      <c r="G133" s="570" t="str">
        <f>IF(LOG_ST!K132="","",VLOOKUP(LOG_ST!K132,DATA_SCIES,2,FALSE))</f>
        <v/>
      </c>
      <c r="H133" s="570" t="str">
        <f>IF(LOG_ST!L132="","",VLOOKUP(LOG_ST!L132,DATA_ST!$U$7:$V$64,2,FALSE))</f>
        <v/>
      </c>
      <c r="I133" s="570" t="str">
        <f>IF(LOG_ST!M132="","",LOG_ST!M132)</f>
        <v/>
      </c>
      <c r="J133" s="570" t="str">
        <f>IF(LOG_ST!N132="","",LOG_ST!N132)</f>
        <v/>
      </c>
      <c r="K133" s="573" t="str">
        <f>IF(LOG_ST!O132="","",LOG_ST!O132)</f>
        <v/>
      </c>
      <c r="L133" s="573" t="str">
        <f>IF(LOG_ST!P132="","",LOG_ST!P132)</f>
        <v/>
      </c>
      <c r="M133" s="574" t="str">
        <f>IF($L133="","",IF(LOG_ST!Q132=1,"OK",IF(LOG_ST!Q132=2,"NR",IF(OR(LOG_ST!Q132=0,LOG_ST!Q132="X"),"N/A"))))</f>
        <v/>
      </c>
      <c r="N133" s="574" t="str">
        <f>IF($L133="","",IF(LOG_ST!R132=1,"OK",IF(LOG_ST!R132=2,"NR",IF(OR(LOG_ST!R132=0,LOG_ST!R132="X"),"N/A"))))</f>
        <v/>
      </c>
      <c r="O133" s="574" t="str">
        <f>IF($L133="","",IF(LOG_ST!S132=1,"OK",IF(LOG_ST!S132=2,"NR",IF(OR(LOG_ST!S132=0,LOG_ST!S132="X"),"N/A"))))</f>
        <v/>
      </c>
      <c r="P133" s="574" t="str">
        <f>IF($L133="","",IF(LOG_ST!T132=1,"OK",IF(LOG_ST!T132=2,"NR",IF(OR(LOG_ST!T132=0,LOG_ST!T132="X"),"N/A"))))</f>
        <v/>
      </c>
      <c r="Q133" s="574" t="str">
        <f>IF($L133="","",IF(LOG_ST!U132=1,"OK",IF(LOG_ST!U132=2,"NR",IF(OR(LOG_ST!U132=0,LOG_ST!U132="X"),"N/A"))))</f>
        <v/>
      </c>
      <c r="R133" s="574" t="str">
        <f>IF($L133="","",IF(LOG_ST!V132=1,"OK",IF(LOG_ST!V132=2,"NR",IF(OR(LOG_ST!V132=0,LOG_ST!V132="X"),"N/A"))))</f>
        <v/>
      </c>
      <c r="S133" s="574" t="str">
        <f>IF($L133="","",IF(LOG_ST!W132=1,"OK",IF(LOG_ST!W132=2,"NR",IF(OR(LOG_ST!W132=0,LOG_ST!W132="X"),"N/A"))))</f>
        <v/>
      </c>
      <c r="T133" s="574" t="str">
        <f>IF($L133="","",IF(LOG_ST!X132=1,"OK",IF(LOG_ST!X132=2,"NR",IF(OR(LOG_ST!X132=0,LOG_ST!X132="X"),"N/A"))))</f>
        <v/>
      </c>
      <c r="U133" s="574" t="str">
        <f>IF($L133="","",IF(LOG_ST!Y132=1,"OK",IF(LOG_ST!Y132=2,"NR",IF(OR(LOG_ST!Y132=0,LOG_ST!Y132="X"),"N/A"))))</f>
        <v/>
      </c>
      <c r="V133" s="574" t="str">
        <f>IF($L133="","",IF(LOG_ST!Z132=1,"OK",IF(LOG_ST!Z132=2,"NR",IF(OR(LOG_ST!Z132=0,LOG_ST!Z132="X"),"N/A"))))</f>
        <v/>
      </c>
      <c r="W133" s="574" t="str">
        <f>IF($L133="","",IF(LOG_ST!AA132=1,"OK",IF(LOG_ST!AA132=2,"NR",IF(OR(LOG_ST!AA132=0,LOG_ST!AA132="X"),"N/A"))))</f>
        <v/>
      </c>
      <c r="X133" s="574" t="str">
        <f>IF($L133="","",IF(LOG_ST!AB132=1,"OK",IF(LOG_ST!AB132=2,"NR",IF(OR(LOG_ST!AB132=0,LOG_ST!AB132="X"),"N/A"))))</f>
        <v/>
      </c>
      <c r="Y133" s="574" t="str">
        <f>IF($L133="","",IF(LOG_ST!AC132=1,"OK",IF(LOG_ST!AC132=2,"NR",IF(OR(LOG_ST!AC132=0,LOG_ST!AC132="X"),"N/A"))))</f>
        <v/>
      </c>
      <c r="Z133" s="574" t="str">
        <f>IF($L133="","",IF(OR(LOG_ST!AD132=0,LOG_ST!AD132="X"),"N/A",LOG_ST!AD132))</f>
        <v/>
      </c>
      <c r="AA133" s="574" t="str">
        <f>IF($L133="","",IF(LOG_ST!AE132=1,"OK",IF(LOG_ST!AE132=2,"NR",IF(OR(LOG_ST!AE132=0,LOG_ST!AE132="X"),"N/A"))))</f>
        <v/>
      </c>
      <c r="AB133" s="574" t="str">
        <f>IF($L133="","",IF(LOG_ST!AF132=1,"OK",IF(LOG_ST!AF132=2,"NR",IF(OR(LOG_ST!AF132=0,LOG_ST!AF132="X"),"N/A"))))</f>
        <v/>
      </c>
      <c r="AC133" s="574" t="str">
        <f>IF($L133="","",IF(LOG_ST!AG132=1,"OK",IF(LOG_ST!AG132=2,"NR",IF(OR(LOG_ST!AG132=0,LOG_ST!AG132="X"),"N/A"))))</f>
        <v/>
      </c>
      <c r="AD133" s="574" t="str">
        <f>IF($L133="","",IF(OR(LOG_ST!AH132=0,LOG_ST!AH132="X"),"N/A",LOG_ST!AH132))</f>
        <v/>
      </c>
      <c r="AE133" s="574" t="str">
        <f>IF($L133="","",IF(LOG_ST!AI132=1,"OK",IF(LOG_ST!AI132=2,"NR",IF(OR(LOG_ST!AI132=0,LOG_ST!AI132="X"),"N/A"))))</f>
        <v/>
      </c>
      <c r="AF133" s="574" t="str">
        <f>IF($L133="","",IF(LOG_ST!AJ132=1,"OK",IF(LOG_ST!AJ132=2,"NR",IF(OR(LOG_ST!AJ132=0,LOG_ST!AJ132="X"),"N/A"))))</f>
        <v/>
      </c>
      <c r="AG133" s="574" t="str">
        <f>IF($L133="","",IF(LOG_ST!AK132=1,"OK",IF(LOG_ST!AK132=2,"NR",IF(OR(LOG_ST!AK132=0,LOG_ST!AK132="X"),"N/A"))))</f>
        <v/>
      </c>
      <c r="AH133" s="574" t="str">
        <f>IF($L133="","",IF(LOG_ST!AL132=1,"OK",IF(LOG_ST!AL132=2,"NR",IF(OR(LOG_ST!AL132=0,LOG_ST!AL132="X"),"N/A"))))</f>
        <v/>
      </c>
      <c r="AI133" s="574" t="str">
        <f>IF($L133="","",IF(LOG_ST!AM132=1,"OK",IF(LOG_ST!AM132=2,"NR",IF(OR(LOG_ST!AM132=0,LOG_ST!AM132="X"),"N/A"))))</f>
        <v/>
      </c>
      <c r="AJ133" s="574" t="str">
        <f>IF($L133="","",IF(LOG_ST!AN132=1,"OK",IF(LOG_ST!AN132=2,"NR",IF(OR(LOG_ST!AN132=0,LOG_ST!AN132="X"),"N/A"))))</f>
        <v/>
      </c>
      <c r="AK133" s="574" t="str">
        <f>IF($L133="","",IF(LOG_ST!AO132=1,"OK",IF(LOG_ST!AO132=2,"NR",IF(OR(LOG_ST!AO132=0,LOG_ST!AO132="X"),"N/A"))))</f>
        <v/>
      </c>
      <c r="AL133" s="574" t="str">
        <f>IF($L133="","",IF(LOG_ST!AP132=1,"OK",IF(LOG_ST!AP132=2,"NR",IF(OR(LOG_ST!AP132=0,LOG_ST!AP132="X"),"N/A"))))</f>
        <v/>
      </c>
      <c r="AM133" s="574" t="str">
        <f>IF($L133="","",IF(LOG_ST!AQ132=1,"OK",IF(LOG_ST!AQ132=2,"NR",IF(OR(LOG_ST!AQ132=0,LOG_ST!AQ132="X"),"N/A"))))</f>
        <v/>
      </c>
      <c r="AN133" s="550" t="str">
        <f t="shared" si="1"/>
        <v/>
      </c>
    </row>
    <row r="134" spans="2:40" x14ac:dyDescent="0.25">
      <c r="B134" s="551" t="str">
        <f>IF(LOG_ST!F133="","",VLOOKUP(LOG_ST!F133,DATA_BASE!$A$46:$C$57,2,FALSE))</f>
        <v/>
      </c>
      <c r="C134" s="570" t="str">
        <f>IF(LOG_ST!G133="","",VLOOKUP(LOG_ST!G133,DATA_HDG,2,FALSE))</f>
        <v/>
      </c>
      <c r="D134" s="571" t="str">
        <f>IF(LOG_ST!H133="","",LOG_ST!H133)</f>
        <v/>
      </c>
      <c r="E134" s="570" t="str">
        <f>IF(LOG_ST!I133="","",VLOOKUP(LOG_ST!I133,DATA_COP,2,FALSE))</f>
        <v/>
      </c>
      <c r="F134" s="573" t="str">
        <f>IF(LOG_ST!J133="","",LOG_ST!J133)</f>
        <v/>
      </c>
      <c r="G134" s="570" t="str">
        <f>IF(LOG_ST!K133="","",VLOOKUP(LOG_ST!K133,DATA_SCIES,2,FALSE))</f>
        <v/>
      </c>
      <c r="H134" s="570" t="str">
        <f>IF(LOG_ST!L133="","",VLOOKUP(LOG_ST!L133,DATA_ST!$U$7:$V$64,2,FALSE))</f>
        <v/>
      </c>
      <c r="I134" s="570" t="str">
        <f>IF(LOG_ST!M133="","",LOG_ST!M133)</f>
        <v/>
      </c>
      <c r="J134" s="570" t="str">
        <f>IF(LOG_ST!N133="","",LOG_ST!N133)</f>
        <v/>
      </c>
      <c r="K134" s="573" t="str">
        <f>IF(LOG_ST!O133="","",LOG_ST!O133)</f>
        <v/>
      </c>
      <c r="L134" s="573" t="str">
        <f>IF(LOG_ST!P133="","",LOG_ST!P133)</f>
        <v/>
      </c>
      <c r="M134" s="574" t="str">
        <f>IF($L134="","",IF(LOG_ST!Q133=1,"OK",IF(LOG_ST!Q133=2,"NR",IF(OR(LOG_ST!Q133=0,LOG_ST!Q133="X"),"N/A"))))</f>
        <v/>
      </c>
      <c r="N134" s="574" t="str">
        <f>IF($L134="","",IF(LOG_ST!R133=1,"OK",IF(LOG_ST!R133=2,"NR",IF(OR(LOG_ST!R133=0,LOG_ST!R133="X"),"N/A"))))</f>
        <v/>
      </c>
      <c r="O134" s="574" t="str">
        <f>IF($L134="","",IF(LOG_ST!S133=1,"OK",IF(LOG_ST!S133=2,"NR",IF(OR(LOG_ST!S133=0,LOG_ST!S133="X"),"N/A"))))</f>
        <v/>
      </c>
      <c r="P134" s="574" t="str">
        <f>IF($L134="","",IF(LOG_ST!T133=1,"OK",IF(LOG_ST!T133=2,"NR",IF(OR(LOG_ST!T133=0,LOG_ST!T133="X"),"N/A"))))</f>
        <v/>
      </c>
      <c r="Q134" s="574" t="str">
        <f>IF($L134="","",IF(LOG_ST!U133=1,"OK",IF(LOG_ST!U133=2,"NR",IF(OR(LOG_ST!U133=0,LOG_ST!U133="X"),"N/A"))))</f>
        <v/>
      </c>
      <c r="R134" s="574" t="str">
        <f>IF($L134="","",IF(LOG_ST!V133=1,"OK",IF(LOG_ST!V133=2,"NR",IF(OR(LOG_ST!V133=0,LOG_ST!V133="X"),"N/A"))))</f>
        <v/>
      </c>
      <c r="S134" s="574" t="str">
        <f>IF($L134="","",IF(LOG_ST!W133=1,"OK",IF(LOG_ST!W133=2,"NR",IF(OR(LOG_ST!W133=0,LOG_ST!W133="X"),"N/A"))))</f>
        <v/>
      </c>
      <c r="T134" s="574" t="str">
        <f>IF($L134="","",IF(LOG_ST!X133=1,"OK",IF(LOG_ST!X133=2,"NR",IF(OR(LOG_ST!X133=0,LOG_ST!X133="X"),"N/A"))))</f>
        <v/>
      </c>
      <c r="U134" s="574" t="str">
        <f>IF($L134="","",IF(LOG_ST!Y133=1,"OK",IF(LOG_ST!Y133=2,"NR",IF(OR(LOG_ST!Y133=0,LOG_ST!Y133="X"),"N/A"))))</f>
        <v/>
      </c>
      <c r="V134" s="574" t="str">
        <f>IF($L134="","",IF(LOG_ST!Z133=1,"OK",IF(LOG_ST!Z133=2,"NR",IF(OR(LOG_ST!Z133=0,LOG_ST!Z133="X"),"N/A"))))</f>
        <v/>
      </c>
      <c r="W134" s="574" t="str">
        <f>IF($L134="","",IF(LOG_ST!AA133=1,"OK",IF(LOG_ST!AA133=2,"NR",IF(OR(LOG_ST!AA133=0,LOG_ST!AA133="X"),"N/A"))))</f>
        <v/>
      </c>
      <c r="X134" s="574" t="str">
        <f>IF($L134="","",IF(LOG_ST!AB133=1,"OK",IF(LOG_ST!AB133=2,"NR",IF(OR(LOG_ST!AB133=0,LOG_ST!AB133="X"),"N/A"))))</f>
        <v/>
      </c>
      <c r="Y134" s="574" t="str">
        <f>IF($L134="","",IF(LOG_ST!AC133=1,"OK",IF(LOG_ST!AC133=2,"NR",IF(OR(LOG_ST!AC133=0,LOG_ST!AC133="X"),"N/A"))))</f>
        <v/>
      </c>
      <c r="Z134" s="574" t="str">
        <f>IF($L134="","",IF(OR(LOG_ST!AD133=0,LOG_ST!AD133="X"),"N/A",LOG_ST!AD133))</f>
        <v/>
      </c>
      <c r="AA134" s="574" t="str">
        <f>IF($L134="","",IF(LOG_ST!AE133=1,"OK",IF(LOG_ST!AE133=2,"NR",IF(OR(LOG_ST!AE133=0,LOG_ST!AE133="X"),"N/A"))))</f>
        <v/>
      </c>
      <c r="AB134" s="574" t="str">
        <f>IF($L134="","",IF(LOG_ST!AF133=1,"OK",IF(LOG_ST!AF133=2,"NR",IF(OR(LOG_ST!AF133=0,LOG_ST!AF133="X"),"N/A"))))</f>
        <v/>
      </c>
      <c r="AC134" s="574" t="str">
        <f>IF($L134="","",IF(LOG_ST!AG133=1,"OK",IF(LOG_ST!AG133=2,"NR",IF(OR(LOG_ST!AG133=0,LOG_ST!AG133="X"),"N/A"))))</f>
        <v/>
      </c>
      <c r="AD134" s="574" t="str">
        <f>IF($L134="","",IF(OR(LOG_ST!AH133=0,LOG_ST!AH133="X"),"N/A",LOG_ST!AH133))</f>
        <v/>
      </c>
      <c r="AE134" s="574" t="str">
        <f>IF($L134="","",IF(LOG_ST!AI133=1,"OK",IF(LOG_ST!AI133=2,"NR",IF(OR(LOG_ST!AI133=0,LOG_ST!AI133="X"),"N/A"))))</f>
        <v/>
      </c>
      <c r="AF134" s="574" t="str">
        <f>IF($L134="","",IF(LOG_ST!AJ133=1,"OK",IF(LOG_ST!AJ133=2,"NR",IF(OR(LOG_ST!AJ133=0,LOG_ST!AJ133="X"),"N/A"))))</f>
        <v/>
      </c>
      <c r="AG134" s="574" t="str">
        <f>IF($L134="","",IF(LOG_ST!AK133=1,"OK",IF(LOG_ST!AK133=2,"NR",IF(OR(LOG_ST!AK133=0,LOG_ST!AK133="X"),"N/A"))))</f>
        <v/>
      </c>
      <c r="AH134" s="574" t="str">
        <f>IF($L134="","",IF(LOG_ST!AL133=1,"OK",IF(LOG_ST!AL133=2,"NR",IF(OR(LOG_ST!AL133=0,LOG_ST!AL133="X"),"N/A"))))</f>
        <v/>
      </c>
      <c r="AI134" s="574" t="str">
        <f>IF($L134="","",IF(LOG_ST!AM133=1,"OK",IF(LOG_ST!AM133=2,"NR",IF(OR(LOG_ST!AM133=0,LOG_ST!AM133="X"),"N/A"))))</f>
        <v/>
      </c>
      <c r="AJ134" s="574" t="str">
        <f>IF($L134="","",IF(LOG_ST!AN133=1,"OK",IF(LOG_ST!AN133=2,"NR",IF(OR(LOG_ST!AN133=0,LOG_ST!AN133="X"),"N/A"))))</f>
        <v/>
      </c>
      <c r="AK134" s="574" t="str">
        <f>IF($L134="","",IF(LOG_ST!AO133=1,"OK",IF(LOG_ST!AO133=2,"NR",IF(OR(LOG_ST!AO133=0,LOG_ST!AO133="X"),"N/A"))))</f>
        <v/>
      </c>
      <c r="AL134" s="574" t="str">
        <f>IF($L134="","",IF(LOG_ST!AP133=1,"OK",IF(LOG_ST!AP133=2,"NR",IF(OR(LOG_ST!AP133=0,LOG_ST!AP133="X"),"N/A"))))</f>
        <v/>
      </c>
      <c r="AM134" s="574" t="str">
        <f>IF($L134="","",IF(LOG_ST!AQ133=1,"OK",IF(LOG_ST!AQ133=2,"NR",IF(OR(LOG_ST!AQ133=0,LOG_ST!AQ133="X"),"N/A"))))</f>
        <v/>
      </c>
      <c r="AN134" s="550" t="str">
        <f t="shared" si="1"/>
        <v/>
      </c>
    </row>
    <row r="135" spans="2:40" x14ac:dyDescent="0.25">
      <c r="B135" s="551" t="str">
        <f>IF(LOG_ST!F134="","",VLOOKUP(LOG_ST!F134,DATA_BASE!$A$46:$C$57,2,FALSE))</f>
        <v/>
      </c>
      <c r="C135" s="570" t="str">
        <f>IF(LOG_ST!G134="","",VLOOKUP(LOG_ST!G134,DATA_HDG,2,FALSE))</f>
        <v/>
      </c>
      <c r="D135" s="571" t="str">
        <f>IF(LOG_ST!H134="","",LOG_ST!H134)</f>
        <v/>
      </c>
      <c r="E135" s="570" t="str">
        <f>IF(LOG_ST!I134="","",VLOOKUP(LOG_ST!I134,DATA_COP,2,FALSE))</f>
        <v/>
      </c>
      <c r="F135" s="573" t="str">
        <f>IF(LOG_ST!J134="","",LOG_ST!J134)</f>
        <v/>
      </c>
      <c r="G135" s="570" t="str">
        <f>IF(LOG_ST!K134="","",VLOOKUP(LOG_ST!K134,DATA_SCIES,2,FALSE))</f>
        <v/>
      </c>
      <c r="H135" s="570" t="str">
        <f>IF(LOG_ST!L134="","",VLOOKUP(LOG_ST!L134,DATA_ST!$U$7:$V$64,2,FALSE))</f>
        <v/>
      </c>
      <c r="I135" s="570" t="str">
        <f>IF(LOG_ST!M134="","",LOG_ST!M134)</f>
        <v/>
      </c>
      <c r="J135" s="570" t="str">
        <f>IF(LOG_ST!N134="","",LOG_ST!N134)</f>
        <v/>
      </c>
      <c r="K135" s="573" t="str">
        <f>IF(LOG_ST!O134="","",LOG_ST!O134)</f>
        <v/>
      </c>
      <c r="L135" s="573" t="str">
        <f>IF(LOG_ST!P134="","",LOG_ST!P134)</f>
        <v/>
      </c>
      <c r="M135" s="574" t="str">
        <f>IF($L135="","",IF(LOG_ST!Q134=1,"OK",IF(LOG_ST!Q134=2,"NR",IF(OR(LOG_ST!Q134=0,LOG_ST!Q134="X"),"N/A"))))</f>
        <v/>
      </c>
      <c r="N135" s="574" t="str">
        <f>IF($L135="","",IF(LOG_ST!R134=1,"OK",IF(LOG_ST!R134=2,"NR",IF(OR(LOG_ST!R134=0,LOG_ST!R134="X"),"N/A"))))</f>
        <v/>
      </c>
      <c r="O135" s="574" t="str">
        <f>IF($L135="","",IF(LOG_ST!S134=1,"OK",IF(LOG_ST!S134=2,"NR",IF(OR(LOG_ST!S134=0,LOG_ST!S134="X"),"N/A"))))</f>
        <v/>
      </c>
      <c r="P135" s="574" t="str">
        <f>IF($L135="","",IF(LOG_ST!T134=1,"OK",IF(LOG_ST!T134=2,"NR",IF(OR(LOG_ST!T134=0,LOG_ST!T134="X"),"N/A"))))</f>
        <v/>
      </c>
      <c r="Q135" s="574" t="str">
        <f>IF($L135="","",IF(LOG_ST!U134=1,"OK",IF(LOG_ST!U134=2,"NR",IF(OR(LOG_ST!U134=0,LOG_ST!U134="X"),"N/A"))))</f>
        <v/>
      </c>
      <c r="R135" s="574" t="str">
        <f>IF($L135="","",IF(LOG_ST!V134=1,"OK",IF(LOG_ST!V134=2,"NR",IF(OR(LOG_ST!V134=0,LOG_ST!V134="X"),"N/A"))))</f>
        <v/>
      </c>
      <c r="S135" s="574" t="str">
        <f>IF($L135="","",IF(LOG_ST!W134=1,"OK",IF(LOG_ST!W134=2,"NR",IF(OR(LOG_ST!W134=0,LOG_ST!W134="X"),"N/A"))))</f>
        <v/>
      </c>
      <c r="T135" s="574" t="str">
        <f>IF($L135="","",IF(LOG_ST!X134=1,"OK",IF(LOG_ST!X134=2,"NR",IF(OR(LOG_ST!X134=0,LOG_ST!X134="X"),"N/A"))))</f>
        <v/>
      </c>
      <c r="U135" s="574" t="str">
        <f>IF($L135="","",IF(LOG_ST!Y134=1,"OK",IF(LOG_ST!Y134=2,"NR",IF(OR(LOG_ST!Y134=0,LOG_ST!Y134="X"),"N/A"))))</f>
        <v/>
      </c>
      <c r="V135" s="574" t="str">
        <f>IF($L135="","",IF(LOG_ST!Z134=1,"OK",IF(LOG_ST!Z134=2,"NR",IF(OR(LOG_ST!Z134=0,LOG_ST!Z134="X"),"N/A"))))</f>
        <v/>
      </c>
      <c r="W135" s="574" t="str">
        <f>IF($L135="","",IF(LOG_ST!AA134=1,"OK",IF(LOG_ST!AA134=2,"NR",IF(OR(LOG_ST!AA134=0,LOG_ST!AA134="X"),"N/A"))))</f>
        <v/>
      </c>
      <c r="X135" s="574" t="str">
        <f>IF($L135="","",IF(LOG_ST!AB134=1,"OK",IF(LOG_ST!AB134=2,"NR",IF(OR(LOG_ST!AB134=0,LOG_ST!AB134="X"),"N/A"))))</f>
        <v/>
      </c>
      <c r="Y135" s="574" t="str">
        <f>IF($L135="","",IF(LOG_ST!AC134=1,"OK",IF(LOG_ST!AC134=2,"NR",IF(OR(LOG_ST!AC134=0,LOG_ST!AC134="X"),"N/A"))))</f>
        <v/>
      </c>
      <c r="Z135" s="574" t="str">
        <f>IF($L135="","",IF(OR(LOG_ST!AD134=0,LOG_ST!AD134="X"),"N/A",LOG_ST!AD134))</f>
        <v/>
      </c>
      <c r="AA135" s="574" t="str">
        <f>IF($L135="","",IF(LOG_ST!AE134=1,"OK",IF(LOG_ST!AE134=2,"NR",IF(OR(LOG_ST!AE134=0,LOG_ST!AE134="X"),"N/A"))))</f>
        <v/>
      </c>
      <c r="AB135" s="574" t="str">
        <f>IF($L135="","",IF(LOG_ST!AF134=1,"OK",IF(LOG_ST!AF134=2,"NR",IF(OR(LOG_ST!AF134=0,LOG_ST!AF134="X"),"N/A"))))</f>
        <v/>
      </c>
      <c r="AC135" s="574" t="str">
        <f>IF($L135="","",IF(LOG_ST!AG134=1,"OK",IF(LOG_ST!AG134=2,"NR",IF(OR(LOG_ST!AG134=0,LOG_ST!AG134="X"),"N/A"))))</f>
        <v/>
      </c>
      <c r="AD135" s="574" t="str">
        <f>IF($L135="","",IF(OR(LOG_ST!AH134=0,LOG_ST!AH134="X"),"N/A",LOG_ST!AH134))</f>
        <v/>
      </c>
      <c r="AE135" s="574" t="str">
        <f>IF($L135="","",IF(LOG_ST!AI134=1,"OK",IF(LOG_ST!AI134=2,"NR",IF(OR(LOG_ST!AI134=0,LOG_ST!AI134="X"),"N/A"))))</f>
        <v/>
      </c>
      <c r="AF135" s="574" t="str">
        <f>IF($L135="","",IF(LOG_ST!AJ134=1,"OK",IF(LOG_ST!AJ134=2,"NR",IF(OR(LOG_ST!AJ134=0,LOG_ST!AJ134="X"),"N/A"))))</f>
        <v/>
      </c>
      <c r="AG135" s="574" t="str">
        <f>IF($L135="","",IF(LOG_ST!AK134=1,"OK",IF(LOG_ST!AK134=2,"NR",IF(OR(LOG_ST!AK134=0,LOG_ST!AK134="X"),"N/A"))))</f>
        <v/>
      </c>
      <c r="AH135" s="574" t="str">
        <f>IF($L135="","",IF(LOG_ST!AL134=1,"OK",IF(LOG_ST!AL134=2,"NR",IF(OR(LOG_ST!AL134=0,LOG_ST!AL134="X"),"N/A"))))</f>
        <v/>
      </c>
      <c r="AI135" s="574" t="str">
        <f>IF($L135="","",IF(LOG_ST!AM134=1,"OK",IF(LOG_ST!AM134=2,"NR",IF(OR(LOG_ST!AM134=0,LOG_ST!AM134="X"),"N/A"))))</f>
        <v/>
      </c>
      <c r="AJ135" s="574" t="str">
        <f>IF($L135="","",IF(LOG_ST!AN134=1,"OK",IF(LOG_ST!AN134=2,"NR",IF(OR(LOG_ST!AN134=0,LOG_ST!AN134="X"),"N/A"))))</f>
        <v/>
      </c>
      <c r="AK135" s="574" t="str">
        <f>IF($L135="","",IF(LOG_ST!AO134=1,"OK",IF(LOG_ST!AO134=2,"NR",IF(OR(LOG_ST!AO134=0,LOG_ST!AO134="X"),"N/A"))))</f>
        <v/>
      </c>
      <c r="AL135" s="574" t="str">
        <f>IF($L135="","",IF(LOG_ST!AP134=1,"OK",IF(LOG_ST!AP134=2,"NR",IF(OR(LOG_ST!AP134=0,LOG_ST!AP134="X"),"N/A"))))</f>
        <v/>
      </c>
      <c r="AM135" s="574" t="str">
        <f>IF($L135="","",IF(LOG_ST!AQ134=1,"OK",IF(LOG_ST!AQ134=2,"NR",IF(OR(LOG_ST!AQ134=0,LOG_ST!AQ134="X"),"N/A"))))</f>
        <v/>
      </c>
      <c r="AN135" s="550" t="str">
        <f t="shared" si="1"/>
        <v/>
      </c>
    </row>
    <row r="136" spans="2:40" x14ac:dyDescent="0.25">
      <c r="B136" s="551" t="str">
        <f>IF(LOG_ST!F135="","",VLOOKUP(LOG_ST!F135,DATA_BASE!$A$46:$C$57,2,FALSE))</f>
        <v/>
      </c>
      <c r="C136" s="570" t="str">
        <f>IF(LOG_ST!G135="","",VLOOKUP(LOG_ST!G135,DATA_HDG,2,FALSE))</f>
        <v/>
      </c>
      <c r="D136" s="571" t="str">
        <f>IF(LOG_ST!H135="","",LOG_ST!H135)</f>
        <v/>
      </c>
      <c r="E136" s="570" t="str">
        <f>IF(LOG_ST!I135="","",VLOOKUP(LOG_ST!I135,DATA_COP,2,FALSE))</f>
        <v/>
      </c>
      <c r="F136" s="573" t="str">
        <f>IF(LOG_ST!J135="","",LOG_ST!J135)</f>
        <v/>
      </c>
      <c r="G136" s="570" t="str">
        <f>IF(LOG_ST!K135="","",VLOOKUP(LOG_ST!K135,DATA_SCIES,2,FALSE))</f>
        <v/>
      </c>
      <c r="H136" s="570" t="str">
        <f>IF(LOG_ST!L135="","",VLOOKUP(LOG_ST!L135,DATA_ST!$U$7:$V$64,2,FALSE))</f>
        <v/>
      </c>
      <c r="I136" s="570" t="str">
        <f>IF(LOG_ST!M135="","",LOG_ST!M135)</f>
        <v/>
      </c>
      <c r="J136" s="570" t="str">
        <f>IF(LOG_ST!N135="","",LOG_ST!N135)</f>
        <v/>
      </c>
      <c r="K136" s="573" t="str">
        <f>IF(LOG_ST!O135="","",LOG_ST!O135)</f>
        <v/>
      </c>
      <c r="L136" s="573" t="str">
        <f>IF(LOG_ST!P135="","",LOG_ST!P135)</f>
        <v/>
      </c>
      <c r="M136" s="574" t="str">
        <f>IF($L136="","",IF(LOG_ST!Q135=1,"OK",IF(LOG_ST!Q135=2,"NR",IF(OR(LOG_ST!Q135=0,LOG_ST!Q135="X"),"N/A"))))</f>
        <v/>
      </c>
      <c r="N136" s="574" t="str">
        <f>IF($L136="","",IF(LOG_ST!R135=1,"OK",IF(LOG_ST!R135=2,"NR",IF(OR(LOG_ST!R135=0,LOG_ST!R135="X"),"N/A"))))</f>
        <v/>
      </c>
      <c r="O136" s="574" t="str">
        <f>IF($L136="","",IF(LOG_ST!S135=1,"OK",IF(LOG_ST!S135=2,"NR",IF(OR(LOG_ST!S135=0,LOG_ST!S135="X"),"N/A"))))</f>
        <v/>
      </c>
      <c r="P136" s="574" t="str">
        <f>IF($L136="","",IF(LOG_ST!T135=1,"OK",IF(LOG_ST!T135=2,"NR",IF(OR(LOG_ST!T135=0,LOG_ST!T135="X"),"N/A"))))</f>
        <v/>
      </c>
      <c r="Q136" s="574" t="str">
        <f>IF($L136="","",IF(LOG_ST!U135=1,"OK",IF(LOG_ST!U135=2,"NR",IF(OR(LOG_ST!U135=0,LOG_ST!U135="X"),"N/A"))))</f>
        <v/>
      </c>
      <c r="R136" s="574" t="str">
        <f>IF($L136="","",IF(LOG_ST!V135=1,"OK",IF(LOG_ST!V135=2,"NR",IF(OR(LOG_ST!V135=0,LOG_ST!V135="X"),"N/A"))))</f>
        <v/>
      </c>
      <c r="S136" s="574" t="str">
        <f>IF($L136="","",IF(LOG_ST!W135=1,"OK",IF(LOG_ST!W135=2,"NR",IF(OR(LOG_ST!W135=0,LOG_ST!W135="X"),"N/A"))))</f>
        <v/>
      </c>
      <c r="T136" s="574" t="str">
        <f>IF($L136="","",IF(LOG_ST!X135=1,"OK",IF(LOG_ST!X135=2,"NR",IF(OR(LOG_ST!X135=0,LOG_ST!X135="X"),"N/A"))))</f>
        <v/>
      </c>
      <c r="U136" s="574" t="str">
        <f>IF($L136="","",IF(LOG_ST!Y135=1,"OK",IF(LOG_ST!Y135=2,"NR",IF(OR(LOG_ST!Y135=0,LOG_ST!Y135="X"),"N/A"))))</f>
        <v/>
      </c>
      <c r="V136" s="574" t="str">
        <f>IF($L136="","",IF(LOG_ST!Z135=1,"OK",IF(LOG_ST!Z135=2,"NR",IF(OR(LOG_ST!Z135=0,LOG_ST!Z135="X"),"N/A"))))</f>
        <v/>
      </c>
      <c r="W136" s="574" t="str">
        <f>IF($L136="","",IF(LOG_ST!AA135=1,"OK",IF(LOG_ST!AA135=2,"NR",IF(OR(LOG_ST!AA135=0,LOG_ST!AA135="X"),"N/A"))))</f>
        <v/>
      </c>
      <c r="X136" s="574" t="str">
        <f>IF($L136="","",IF(LOG_ST!AB135=1,"OK",IF(LOG_ST!AB135=2,"NR",IF(OR(LOG_ST!AB135=0,LOG_ST!AB135="X"),"N/A"))))</f>
        <v/>
      </c>
      <c r="Y136" s="574" t="str">
        <f>IF($L136="","",IF(LOG_ST!AC135=1,"OK",IF(LOG_ST!AC135=2,"NR",IF(OR(LOG_ST!AC135=0,LOG_ST!AC135="X"),"N/A"))))</f>
        <v/>
      </c>
      <c r="Z136" s="574" t="str">
        <f>IF($L136="","",IF(OR(LOG_ST!AD135=0,LOG_ST!AD135="X"),"N/A",LOG_ST!AD135))</f>
        <v/>
      </c>
      <c r="AA136" s="574" t="str">
        <f>IF($L136="","",IF(LOG_ST!AE135=1,"OK",IF(LOG_ST!AE135=2,"NR",IF(OR(LOG_ST!AE135=0,LOG_ST!AE135="X"),"N/A"))))</f>
        <v/>
      </c>
      <c r="AB136" s="574" t="str">
        <f>IF($L136="","",IF(LOG_ST!AF135=1,"OK",IF(LOG_ST!AF135=2,"NR",IF(OR(LOG_ST!AF135=0,LOG_ST!AF135="X"),"N/A"))))</f>
        <v/>
      </c>
      <c r="AC136" s="574" t="str">
        <f>IF($L136="","",IF(LOG_ST!AG135=1,"OK",IF(LOG_ST!AG135=2,"NR",IF(OR(LOG_ST!AG135=0,LOG_ST!AG135="X"),"N/A"))))</f>
        <v/>
      </c>
      <c r="AD136" s="574" t="str">
        <f>IF($L136="","",IF(OR(LOG_ST!AH135=0,LOG_ST!AH135="X"),"N/A",LOG_ST!AH135))</f>
        <v/>
      </c>
      <c r="AE136" s="574" t="str">
        <f>IF($L136="","",IF(LOG_ST!AI135=1,"OK",IF(LOG_ST!AI135=2,"NR",IF(OR(LOG_ST!AI135=0,LOG_ST!AI135="X"),"N/A"))))</f>
        <v/>
      </c>
      <c r="AF136" s="574" t="str">
        <f>IF($L136="","",IF(LOG_ST!AJ135=1,"OK",IF(LOG_ST!AJ135=2,"NR",IF(OR(LOG_ST!AJ135=0,LOG_ST!AJ135="X"),"N/A"))))</f>
        <v/>
      </c>
      <c r="AG136" s="574" t="str">
        <f>IF($L136="","",IF(LOG_ST!AK135=1,"OK",IF(LOG_ST!AK135=2,"NR",IF(OR(LOG_ST!AK135=0,LOG_ST!AK135="X"),"N/A"))))</f>
        <v/>
      </c>
      <c r="AH136" s="574" t="str">
        <f>IF($L136="","",IF(LOG_ST!AL135=1,"OK",IF(LOG_ST!AL135=2,"NR",IF(OR(LOG_ST!AL135=0,LOG_ST!AL135="X"),"N/A"))))</f>
        <v/>
      </c>
      <c r="AI136" s="574" t="str">
        <f>IF($L136="","",IF(LOG_ST!AM135=1,"OK",IF(LOG_ST!AM135=2,"NR",IF(OR(LOG_ST!AM135=0,LOG_ST!AM135="X"),"N/A"))))</f>
        <v/>
      </c>
      <c r="AJ136" s="574" t="str">
        <f>IF($L136="","",IF(LOG_ST!AN135=1,"OK",IF(LOG_ST!AN135=2,"NR",IF(OR(LOG_ST!AN135=0,LOG_ST!AN135="X"),"N/A"))))</f>
        <v/>
      </c>
      <c r="AK136" s="574" t="str">
        <f>IF($L136="","",IF(LOG_ST!AO135=1,"OK",IF(LOG_ST!AO135=2,"NR",IF(OR(LOG_ST!AO135=0,LOG_ST!AO135="X"),"N/A"))))</f>
        <v/>
      </c>
      <c r="AL136" s="574" t="str">
        <f>IF($L136="","",IF(LOG_ST!AP135=1,"OK",IF(LOG_ST!AP135=2,"NR",IF(OR(LOG_ST!AP135=0,LOG_ST!AP135="X"),"N/A"))))</f>
        <v/>
      </c>
      <c r="AM136" s="574" t="str">
        <f>IF($L136="","",IF(LOG_ST!AQ135=1,"OK",IF(LOG_ST!AQ135=2,"NR",IF(OR(LOG_ST!AQ135=0,LOG_ST!AQ135="X"),"N/A"))))</f>
        <v/>
      </c>
      <c r="AN136" s="550" t="str">
        <f t="shared" ref="AN136:AN162" si="2">IF($L136="","",COUNTIF(M136:AM136,"NR"))</f>
        <v/>
      </c>
    </row>
    <row r="137" spans="2:40" x14ac:dyDescent="0.25">
      <c r="B137" s="551" t="str">
        <f>IF(LOG_ST!F136="","",VLOOKUP(LOG_ST!F136,DATA_BASE!$A$46:$C$57,2,FALSE))</f>
        <v/>
      </c>
      <c r="C137" s="570" t="str">
        <f>IF(LOG_ST!G136="","",VLOOKUP(LOG_ST!G136,DATA_HDG,2,FALSE))</f>
        <v/>
      </c>
      <c r="D137" s="571" t="str">
        <f>IF(LOG_ST!H136="","",LOG_ST!H136)</f>
        <v/>
      </c>
      <c r="E137" s="570" t="str">
        <f>IF(LOG_ST!I136="","",VLOOKUP(LOG_ST!I136,DATA_COP,2,FALSE))</f>
        <v/>
      </c>
      <c r="F137" s="573" t="str">
        <f>IF(LOG_ST!J136="","",LOG_ST!J136)</f>
        <v/>
      </c>
      <c r="G137" s="570" t="str">
        <f>IF(LOG_ST!K136="","",VLOOKUP(LOG_ST!K136,DATA_SCIES,2,FALSE))</f>
        <v/>
      </c>
      <c r="H137" s="570" t="str">
        <f>IF(LOG_ST!L136="","",VLOOKUP(LOG_ST!L136,DATA_ST!$U$7:$V$64,2,FALSE))</f>
        <v/>
      </c>
      <c r="I137" s="570" t="str">
        <f>IF(LOG_ST!M136="","",LOG_ST!M136)</f>
        <v/>
      </c>
      <c r="J137" s="570" t="str">
        <f>IF(LOG_ST!N136="","",LOG_ST!N136)</f>
        <v/>
      </c>
      <c r="K137" s="573" t="str">
        <f>IF(LOG_ST!O136="","",LOG_ST!O136)</f>
        <v/>
      </c>
      <c r="L137" s="573" t="str">
        <f>IF(LOG_ST!P136="","",LOG_ST!P136)</f>
        <v/>
      </c>
      <c r="M137" s="574" t="str">
        <f>IF($L137="","",IF(LOG_ST!Q136=1,"OK",IF(LOG_ST!Q136=2,"NR",IF(OR(LOG_ST!Q136=0,LOG_ST!Q136="X"),"N/A"))))</f>
        <v/>
      </c>
      <c r="N137" s="574" t="str">
        <f>IF($L137="","",IF(LOG_ST!R136=1,"OK",IF(LOG_ST!R136=2,"NR",IF(OR(LOG_ST!R136=0,LOG_ST!R136="X"),"N/A"))))</f>
        <v/>
      </c>
      <c r="O137" s="574" t="str">
        <f>IF($L137="","",IF(LOG_ST!S136=1,"OK",IF(LOG_ST!S136=2,"NR",IF(OR(LOG_ST!S136=0,LOG_ST!S136="X"),"N/A"))))</f>
        <v/>
      </c>
      <c r="P137" s="574" t="str">
        <f>IF($L137="","",IF(LOG_ST!T136=1,"OK",IF(LOG_ST!T136=2,"NR",IF(OR(LOG_ST!T136=0,LOG_ST!T136="X"),"N/A"))))</f>
        <v/>
      </c>
      <c r="Q137" s="574" t="str">
        <f>IF($L137="","",IF(LOG_ST!U136=1,"OK",IF(LOG_ST!U136=2,"NR",IF(OR(LOG_ST!U136=0,LOG_ST!U136="X"),"N/A"))))</f>
        <v/>
      </c>
      <c r="R137" s="574" t="str">
        <f>IF($L137="","",IF(LOG_ST!V136=1,"OK",IF(LOG_ST!V136=2,"NR",IF(OR(LOG_ST!V136=0,LOG_ST!V136="X"),"N/A"))))</f>
        <v/>
      </c>
      <c r="S137" s="574" t="str">
        <f>IF($L137="","",IF(LOG_ST!W136=1,"OK",IF(LOG_ST!W136=2,"NR",IF(OR(LOG_ST!W136=0,LOG_ST!W136="X"),"N/A"))))</f>
        <v/>
      </c>
      <c r="T137" s="574" t="str">
        <f>IF($L137="","",IF(LOG_ST!X136=1,"OK",IF(LOG_ST!X136=2,"NR",IF(OR(LOG_ST!X136=0,LOG_ST!X136="X"),"N/A"))))</f>
        <v/>
      </c>
      <c r="U137" s="574" t="str">
        <f>IF($L137="","",IF(LOG_ST!Y136=1,"OK",IF(LOG_ST!Y136=2,"NR",IF(OR(LOG_ST!Y136=0,LOG_ST!Y136="X"),"N/A"))))</f>
        <v/>
      </c>
      <c r="V137" s="574" t="str">
        <f>IF($L137="","",IF(LOG_ST!Z136=1,"OK",IF(LOG_ST!Z136=2,"NR",IF(OR(LOG_ST!Z136=0,LOG_ST!Z136="X"),"N/A"))))</f>
        <v/>
      </c>
      <c r="W137" s="574" t="str">
        <f>IF($L137="","",IF(LOG_ST!AA136=1,"OK",IF(LOG_ST!AA136=2,"NR",IF(OR(LOG_ST!AA136=0,LOG_ST!AA136="X"),"N/A"))))</f>
        <v/>
      </c>
      <c r="X137" s="574" t="str">
        <f>IF($L137="","",IF(LOG_ST!AB136=1,"OK",IF(LOG_ST!AB136=2,"NR",IF(OR(LOG_ST!AB136=0,LOG_ST!AB136="X"),"N/A"))))</f>
        <v/>
      </c>
      <c r="Y137" s="574" t="str">
        <f>IF($L137="","",IF(LOG_ST!AC136=1,"OK",IF(LOG_ST!AC136=2,"NR",IF(OR(LOG_ST!AC136=0,LOG_ST!AC136="X"),"N/A"))))</f>
        <v/>
      </c>
      <c r="Z137" s="574" t="str">
        <f>IF($L137="","",IF(OR(LOG_ST!AD136=0,LOG_ST!AD136="X"),"N/A",LOG_ST!AD136))</f>
        <v/>
      </c>
      <c r="AA137" s="574" t="str">
        <f>IF($L137="","",IF(LOG_ST!AE136=1,"OK",IF(LOG_ST!AE136=2,"NR",IF(OR(LOG_ST!AE136=0,LOG_ST!AE136="X"),"N/A"))))</f>
        <v/>
      </c>
      <c r="AB137" s="574" t="str">
        <f>IF($L137="","",IF(LOG_ST!AF136=1,"OK",IF(LOG_ST!AF136=2,"NR",IF(OR(LOG_ST!AF136=0,LOG_ST!AF136="X"),"N/A"))))</f>
        <v/>
      </c>
      <c r="AC137" s="574" t="str">
        <f>IF($L137="","",IF(LOG_ST!AG136=1,"OK",IF(LOG_ST!AG136=2,"NR",IF(OR(LOG_ST!AG136=0,LOG_ST!AG136="X"),"N/A"))))</f>
        <v/>
      </c>
      <c r="AD137" s="574" t="str">
        <f>IF($L137="","",IF(OR(LOG_ST!AH136=0,LOG_ST!AH136="X"),"N/A",LOG_ST!AH136))</f>
        <v/>
      </c>
      <c r="AE137" s="574" t="str">
        <f>IF($L137="","",IF(LOG_ST!AI136=1,"OK",IF(LOG_ST!AI136=2,"NR",IF(OR(LOG_ST!AI136=0,LOG_ST!AI136="X"),"N/A"))))</f>
        <v/>
      </c>
      <c r="AF137" s="574" t="str">
        <f>IF($L137="","",IF(LOG_ST!AJ136=1,"OK",IF(LOG_ST!AJ136=2,"NR",IF(OR(LOG_ST!AJ136=0,LOG_ST!AJ136="X"),"N/A"))))</f>
        <v/>
      </c>
      <c r="AG137" s="574" t="str">
        <f>IF($L137="","",IF(LOG_ST!AK136=1,"OK",IF(LOG_ST!AK136=2,"NR",IF(OR(LOG_ST!AK136=0,LOG_ST!AK136="X"),"N/A"))))</f>
        <v/>
      </c>
      <c r="AH137" s="574" t="str">
        <f>IF($L137="","",IF(LOG_ST!AL136=1,"OK",IF(LOG_ST!AL136=2,"NR",IF(OR(LOG_ST!AL136=0,LOG_ST!AL136="X"),"N/A"))))</f>
        <v/>
      </c>
      <c r="AI137" s="574" t="str">
        <f>IF($L137="","",IF(LOG_ST!AM136=1,"OK",IF(LOG_ST!AM136=2,"NR",IF(OR(LOG_ST!AM136=0,LOG_ST!AM136="X"),"N/A"))))</f>
        <v/>
      </c>
      <c r="AJ137" s="574" t="str">
        <f>IF($L137="","",IF(LOG_ST!AN136=1,"OK",IF(LOG_ST!AN136=2,"NR",IF(OR(LOG_ST!AN136=0,LOG_ST!AN136="X"),"N/A"))))</f>
        <v/>
      </c>
      <c r="AK137" s="574" t="str">
        <f>IF($L137="","",IF(LOG_ST!AO136=1,"OK",IF(LOG_ST!AO136=2,"NR",IF(OR(LOG_ST!AO136=0,LOG_ST!AO136="X"),"N/A"))))</f>
        <v/>
      </c>
      <c r="AL137" s="574" t="str">
        <f>IF($L137="","",IF(LOG_ST!AP136=1,"OK",IF(LOG_ST!AP136=2,"NR",IF(OR(LOG_ST!AP136=0,LOG_ST!AP136="X"),"N/A"))))</f>
        <v/>
      </c>
      <c r="AM137" s="574" t="str">
        <f>IF($L137="","",IF(LOG_ST!AQ136=1,"OK",IF(LOG_ST!AQ136=2,"NR",IF(OR(LOG_ST!AQ136=0,LOG_ST!AQ136="X"),"N/A"))))</f>
        <v/>
      </c>
      <c r="AN137" s="550" t="str">
        <f t="shared" si="2"/>
        <v/>
      </c>
    </row>
    <row r="138" spans="2:40" x14ac:dyDescent="0.25">
      <c r="B138" s="551" t="str">
        <f>IF(LOG_ST!F137="","",VLOOKUP(LOG_ST!F137,DATA_BASE!$A$46:$C$57,2,FALSE))</f>
        <v/>
      </c>
      <c r="C138" s="570" t="str">
        <f>IF(LOG_ST!G137="","",VLOOKUP(LOG_ST!G137,DATA_HDG,2,FALSE))</f>
        <v/>
      </c>
      <c r="D138" s="571" t="str">
        <f>IF(LOG_ST!H137="","",LOG_ST!H137)</f>
        <v/>
      </c>
      <c r="E138" s="570" t="str">
        <f>IF(LOG_ST!I137="","",VLOOKUP(LOG_ST!I137,DATA_COP,2,FALSE))</f>
        <v/>
      </c>
      <c r="F138" s="573" t="str">
        <f>IF(LOG_ST!J137="","",LOG_ST!J137)</f>
        <v/>
      </c>
      <c r="G138" s="570" t="str">
        <f>IF(LOG_ST!K137="","",VLOOKUP(LOG_ST!K137,DATA_SCIES,2,FALSE))</f>
        <v/>
      </c>
      <c r="H138" s="570" t="str">
        <f>IF(LOG_ST!L137="","",VLOOKUP(LOG_ST!L137,DATA_ST!$U$7:$V$64,2,FALSE))</f>
        <v/>
      </c>
      <c r="I138" s="570" t="str">
        <f>IF(LOG_ST!M137="","",LOG_ST!M137)</f>
        <v/>
      </c>
      <c r="J138" s="570" t="str">
        <f>IF(LOG_ST!N137="","",LOG_ST!N137)</f>
        <v/>
      </c>
      <c r="K138" s="573" t="str">
        <f>IF(LOG_ST!O137="","",LOG_ST!O137)</f>
        <v/>
      </c>
      <c r="L138" s="573" t="str">
        <f>IF(LOG_ST!P137="","",LOG_ST!P137)</f>
        <v/>
      </c>
      <c r="M138" s="574" t="str">
        <f>IF($L138="","",IF(LOG_ST!Q137=1,"OK",IF(LOG_ST!Q137=2,"NR",IF(OR(LOG_ST!Q137=0,LOG_ST!Q137="X"),"N/A"))))</f>
        <v/>
      </c>
      <c r="N138" s="574" t="str">
        <f>IF($L138="","",IF(LOG_ST!R137=1,"OK",IF(LOG_ST!R137=2,"NR",IF(OR(LOG_ST!R137=0,LOG_ST!R137="X"),"N/A"))))</f>
        <v/>
      </c>
      <c r="O138" s="574" t="str">
        <f>IF($L138="","",IF(LOG_ST!S137=1,"OK",IF(LOG_ST!S137=2,"NR",IF(OR(LOG_ST!S137=0,LOG_ST!S137="X"),"N/A"))))</f>
        <v/>
      </c>
      <c r="P138" s="574" t="str">
        <f>IF($L138="","",IF(LOG_ST!T137=1,"OK",IF(LOG_ST!T137=2,"NR",IF(OR(LOG_ST!T137=0,LOG_ST!T137="X"),"N/A"))))</f>
        <v/>
      </c>
      <c r="Q138" s="574" t="str">
        <f>IF($L138="","",IF(LOG_ST!U137=1,"OK",IF(LOG_ST!U137=2,"NR",IF(OR(LOG_ST!U137=0,LOG_ST!U137="X"),"N/A"))))</f>
        <v/>
      </c>
      <c r="R138" s="574" t="str">
        <f>IF($L138="","",IF(LOG_ST!V137=1,"OK",IF(LOG_ST!V137=2,"NR",IF(OR(LOG_ST!V137=0,LOG_ST!V137="X"),"N/A"))))</f>
        <v/>
      </c>
      <c r="S138" s="574" t="str">
        <f>IF($L138="","",IF(LOG_ST!W137=1,"OK",IF(LOG_ST!W137=2,"NR",IF(OR(LOG_ST!W137=0,LOG_ST!W137="X"),"N/A"))))</f>
        <v/>
      </c>
      <c r="T138" s="574" t="str">
        <f>IF($L138="","",IF(LOG_ST!X137=1,"OK",IF(LOG_ST!X137=2,"NR",IF(OR(LOG_ST!X137=0,LOG_ST!X137="X"),"N/A"))))</f>
        <v/>
      </c>
      <c r="U138" s="574" t="str">
        <f>IF($L138="","",IF(LOG_ST!Y137=1,"OK",IF(LOG_ST!Y137=2,"NR",IF(OR(LOG_ST!Y137=0,LOG_ST!Y137="X"),"N/A"))))</f>
        <v/>
      </c>
      <c r="V138" s="574" t="str">
        <f>IF($L138="","",IF(LOG_ST!Z137=1,"OK",IF(LOG_ST!Z137=2,"NR",IF(OR(LOG_ST!Z137=0,LOG_ST!Z137="X"),"N/A"))))</f>
        <v/>
      </c>
      <c r="W138" s="574" t="str">
        <f>IF($L138="","",IF(LOG_ST!AA137=1,"OK",IF(LOG_ST!AA137=2,"NR",IF(OR(LOG_ST!AA137=0,LOG_ST!AA137="X"),"N/A"))))</f>
        <v/>
      </c>
      <c r="X138" s="574" t="str">
        <f>IF($L138="","",IF(LOG_ST!AB137=1,"OK",IF(LOG_ST!AB137=2,"NR",IF(OR(LOG_ST!AB137=0,LOG_ST!AB137="X"),"N/A"))))</f>
        <v/>
      </c>
      <c r="Y138" s="574" t="str">
        <f>IF($L138="","",IF(LOG_ST!AC137=1,"OK",IF(LOG_ST!AC137=2,"NR",IF(OR(LOG_ST!AC137=0,LOG_ST!AC137="X"),"N/A"))))</f>
        <v/>
      </c>
      <c r="Z138" s="574" t="str">
        <f>IF($L138="","",IF(OR(LOG_ST!AD137=0,LOG_ST!AD137="X"),"N/A",LOG_ST!AD137))</f>
        <v/>
      </c>
      <c r="AA138" s="574" t="str">
        <f>IF($L138="","",IF(LOG_ST!AE137=1,"OK",IF(LOG_ST!AE137=2,"NR",IF(OR(LOG_ST!AE137=0,LOG_ST!AE137="X"),"N/A"))))</f>
        <v/>
      </c>
      <c r="AB138" s="574" t="str">
        <f>IF($L138="","",IF(LOG_ST!AF137=1,"OK",IF(LOG_ST!AF137=2,"NR",IF(OR(LOG_ST!AF137=0,LOG_ST!AF137="X"),"N/A"))))</f>
        <v/>
      </c>
      <c r="AC138" s="574" t="str">
        <f>IF($L138="","",IF(LOG_ST!AG137=1,"OK",IF(LOG_ST!AG137=2,"NR",IF(OR(LOG_ST!AG137=0,LOG_ST!AG137="X"),"N/A"))))</f>
        <v/>
      </c>
      <c r="AD138" s="574" t="str">
        <f>IF($L138="","",IF(OR(LOG_ST!AH137=0,LOG_ST!AH137="X"),"N/A",LOG_ST!AH137))</f>
        <v/>
      </c>
      <c r="AE138" s="574" t="str">
        <f>IF($L138="","",IF(LOG_ST!AI137=1,"OK",IF(LOG_ST!AI137=2,"NR",IF(OR(LOG_ST!AI137=0,LOG_ST!AI137="X"),"N/A"))))</f>
        <v/>
      </c>
      <c r="AF138" s="574" t="str">
        <f>IF($L138="","",IF(LOG_ST!AJ137=1,"OK",IF(LOG_ST!AJ137=2,"NR",IF(OR(LOG_ST!AJ137=0,LOG_ST!AJ137="X"),"N/A"))))</f>
        <v/>
      </c>
      <c r="AG138" s="574" t="str">
        <f>IF($L138="","",IF(LOG_ST!AK137=1,"OK",IF(LOG_ST!AK137=2,"NR",IF(OR(LOG_ST!AK137=0,LOG_ST!AK137="X"),"N/A"))))</f>
        <v/>
      </c>
      <c r="AH138" s="574" t="str">
        <f>IF($L138="","",IF(LOG_ST!AL137=1,"OK",IF(LOG_ST!AL137=2,"NR",IF(OR(LOG_ST!AL137=0,LOG_ST!AL137="X"),"N/A"))))</f>
        <v/>
      </c>
      <c r="AI138" s="574" t="str">
        <f>IF($L138="","",IF(LOG_ST!AM137=1,"OK",IF(LOG_ST!AM137=2,"NR",IF(OR(LOG_ST!AM137=0,LOG_ST!AM137="X"),"N/A"))))</f>
        <v/>
      </c>
      <c r="AJ138" s="574" t="str">
        <f>IF($L138="","",IF(LOG_ST!AN137=1,"OK",IF(LOG_ST!AN137=2,"NR",IF(OR(LOG_ST!AN137=0,LOG_ST!AN137="X"),"N/A"))))</f>
        <v/>
      </c>
      <c r="AK138" s="574" t="str">
        <f>IF($L138="","",IF(LOG_ST!AO137=1,"OK",IF(LOG_ST!AO137=2,"NR",IF(OR(LOG_ST!AO137=0,LOG_ST!AO137="X"),"N/A"))))</f>
        <v/>
      </c>
      <c r="AL138" s="574" t="str">
        <f>IF($L138="","",IF(LOG_ST!AP137=1,"OK",IF(LOG_ST!AP137=2,"NR",IF(OR(LOG_ST!AP137=0,LOG_ST!AP137="X"),"N/A"))))</f>
        <v/>
      </c>
      <c r="AM138" s="574" t="str">
        <f>IF($L138="","",IF(LOG_ST!AQ137=1,"OK",IF(LOG_ST!AQ137=2,"NR",IF(OR(LOG_ST!AQ137=0,LOG_ST!AQ137="X"),"N/A"))))</f>
        <v/>
      </c>
      <c r="AN138" s="550" t="str">
        <f t="shared" si="2"/>
        <v/>
      </c>
    </row>
    <row r="139" spans="2:40" x14ac:dyDescent="0.25">
      <c r="B139" s="551" t="str">
        <f>IF(LOG_ST!F138="","",VLOOKUP(LOG_ST!F138,DATA_BASE!$A$46:$C$57,2,FALSE))</f>
        <v/>
      </c>
      <c r="C139" s="570" t="str">
        <f>IF(LOG_ST!G138="","",VLOOKUP(LOG_ST!G138,DATA_HDG,2,FALSE))</f>
        <v/>
      </c>
      <c r="D139" s="571" t="str">
        <f>IF(LOG_ST!H138="","",LOG_ST!H138)</f>
        <v/>
      </c>
      <c r="E139" s="570" t="str">
        <f>IF(LOG_ST!I138="","",VLOOKUP(LOG_ST!I138,DATA_COP,2,FALSE))</f>
        <v/>
      </c>
      <c r="F139" s="573" t="str">
        <f>IF(LOG_ST!J138="","",LOG_ST!J138)</f>
        <v/>
      </c>
      <c r="G139" s="570" t="str">
        <f>IF(LOG_ST!K138="","",VLOOKUP(LOG_ST!K138,DATA_SCIES,2,FALSE))</f>
        <v/>
      </c>
      <c r="H139" s="570" t="str">
        <f>IF(LOG_ST!L138="","",VLOOKUP(LOG_ST!L138,DATA_ST!$U$7:$V$64,2,FALSE))</f>
        <v/>
      </c>
      <c r="I139" s="570" t="str">
        <f>IF(LOG_ST!M138="","",LOG_ST!M138)</f>
        <v/>
      </c>
      <c r="J139" s="570" t="str">
        <f>IF(LOG_ST!N138="","",LOG_ST!N138)</f>
        <v/>
      </c>
      <c r="K139" s="573" t="str">
        <f>IF(LOG_ST!O138="","",LOG_ST!O138)</f>
        <v/>
      </c>
      <c r="L139" s="573" t="str">
        <f>IF(LOG_ST!P138="","",LOG_ST!P138)</f>
        <v/>
      </c>
      <c r="M139" s="574" t="str">
        <f>IF($L139="","",IF(LOG_ST!Q138=1,"OK",IF(LOG_ST!Q138=2,"NR",IF(OR(LOG_ST!Q138=0,LOG_ST!Q138="X"),"N/A"))))</f>
        <v/>
      </c>
      <c r="N139" s="574" t="str">
        <f>IF($L139="","",IF(LOG_ST!R138=1,"OK",IF(LOG_ST!R138=2,"NR",IF(OR(LOG_ST!R138=0,LOG_ST!R138="X"),"N/A"))))</f>
        <v/>
      </c>
      <c r="O139" s="574" t="str">
        <f>IF($L139="","",IF(LOG_ST!S138=1,"OK",IF(LOG_ST!S138=2,"NR",IF(OR(LOG_ST!S138=0,LOG_ST!S138="X"),"N/A"))))</f>
        <v/>
      </c>
      <c r="P139" s="574" t="str">
        <f>IF($L139="","",IF(LOG_ST!T138=1,"OK",IF(LOG_ST!T138=2,"NR",IF(OR(LOG_ST!T138=0,LOG_ST!T138="X"),"N/A"))))</f>
        <v/>
      </c>
      <c r="Q139" s="574" t="str">
        <f>IF($L139="","",IF(LOG_ST!U138=1,"OK",IF(LOG_ST!U138=2,"NR",IF(OR(LOG_ST!U138=0,LOG_ST!U138="X"),"N/A"))))</f>
        <v/>
      </c>
      <c r="R139" s="574" t="str">
        <f>IF($L139="","",IF(LOG_ST!V138=1,"OK",IF(LOG_ST!V138=2,"NR",IF(OR(LOG_ST!V138=0,LOG_ST!V138="X"),"N/A"))))</f>
        <v/>
      </c>
      <c r="S139" s="574" t="str">
        <f>IF($L139="","",IF(LOG_ST!W138=1,"OK",IF(LOG_ST!W138=2,"NR",IF(OR(LOG_ST!W138=0,LOG_ST!W138="X"),"N/A"))))</f>
        <v/>
      </c>
      <c r="T139" s="574" t="str">
        <f>IF($L139="","",IF(LOG_ST!X138=1,"OK",IF(LOG_ST!X138=2,"NR",IF(OR(LOG_ST!X138=0,LOG_ST!X138="X"),"N/A"))))</f>
        <v/>
      </c>
      <c r="U139" s="574" t="str">
        <f>IF($L139="","",IF(LOG_ST!Y138=1,"OK",IF(LOG_ST!Y138=2,"NR",IF(OR(LOG_ST!Y138=0,LOG_ST!Y138="X"),"N/A"))))</f>
        <v/>
      </c>
      <c r="V139" s="574" t="str">
        <f>IF($L139="","",IF(LOG_ST!Z138=1,"OK",IF(LOG_ST!Z138=2,"NR",IF(OR(LOG_ST!Z138=0,LOG_ST!Z138="X"),"N/A"))))</f>
        <v/>
      </c>
      <c r="W139" s="574" t="str">
        <f>IF($L139="","",IF(LOG_ST!AA138=1,"OK",IF(LOG_ST!AA138=2,"NR",IF(OR(LOG_ST!AA138=0,LOG_ST!AA138="X"),"N/A"))))</f>
        <v/>
      </c>
      <c r="X139" s="574" t="str">
        <f>IF($L139="","",IF(LOG_ST!AB138=1,"OK",IF(LOG_ST!AB138=2,"NR",IF(OR(LOG_ST!AB138=0,LOG_ST!AB138="X"),"N/A"))))</f>
        <v/>
      </c>
      <c r="Y139" s="574" t="str">
        <f>IF($L139="","",IF(LOG_ST!AC138=1,"OK",IF(LOG_ST!AC138=2,"NR",IF(OR(LOG_ST!AC138=0,LOG_ST!AC138="X"),"N/A"))))</f>
        <v/>
      </c>
      <c r="Z139" s="574" t="str">
        <f>IF($L139="","",IF(OR(LOG_ST!AD138=0,LOG_ST!AD138="X"),"N/A",LOG_ST!AD138))</f>
        <v/>
      </c>
      <c r="AA139" s="574" t="str">
        <f>IF($L139="","",IF(LOG_ST!AE138=1,"OK",IF(LOG_ST!AE138=2,"NR",IF(OR(LOG_ST!AE138=0,LOG_ST!AE138="X"),"N/A"))))</f>
        <v/>
      </c>
      <c r="AB139" s="574" t="str">
        <f>IF($L139="","",IF(LOG_ST!AF138=1,"OK",IF(LOG_ST!AF138=2,"NR",IF(OR(LOG_ST!AF138=0,LOG_ST!AF138="X"),"N/A"))))</f>
        <v/>
      </c>
      <c r="AC139" s="574" t="str">
        <f>IF($L139="","",IF(LOG_ST!AG138=1,"OK",IF(LOG_ST!AG138=2,"NR",IF(OR(LOG_ST!AG138=0,LOG_ST!AG138="X"),"N/A"))))</f>
        <v/>
      </c>
      <c r="AD139" s="574" t="str">
        <f>IF($L139="","",IF(OR(LOG_ST!AH138=0,LOG_ST!AH138="X"),"N/A",LOG_ST!AH138))</f>
        <v/>
      </c>
      <c r="AE139" s="574" t="str">
        <f>IF($L139="","",IF(LOG_ST!AI138=1,"OK",IF(LOG_ST!AI138=2,"NR",IF(OR(LOG_ST!AI138=0,LOG_ST!AI138="X"),"N/A"))))</f>
        <v/>
      </c>
      <c r="AF139" s="574" t="str">
        <f>IF($L139="","",IF(LOG_ST!AJ138=1,"OK",IF(LOG_ST!AJ138=2,"NR",IF(OR(LOG_ST!AJ138=0,LOG_ST!AJ138="X"),"N/A"))))</f>
        <v/>
      </c>
      <c r="AG139" s="574" t="str">
        <f>IF($L139="","",IF(LOG_ST!AK138=1,"OK",IF(LOG_ST!AK138=2,"NR",IF(OR(LOG_ST!AK138=0,LOG_ST!AK138="X"),"N/A"))))</f>
        <v/>
      </c>
      <c r="AH139" s="574" t="str">
        <f>IF($L139="","",IF(LOG_ST!AL138=1,"OK",IF(LOG_ST!AL138=2,"NR",IF(OR(LOG_ST!AL138=0,LOG_ST!AL138="X"),"N/A"))))</f>
        <v/>
      </c>
      <c r="AI139" s="574" t="str">
        <f>IF($L139="","",IF(LOG_ST!AM138=1,"OK",IF(LOG_ST!AM138=2,"NR",IF(OR(LOG_ST!AM138=0,LOG_ST!AM138="X"),"N/A"))))</f>
        <v/>
      </c>
      <c r="AJ139" s="574" t="str">
        <f>IF($L139="","",IF(LOG_ST!AN138=1,"OK",IF(LOG_ST!AN138=2,"NR",IF(OR(LOG_ST!AN138=0,LOG_ST!AN138="X"),"N/A"))))</f>
        <v/>
      </c>
      <c r="AK139" s="574" t="str">
        <f>IF($L139="","",IF(LOG_ST!AO138=1,"OK",IF(LOG_ST!AO138=2,"NR",IF(OR(LOG_ST!AO138=0,LOG_ST!AO138="X"),"N/A"))))</f>
        <v/>
      </c>
      <c r="AL139" s="574" t="str">
        <f>IF($L139="","",IF(LOG_ST!AP138=1,"OK",IF(LOG_ST!AP138=2,"NR",IF(OR(LOG_ST!AP138=0,LOG_ST!AP138="X"),"N/A"))))</f>
        <v/>
      </c>
      <c r="AM139" s="574" t="str">
        <f>IF($L139="","",IF(LOG_ST!AQ138=1,"OK",IF(LOG_ST!AQ138=2,"NR",IF(OR(LOG_ST!AQ138=0,LOG_ST!AQ138="X"),"N/A"))))</f>
        <v/>
      </c>
      <c r="AN139" s="550" t="str">
        <f t="shared" si="2"/>
        <v/>
      </c>
    </row>
    <row r="140" spans="2:40" x14ac:dyDescent="0.25">
      <c r="B140" s="551" t="str">
        <f>IF(LOG_ST!F139="","",VLOOKUP(LOG_ST!F139,DATA_BASE!$A$46:$C$57,2,FALSE))</f>
        <v/>
      </c>
      <c r="C140" s="570" t="str">
        <f>IF(LOG_ST!G139="","",VLOOKUP(LOG_ST!G139,DATA_HDG,2,FALSE))</f>
        <v/>
      </c>
      <c r="D140" s="571" t="str">
        <f>IF(LOG_ST!H139="","",LOG_ST!H139)</f>
        <v/>
      </c>
      <c r="E140" s="570" t="str">
        <f>IF(LOG_ST!I139="","",VLOOKUP(LOG_ST!I139,DATA_COP,2,FALSE))</f>
        <v/>
      </c>
      <c r="F140" s="573" t="str">
        <f>IF(LOG_ST!J139="","",LOG_ST!J139)</f>
        <v/>
      </c>
      <c r="G140" s="570" t="str">
        <f>IF(LOG_ST!K139="","",VLOOKUP(LOG_ST!K139,DATA_SCIES,2,FALSE))</f>
        <v/>
      </c>
      <c r="H140" s="570" t="str">
        <f>IF(LOG_ST!L139="","",VLOOKUP(LOG_ST!L139,DATA_ST!$U$7:$V$64,2,FALSE))</f>
        <v/>
      </c>
      <c r="I140" s="570" t="str">
        <f>IF(LOG_ST!M139="","",LOG_ST!M139)</f>
        <v/>
      </c>
      <c r="J140" s="570" t="str">
        <f>IF(LOG_ST!N139="","",LOG_ST!N139)</f>
        <v/>
      </c>
      <c r="K140" s="573" t="str">
        <f>IF(LOG_ST!O139="","",LOG_ST!O139)</f>
        <v/>
      </c>
      <c r="L140" s="573" t="str">
        <f>IF(LOG_ST!P139="","",LOG_ST!P139)</f>
        <v/>
      </c>
      <c r="M140" s="574" t="str">
        <f>IF($L140="","",IF(LOG_ST!Q139=1,"OK",IF(LOG_ST!Q139=2,"NR",IF(OR(LOG_ST!Q139=0,LOG_ST!Q139="X"),"N/A"))))</f>
        <v/>
      </c>
      <c r="N140" s="574" t="str">
        <f>IF($L140="","",IF(LOG_ST!R139=1,"OK",IF(LOG_ST!R139=2,"NR",IF(OR(LOG_ST!R139=0,LOG_ST!R139="X"),"N/A"))))</f>
        <v/>
      </c>
      <c r="O140" s="574" t="str">
        <f>IF($L140="","",IF(LOG_ST!S139=1,"OK",IF(LOG_ST!S139=2,"NR",IF(OR(LOG_ST!S139=0,LOG_ST!S139="X"),"N/A"))))</f>
        <v/>
      </c>
      <c r="P140" s="574" t="str">
        <f>IF($L140="","",IF(LOG_ST!T139=1,"OK",IF(LOG_ST!T139=2,"NR",IF(OR(LOG_ST!T139=0,LOG_ST!T139="X"),"N/A"))))</f>
        <v/>
      </c>
      <c r="Q140" s="574" t="str">
        <f>IF($L140="","",IF(LOG_ST!U139=1,"OK",IF(LOG_ST!U139=2,"NR",IF(OR(LOG_ST!U139=0,LOG_ST!U139="X"),"N/A"))))</f>
        <v/>
      </c>
      <c r="R140" s="574" t="str">
        <f>IF($L140="","",IF(LOG_ST!V139=1,"OK",IF(LOG_ST!V139=2,"NR",IF(OR(LOG_ST!V139=0,LOG_ST!V139="X"),"N/A"))))</f>
        <v/>
      </c>
      <c r="S140" s="574" t="str">
        <f>IF($L140="","",IF(LOG_ST!W139=1,"OK",IF(LOG_ST!W139=2,"NR",IF(OR(LOG_ST!W139=0,LOG_ST!W139="X"),"N/A"))))</f>
        <v/>
      </c>
      <c r="T140" s="574" t="str">
        <f>IF($L140="","",IF(LOG_ST!X139=1,"OK",IF(LOG_ST!X139=2,"NR",IF(OR(LOG_ST!X139=0,LOG_ST!X139="X"),"N/A"))))</f>
        <v/>
      </c>
      <c r="U140" s="574" t="str">
        <f>IF($L140="","",IF(LOG_ST!Y139=1,"OK",IF(LOG_ST!Y139=2,"NR",IF(OR(LOG_ST!Y139=0,LOG_ST!Y139="X"),"N/A"))))</f>
        <v/>
      </c>
      <c r="V140" s="574" t="str">
        <f>IF($L140="","",IF(LOG_ST!Z139=1,"OK",IF(LOG_ST!Z139=2,"NR",IF(OR(LOG_ST!Z139=0,LOG_ST!Z139="X"),"N/A"))))</f>
        <v/>
      </c>
      <c r="W140" s="574" t="str">
        <f>IF($L140="","",IF(LOG_ST!AA139=1,"OK",IF(LOG_ST!AA139=2,"NR",IF(OR(LOG_ST!AA139=0,LOG_ST!AA139="X"),"N/A"))))</f>
        <v/>
      </c>
      <c r="X140" s="574" t="str">
        <f>IF($L140="","",IF(LOG_ST!AB139=1,"OK",IF(LOG_ST!AB139=2,"NR",IF(OR(LOG_ST!AB139=0,LOG_ST!AB139="X"),"N/A"))))</f>
        <v/>
      </c>
      <c r="Y140" s="574" t="str">
        <f>IF($L140="","",IF(LOG_ST!AC139=1,"OK",IF(LOG_ST!AC139=2,"NR",IF(OR(LOG_ST!AC139=0,LOG_ST!AC139="X"),"N/A"))))</f>
        <v/>
      </c>
      <c r="Z140" s="574" t="str">
        <f>IF($L140="","",IF(OR(LOG_ST!AD139=0,LOG_ST!AD139="X"),"N/A",LOG_ST!AD139))</f>
        <v/>
      </c>
      <c r="AA140" s="574" t="str">
        <f>IF($L140="","",IF(LOG_ST!AE139=1,"OK",IF(LOG_ST!AE139=2,"NR",IF(OR(LOG_ST!AE139=0,LOG_ST!AE139="X"),"N/A"))))</f>
        <v/>
      </c>
      <c r="AB140" s="574" t="str">
        <f>IF($L140="","",IF(LOG_ST!AF139=1,"OK",IF(LOG_ST!AF139=2,"NR",IF(OR(LOG_ST!AF139=0,LOG_ST!AF139="X"),"N/A"))))</f>
        <v/>
      </c>
      <c r="AC140" s="574" t="str">
        <f>IF($L140="","",IF(LOG_ST!AG139=1,"OK",IF(LOG_ST!AG139=2,"NR",IF(OR(LOG_ST!AG139=0,LOG_ST!AG139="X"),"N/A"))))</f>
        <v/>
      </c>
      <c r="AD140" s="574" t="str">
        <f>IF($L140="","",IF(OR(LOG_ST!AH139=0,LOG_ST!AH139="X"),"N/A",LOG_ST!AH139))</f>
        <v/>
      </c>
      <c r="AE140" s="574" t="str">
        <f>IF($L140="","",IF(LOG_ST!AI139=1,"OK",IF(LOG_ST!AI139=2,"NR",IF(OR(LOG_ST!AI139=0,LOG_ST!AI139="X"),"N/A"))))</f>
        <v/>
      </c>
      <c r="AF140" s="574" t="str">
        <f>IF($L140="","",IF(LOG_ST!AJ139=1,"OK",IF(LOG_ST!AJ139=2,"NR",IF(OR(LOG_ST!AJ139=0,LOG_ST!AJ139="X"),"N/A"))))</f>
        <v/>
      </c>
      <c r="AG140" s="574" t="str">
        <f>IF($L140="","",IF(LOG_ST!AK139=1,"OK",IF(LOG_ST!AK139=2,"NR",IF(OR(LOG_ST!AK139=0,LOG_ST!AK139="X"),"N/A"))))</f>
        <v/>
      </c>
      <c r="AH140" s="574" t="str">
        <f>IF($L140="","",IF(LOG_ST!AL139=1,"OK",IF(LOG_ST!AL139=2,"NR",IF(OR(LOG_ST!AL139=0,LOG_ST!AL139="X"),"N/A"))))</f>
        <v/>
      </c>
      <c r="AI140" s="574" t="str">
        <f>IF($L140="","",IF(LOG_ST!AM139=1,"OK",IF(LOG_ST!AM139=2,"NR",IF(OR(LOG_ST!AM139=0,LOG_ST!AM139="X"),"N/A"))))</f>
        <v/>
      </c>
      <c r="AJ140" s="574" t="str">
        <f>IF($L140="","",IF(LOG_ST!AN139=1,"OK",IF(LOG_ST!AN139=2,"NR",IF(OR(LOG_ST!AN139=0,LOG_ST!AN139="X"),"N/A"))))</f>
        <v/>
      </c>
      <c r="AK140" s="574" t="str">
        <f>IF($L140="","",IF(LOG_ST!AO139=1,"OK",IF(LOG_ST!AO139=2,"NR",IF(OR(LOG_ST!AO139=0,LOG_ST!AO139="X"),"N/A"))))</f>
        <v/>
      </c>
      <c r="AL140" s="574" t="str">
        <f>IF($L140="","",IF(LOG_ST!AP139=1,"OK",IF(LOG_ST!AP139=2,"NR",IF(OR(LOG_ST!AP139=0,LOG_ST!AP139="X"),"N/A"))))</f>
        <v/>
      </c>
      <c r="AM140" s="574" t="str">
        <f>IF($L140="","",IF(LOG_ST!AQ139=1,"OK",IF(LOG_ST!AQ139=2,"NR",IF(OR(LOG_ST!AQ139=0,LOG_ST!AQ139="X"),"N/A"))))</f>
        <v/>
      </c>
      <c r="AN140" s="550" t="str">
        <f t="shared" si="2"/>
        <v/>
      </c>
    </row>
    <row r="141" spans="2:40" x14ac:dyDescent="0.25">
      <c r="B141" s="551" t="str">
        <f>IF(LOG_ST!F140="","",VLOOKUP(LOG_ST!F140,DATA_BASE!$A$46:$C$57,2,FALSE))</f>
        <v/>
      </c>
      <c r="C141" s="570" t="str">
        <f>IF(LOG_ST!G140="","",VLOOKUP(LOG_ST!G140,DATA_HDG,2,FALSE))</f>
        <v/>
      </c>
      <c r="D141" s="571" t="str">
        <f>IF(LOG_ST!H140="","",LOG_ST!H140)</f>
        <v/>
      </c>
      <c r="E141" s="570" t="str">
        <f>IF(LOG_ST!I140="","",VLOOKUP(LOG_ST!I140,DATA_COP,2,FALSE))</f>
        <v/>
      </c>
      <c r="F141" s="573" t="str">
        <f>IF(LOG_ST!J140="","",LOG_ST!J140)</f>
        <v/>
      </c>
      <c r="G141" s="570" t="str">
        <f>IF(LOG_ST!K140="","",VLOOKUP(LOG_ST!K140,DATA_SCIES,2,FALSE))</f>
        <v/>
      </c>
      <c r="H141" s="570" t="str">
        <f>IF(LOG_ST!L140="","",VLOOKUP(LOG_ST!L140,DATA_ST!$U$7:$V$64,2,FALSE))</f>
        <v/>
      </c>
      <c r="I141" s="570" t="str">
        <f>IF(LOG_ST!M140="","",LOG_ST!M140)</f>
        <v/>
      </c>
      <c r="J141" s="570" t="str">
        <f>IF(LOG_ST!N140="","",LOG_ST!N140)</f>
        <v/>
      </c>
      <c r="K141" s="573" t="str">
        <f>IF(LOG_ST!O140="","",LOG_ST!O140)</f>
        <v/>
      </c>
      <c r="L141" s="573" t="str">
        <f>IF(LOG_ST!P140="","",LOG_ST!P140)</f>
        <v/>
      </c>
      <c r="M141" s="574" t="str">
        <f>IF($L141="","",IF(LOG_ST!Q140=1,"OK",IF(LOG_ST!Q140=2,"NR",IF(OR(LOG_ST!Q140=0,LOG_ST!Q140="X"),"N/A"))))</f>
        <v/>
      </c>
      <c r="N141" s="574" t="str">
        <f>IF($L141="","",IF(LOG_ST!R140=1,"OK",IF(LOG_ST!R140=2,"NR",IF(OR(LOG_ST!R140=0,LOG_ST!R140="X"),"N/A"))))</f>
        <v/>
      </c>
      <c r="O141" s="574" t="str">
        <f>IF($L141="","",IF(LOG_ST!S140=1,"OK",IF(LOG_ST!S140=2,"NR",IF(OR(LOG_ST!S140=0,LOG_ST!S140="X"),"N/A"))))</f>
        <v/>
      </c>
      <c r="P141" s="574" t="str">
        <f>IF($L141="","",IF(LOG_ST!T140=1,"OK",IF(LOG_ST!T140=2,"NR",IF(OR(LOG_ST!T140=0,LOG_ST!T140="X"),"N/A"))))</f>
        <v/>
      </c>
      <c r="Q141" s="574" t="str">
        <f>IF($L141="","",IF(LOG_ST!U140=1,"OK",IF(LOG_ST!U140=2,"NR",IF(OR(LOG_ST!U140=0,LOG_ST!U140="X"),"N/A"))))</f>
        <v/>
      </c>
      <c r="R141" s="574" t="str">
        <f>IF($L141="","",IF(LOG_ST!V140=1,"OK",IF(LOG_ST!V140=2,"NR",IF(OR(LOG_ST!V140=0,LOG_ST!V140="X"),"N/A"))))</f>
        <v/>
      </c>
      <c r="S141" s="574" t="str">
        <f>IF($L141="","",IF(LOG_ST!W140=1,"OK",IF(LOG_ST!W140=2,"NR",IF(OR(LOG_ST!W140=0,LOG_ST!W140="X"),"N/A"))))</f>
        <v/>
      </c>
      <c r="T141" s="574" t="str">
        <f>IF($L141="","",IF(LOG_ST!X140=1,"OK",IF(LOG_ST!X140=2,"NR",IF(OR(LOG_ST!X140=0,LOG_ST!X140="X"),"N/A"))))</f>
        <v/>
      </c>
      <c r="U141" s="574" t="str">
        <f>IF($L141="","",IF(LOG_ST!Y140=1,"OK",IF(LOG_ST!Y140=2,"NR",IF(OR(LOG_ST!Y140=0,LOG_ST!Y140="X"),"N/A"))))</f>
        <v/>
      </c>
      <c r="V141" s="574" t="str">
        <f>IF($L141="","",IF(LOG_ST!Z140=1,"OK",IF(LOG_ST!Z140=2,"NR",IF(OR(LOG_ST!Z140=0,LOG_ST!Z140="X"),"N/A"))))</f>
        <v/>
      </c>
      <c r="W141" s="574" t="str">
        <f>IF($L141="","",IF(LOG_ST!AA140=1,"OK",IF(LOG_ST!AA140=2,"NR",IF(OR(LOG_ST!AA140=0,LOG_ST!AA140="X"),"N/A"))))</f>
        <v/>
      </c>
      <c r="X141" s="574" t="str">
        <f>IF($L141="","",IF(LOG_ST!AB140=1,"OK",IF(LOG_ST!AB140=2,"NR",IF(OR(LOG_ST!AB140=0,LOG_ST!AB140="X"),"N/A"))))</f>
        <v/>
      </c>
      <c r="Y141" s="574" t="str">
        <f>IF($L141="","",IF(LOG_ST!AC140=1,"OK",IF(LOG_ST!AC140=2,"NR",IF(OR(LOG_ST!AC140=0,LOG_ST!AC140="X"),"N/A"))))</f>
        <v/>
      </c>
      <c r="Z141" s="574" t="str">
        <f>IF($L141="","",IF(OR(LOG_ST!AD140=0,LOG_ST!AD140="X"),"N/A",LOG_ST!AD140))</f>
        <v/>
      </c>
      <c r="AA141" s="574" t="str">
        <f>IF($L141="","",IF(LOG_ST!AE140=1,"OK",IF(LOG_ST!AE140=2,"NR",IF(OR(LOG_ST!AE140=0,LOG_ST!AE140="X"),"N/A"))))</f>
        <v/>
      </c>
      <c r="AB141" s="574" t="str">
        <f>IF($L141="","",IF(LOG_ST!AF140=1,"OK",IF(LOG_ST!AF140=2,"NR",IF(OR(LOG_ST!AF140=0,LOG_ST!AF140="X"),"N/A"))))</f>
        <v/>
      </c>
      <c r="AC141" s="574" t="str">
        <f>IF($L141="","",IF(LOG_ST!AG140=1,"OK",IF(LOG_ST!AG140=2,"NR",IF(OR(LOG_ST!AG140=0,LOG_ST!AG140="X"),"N/A"))))</f>
        <v/>
      </c>
      <c r="AD141" s="574" t="str">
        <f>IF($L141="","",IF(OR(LOG_ST!AH140=0,LOG_ST!AH140="X"),"N/A",LOG_ST!AH140))</f>
        <v/>
      </c>
      <c r="AE141" s="574" t="str">
        <f>IF($L141="","",IF(LOG_ST!AI140=1,"OK",IF(LOG_ST!AI140=2,"NR",IF(OR(LOG_ST!AI140=0,LOG_ST!AI140="X"),"N/A"))))</f>
        <v/>
      </c>
      <c r="AF141" s="574" t="str">
        <f>IF($L141="","",IF(LOG_ST!AJ140=1,"OK",IF(LOG_ST!AJ140=2,"NR",IF(OR(LOG_ST!AJ140=0,LOG_ST!AJ140="X"),"N/A"))))</f>
        <v/>
      </c>
      <c r="AG141" s="574" t="str">
        <f>IF($L141="","",IF(LOG_ST!AK140=1,"OK",IF(LOG_ST!AK140=2,"NR",IF(OR(LOG_ST!AK140=0,LOG_ST!AK140="X"),"N/A"))))</f>
        <v/>
      </c>
      <c r="AH141" s="574" t="str">
        <f>IF($L141="","",IF(LOG_ST!AL140=1,"OK",IF(LOG_ST!AL140=2,"NR",IF(OR(LOG_ST!AL140=0,LOG_ST!AL140="X"),"N/A"))))</f>
        <v/>
      </c>
      <c r="AI141" s="574" t="str">
        <f>IF($L141="","",IF(LOG_ST!AM140=1,"OK",IF(LOG_ST!AM140=2,"NR",IF(OR(LOG_ST!AM140=0,LOG_ST!AM140="X"),"N/A"))))</f>
        <v/>
      </c>
      <c r="AJ141" s="574" t="str">
        <f>IF($L141="","",IF(LOG_ST!AN140=1,"OK",IF(LOG_ST!AN140=2,"NR",IF(OR(LOG_ST!AN140=0,LOG_ST!AN140="X"),"N/A"))))</f>
        <v/>
      </c>
      <c r="AK141" s="574" t="str">
        <f>IF($L141="","",IF(LOG_ST!AO140=1,"OK",IF(LOG_ST!AO140=2,"NR",IF(OR(LOG_ST!AO140=0,LOG_ST!AO140="X"),"N/A"))))</f>
        <v/>
      </c>
      <c r="AL141" s="574" t="str">
        <f>IF($L141="","",IF(LOG_ST!AP140=1,"OK",IF(LOG_ST!AP140=2,"NR",IF(OR(LOG_ST!AP140=0,LOG_ST!AP140="X"),"N/A"))))</f>
        <v/>
      </c>
      <c r="AM141" s="574" t="str">
        <f>IF($L141="","",IF(LOG_ST!AQ140=1,"OK",IF(LOG_ST!AQ140=2,"NR",IF(OR(LOG_ST!AQ140=0,LOG_ST!AQ140="X"),"N/A"))))</f>
        <v/>
      </c>
      <c r="AN141" s="550" t="str">
        <f t="shared" si="2"/>
        <v/>
      </c>
    </row>
    <row r="142" spans="2:40" x14ac:dyDescent="0.25">
      <c r="B142" s="551" t="str">
        <f>IF(LOG_ST!F141="","",VLOOKUP(LOG_ST!F141,DATA_BASE!$A$46:$C$57,2,FALSE))</f>
        <v/>
      </c>
      <c r="C142" s="570" t="str">
        <f>IF(LOG_ST!G141="","",VLOOKUP(LOG_ST!G141,DATA_HDG,2,FALSE))</f>
        <v/>
      </c>
      <c r="D142" s="571" t="str">
        <f>IF(LOG_ST!H141="","",LOG_ST!H141)</f>
        <v/>
      </c>
      <c r="E142" s="570" t="str">
        <f>IF(LOG_ST!I141="","",VLOOKUP(LOG_ST!I141,DATA_COP,2,FALSE))</f>
        <v/>
      </c>
      <c r="F142" s="573" t="str">
        <f>IF(LOG_ST!J141="","",LOG_ST!J141)</f>
        <v/>
      </c>
      <c r="G142" s="570" t="str">
        <f>IF(LOG_ST!K141="","",VLOOKUP(LOG_ST!K141,DATA_SCIES,2,FALSE))</f>
        <v/>
      </c>
      <c r="H142" s="570" t="str">
        <f>IF(LOG_ST!L141="","",VLOOKUP(LOG_ST!L141,DATA_ST!$U$7:$V$64,2,FALSE))</f>
        <v/>
      </c>
      <c r="I142" s="570" t="str">
        <f>IF(LOG_ST!M141="","",LOG_ST!M141)</f>
        <v/>
      </c>
      <c r="J142" s="570" t="str">
        <f>IF(LOG_ST!N141="","",LOG_ST!N141)</f>
        <v/>
      </c>
      <c r="K142" s="573" t="str">
        <f>IF(LOG_ST!O141="","",LOG_ST!O141)</f>
        <v/>
      </c>
      <c r="L142" s="573" t="str">
        <f>IF(LOG_ST!P141="","",LOG_ST!P141)</f>
        <v/>
      </c>
      <c r="M142" s="574" t="str">
        <f>IF($L142="","",IF(LOG_ST!Q141=1,"OK",IF(LOG_ST!Q141=2,"NR",IF(OR(LOG_ST!Q141=0,LOG_ST!Q141="X"),"N/A"))))</f>
        <v/>
      </c>
      <c r="N142" s="574" t="str">
        <f>IF($L142="","",IF(LOG_ST!R141=1,"OK",IF(LOG_ST!R141=2,"NR",IF(OR(LOG_ST!R141=0,LOG_ST!R141="X"),"N/A"))))</f>
        <v/>
      </c>
      <c r="O142" s="574" t="str">
        <f>IF($L142="","",IF(LOG_ST!S141=1,"OK",IF(LOG_ST!S141=2,"NR",IF(OR(LOG_ST!S141=0,LOG_ST!S141="X"),"N/A"))))</f>
        <v/>
      </c>
      <c r="P142" s="574" t="str">
        <f>IF($L142="","",IF(LOG_ST!T141=1,"OK",IF(LOG_ST!T141=2,"NR",IF(OR(LOG_ST!T141=0,LOG_ST!T141="X"),"N/A"))))</f>
        <v/>
      </c>
      <c r="Q142" s="574" t="str">
        <f>IF($L142="","",IF(LOG_ST!U141=1,"OK",IF(LOG_ST!U141=2,"NR",IF(OR(LOG_ST!U141=0,LOG_ST!U141="X"),"N/A"))))</f>
        <v/>
      </c>
      <c r="R142" s="574" t="str">
        <f>IF($L142="","",IF(LOG_ST!V141=1,"OK",IF(LOG_ST!V141=2,"NR",IF(OR(LOG_ST!V141=0,LOG_ST!V141="X"),"N/A"))))</f>
        <v/>
      </c>
      <c r="S142" s="574" t="str">
        <f>IF($L142="","",IF(LOG_ST!W141=1,"OK",IF(LOG_ST!W141=2,"NR",IF(OR(LOG_ST!W141=0,LOG_ST!W141="X"),"N/A"))))</f>
        <v/>
      </c>
      <c r="T142" s="574" t="str">
        <f>IF($L142="","",IF(LOG_ST!X141=1,"OK",IF(LOG_ST!X141=2,"NR",IF(OR(LOG_ST!X141=0,LOG_ST!X141="X"),"N/A"))))</f>
        <v/>
      </c>
      <c r="U142" s="574" t="str">
        <f>IF($L142="","",IF(LOG_ST!Y141=1,"OK",IF(LOG_ST!Y141=2,"NR",IF(OR(LOG_ST!Y141=0,LOG_ST!Y141="X"),"N/A"))))</f>
        <v/>
      </c>
      <c r="V142" s="574" t="str">
        <f>IF($L142="","",IF(LOG_ST!Z141=1,"OK",IF(LOG_ST!Z141=2,"NR",IF(OR(LOG_ST!Z141=0,LOG_ST!Z141="X"),"N/A"))))</f>
        <v/>
      </c>
      <c r="W142" s="574" t="str">
        <f>IF($L142="","",IF(LOG_ST!AA141=1,"OK",IF(LOG_ST!AA141=2,"NR",IF(OR(LOG_ST!AA141=0,LOG_ST!AA141="X"),"N/A"))))</f>
        <v/>
      </c>
      <c r="X142" s="574" t="str">
        <f>IF($L142="","",IF(LOG_ST!AB141=1,"OK",IF(LOG_ST!AB141=2,"NR",IF(OR(LOG_ST!AB141=0,LOG_ST!AB141="X"),"N/A"))))</f>
        <v/>
      </c>
      <c r="Y142" s="574" t="str">
        <f>IF($L142="","",IF(LOG_ST!AC141=1,"OK",IF(LOG_ST!AC141=2,"NR",IF(OR(LOG_ST!AC141=0,LOG_ST!AC141="X"),"N/A"))))</f>
        <v/>
      </c>
      <c r="Z142" s="574" t="str">
        <f>IF($L142="","",IF(OR(LOG_ST!AD141=0,LOG_ST!AD141="X"),"N/A",LOG_ST!AD141))</f>
        <v/>
      </c>
      <c r="AA142" s="574" t="str">
        <f>IF($L142="","",IF(LOG_ST!AE141=1,"OK",IF(LOG_ST!AE141=2,"NR",IF(OR(LOG_ST!AE141=0,LOG_ST!AE141="X"),"N/A"))))</f>
        <v/>
      </c>
      <c r="AB142" s="574" t="str">
        <f>IF($L142="","",IF(LOG_ST!AF141=1,"OK",IF(LOG_ST!AF141=2,"NR",IF(OR(LOG_ST!AF141=0,LOG_ST!AF141="X"),"N/A"))))</f>
        <v/>
      </c>
      <c r="AC142" s="574" t="str">
        <f>IF($L142="","",IF(LOG_ST!AG141=1,"OK",IF(LOG_ST!AG141=2,"NR",IF(OR(LOG_ST!AG141=0,LOG_ST!AG141="X"),"N/A"))))</f>
        <v/>
      </c>
      <c r="AD142" s="574" t="str">
        <f>IF($L142="","",IF(OR(LOG_ST!AH141=0,LOG_ST!AH141="X"),"N/A",LOG_ST!AH141))</f>
        <v/>
      </c>
      <c r="AE142" s="574" t="str">
        <f>IF($L142="","",IF(LOG_ST!AI141=1,"OK",IF(LOG_ST!AI141=2,"NR",IF(OR(LOG_ST!AI141=0,LOG_ST!AI141="X"),"N/A"))))</f>
        <v/>
      </c>
      <c r="AF142" s="574" t="str">
        <f>IF($L142="","",IF(LOG_ST!AJ141=1,"OK",IF(LOG_ST!AJ141=2,"NR",IF(OR(LOG_ST!AJ141=0,LOG_ST!AJ141="X"),"N/A"))))</f>
        <v/>
      </c>
      <c r="AG142" s="574" t="str">
        <f>IF($L142="","",IF(LOG_ST!AK141=1,"OK",IF(LOG_ST!AK141=2,"NR",IF(OR(LOG_ST!AK141=0,LOG_ST!AK141="X"),"N/A"))))</f>
        <v/>
      </c>
      <c r="AH142" s="574" t="str">
        <f>IF($L142="","",IF(LOG_ST!AL141=1,"OK",IF(LOG_ST!AL141=2,"NR",IF(OR(LOG_ST!AL141=0,LOG_ST!AL141="X"),"N/A"))))</f>
        <v/>
      </c>
      <c r="AI142" s="574" t="str">
        <f>IF($L142="","",IF(LOG_ST!AM141=1,"OK",IF(LOG_ST!AM141=2,"NR",IF(OR(LOG_ST!AM141=0,LOG_ST!AM141="X"),"N/A"))))</f>
        <v/>
      </c>
      <c r="AJ142" s="574" t="str">
        <f>IF($L142="","",IF(LOG_ST!AN141=1,"OK",IF(LOG_ST!AN141=2,"NR",IF(OR(LOG_ST!AN141=0,LOG_ST!AN141="X"),"N/A"))))</f>
        <v/>
      </c>
      <c r="AK142" s="574" t="str">
        <f>IF($L142="","",IF(LOG_ST!AO141=1,"OK",IF(LOG_ST!AO141=2,"NR",IF(OR(LOG_ST!AO141=0,LOG_ST!AO141="X"),"N/A"))))</f>
        <v/>
      </c>
      <c r="AL142" s="574" t="str">
        <f>IF($L142="","",IF(LOG_ST!AP141=1,"OK",IF(LOG_ST!AP141=2,"NR",IF(OR(LOG_ST!AP141=0,LOG_ST!AP141="X"),"N/A"))))</f>
        <v/>
      </c>
      <c r="AM142" s="574" t="str">
        <f>IF($L142="","",IF(LOG_ST!AQ141=1,"OK",IF(LOG_ST!AQ141=2,"NR",IF(OR(LOG_ST!AQ141=0,LOG_ST!AQ141="X"),"N/A"))))</f>
        <v/>
      </c>
      <c r="AN142" s="550" t="str">
        <f t="shared" si="2"/>
        <v/>
      </c>
    </row>
    <row r="143" spans="2:40" x14ac:dyDescent="0.25">
      <c r="B143" s="551" t="str">
        <f>IF(LOG_ST!F142="","",VLOOKUP(LOG_ST!F142,DATA_BASE!$A$46:$C$57,2,FALSE))</f>
        <v/>
      </c>
      <c r="C143" s="570" t="str">
        <f>IF(LOG_ST!G142="","",VLOOKUP(LOG_ST!G142,DATA_HDG,2,FALSE))</f>
        <v/>
      </c>
      <c r="D143" s="571" t="str">
        <f>IF(LOG_ST!H142="","",LOG_ST!H142)</f>
        <v/>
      </c>
      <c r="E143" s="570" t="str">
        <f>IF(LOG_ST!I142="","",VLOOKUP(LOG_ST!I142,DATA_COP,2,FALSE))</f>
        <v/>
      </c>
      <c r="F143" s="573" t="str">
        <f>IF(LOG_ST!J142="","",LOG_ST!J142)</f>
        <v/>
      </c>
      <c r="G143" s="570" t="str">
        <f>IF(LOG_ST!K142="","",VLOOKUP(LOG_ST!K142,DATA_SCIES,2,FALSE))</f>
        <v/>
      </c>
      <c r="H143" s="570" t="str">
        <f>IF(LOG_ST!L142="","",VLOOKUP(LOG_ST!L142,DATA_ST!$U$7:$V$64,2,FALSE))</f>
        <v/>
      </c>
      <c r="I143" s="570" t="str">
        <f>IF(LOG_ST!M142="","",LOG_ST!M142)</f>
        <v/>
      </c>
      <c r="J143" s="570" t="str">
        <f>IF(LOG_ST!N142="","",LOG_ST!N142)</f>
        <v/>
      </c>
      <c r="K143" s="573" t="str">
        <f>IF(LOG_ST!O142="","",LOG_ST!O142)</f>
        <v/>
      </c>
      <c r="L143" s="573" t="str">
        <f>IF(LOG_ST!P142="","",LOG_ST!P142)</f>
        <v/>
      </c>
      <c r="M143" s="574" t="str">
        <f>IF($L143="","",IF(LOG_ST!Q142=1,"OK",IF(LOG_ST!Q142=2,"NR",IF(OR(LOG_ST!Q142=0,LOG_ST!Q142="X"),"N/A"))))</f>
        <v/>
      </c>
      <c r="N143" s="574" t="str">
        <f>IF($L143="","",IF(LOG_ST!R142=1,"OK",IF(LOG_ST!R142=2,"NR",IF(OR(LOG_ST!R142=0,LOG_ST!R142="X"),"N/A"))))</f>
        <v/>
      </c>
      <c r="O143" s="574" t="str">
        <f>IF($L143="","",IF(LOG_ST!S142=1,"OK",IF(LOG_ST!S142=2,"NR",IF(OR(LOG_ST!S142=0,LOG_ST!S142="X"),"N/A"))))</f>
        <v/>
      </c>
      <c r="P143" s="574" t="str">
        <f>IF($L143="","",IF(LOG_ST!T142=1,"OK",IF(LOG_ST!T142=2,"NR",IF(OR(LOG_ST!T142=0,LOG_ST!T142="X"),"N/A"))))</f>
        <v/>
      </c>
      <c r="Q143" s="574" t="str">
        <f>IF($L143="","",IF(LOG_ST!U142=1,"OK",IF(LOG_ST!U142=2,"NR",IF(OR(LOG_ST!U142=0,LOG_ST!U142="X"),"N/A"))))</f>
        <v/>
      </c>
      <c r="R143" s="574" t="str">
        <f>IF($L143="","",IF(LOG_ST!V142=1,"OK",IF(LOG_ST!V142=2,"NR",IF(OR(LOG_ST!V142=0,LOG_ST!V142="X"),"N/A"))))</f>
        <v/>
      </c>
      <c r="S143" s="574" t="str">
        <f>IF($L143="","",IF(LOG_ST!W142=1,"OK",IF(LOG_ST!W142=2,"NR",IF(OR(LOG_ST!W142=0,LOG_ST!W142="X"),"N/A"))))</f>
        <v/>
      </c>
      <c r="T143" s="574" t="str">
        <f>IF($L143="","",IF(LOG_ST!X142=1,"OK",IF(LOG_ST!X142=2,"NR",IF(OR(LOG_ST!X142=0,LOG_ST!X142="X"),"N/A"))))</f>
        <v/>
      </c>
      <c r="U143" s="574" t="str">
        <f>IF($L143="","",IF(LOG_ST!Y142=1,"OK",IF(LOG_ST!Y142=2,"NR",IF(OR(LOG_ST!Y142=0,LOG_ST!Y142="X"),"N/A"))))</f>
        <v/>
      </c>
      <c r="V143" s="574" t="str">
        <f>IF($L143="","",IF(LOG_ST!Z142=1,"OK",IF(LOG_ST!Z142=2,"NR",IF(OR(LOG_ST!Z142=0,LOG_ST!Z142="X"),"N/A"))))</f>
        <v/>
      </c>
      <c r="W143" s="574" t="str">
        <f>IF($L143="","",IF(LOG_ST!AA142=1,"OK",IF(LOG_ST!AA142=2,"NR",IF(OR(LOG_ST!AA142=0,LOG_ST!AA142="X"),"N/A"))))</f>
        <v/>
      </c>
      <c r="X143" s="574" t="str">
        <f>IF($L143="","",IF(LOG_ST!AB142=1,"OK",IF(LOG_ST!AB142=2,"NR",IF(OR(LOG_ST!AB142=0,LOG_ST!AB142="X"),"N/A"))))</f>
        <v/>
      </c>
      <c r="Y143" s="574" t="str">
        <f>IF($L143="","",IF(LOG_ST!AC142=1,"OK",IF(LOG_ST!AC142=2,"NR",IF(OR(LOG_ST!AC142=0,LOG_ST!AC142="X"),"N/A"))))</f>
        <v/>
      </c>
      <c r="Z143" s="574" t="str">
        <f>IF($L143="","",IF(OR(LOG_ST!AD142=0,LOG_ST!AD142="X"),"N/A",LOG_ST!AD142))</f>
        <v/>
      </c>
      <c r="AA143" s="574" t="str">
        <f>IF($L143="","",IF(LOG_ST!AE142=1,"OK",IF(LOG_ST!AE142=2,"NR",IF(OR(LOG_ST!AE142=0,LOG_ST!AE142="X"),"N/A"))))</f>
        <v/>
      </c>
      <c r="AB143" s="574" t="str">
        <f>IF($L143="","",IF(LOG_ST!AF142=1,"OK",IF(LOG_ST!AF142=2,"NR",IF(OR(LOG_ST!AF142=0,LOG_ST!AF142="X"),"N/A"))))</f>
        <v/>
      </c>
      <c r="AC143" s="574" t="str">
        <f>IF($L143="","",IF(LOG_ST!AG142=1,"OK",IF(LOG_ST!AG142=2,"NR",IF(OR(LOG_ST!AG142=0,LOG_ST!AG142="X"),"N/A"))))</f>
        <v/>
      </c>
      <c r="AD143" s="574" t="str">
        <f>IF($L143="","",IF(OR(LOG_ST!AH142=0,LOG_ST!AH142="X"),"N/A",LOG_ST!AH142))</f>
        <v/>
      </c>
      <c r="AE143" s="574" t="str">
        <f>IF($L143="","",IF(LOG_ST!AI142=1,"OK",IF(LOG_ST!AI142=2,"NR",IF(OR(LOG_ST!AI142=0,LOG_ST!AI142="X"),"N/A"))))</f>
        <v/>
      </c>
      <c r="AF143" s="574" t="str">
        <f>IF($L143="","",IF(LOG_ST!AJ142=1,"OK",IF(LOG_ST!AJ142=2,"NR",IF(OR(LOG_ST!AJ142=0,LOG_ST!AJ142="X"),"N/A"))))</f>
        <v/>
      </c>
      <c r="AG143" s="574" t="str">
        <f>IF($L143="","",IF(LOG_ST!AK142=1,"OK",IF(LOG_ST!AK142=2,"NR",IF(OR(LOG_ST!AK142=0,LOG_ST!AK142="X"),"N/A"))))</f>
        <v/>
      </c>
      <c r="AH143" s="574" t="str">
        <f>IF($L143="","",IF(LOG_ST!AL142=1,"OK",IF(LOG_ST!AL142=2,"NR",IF(OR(LOG_ST!AL142=0,LOG_ST!AL142="X"),"N/A"))))</f>
        <v/>
      </c>
      <c r="AI143" s="574" t="str">
        <f>IF($L143="","",IF(LOG_ST!AM142=1,"OK",IF(LOG_ST!AM142=2,"NR",IF(OR(LOG_ST!AM142=0,LOG_ST!AM142="X"),"N/A"))))</f>
        <v/>
      </c>
      <c r="AJ143" s="574" t="str">
        <f>IF($L143="","",IF(LOG_ST!AN142=1,"OK",IF(LOG_ST!AN142=2,"NR",IF(OR(LOG_ST!AN142=0,LOG_ST!AN142="X"),"N/A"))))</f>
        <v/>
      </c>
      <c r="AK143" s="574" t="str">
        <f>IF($L143="","",IF(LOG_ST!AO142=1,"OK",IF(LOG_ST!AO142=2,"NR",IF(OR(LOG_ST!AO142=0,LOG_ST!AO142="X"),"N/A"))))</f>
        <v/>
      </c>
      <c r="AL143" s="574" t="str">
        <f>IF($L143="","",IF(LOG_ST!AP142=1,"OK",IF(LOG_ST!AP142=2,"NR",IF(OR(LOG_ST!AP142=0,LOG_ST!AP142="X"),"N/A"))))</f>
        <v/>
      </c>
      <c r="AM143" s="574" t="str">
        <f>IF($L143="","",IF(LOG_ST!AQ142=1,"OK",IF(LOG_ST!AQ142=2,"NR",IF(OR(LOG_ST!AQ142=0,LOG_ST!AQ142="X"),"N/A"))))</f>
        <v/>
      </c>
      <c r="AN143" s="550" t="str">
        <f t="shared" si="2"/>
        <v/>
      </c>
    </row>
    <row r="144" spans="2:40" x14ac:dyDescent="0.25">
      <c r="B144" s="551" t="str">
        <f>IF(LOG_ST!F143="","",VLOOKUP(LOG_ST!F143,DATA_BASE!$A$46:$C$57,2,FALSE))</f>
        <v/>
      </c>
      <c r="C144" s="570" t="str">
        <f>IF(LOG_ST!G143="","",VLOOKUP(LOG_ST!G143,DATA_HDG,2,FALSE))</f>
        <v/>
      </c>
      <c r="D144" s="571" t="str">
        <f>IF(LOG_ST!H143="","",LOG_ST!H143)</f>
        <v/>
      </c>
      <c r="E144" s="570" t="str">
        <f>IF(LOG_ST!I143="","",VLOOKUP(LOG_ST!I143,DATA_COP,2,FALSE))</f>
        <v/>
      </c>
      <c r="F144" s="573" t="str">
        <f>IF(LOG_ST!J143="","",LOG_ST!J143)</f>
        <v/>
      </c>
      <c r="G144" s="570" t="str">
        <f>IF(LOG_ST!K143="","",VLOOKUP(LOG_ST!K143,DATA_SCIES,2,FALSE))</f>
        <v/>
      </c>
      <c r="H144" s="570" t="str">
        <f>IF(LOG_ST!L143="","",VLOOKUP(LOG_ST!L143,DATA_ST!$U$7:$V$64,2,FALSE))</f>
        <v/>
      </c>
      <c r="I144" s="570" t="str">
        <f>IF(LOG_ST!M143="","",LOG_ST!M143)</f>
        <v/>
      </c>
      <c r="J144" s="570" t="str">
        <f>IF(LOG_ST!N143="","",LOG_ST!N143)</f>
        <v/>
      </c>
      <c r="K144" s="573" t="str">
        <f>IF(LOG_ST!O143="","",LOG_ST!O143)</f>
        <v/>
      </c>
      <c r="L144" s="573" t="str">
        <f>IF(LOG_ST!P143="","",LOG_ST!P143)</f>
        <v/>
      </c>
      <c r="M144" s="574" t="str">
        <f>IF($L144="","",IF(LOG_ST!Q143=1,"OK",IF(LOG_ST!Q143=2,"NR",IF(OR(LOG_ST!Q143=0,LOG_ST!Q143="X"),"N/A"))))</f>
        <v/>
      </c>
      <c r="N144" s="574" t="str">
        <f>IF($L144="","",IF(LOG_ST!R143=1,"OK",IF(LOG_ST!R143=2,"NR",IF(OR(LOG_ST!R143=0,LOG_ST!R143="X"),"N/A"))))</f>
        <v/>
      </c>
      <c r="O144" s="574" t="str">
        <f>IF($L144="","",IF(LOG_ST!S143=1,"OK",IF(LOG_ST!S143=2,"NR",IF(OR(LOG_ST!S143=0,LOG_ST!S143="X"),"N/A"))))</f>
        <v/>
      </c>
      <c r="P144" s="574" t="str">
        <f>IF($L144="","",IF(LOG_ST!T143=1,"OK",IF(LOG_ST!T143=2,"NR",IF(OR(LOG_ST!T143=0,LOG_ST!T143="X"),"N/A"))))</f>
        <v/>
      </c>
      <c r="Q144" s="574" t="str">
        <f>IF($L144="","",IF(LOG_ST!U143=1,"OK",IF(LOG_ST!U143=2,"NR",IF(OR(LOG_ST!U143=0,LOG_ST!U143="X"),"N/A"))))</f>
        <v/>
      </c>
      <c r="R144" s="574" t="str">
        <f>IF($L144="","",IF(LOG_ST!V143=1,"OK",IF(LOG_ST!V143=2,"NR",IF(OR(LOG_ST!V143=0,LOG_ST!V143="X"),"N/A"))))</f>
        <v/>
      </c>
      <c r="S144" s="574" t="str">
        <f>IF($L144="","",IF(LOG_ST!W143=1,"OK",IF(LOG_ST!W143=2,"NR",IF(OR(LOG_ST!W143=0,LOG_ST!W143="X"),"N/A"))))</f>
        <v/>
      </c>
      <c r="T144" s="574" t="str">
        <f>IF($L144="","",IF(LOG_ST!X143=1,"OK",IF(LOG_ST!X143=2,"NR",IF(OR(LOG_ST!X143=0,LOG_ST!X143="X"),"N/A"))))</f>
        <v/>
      </c>
      <c r="U144" s="574" t="str">
        <f>IF($L144="","",IF(LOG_ST!Y143=1,"OK",IF(LOG_ST!Y143=2,"NR",IF(OR(LOG_ST!Y143=0,LOG_ST!Y143="X"),"N/A"))))</f>
        <v/>
      </c>
      <c r="V144" s="574" t="str">
        <f>IF($L144="","",IF(LOG_ST!Z143=1,"OK",IF(LOG_ST!Z143=2,"NR",IF(OR(LOG_ST!Z143=0,LOG_ST!Z143="X"),"N/A"))))</f>
        <v/>
      </c>
      <c r="W144" s="574" t="str">
        <f>IF($L144="","",IF(LOG_ST!AA143=1,"OK",IF(LOG_ST!AA143=2,"NR",IF(OR(LOG_ST!AA143=0,LOG_ST!AA143="X"),"N/A"))))</f>
        <v/>
      </c>
      <c r="X144" s="574" t="str">
        <f>IF($L144="","",IF(LOG_ST!AB143=1,"OK",IF(LOG_ST!AB143=2,"NR",IF(OR(LOG_ST!AB143=0,LOG_ST!AB143="X"),"N/A"))))</f>
        <v/>
      </c>
      <c r="Y144" s="574" t="str">
        <f>IF($L144="","",IF(LOG_ST!AC143=1,"OK",IF(LOG_ST!AC143=2,"NR",IF(OR(LOG_ST!AC143=0,LOG_ST!AC143="X"),"N/A"))))</f>
        <v/>
      </c>
      <c r="Z144" s="574" t="str">
        <f>IF($L144="","",IF(OR(LOG_ST!AD143=0,LOG_ST!AD143="X"),"N/A",LOG_ST!AD143))</f>
        <v/>
      </c>
      <c r="AA144" s="574" t="str">
        <f>IF($L144="","",IF(LOG_ST!AE143=1,"OK",IF(LOG_ST!AE143=2,"NR",IF(OR(LOG_ST!AE143=0,LOG_ST!AE143="X"),"N/A"))))</f>
        <v/>
      </c>
      <c r="AB144" s="574" t="str">
        <f>IF($L144="","",IF(LOG_ST!AF143=1,"OK",IF(LOG_ST!AF143=2,"NR",IF(OR(LOG_ST!AF143=0,LOG_ST!AF143="X"),"N/A"))))</f>
        <v/>
      </c>
      <c r="AC144" s="574" t="str">
        <f>IF($L144="","",IF(LOG_ST!AG143=1,"OK",IF(LOG_ST!AG143=2,"NR",IF(OR(LOG_ST!AG143=0,LOG_ST!AG143="X"),"N/A"))))</f>
        <v/>
      </c>
      <c r="AD144" s="574" t="str">
        <f>IF($L144="","",IF(OR(LOG_ST!AH143=0,LOG_ST!AH143="X"),"N/A",LOG_ST!AH143))</f>
        <v/>
      </c>
      <c r="AE144" s="574" t="str">
        <f>IF($L144="","",IF(LOG_ST!AI143=1,"OK",IF(LOG_ST!AI143=2,"NR",IF(OR(LOG_ST!AI143=0,LOG_ST!AI143="X"),"N/A"))))</f>
        <v/>
      </c>
      <c r="AF144" s="574" t="str">
        <f>IF($L144="","",IF(LOG_ST!AJ143=1,"OK",IF(LOG_ST!AJ143=2,"NR",IF(OR(LOG_ST!AJ143=0,LOG_ST!AJ143="X"),"N/A"))))</f>
        <v/>
      </c>
      <c r="AG144" s="574" t="str">
        <f>IF($L144="","",IF(LOG_ST!AK143=1,"OK",IF(LOG_ST!AK143=2,"NR",IF(OR(LOG_ST!AK143=0,LOG_ST!AK143="X"),"N/A"))))</f>
        <v/>
      </c>
      <c r="AH144" s="574" t="str">
        <f>IF($L144="","",IF(LOG_ST!AL143=1,"OK",IF(LOG_ST!AL143=2,"NR",IF(OR(LOG_ST!AL143=0,LOG_ST!AL143="X"),"N/A"))))</f>
        <v/>
      </c>
      <c r="AI144" s="574" t="str">
        <f>IF($L144="","",IF(LOG_ST!AM143=1,"OK",IF(LOG_ST!AM143=2,"NR",IF(OR(LOG_ST!AM143=0,LOG_ST!AM143="X"),"N/A"))))</f>
        <v/>
      </c>
      <c r="AJ144" s="574" t="str">
        <f>IF($L144="","",IF(LOG_ST!AN143=1,"OK",IF(LOG_ST!AN143=2,"NR",IF(OR(LOG_ST!AN143=0,LOG_ST!AN143="X"),"N/A"))))</f>
        <v/>
      </c>
      <c r="AK144" s="574" t="str">
        <f>IF($L144="","",IF(LOG_ST!AO143=1,"OK",IF(LOG_ST!AO143=2,"NR",IF(OR(LOG_ST!AO143=0,LOG_ST!AO143="X"),"N/A"))))</f>
        <v/>
      </c>
      <c r="AL144" s="574" t="str">
        <f>IF($L144="","",IF(LOG_ST!AP143=1,"OK",IF(LOG_ST!AP143=2,"NR",IF(OR(LOG_ST!AP143=0,LOG_ST!AP143="X"),"N/A"))))</f>
        <v/>
      </c>
      <c r="AM144" s="574" t="str">
        <f>IF($L144="","",IF(LOG_ST!AQ143=1,"OK",IF(LOG_ST!AQ143=2,"NR",IF(OR(LOG_ST!AQ143=0,LOG_ST!AQ143="X"),"N/A"))))</f>
        <v/>
      </c>
      <c r="AN144" s="550" t="str">
        <f t="shared" si="2"/>
        <v/>
      </c>
    </row>
    <row r="145" spans="2:40" x14ac:dyDescent="0.25">
      <c r="B145" s="551" t="str">
        <f>IF(LOG_ST!F144="","",VLOOKUP(LOG_ST!F144,DATA_BASE!$A$46:$C$57,2,FALSE))</f>
        <v/>
      </c>
      <c r="C145" s="570" t="str">
        <f>IF(LOG_ST!G144="","",VLOOKUP(LOG_ST!G144,DATA_HDG,2,FALSE))</f>
        <v/>
      </c>
      <c r="D145" s="571" t="str">
        <f>IF(LOG_ST!H144="","",LOG_ST!H144)</f>
        <v/>
      </c>
      <c r="E145" s="570" t="str">
        <f>IF(LOG_ST!I144="","",VLOOKUP(LOG_ST!I144,DATA_COP,2,FALSE))</f>
        <v/>
      </c>
      <c r="F145" s="573" t="str">
        <f>IF(LOG_ST!J144="","",LOG_ST!J144)</f>
        <v/>
      </c>
      <c r="G145" s="570" t="str">
        <f>IF(LOG_ST!K144="","",VLOOKUP(LOG_ST!K144,DATA_SCIES,2,FALSE))</f>
        <v/>
      </c>
      <c r="H145" s="570" t="str">
        <f>IF(LOG_ST!L144="","",VLOOKUP(LOG_ST!L144,DATA_ST!$U$7:$V$64,2,FALSE))</f>
        <v/>
      </c>
      <c r="I145" s="570" t="str">
        <f>IF(LOG_ST!M144="","",LOG_ST!M144)</f>
        <v/>
      </c>
      <c r="J145" s="570" t="str">
        <f>IF(LOG_ST!N144="","",LOG_ST!N144)</f>
        <v/>
      </c>
      <c r="K145" s="573" t="str">
        <f>IF(LOG_ST!O144="","",LOG_ST!O144)</f>
        <v/>
      </c>
      <c r="L145" s="573" t="str">
        <f>IF(LOG_ST!P144="","",LOG_ST!P144)</f>
        <v/>
      </c>
      <c r="M145" s="574" t="str">
        <f>IF($L145="","",IF(LOG_ST!Q144=1,"OK",IF(LOG_ST!Q144=2,"NR",IF(OR(LOG_ST!Q144=0,LOG_ST!Q144="X"),"N/A"))))</f>
        <v/>
      </c>
      <c r="N145" s="574" t="str">
        <f>IF($L145="","",IF(LOG_ST!R144=1,"OK",IF(LOG_ST!R144=2,"NR",IF(OR(LOG_ST!R144=0,LOG_ST!R144="X"),"N/A"))))</f>
        <v/>
      </c>
      <c r="O145" s="574" t="str">
        <f>IF($L145="","",IF(LOG_ST!S144=1,"OK",IF(LOG_ST!S144=2,"NR",IF(OR(LOG_ST!S144=0,LOG_ST!S144="X"),"N/A"))))</f>
        <v/>
      </c>
      <c r="P145" s="574" t="str">
        <f>IF($L145="","",IF(LOG_ST!T144=1,"OK",IF(LOG_ST!T144=2,"NR",IF(OR(LOG_ST!T144=0,LOG_ST!T144="X"),"N/A"))))</f>
        <v/>
      </c>
      <c r="Q145" s="574" t="str">
        <f>IF($L145="","",IF(LOG_ST!U144=1,"OK",IF(LOG_ST!U144=2,"NR",IF(OR(LOG_ST!U144=0,LOG_ST!U144="X"),"N/A"))))</f>
        <v/>
      </c>
      <c r="R145" s="574" t="str">
        <f>IF($L145="","",IF(LOG_ST!V144=1,"OK",IF(LOG_ST!V144=2,"NR",IF(OR(LOG_ST!V144=0,LOG_ST!V144="X"),"N/A"))))</f>
        <v/>
      </c>
      <c r="S145" s="574" t="str">
        <f>IF($L145="","",IF(LOG_ST!W144=1,"OK",IF(LOG_ST!W144=2,"NR",IF(OR(LOG_ST!W144=0,LOG_ST!W144="X"),"N/A"))))</f>
        <v/>
      </c>
      <c r="T145" s="574" t="str">
        <f>IF($L145="","",IF(LOG_ST!X144=1,"OK",IF(LOG_ST!X144=2,"NR",IF(OR(LOG_ST!X144=0,LOG_ST!X144="X"),"N/A"))))</f>
        <v/>
      </c>
      <c r="U145" s="574" t="str">
        <f>IF($L145="","",IF(LOG_ST!Y144=1,"OK",IF(LOG_ST!Y144=2,"NR",IF(OR(LOG_ST!Y144=0,LOG_ST!Y144="X"),"N/A"))))</f>
        <v/>
      </c>
      <c r="V145" s="574" t="str">
        <f>IF($L145="","",IF(LOG_ST!Z144=1,"OK",IF(LOG_ST!Z144=2,"NR",IF(OR(LOG_ST!Z144=0,LOG_ST!Z144="X"),"N/A"))))</f>
        <v/>
      </c>
      <c r="W145" s="574" t="str">
        <f>IF($L145="","",IF(LOG_ST!AA144=1,"OK",IF(LOG_ST!AA144=2,"NR",IF(OR(LOG_ST!AA144=0,LOG_ST!AA144="X"),"N/A"))))</f>
        <v/>
      </c>
      <c r="X145" s="574" t="str">
        <f>IF($L145="","",IF(LOG_ST!AB144=1,"OK",IF(LOG_ST!AB144=2,"NR",IF(OR(LOG_ST!AB144=0,LOG_ST!AB144="X"),"N/A"))))</f>
        <v/>
      </c>
      <c r="Y145" s="574" t="str">
        <f>IF($L145="","",IF(LOG_ST!AC144=1,"OK",IF(LOG_ST!AC144=2,"NR",IF(OR(LOG_ST!AC144=0,LOG_ST!AC144="X"),"N/A"))))</f>
        <v/>
      </c>
      <c r="Z145" s="574" t="str">
        <f>IF($L145="","",IF(OR(LOG_ST!AD144=0,LOG_ST!AD144="X"),"N/A",LOG_ST!AD144))</f>
        <v/>
      </c>
      <c r="AA145" s="574" t="str">
        <f>IF($L145="","",IF(LOG_ST!AE144=1,"OK",IF(LOG_ST!AE144=2,"NR",IF(OR(LOG_ST!AE144=0,LOG_ST!AE144="X"),"N/A"))))</f>
        <v/>
      </c>
      <c r="AB145" s="574" t="str">
        <f>IF($L145="","",IF(LOG_ST!AF144=1,"OK",IF(LOG_ST!AF144=2,"NR",IF(OR(LOG_ST!AF144=0,LOG_ST!AF144="X"),"N/A"))))</f>
        <v/>
      </c>
      <c r="AC145" s="574" t="str">
        <f>IF($L145="","",IF(LOG_ST!AG144=1,"OK",IF(LOG_ST!AG144=2,"NR",IF(OR(LOG_ST!AG144=0,LOG_ST!AG144="X"),"N/A"))))</f>
        <v/>
      </c>
      <c r="AD145" s="574" t="str">
        <f>IF($L145="","",IF(OR(LOG_ST!AH144=0,LOG_ST!AH144="X"),"N/A",LOG_ST!AH144))</f>
        <v/>
      </c>
      <c r="AE145" s="574" t="str">
        <f>IF($L145="","",IF(LOG_ST!AI144=1,"OK",IF(LOG_ST!AI144=2,"NR",IF(OR(LOG_ST!AI144=0,LOG_ST!AI144="X"),"N/A"))))</f>
        <v/>
      </c>
      <c r="AF145" s="574" t="str">
        <f>IF($L145="","",IF(LOG_ST!AJ144=1,"OK",IF(LOG_ST!AJ144=2,"NR",IF(OR(LOG_ST!AJ144=0,LOG_ST!AJ144="X"),"N/A"))))</f>
        <v/>
      </c>
      <c r="AG145" s="574" t="str">
        <f>IF($L145="","",IF(LOG_ST!AK144=1,"OK",IF(LOG_ST!AK144=2,"NR",IF(OR(LOG_ST!AK144=0,LOG_ST!AK144="X"),"N/A"))))</f>
        <v/>
      </c>
      <c r="AH145" s="574" t="str">
        <f>IF($L145="","",IF(LOG_ST!AL144=1,"OK",IF(LOG_ST!AL144=2,"NR",IF(OR(LOG_ST!AL144=0,LOG_ST!AL144="X"),"N/A"))))</f>
        <v/>
      </c>
      <c r="AI145" s="574" t="str">
        <f>IF($L145="","",IF(LOG_ST!AM144=1,"OK",IF(LOG_ST!AM144=2,"NR",IF(OR(LOG_ST!AM144=0,LOG_ST!AM144="X"),"N/A"))))</f>
        <v/>
      </c>
      <c r="AJ145" s="574" t="str">
        <f>IF($L145="","",IF(LOG_ST!AN144=1,"OK",IF(LOG_ST!AN144=2,"NR",IF(OR(LOG_ST!AN144=0,LOG_ST!AN144="X"),"N/A"))))</f>
        <v/>
      </c>
      <c r="AK145" s="574" t="str">
        <f>IF($L145="","",IF(LOG_ST!AO144=1,"OK",IF(LOG_ST!AO144=2,"NR",IF(OR(LOG_ST!AO144=0,LOG_ST!AO144="X"),"N/A"))))</f>
        <v/>
      </c>
      <c r="AL145" s="574" t="str">
        <f>IF($L145="","",IF(LOG_ST!AP144=1,"OK",IF(LOG_ST!AP144=2,"NR",IF(OR(LOG_ST!AP144=0,LOG_ST!AP144="X"),"N/A"))))</f>
        <v/>
      </c>
      <c r="AM145" s="574" t="str">
        <f>IF($L145="","",IF(LOG_ST!AQ144=1,"OK",IF(LOG_ST!AQ144=2,"NR",IF(OR(LOG_ST!AQ144=0,LOG_ST!AQ144="X"),"N/A"))))</f>
        <v/>
      </c>
      <c r="AN145" s="550" t="str">
        <f t="shared" si="2"/>
        <v/>
      </c>
    </row>
    <row r="146" spans="2:40" x14ac:dyDescent="0.25">
      <c r="B146" s="551" t="str">
        <f>IF(LOG_ST!F145="","",VLOOKUP(LOG_ST!F145,DATA_BASE!$A$46:$C$57,2,FALSE))</f>
        <v/>
      </c>
      <c r="C146" s="570" t="str">
        <f>IF(LOG_ST!G145="","",VLOOKUP(LOG_ST!G145,DATA_HDG,2,FALSE))</f>
        <v/>
      </c>
      <c r="D146" s="571" t="str">
        <f>IF(LOG_ST!H145="","",LOG_ST!H145)</f>
        <v/>
      </c>
      <c r="E146" s="570" t="str">
        <f>IF(LOG_ST!I145="","",VLOOKUP(LOG_ST!I145,DATA_COP,2,FALSE))</f>
        <v/>
      </c>
      <c r="F146" s="573" t="str">
        <f>IF(LOG_ST!J145="","",LOG_ST!J145)</f>
        <v/>
      </c>
      <c r="G146" s="570" t="str">
        <f>IF(LOG_ST!K145="","",VLOOKUP(LOG_ST!K145,DATA_SCIES,2,FALSE))</f>
        <v/>
      </c>
      <c r="H146" s="570" t="str">
        <f>IF(LOG_ST!L145="","",VLOOKUP(LOG_ST!L145,DATA_ST!$U$7:$V$64,2,FALSE))</f>
        <v/>
      </c>
      <c r="I146" s="570" t="str">
        <f>IF(LOG_ST!M145="","",LOG_ST!M145)</f>
        <v/>
      </c>
      <c r="J146" s="570" t="str">
        <f>IF(LOG_ST!N145="","",LOG_ST!N145)</f>
        <v/>
      </c>
      <c r="K146" s="573" t="str">
        <f>IF(LOG_ST!O145="","",LOG_ST!O145)</f>
        <v/>
      </c>
      <c r="L146" s="573" t="str">
        <f>IF(LOG_ST!P145="","",LOG_ST!P145)</f>
        <v/>
      </c>
      <c r="M146" s="574" t="str">
        <f>IF($L146="","",IF(LOG_ST!Q145=1,"OK",IF(LOG_ST!Q145=2,"NR",IF(OR(LOG_ST!Q145=0,LOG_ST!Q145="X"),"N/A"))))</f>
        <v/>
      </c>
      <c r="N146" s="574" t="str">
        <f>IF($L146="","",IF(LOG_ST!R145=1,"OK",IF(LOG_ST!R145=2,"NR",IF(OR(LOG_ST!R145=0,LOG_ST!R145="X"),"N/A"))))</f>
        <v/>
      </c>
      <c r="O146" s="574" t="str">
        <f>IF($L146="","",IF(LOG_ST!S145=1,"OK",IF(LOG_ST!S145=2,"NR",IF(OR(LOG_ST!S145=0,LOG_ST!S145="X"),"N/A"))))</f>
        <v/>
      </c>
      <c r="P146" s="574" t="str">
        <f>IF($L146="","",IF(LOG_ST!T145=1,"OK",IF(LOG_ST!T145=2,"NR",IF(OR(LOG_ST!T145=0,LOG_ST!T145="X"),"N/A"))))</f>
        <v/>
      </c>
      <c r="Q146" s="574" t="str">
        <f>IF($L146="","",IF(LOG_ST!U145=1,"OK",IF(LOG_ST!U145=2,"NR",IF(OR(LOG_ST!U145=0,LOG_ST!U145="X"),"N/A"))))</f>
        <v/>
      </c>
      <c r="R146" s="574" t="str">
        <f>IF($L146="","",IF(LOG_ST!V145=1,"OK",IF(LOG_ST!V145=2,"NR",IF(OR(LOG_ST!V145=0,LOG_ST!V145="X"),"N/A"))))</f>
        <v/>
      </c>
      <c r="S146" s="574" t="str">
        <f>IF($L146="","",IF(LOG_ST!W145=1,"OK",IF(LOG_ST!W145=2,"NR",IF(OR(LOG_ST!W145=0,LOG_ST!W145="X"),"N/A"))))</f>
        <v/>
      </c>
      <c r="T146" s="574" t="str">
        <f>IF($L146="","",IF(LOG_ST!X145=1,"OK",IF(LOG_ST!X145=2,"NR",IF(OR(LOG_ST!X145=0,LOG_ST!X145="X"),"N/A"))))</f>
        <v/>
      </c>
      <c r="U146" s="574" t="str">
        <f>IF($L146="","",IF(LOG_ST!Y145=1,"OK",IF(LOG_ST!Y145=2,"NR",IF(OR(LOG_ST!Y145=0,LOG_ST!Y145="X"),"N/A"))))</f>
        <v/>
      </c>
      <c r="V146" s="574" t="str">
        <f>IF($L146="","",IF(LOG_ST!Z145=1,"OK",IF(LOG_ST!Z145=2,"NR",IF(OR(LOG_ST!Z145=0,LOG_ST!Z145="X"),"N/A"))))</f>
        <v/>
      </c>
      <c r="W146" s="574" t="str">
        <f>IF($L146="","",IF(LOG_ST!AA145=1,"OK",IF(LOG_ST!AA145=2,"NR",IF(OR(LOG_ST!AA145=0,LOG_ST!AA145="X"),"N/A"))))</f>
        <v/>
      </c>
      <c r="X146" s="574" t="str">
        <f>IF($L146="","",IF(LOG_ST!AB145=1,"OK",IF(LOG_ST!AB145=2,"NR",IF(OR(LOG_ST!AB145=0,LOG_ST!AB145="X"),"N/A"))))</f>
        <v/>
      </c>
      <c r="Y146" s="574" t="str">
        <f>IF($L146="","",IF(LOG_ST!AC145=1,"OK",IF(LOG_ST!AC145=2,"NR",IF(OR(LOG_ST!AC145=0,LOG_ST!AC145="X"),"N/A"))))</f>
        <v/>
      </c>
      <c r="Z146" s="574" t="str">
        <f>IF($L146="","",IF(OR(LOG_ST!AD145=0,LOG_ST!AD145="X"),"N/A",LOG_ST!AD145))</f>
        <v/>
      </c>
      <c r="AA146" s="574" t="str">
        <f>IF($L146="","",IF(LOG_ST!AE145=1,"OK",IF(LOG_ST!AE145=2,"NR",IF(OR(LOG_ST!AE145=0,LOG_ST!AE145="X"),"N/A"))))</f>
        <v/>
      </c>
      <c r="AB146" s="574" t="str">
        <f>IF($L146="","",IF(LOG_ST!AF145=1,"OK",IF(LOG_ST!AF145=2,"NR",IF(OR(LOG_ST!AF145=0,LOG_ST!AF145="X"),"N/A"))))</f>
        <v/>
      </c>
      <c r="AC146" s="574" t="str">
        <f>IF($L146="","",IF(LOG_ST!AG145=1,"OK",IF(LOG_ST!AG145=2,"NR",IF(OR(LOG_ST!AG145=0,LOG_ST!AG145="X"),"N/A"))))</f>
        <v/>
      </c>
      <c r="AD146" s="574" t="str">
        <f>IF($L146="","",IF(OR(LOG_ST!AH145=0,LOG_ST!AH145="X"),"N/A",LOG_ST!AH145))</f>
        <v/>
      </c>
      <c r="AE146" s="574" t="str">
        <f>IF($L146="","",IF(LOG_ST!AI145=1,"OK",IF(LOG_ST!AI145=2,"NR",IF(OR(LOG_ST!AI145=0,LOG_ST!AI145="X"),"N/A"))))</f>
        <v/>
      </c>
      <c r="AF146" s="574" t="str">
        <f>IF($L146="","",IF(LOG_ST!AJ145=1,"OK",IF(LOG_ST!AJ145=2,"NR",IF(OR(LOG_ST!AJ145=0,LOG_ST!AJ145="X"),"N/A"))))</f>
        <v/>
      </c>
      <c r="AG146" s="574" t="str">
        <f>IF($L146="","",IF(LOG_ST!AK145=1,"OK",IF(LOG_ST!AK145=2,"NR",IF(OR(LOG_ST!AK145=0,LOG_ST!AK145="X"),"N/A"))))</f>
        <v/>
      </c>
      <c r="AH146" s="574" t="str">
        <f>IF($L146="","",IF(LOG_ST!AL145=1,"OK",IF(LOG_ST!AL145=2,"NR",IF(OR(LOG_ST!AL145=0,LOG_ST!AL145="X"),"N/A"))))</f>
        <v/>
      </c>
      <c r="AI146" s="574" t="str">
        <f>IF($L146="","",IF(LOG_ST!AM145=1,"OK",IF(LOG_ST!AM145=2,"NR",IF(OR(LOG_ST!AM145=0,LOG_ST!AM145="X"),"N/A"))))</f>
        <v/>
      </c>
      <c r="AJ146" s="574" t="str">
        <f>IF($L146="","",IF(LOG_ST!AN145=1,"OK",IF(LOG_ST!AN145=2,"NR",IF(OR(LOG_ST!AN145=0,LOG_ST!AN145="X"),"N/A"))))</f>
        <v/>
      </c>
      <c r="AK146" s="574" t="str">
        <f>IF($L146="","",IF(LOG_ST!AO145=1,"OK",IF(LOG_ST!AO145=2,"NR",IF(OR(LOG_ST!AO145=0,LOG_ST!AO145="X"),"N/A"))))</f>
        <v/>
      </c>
      <c r="AL146" s="574" t="str">
        <f>IF($L146="","",IF(LOG_ST!AP145=1,"OK",IF(LOG_ST!AP145=2,"NR",IF(OR(LOG_ST!AP145=0,LOG_ST!AP145="X"),"N/A"))))</f>
        <v/>
      </c>
      <c r="AM146" s="574" t="str">
        <f>IF($L146="","",IF(LOG_ST!AQ145=1,"OK",IF(LOG_ST!AQ145=2,"NR",IF(OR(LOG_ST!AQ145=0,LOG_ST!AQ145="X"),"N/A"))))</f>
        <v/>
      </c>
      <c r="AN146" s="550" t="str">
        <f t="shared" si="2"/>
        <v/>
      </c>
    </row>
    <row r="147" spans="2:40" x14ac:dyDescent="0.25">
      <c r="B147" s="551" t="str">
        <f>IF(LOG_ST!F146="","",VLOOKUP(LOG_ST!F146,DATA_BASE!$A$46:$C$57,2,FALSE))</f>
        <v/>
      </c>
      <c r="C147" s="570" t="str">
        <f>IF(LOG_ST!G146="","",VLOOKUP(LOG_ST!G146,DATA_HDG,2,FALSE))</f>
        <v/>
      </c>
      <c r="D147" s="571" t="str">
        <f>IF(LOG_ST!H146="","",LOG_ST!H146)</f>
        <v/>
      </c>
      <c r="E147" s="570" t="str">
        <f>IF(LOG_ST!I146="","",VLOOKUP(LOG_ST!I146,DATA_COP,2,FALSE))</f>
        <v/>
      </c>
      <c r="F147" s="573" t="str">
        <f>IF(LOG_ST!J146="","",LOG_ST!J146)</f>
        <v/>
      </c>
      <c r="G147" s="570" t="str">
        <f>IF(LOG_ST!K146="","",VLOOKUP(LOG_ST!K146,DATA_SCIES,2,FALSE))</f>
        <v/>
      </c>
      <c r="H147" s="570" t="str">
        <f>IF(LOG_ST!L146="","",VLOOKUP(LOG_ST!L146,DATA_ST!$U$7:$V$64,2,FALSE))</f>
        <v/>
      </c>
      <c r="I147" s="570" t="str">
        <f>IF(LOG_ST!M146="","",LOG_ST!M146)</f>
        <v/>
      </c>
      <c r="J147" s="570" t="str">
        <f>IF(LOG_ST!N146="","",LOG_ST!N146)</f>
        <v/>
      </c>
      <c r="K147" s="573" t="str">
        <f>IF(LOG_ST!O146="","",LOG_ST!O146)</f>
        <v/>
      </c>
      <c r="L147" s="573" t="str">
        <f>IF(LOG_ST!P146="","",LOG_ST!P146)</f>
        <v/>
      </c>
      <c r="M147" s="574" t="str">
        <f>IF($L147="","",IF(LOG_ST!Q146=1,"OK",IF(LOG_ST!Q146=2,"NR",IF(OR(LOG_ST!Q146=0,LOG_ST!Q146="X"),"N/A"))))</f>
        <v/>
      </c>
      <c r="N147" s="574" t="str">
        <f>IF($L147="","",IF(LOG_ST!R146=1,"OK",IF(LOG_ST!R146=2,"NR",IF(OR(LOG_ST!R146=0,LOG_ST!R146="X"),"N/A"))))</f>
        <v/>
      </c>
      <c r="O147" s="574" t="str">
        <f>IF($L147="","",IF(LOG_ST!S146=1,"OK",IF(LOG_ST!S146=2,"NR",IF(OR(LOG_ST!S146=0,LOG_ST!S146="X"),"N/A"))))</f>
        <v/>
      </c>
      <c r="P147" s="574" t="str">
        <f>IF($L147="","",IF(LOG_ST!T146=1,"OK",IF(LOG_ST!T146=2,"NR",IF(OR(LOG_ST!T146=0,LOG_ST!T146="X"),"N/A"))))</f>
        <v/>
      </c>
      <c r="Q147" s="574" t="str">
        <f>IF($L147="","",IF(LOG_ST!U146=1,"OK",IF(LOG_ST!U146=2,"NR",IF(OR(LOG_ST!U146=0,LOG_ST!U146="X"),"N/A"))))</f>
        <v/>
      </c>
      <c r="R147" s="574" t="str">
        <f>IF($L147="","",IF(LOG_ST!V146=1,"OK",IF(LOG_ST!V146=2,"NR",IF(OR(LOG_ST!V146=0,LOG_ST!V146="X"),"N/A"))))</f>
        <v/>
      </c>
      <c r="S147" s="574" t="str">
        <f>IF($L147="","",IF(LOG_ST!W146=1,"OK",IF(LOG_ST!W146=2,"NR",IF(OR(LOG_ST!W146=0,LOG_ST!W146="X"),"N/A"))))</f>
        <v/>
      </c>
      <c r="T147" s="574" t="str">
        <f>IF($L147="","",IF(LOG_ST!X146=1,"OK",IF(LOG_ST!X146=2,"NR",IF(OR(LOG_ST!X146=0,LOG_ST!X146="X"),"N/A"))))</f>
        <v/>
      </c>
      <c r="U147" s="574" t="str">
        <f>IF($L147="","",IF(LOG_ST!Y146=1,"OK",IF(LOG_ST!Y146=2,"NR",IF(OR(LOG_ST!Y146=0,LOG_ST!Y146="X"),"N/A"))))</f>
        <v/>
      </c>
      <c r="V147" s="574" t="str">
        <f>IF($L147="","",IF(LOG_ST!Z146=1,"OK",IF(LOG_ST!Z146=2,"NR",IF(OR(LOG_ST!Z146=0,LOG_ST!Z146="X"),"N/A"))))</f>
        <v/>
      </c>
      <c r="W147" s="574" t="str">
        <f>IF($L147="","",IF(LOG_ST!AA146=1,"OK",IF(LOG_ST!AA146=2,"NR",IF(OR(LOG_ST!AA146=0,LOG_ST!AA146="X"),"N/A"))))</f>
        <v/>
      </c>
      <c r="X147" s="574" t="str">
        <f>IF($L147="","",IF(LOG_ST!AB146=1,"OK",IF(LOG_ST!AB146=2,"NR",IF(OR(LOG_ST!AB146=0,LOG_ST!AB146="X"),"N/A"))))</f>
        <v/>
      </c>
      <c r="Y147" s="574" t="str">
        <f>IF($L147="","",IF(LOG_ST!AC146=1,"OK",IF(LOG_ST!AC146=2,"NR",IF(OR(LOG_ST!AC146=0,LOG_ST!AC146="X"),"N/A"))))</f>
        <v/>
      </c>
      <c r="Z147" s="574" t="str">
        <f>IF($L147="","",IF(OR(LOG_ST!AD146=0,LOG_ST!AD146="X"),"N/A",LOG_ST!AD146))</f>
        <v/>
      </c>
      <c r="AA147" s="574" t="str">
        <f>IF($L147="","",IF(LOG_ST!AE146=1,"OK",IF(LOG_ST!AE146=2,"NR",IF(OR(LOG_ST!AE146=0,LOG_ST!AE146="X"),"N/A"))))</f>
        <v/>
      </c>
      <c r="AB147" s="574" t="str">
        <f>IF($L147="","",IF(LOG_ST!AF146=1,"OK",IF(LOG_ST!AF146=2,"NR",IF(OR(LOG_ST!AF146=0,LOG_ST!AF146="X"),"N/A"))))</f>
        <v/>
      </c>
      <c r="AC147" s="574" t="str">
        <f>IF($L147="","",IF(LOG_ST!AG146=1,"OK",IF(LOG_ST!AG146=2,"NR",IF(OR(LOG_ST!AG146=0,LOG_ST!AG146="X"),"N/A"))))</f>
        <v/>
      </c>
      <c r="AD147" s="574" t="str">
        <f>IF($L147="","",IF(OR(LOG_ST!AH146=0,LOG_ST!AH146="X"),"N/A",LOG_ST!AH146))</f>
        <v/>
      </c>
      <c r="AE147" s="574" t="str">
        <f>IF($L147="","",IF(LOG_ST!AI146=1,"OK",IF(LOG_ST!AI146=2,"NR",IF(OR(LOG_ST!AI146=0,LOG_ST!AI146="X"),"N/A"))))</f>
        <v/>
      </c>
      <c r="AF147" s="574" t="str">
        <f>IF($L147="","",IF(LOG_ST!AJ146=1,"OK",IF(LOG_ST!AJ146=2,"NR",IF(OR(LOG_ST!AJ146=0,LOG_ST!AJ146="X"),"N/A"))))</f>
        <v/>
      </c>
      <c r="AG147" s="574" t="str">
        <f>IF($L147="","",IF(LOG_ST!AK146=1,"OK",IF(LOG_ST!AK146=2,"NR",IF(OR(LOG_ST!AK146=0,LOG_ST!AK146="X"),"N/A"))))</f>
        <v/>
      </c>
      <c r="AH147" s="574" t="str">
        <f>IF($L147="","",IF(LOG_ST!AL146=1,"OK",IF(LOG_ST!AL146=2,"NR",IF(OR(LOG_ST!AL146=0,LOG_ST!AL146="X"),"N/A"))))</f>
        <v/>
      </c>
      <c r="AI147" s="574" t="str">
        <f>IF($L147="","",IF(LOG_ST!AM146=1,"OK",IF(LOG_ST!AM146=2,"NR",IF(OR(LOG_ST!AM146=0,LOG_ST!AM146="X"),"N/A"))))</f>
        <v/>
      </c>
      <c r="AJ147" s="574" t="str">
        <f>IF($L147="","",IF(LOG_ST!AN146=1,"OK",IF(LOG_ST!AN146=2,"NR",IF(OR(LOG_ST!AN146=0,LOG_ST!AN146="X"),"N/A"))))</f>
        <v/>
      </c>
      <c r="AK147" s="574" t="str">
        <f>IF($L147="","",IF(LOG_ST!AO146=1,"OK",IF(LOG_ST!AO146=2,"NR",IF(OR(LOG_ST!AO146=0,LOG_ST!AO146="X"),"N/A"))))</f>
        <v/>
      </c>
      <c r="AL147" s="574" t="str">
        <f>IF($L147="","",IF(LOG_ST!AP146=1,"OK",IF(LOG_ST!AP146=2,"NR",IF(OR(LOG_ST!AP146=0,LOG_ST!AP146="X"),"N/A"))))</f>
        <v/>
      </c>
      <c r="AM147" s="574" t="str">
        <f>IF($L147="","",IF(LOG_ST!AQ146=1,"OK",IF(LOG_ST!AQ146=2,"NR",IF(OR(LOG_ST!AQ146=0,LOG_ST!AQ146="X"),"N/A"))))</f>
        <v/>
      </c>
      <c r="AN147" s="550" t="str">
        <f t="shared" si="2"/>
        <v/>
      </c>
    </row>
    <row r="148" spans="2:40" x14ac:dyDescent="0.25">
      <c r="B148" s="551" t="str">
        <f>IF(LOG_ST!F147="","",VLOOKUP(LOG_ST!F147,DATA_BASE!$A$46:$C$57,2,FALSE))</f>
        <v/>
      </c>
      <c r="C148" s="570" t="str">
        <f>IF(LOG_ST!G147="","",VLOOKUP(LOG_ST!G147,DATA_HDG,2,FALSE))</f>
        <v/>
      </c>
      <c r="D148" s="571" t="str">
        <f>IF(LOG_ST!H147="","",LOG_ST!H147)</f>
        <v/>
      </c>
      <c r="E148" s="570" t="str">
        <f>IF(LOG_ST!I147="","",VLOOKUP(LOG_ST!I147,DATA_COP,2,FALSE))</f>
        <v/>
      </c>
      <c r="F148" s="573" t="str">
        <f>IF(LOG_ST!J147="","",LOG_ST!J147)</f>
        <v/>
      </c>
      <c r="G148" s="570" t="str">
        <f>IF(LOG_ST!K147="","",VLOOKUP(LOG_ST!K147,DATA_SCIES,2,FALSE))</f>
        <v/>
      </c>
      <c r="H148" s="570" t="str">
        <f>IF(LOG_ST!L147="","",VLOOKUP(LOG_ST!L147,DATA_ST!$U$7:$V$64,2,FALSE))</f>
        <v/>
      </c>
      <c r="I148" s="570" t="str">
        <f>IF(LOG_ST!M147="","",LOG_ST!M147)</f>
        <v/>
      </c>
      <c r="J148" s="570" t="str">
        <f>IF(LOG_ST!N147="","",LOG_ST!N147)</f>
        <v/>
      </c>
      <c r="K148" s="573" t="str">
        <f>IF(LOG_ST!O147="","",LOG_ST!O147)</f>
        <v/>
      </c>
      <c r="L148" s="573" t="str">
        <f>IF(LOG_ST!P147="","",LOG_ST!P147)</f>
        <v/>
      </c>
      <c r="M148" s="574" t="str">
        <f>IF($L148="","",IF(LOG_ST!Q147=1,"OK",IF(LOG_ST!Q147=2,"NR",IF(OR(LOG_ST!Q147=0,LOG_ST!Q147="X"),"N/A"))))</f>
        <v/>
      </c>
      <c r="N148" s="574" t="str">
        <f>IF($L148="","",IF(LOG_ST!R147=1,"OK",IF(LOG_ST!R147=2,"NR",IF(OR(LOG_ST!R147=0,LOG_ST!R147="X"),"N/A"))))</f>
        <v/>
      </c>
      <c r="O148" s="574" t="str">
        <f>IF($L148="","",IF(LOG_ST!S147=1,"OK",IF(LOG_ST!S147=2,"NR",IF(OR(LOG_ST!S147=0,LOG_ST!S147="X"),"N/A"))))</f>
        <v/>
      </c>
      <c r="P148" s="574" t="str">
        <f>IF($L148="","",IF(LOG_ST!T147=1,"OK",IF(LOG_ST!T147=2,"NR",IF(OR(LOG_ST!T147=0,LOG_ST!T147="X"),"N/A"))))</f>
        <v/>
      </c>
      <c r="Q148" s="574" t="str">
        <f>IF($L148="","",IF(LOG_ST!U147=1,"OK",IF(LOG_ST!U147=2,"NR",IF(OR(LOG_ST!U147=0,LOG_ST!U147="X"),"N/A"))))</f>
        <v/>
      </c>
      <c r="R148" s="574" t="str">
        <f>IF($L148="","",IF(LOG_ST!V147=1,"OK",IF(LOG_ST!V147=2,"NR",IF(OR(LOG_ST!V147=0,LOG_ST!V147="X"),"N/A"))))</f>
        <v/>
      </c>
      <c r="S148" s="574" t="str">
        <f>IF($L148="","",IF(LOG_ST!W147=1,"OK",IF(LOG_ST!W147=2,"NR",IF(OR(LOG_ST!W147=0,LOG_ST!W147="X"),"N/A"))))</f>
        <v/>
      </c>
      <c r="T148" s="574" t="str">
        <f>IF($L148="","",IF(LOG_ST!X147=1,"OK",IF(LOG_ST!X147=2,"NR",IF(OR(LOG_ST!X147=0,LOG_ST!X147="X"),"N/A"))))</f>
        <v/>
      </c>
      <c r="U148" s="574" t="str">
        <f>IF($L148="","",IF(LOG_ST!Y147=1,"OK",IF(LOG_ST!Y147=2,"NR",IF(OR(LOG_ST!Y147=0,LOG_ST!Y147="X"),"N/A"))))</f>
        <v/>
      </c>
      <c r="V148" s="574" t="str">
        <f>IF($L148="","",IF(LOG_ST!Z147=1,"OK",IF(LOG_ST!Z147=2,"NR",IF(OR(LOG_ST!Z147=0,LOG_ST!Z147="X"),"N/A"))))</f>
        <v/>
      </c>
      <c r="W148" s="574" t="str">
        <f>IF($L148="","",IF(LOG_ST!AA147=1,"OK",IF(LOG_ST!AA147=2,"NR",IF(OR(LOG_ST!AA147=0,LOG_ST!AA147="X"),"N/A"))))</f>
        <v/>
      </c>
      <c r="X148" s="574" t="str">
        <f>IF($L148="","",IF(LOG_ST!AB147=1,"OK",IF(LOG_ST!AB147=2,"NR",IF(OR(LOG_ST!AB147=0,LOG_ST!AB147="X"),"N/A"))))</f>
        <v/>
      </c>
      <c r="Y148" s="574" t="str">
        <f>IF($L148="","",IF(LOG_ST!AC147=1,"OK",IF(LOG_ST!AC147=2,"NR",IF(OR(LOG_ST!AC147=0,LOG_ST!AC147="X"),"N/A"))))</f>
        <v/>
      </c>
      <c r="Z148" s="574" t="str">
        <f>IF($L148="","",IF(OR(LOG_ST!AD147=0,LOG_ST!AD147="X"),"N/A",LOG_ST!AD147))</f>
        <v/>
      </c>
      <c r="AA148" s="574" t="str">
        <f>IF($L148="","",IF(LOG_ST!AE147=1,"OK",IF(LOG_ST!AE147=2,"NR",IF(OR(LOG_ST!AE147=0,LOG_ST!AE147="X"),"N/A"))))</f>
        <v/>
      </c>
      <c r="AB148" s="574" t="str">
        <f>IF($L148="","",IF(LOG_ST!AF147=1,"OK",IF(LOG_ST!AF147=2,"NR",IF(OR(LOG_ST!AF147=0,LOG_ST!AF147="X"),"N/A"))))</f>
        <v/>
      </c>
      <c r="AC148" s="574" t="str">
        <f>IF($L148="","",IF(LOG_ST!AG147=1,"OK",IF(LOG_ST!AG147=2,"NR",IF(OR(LOG_ST!AG147=0,LOG_ST!AG147="X"),"N/A"))))</f>
        <v/>
      </c>
      <c r="AD148" s="574" t="str">
        <f>IF($L148="","",IF(OR(LOG_ST!AH147=0,LOG_ST!AH147="X"),"N/A",LOG_ST!AH147))</f>
        <v/>
      </c>
      <c r="AE148" s="574" t="str">
        <f>IF($L148="","",IF(LOG_ST!AI147=1,"OK",IF(LOG_ST!AI147=2,"NR",IF(OR(LOG_ST!AI147=0,LOG_ST!AI147="X"),"N/A"))))</f>
        <v/>
      </c>
      <c r="AF148" s="574" t="str">
        <f>IF($L148="","",IF(LOG_ST!AJ147=1,"OK",IF(LOG_ST!AJ147=2,"NR",IF(OR(LOG_ST!AJ147=0,LOG_ST!AJ147="X"),"N/A"))))</f>
        <v/>
      </c>
      <c r="AG148" s="574" t="str">
        <f>IF($L148="","",IF(LOG_ST!AK147=1,"OK",IF(LOG_ST!AK147=2,"NR",IF(OR(LOG_ST!AK147=0,LOG_ST!AK147="X"),"N/A"))))</f>
        <v/>
      </c>
      <c r="AH148" s="574" t="str">
        <f>IF($L148="","",IF(LOG_ST!AL147=1,"OK",IF(LOG_ST!AL147=2,"NR",IF(OR(LOG_ST!AL147=0,LOG_ST!AL147="X"),"N/A"))))</f>
        <v/>
      </c>
      <c r="AI148" s="574" t="str">
        <f>IF($L148="","",IF(LOG_ST!AM147=1,"OK",IF(LOG_ST!AM147=2,"NR",IF(OR(LOG_ST!AM147=0,LOG_ST!AM147="X"),"N/A"))))</f>
        <v/>
      </c>
      <c r="AJ148" s="574" t="str">
        <f>IF($L148="","",IF(LOG_ST!AN147=1,"OK",IF(LOG_ST!AN147=2,"NR",IF(OR(LOG_ST!AN147=0,LOG_ST!AN147="X"),"N/A"))))</f>
        <v/>
      </c>
      <c r="AK148" s="574" t="str">
        <f>IF($L148="","",IF(LOG_ST!AO147=1,"OK",IF(LOG_ST!AO147=2,"NR",IF(OR(LOG_ST!AO147=0,LOG_ST!AO147="X"),"N/A"))))</f>
        <v/>
      </c>
      <c r="AL148" s="574" t="str">
        <f>IF($L148="","",IF(LOG_ST!AP147=1,"OK",IF(LOG_ST!AP147=2,"NR",IF(OR(LOG_ST!AP147=0,LOG_ST!AP147="X"),"N/A"))))</f>
        <v/>
      </c>
      <c r="AM148" s="574" t="str">
        <f>IF($L148="","",IF(LOG_ST!AQ147=1,"OK",IF(LOG_ST!AQ147=2,"NR",IF(OR(LOG_ST!AQ147=0,LOG_ST!AQ147="X"),"N/A"))))</f>
        <v/>
      </c>
      <c r="AN148" s="550" t="str">
        <f t="shared" si="2"/>
        <v/>
      </c>
    </row>
    <row r="149" spans="2:40" x14ac:dyDescent="0.25">
      <c r="B149" s="551" t="str">
        <f>IF(LOG_ST!F148="","",VLOOKUP(LOG_ST!F148,DATA_BASE!$A$46:$C$57,2,FALSE))</f>
        <v/>
      </c>
      <c r="C149" s="570" t="str">
        <f>IF(LOG_ST!G148="","",VLOOKUP(LOG_ST!G148,DATA_HDG,2,FALSE))</f>
        <v/>
      </c>
      <c r="D149" s="571" t="str">
        <f>IF(LOG_ST!H148="","",LOG_ST!H148)</f>
        <v/>
      </c>
      <c r="E149" s="570" t="str">
        <f>IF(LOG_ST!I148="","",VLOOKUP(LOG_ST!I148,DATA_COP,2,FALSE))</f>
        <v/>
      </c>
      <c r="F149" s="573" t="str">
        <f>IF(LOG_ST!J148="","",LOG_ST!J148)</f>
        <v/>
      </c>
      <c r="G149" s="570" t="str">
        <f>IF(LOG_ST!K148="","",VLOOKUP(LOG_ST!K148,DATA_SCIES,2,FALSE))</f>
        <v/>
      </c>
      <c r="H149" s="570" t="str">
        <f>IF(LOG_ST!L148="","",VLOOKUP(LOG_ST!L148,DATA_ST!$U$7:$V$64,2,FALSE))</f>
        <v/>
      </c>
      <c r="I149" s="570" t="str">
        <f>IF(LOG_ST!M148="","",LOG_ST!M148)</f>
        <v/>
      </c>
      <c r="J149" s="570" t="str">
        <f>IF(LOG_ST!N148="","",LOG_ST!N148)</f>
        <v/>
      </c>
      <c r="K149" s="573" t="str">
        <f>IF(LOG_ST!O148="","",LOG_ST!O148)</f>
        <v/>
      </c>
      <c r="L149" s="573" t="str">
        <f>IF(LOG_ST!P148="","",LOG_ST!P148)</f>
        <v/>
      </c>
      <c r="M149" s="574" t="str">
        <f>IF($L149="","",IF(LOG_ST!Q148=1,"OK",IF(LOG_ST!Q148=2,"NR",IF(OR(LOG_ST!Q148=0,LOG_ST!Q148="X"),"N/A"))))</f>
        <v/>
      </c>
      <c r="N149" s="574" t="str">
        <f>IF($L149="","",IF(LOG_ST!R148=1,"OK",IF(LOG_ST!R148=2,"NR",IF(OR(LOG_ST!R148=0,LOG_ST!R148="X"),"N/A"))))</f>
        <v/>
      </c>
      <c r="O149" s="574" t="str">
        <f>IF($L149="","",IF(LOG_ST!S148=1,"OK",IF(LOG_ST!S148=2,"NR",IF(OR(LOG_ST!S148=0,LOG_ST!S148="X"),"N/A"))))</f>
        <v/>
      </c>
      <c r="P149" s="574" t="str">
        <f>IF($L149="","",IF(LOG_ST!T148=1,"OK",IF(LOG_ST!T148=2,"NR",IF(OR(LOG_ST!T148=0,LOG_ST!T148="X"),"N/A"))))</f>
        <v/>
      </c>
      <c r="Q149" s="574" t="str">
        <f>IF($L149="","",IF(LOG_ST!U148=1,"OK",IF(LOG_ST!U148=2,"NR",IF(OR(LOG_ST!U148=0,LOG_ST!U148="X"),"N/A"))))</f>
        <v/>
      </c>
      <c r="R149" s="574" t="str">
        <f>IF($L149="","",IF(LOG_ST!V148=1,"OK",IF(LOG_ST!V148=2,"NR",IF(OR(LOG_ST!V148=0,LOG_ST!V148="X"),"N/A"))))</f>
        <v/>
      </c>
      <c r="S149" s="574" t="str">
        <f>IF($L149="","",IF(LOG_ST!W148=1,"OK",IF(LOG_ST!W148=2,"NR",IF(OR(LOG_ST!W148=0,LOG_ST!W148="X"),"N/A"))))</f>
        <v/>
      </c>
      <c r="T149" s="574" t="str">
        <f>IF($L149="","",IF(LOG_ST!X148=1,"OK",IF(LOG_ST!X148=2,"NR",IF(OR(LOG_ST!X148=0,LOG_ST!X148="X"),"N/A"))))</f>
        <v/>
      </c>
      <c r="U149" s="574" t="str">
        <f>IF($L149="","",IF(LOG_ST!Y148=1,"OK",IF(LOG_ST!Y148=2,"NR",IF(OR(LOG_ST!Y148=0,LOG_ST!Y148="X"),"N/A"))))</f>
        <v/>
      </c>
      <c r="V149" s="574" t="str">
        <f>IF($L149="","",IF(LOG_ST!Z148=1,"OK",IF(LOG_ST!Z148=2,"NR",IF(OR(LOG_ST!Z148=0,LOG_ST!Z148="X"),"N/A"))))</f>
        <v/>
      </c>
      <c r="W149" s="574" t="str">
        <f>IF($L149="","",IF(LOG_ST!AA148=1,"OK",IF(LOG_ST!AA148=2,"NR",IF(OR(LOG_ST!AA148=0,LOG_ST!AA148="X"),"N/A"))))</f>
        <v/>
      </c>
      <c r="X149" s="574" t="str">
        <f>IF($L149="","",IF(LOG_ST!AB148=1,"OK",IF(LOG_ST!AB148=2,"NR",IF(OR(LOG_ST!AB148=0,LOG_ST!AB148="X"),"N/A"))))</f>
        <v/>
      </c>
      <c r="Y149" s="574" t="str">
        <f>IF($L149="","",IF(LOG_ST!AC148=1,"OK",IF(LOG_ST!AC148=2,"NR",IF(OR(LOG_ST!AC148=0,LOG_ST!AC148="X"),"N/A"))))</f>
        <v/>
      </c>
      <c r="Z149" s="574" t="str">
        <f>IF($L149="","",IF(OR(LOG_ST!AD148=0,LOG_ST!AD148="X"),"N/A",LOG_ST!AD148))</f>
        <v/>
      </c>
      <c r="AA149" s="574" t="str">
        <f>IF($L149="","",IF(LOG_ST!AE148=1,"OK",IF(LOG_ST!AE148=2,"NR",IF(OR(LOG_ST!AE148=0,LOG_ST!AE148="X"),"N/A"))))</f>
        <v/>
      </c>
      <c r="AB149" s="574" t="str">
        <f>IF($L149="","",IF(LOG_ST!AF148=1,"OK",IF(LOG_ST!AF148=2,"NR",IF(OR(LOG_ST!AF148=0,LOG_ST!AF148="X"),"N/A"))))</f>
        <v/>
      </c>
      <c r="AC149" s="574" t="str">
        <f>IF($L149="","",IF(LOG_ST!AG148=1,"OK",IF(LOG_ST!AG148=2,"NR",IF(OR(LOG_ST!AG148=0,LOG_ST!AG148="X"),"N/A"))))</f>
        <v/>
      </c>
      <c r="AD149" s="574" t="str">
        <f>IF($L149="","",IF(OR(LOG_ST!AH148=0,LOG_ST!AH148="X"),"N/A",LOG_ST!AH148))</f>
        <v/>
      </c>
      <c r="AE149" s="574" t="str">
        <f>IF($L149="","",IF(LOG_ST!AI148=1,"OK",IF(LOG_ST!AI148=2,"NR",IF(OR(LOG_ST!AI148=0,LOG_ST!AI148="X"),"N/A"))))</f>
        <v/>
      </c>
      <c r="AF149" s="574" t="str">
        <f>IF($L149="","",IF(LOG_ST!AJ148=1,"OK",IF(LOG_ST!AJ148=2,"NR",IF(OR(LOG_ST!AJ148=0,LOG_ST!AJ148="X"),"N/A"))))</f>
        <v/>
      </c>
      <c r="AG149" s="574" t="str">
        <f>IF($L149="","",IF(LOG_ST!AK148=1,"OK",IF(LOG_ST!AK148=2,"NR",IF(OR(LOG_ST!AK148=0,LOG_ST!AK148="X"),"N/A"))))</f>
        <v/>
      </c>
      <c r="AH149" s="574" t="str">
        <f>IF($L149="","",IF(LOG_ST!AL148=1,"OK",IF(LOG_ST!AL148=2,"NR",IF(OR(LOG_ST!AL148=0,LOG_ST!AL148="X"),"N/A"))))</f>
        <v/>
      </c>
      <c r="AI149" s="574" t="str">
        <f>IF($L149="","",IF(LOG_ST!AM148=1,"OK",IF(LOG_ST!AM148=2,"NR",IF(OR(LOG_ST!AM148=0,LOG_ST!AM148="X"),"N/A"))))</f>
        <v/>
      </c>
      <c r="AJ149" s="574" t="str">
        <f>IF($L149="","",IF(LOG_ST!AN148=1,"OK",IF(LOG_ST!AN148=2,"NR",IF(OR(LOG_ST!AN148=0,LOG_ST!AN148="X"),"N/A"))))</f>
        <v/>
      </c>
      <c r="AK149" s="574" t="str">
        <f>IF($L149="","",IF(LOG_ST!AO148=1,"OK",IF(LOG_ST!AO148=2,"NR",IF(OR(LOG_ST!AO148=0,LOG_ST!AO148="X"),"N/A"))))</f>
        <v/>
      </c>
      <c r="AL149" s="574" t="str">
        <f>IF($L149="","",IF(LOG_ST!AP148=1,"OK",IF(LOG_ST!AP148=2,"NR",IF(OR(LOG_ST!AP148=0,LOG_ST!AP148="X"),"N/A"))))</f>
        <v/>
      </c>
      <c r="AM149" s="574" t="str">
        <f>IF($L149="","",IF(LOG_ST!AQ148=1,"OK",IF(LOG_ST!AQ148=2,"NR",IF(OR(LOG_ST!AQ148=0,LOG_ST!AQ148="X"),"N/A"))))</f>
        <v/>
      </c>
      <c r="AN149" s="550" t="str">
        <f t="shared" si="2"/>
        <v/>
      </c>
    </row>
    <row r="150" spans="2:40" x14ac:dyDescent="0.25">
      <c r="B150" s="551" t="str">
        <f>IF(LOG_ST!F149="","",VLOOKUP(LOG_ST!F149,DATA_BASE!$A$46:$C$57,2,FALSE))</f>
        <v/>
      </c>
      <c r="C150" s="570" t="str">
        <f>IF(LOG_ST!G149="","",VLOOKUP(LOG_ST!G149,DATA_HDG,2,FALSE))</f>
        <v/>
      </c>
      <c r="D150" s="571" t="str">
        <f>IF(LOG_ST!H149="","",LOG_ST!H149)</f>
        <v/>
      </c>
      <c r="E150" s="570" t="str">
        <f>IF(LOG_ST!I149="","",VLOOKUP(LOG_ST!I149,DATA_COP,2,FALSE))</f>
        <v/>
      </c>
      <c r="F150" s="573" t="str">
        <f>IF(LOG_ST!J149="","",LOG_ST!J149)</f>
        <v/>
      </c>
      <c r="G150" s="570" t="str">
        <f>IF(LOG_ST!K149="","",VLOOKUP(LOG_ST!K149,DATA_SCIES,2,FALSE))</f>
        <v/>
      </c>
      <c r="H150" s="570" t="str">
        <f>IF(LOG_ST!L149="","",VLOOKUP(LOG_ST!L149,DATA_ST!$U$7:$V$64,2,FALSE))</f>
        <v/>
      </c>
      <c r="I150" s="570" t="str">
        <f>IF(LOG_ST!M149="","",LOG_ST!M149)</f>
        <v/>
      </c>
      <c r="J150" s="570" t="str">
        <f>IF(LOG_ST!N149="","",LOG_ST!N149)</f>
        <v/>
      </c>
      <c r="K150" s="573" t="str">
        <f>IF(LOG_ST!O149="","",LOG_ST!O149)</f>
        <v/>
      </c>
      <c r="L150" s="573" t="str">
        <f>IF(LOG_ST!P149="","",LOG_ST!P149)</f>
        <v/>
      </c>
      <c r="M150" s="574" t="str">
        <f>IF($L150="","",IF(LOG_ST!Q149=1,"OK",IF(LOG_ST!Q149=2,"NR",IF(OR(LOG_ST!Q149=0,LOG_ST!Q149="X"),"N/A"))))</f>
        <v/>
      </c>
      <c r="N150" s="574" t="str">
        <f>IF($L150="","",IF(LOG_ST!R149=1,"OK",IF(LOG_ST!R149=2,"NR",IF(OR(LOG_ST!R149=0,LOG_ST!R149="X"),"N/A"))))</f>
        <v/>
      </c>
      <c r="O150" s="574" t="str">
        <f>IF($L150="","",IF(LOG_ST!S149=1,"OK",IF(LOG_ST!S149=2,"NR",IF(OR(LOG_ST!S149=0,LOG_ST!S149="X"),"N/A"))))</f>
        <v/>
      </c>
      <c r="P150" s="574" t="str">
        <f>IF($L150="","",IF(LOG_ST!T149=1,"OK",IF(LOG_ST!T149=2,"NR",IF(OR(LOG_ST!T149=0,LOG_ST!T149="X"),"N/A"))))</f>
        <v/>
      </c>
      <c r="Q150" s="574" t="str">
        <f>IF($L150="","",IF(LOG_ST!U149=1,"OK",IF(LOG_ST!U149=2,"NR",IF(OR(LOG_ST!U149=0,LOG_ST!U149="X"),"N/A"))))</f>
        <v/>
      </c>
      <c r="R150" s="574" t="str">
        <f>IF($L150="","",IF(LOG_ST!V149=1,"OK",IF(LOG_ST!V149=2,"NR",IF(OR(LOG_ST!V149=0,LOG_ST!V149="X"),"N/A"))))</f>
        <v/>
      </c>
      <c r="S150" s="574" t="str">
        <f>IF($L150="","",IF(LOG_ST!W149=1,"OK",IF(LOG_ST!W149=2,"NR",IF(OR(LOG_ST!W149=0,LOG_ST!W149="X"),"N/A"))))</f>
        <v/>
      </c>
      <c r="T150" s="574" t="str">
        <f>IF($L150="","",IF(LOG_ST!X149=1,"OK",IF(LOG_ST!X149=2,"NR",IF(OR(LOG_ST!X149=0,LOG_ST!X149="X"),"N/A"))))</f>
        <v/>
      </c>
      <c r="U150" s="574" t="str">
        <f>IF($L150="","",IF(LOG_ST!Y149=1,"OK",IF(LOG_ST!Y149=2,"NR",IF(OR(LOG_ST!Y149=0,LOG_ST!Y149="X"),"N/A"))))</f>
        <v/>
      </c>
      <c r="V150" s="574" t="str">
        <f>IF($L150="","",IF(LOG_ST!Z149=1,"OK",IF(LOG_ST!Z149=2,"NR",IF(OR(LOG_ST!Z149=0,LOG_ST!Z149="X"),"N/A"))))</f>
        <v/>
      </c>
      <c r="W150" s="574" t="str">
        <f>IF($L150="","",IF(LOG_ST!AA149=1,"OK",IF(LOG_ST!AA149=2,"NR",IF(OR(LOG_ST!AA149=0,LOG_ST!AA149="X"),"N/A"))))</f>
        <v/>
      </c>
      <c r="X150" s="574" t="str">
        <f>IF($L150="","",IF(LOG_ST!AB149=1,"OK",IF(LOG_ST!AB149=2,"NR",IF(OR(LOG_ST!AB149=0,LOG_ST!AB149="X"),"N/A"))))</f>
        <v/>
      </c>
      <c r="Y150" s="574" t="str">
        <f>IF($L150="","",IF(LOG_ST!AC149=1,"OK",IF(LOG_ST!AC149=2,"NR",IF(OR(LOG_ST!AC149=0,LOG_ST!AC149="X"),"N/A"))))</f>
        <v/>
      </c>
      <c r="Z150" s="574" t="str">
        <f>IF($L150="","",IF(OR(LOG_ST!AD149=0,LOG_ST!AD149="X"),"N/A",LOG_ST!AD149))</f>
        <v/>
      </c>
      <c r="AA150" s="574" t="str">
        <f>IF($L150="","",IF(LOG_ST!AE149=1,"OK",IF(LOG_ST!AE149=2,"NR",IF(OR(LOG_ST!AE149=0,LOG_ST!AE149="X"),"N/A"))))</f>
        <v/>
      </c>
      <c r="AB150" s="574" t="str">
        <f>IF($L150="","",IF(LOG_ST!AF149=1,"OK",IF(LOG_ST!AF149=2,"NR",IF(OR(LOG_ST!AF149=0,LOG_ST!AF149="X"),"N/A"))))</f>
        <v/>
      </c>
      <c r="AC150" s="574" t="str">
        <f>IF($L150="","",IF(LOG_ST!AG149=1,"OK",IF(LOG_ST!AG149=2,"NR",IF(OR(LOG_ST!AG149=0,LOG_ST!AG149="X"),"N/A"))))</f>
        <v/>
      </c>
      <c r="AD150" s="574" t="str">
        <f>IF($L150="","",IF(OR(LOG_ST!AH149=0,LOG_ST!AH149="X"),"N/A",LOG_ST!AH149))</f>
        <v/>
      </c>
      <c r="AE150" s="574" t="str">
        <f>IF($L150="","",IF(LOG_ST!AI149=1,"OK",IF(LOG_ST!AI149=2,"NR",IF(OR(LOG_ST!AI149=0,LOG_ST!AI149="X"),"N/A"))))</f>
        <v/>
      </c>
      <c r="AF150" s="574" t="str">
        <f>IF($L150="","",IF(LOG_ST!AJ149=1,"OK",IF(LOG_ST!AJ149=2,"NR",IF(OR(LOG_ST!AJ149=0,LOG_ST!AJ149="X"),"N/A"))))</f>
        <v/>
      </c>
      <c r="AG150" s="574" t="str">
        <f>IF($L150="","",IF(LOG_ST!AK149=1,"OK",IF(LOG_ST!AK149=2,"NR",IF(OR(LOG_ST!AK149=0,LOG_ST!AK149="X"),"N/A"))))</f>
        <v/>
      </c>
      <c r="AH150" s="574" t="str">
        <f>IF($L150="","",IF(LOG_ST!AL149=1,"OK",IF(LOG_ST!AL149=2,"NR",IF(OR(LOG_ST!AL149=0,LOG_ST!AL149="X"),"N/A"))))</f>
        <v/>
      </c>
      <c r="AI150" s="574" t="str">
        <f>IF($L150="","",IF(LOG_ST!AM149=1,"OK",IF(LOG_ST!AM149=2,"NR",IF(OR(LOG_ST!AM149=0,LOG_ST!AM149="X"),"N/A"))))</f>
        <v/>
      </c>
      <c r="AJ150" s="574" t="str">
        <f>IF($L150="","",IF(LOG_ST!AN149=1,"OK",IF(LOG_ST!AN149=2,"NR",IF(OR(LOG_ST!AN149=0,LOG_ST!AN149="X"),"N/A"))))</f>
        <v/>
      </c>
      <c r="AK150" s="574" t="str">
        <f>IF($L150="","",IF(LOG_ST!AO149=1,"OK",IF(LOG_ST!AO149=2,"NR",IF(OR(LOG_ST!AO149=0,LOG_ST!AO149="X"),"N/A"))))</f>
        <v/>
      </c>
      <c r="AL150" s="574" t="str">
        <f>IF($L150="","",IF(LOG_ST!AP149=1,"OK",IF(LOG_ST!AP149=2,"NR",IF(OR(LOG_ST!AP149=0,LOG_ST!AP149="X"),"N/A"))))</f>
        <v/>
      </c>
      <c r="AM150" s="574" t="str">
        <f>IF($L150="","",IF(LOG_ST!AQ149=1,"OK",IF(LOG_ST!AQ149=2,"NR",IF(OR(LOG_ST!AQ149=0,LOG_ST!AQ149="X"),"N/A"))))</f>
        <v/>
      </c>
      <c r="AN150" s="550" t="str">
        <f t="shared" si="2"/>
        <v/>
      </c>
    </row>
    <row r="151" spans="2:40" x14ac:dyDescent="0.25">
      <c r="B151" s="551" t="str">
        <f>IF(LOG_ST!F150="","",VLOOKUP(LOG_ST!F150,DATA_BASE!$A$46:$C$57,2,FALSE))</f>
        <v/>
      </c>
      <c r="C151" s="570" t="str">
        <f>IF(LOG_ST!G150="","",VLOOKUP(LOG_ST!G150,DATA_HDG,2,FALSE))</f>
        <v/>
      </c>
      <c r="D151" s="571" t="str">
        <f>IF(LOG_ST!H150="","",LOG_ST!H150)</f>
        <v/>
      </c>
      <c r="E151" s="570" t="str">
        <f>IF(LOG_ST!I150="","",VLOOKUP(LOG_ST!I150,DATA_COP,2,FALSE))</f>
        <v/>
      </c>
      <c r="F151" s="573" t="str">
        <f>IF(LOG_ST!J150="","",LOG_ST!J150)</f>
        <v/>
      </c>
      <c r="G151" s="570" t="str">
        <f>IF(LOG_ST!K150="","",VLOOKUP(LOG_ST!K150,DATA_SCIES,2,FALSE))</f>
        <v/>
      </c>
      <c r="H151" s="570" t="str">
        <f>IF(LOG_ST!L150="","",VLOOKUP(LOG_ST!L150,DATA_ST!$U$7:$V$64,2,FALSE))</f>
        <v/>
      </c>
      <c r="I151" s="570" t="str">
        <f>IF(LOG_ST!M150="","",LOG_ST!M150)</f>
        <v/>
      </c>
      <c r="J151" s="570" t="str">
        <f>IF(LOG_ST!N150="","",LOG_ST!N150)</f>
        <v/>
      </c>
      <c r="K151" s="573" t="str">
        <f>IF(LOG_ST!O150="","",LOG_ST!O150)</f>
        <v/>
      </c>
      <c r="L151" s="573" t="str">
        <f>IF(LOG_ST!P150="","",LOG_ST!P150)</f>
        <v/>
      </c>
      <c r="M151" s="574" t="str">
        <f>IF($L151="","",IF(LOG_ST!Q150=1,"OK",IF(LOG_ST!Q150=2,"NR",IF(OR(LOG_ST!Q150=0,LOG_ST!Q150="X"),"N/A"))))</f>
        <v/>
      </c>
      <c r="N151" s="574" t="str">
        <f>IF($L151="","",IF(LOG_ST!R150=1,"OK",IF(LOG_ST!R150=2,"NR",IF(OR(LOG_ST!R150=0,LOG_ST!R150="X"),"N/A"))))</f>
        <v/>
      </c>
      <c r="O151" s="574" t="str">
        <f>IF($L151="","",IF(LOG_ST!S150=1,"OK",IF(LOG_ST!S150=2,"NR",IF(OR(LOG_ST!S150=0,LOG_ST!S150="X"),"N/A"))))</f>
        <v/>
      </c>
      <c r="P151" s="574" t="str">
        <f>IF($L151="","",IF(LOG_ST!T150=1,"OK",IF(LOG_ST!T150=2,"NR",IF(OR(LOG_ST!T150=0,LOG_ST!T150="X"),"N/A"))))</f>
        <v/>
      </c>
      <c r="Q151" s="574" t="str">
        <f>IF($L151="","",IF(LOG_ST!U150=1,"OK",IF(LOG_ST!U150=2,"NR",IF(OR(LOG_ST!U150=0,LOG_ST!U150="X"),"N/A"))))</f>
        <v/>
      </c>
      <c r="R151" s="574" t="str">
        <f>IF($L151="","",IF(LOG_ST!V150=1,"OK",IF(LOG_ST!V150=2,"NR",IF(OR(LOG_ST!V150=0,LOG_ST!V150="X"),"N/A"))))</f>
        <v/>
      </c>
      <c r="S151" s="574" t="str">
        <f>IF($L151="","",IF(LOG_ST!W150=1,"OK",IF(LOG_ST!W150=2,"NR",IF(OR(LOG_ST!W150=0,LOG_ST!W150="X"),"N/A"))))</f>
        <v/>
      </c>
      <c r="T151" s="574" t="str">
        <f>IF($L151="","",IF(LOG_ST!X150=1,"OK",IF(LOG_ST!X150=2,"NR",IF(OR(LOG_ST!X150=0,LOG_ST!X150="X"),"N/A"))))</f>
        <v/>
      </c>
      <c r="U151" s="574" t="str">
        <f>IF($L151="","",IF(LOG_ST!Y150=1,"OK",IF(LOG_ST!Y150=2,"NR",IF(OR(LOG_ST!Y150=0,LOG_ST!Y150="X"),"N/A"))))</f>
        <v/>
      </c>
      <c r="V151" s="574" t="str">
        <f>IF($L151="","",IF(LOG_ST!Z150=1,"OK",IF(LOG_ST!Z150=2,"NR",IF(OR(LOG_ST!Z150=0,LOG_ST!Z150="X"),"N/A"))))</f>
        <v/>
      </c>
      <c r="W151" s="574" t="str">
        <f>IF($L151="","",IF(LOG_ST!AA150=1,"OK",IF(LOG_ST!AA150=2,"NR",IF(OR(LOG_ST!AA150=0,LOG_ST!AA150="X"),"N/A"))))</f>
        <v/>
      </c>
      <c r="X151" s="574" t="str">
        <f>IF($L151="","",IF(LOG_ST!AB150=1,"OK",IF(LOG_ST!AB150=2,"NR",IF(OR(LOG_ST!AB150=0,LOG_ST!AB150="X"),"N/A"))))</f>
        <v/>
      </c>
      <c r="Y151" s="574" t="str">
        <f>IF($L151="","",IF(LOG_ST!AC150=1,"OK",IF(LOG_ST!AC150=2,"NR",IF(OR(LOG_ST!AC150=0,LOG_ST!AC150="X"),"N/A"))))</f>
        <v/>
      </c>
      <c r="Z151" s="574" t="str">
        <f>IF($L151="","",IF(OR(LOG_ST!AD150=0,LOG_ST!AD150="X"),"N/A",LOG_ST!AD150))</f>
        <v/>
      </c>
      <c r="AA151" s="574" t="str">
        <f>IF($L151="","",IF(LOG_ST!AE150=1,"OK",IF(LOG_ST!AE150=2,"NR",IF(OR(LOG_ST!AE150=0,LOG_ST!AE150="X"),"N/A"))))</f>
        <v/>
      </c>
      <c r="AB151" s="574" t="str">
        <f>IF($L151="","",IF(LOG_ST!AF150=1,"OK",IF(LOG_ST!AF150=2,"NR",IF(OR(LOG_ST!AF150=0,LOG_ST!AF150="X"),"N/A"))))</f>
        <v/>
      </c>
      <c r="AC151" s="574" t="str">
        <f>IF($L151="","",IF(LOG_ST!AG150=1,"OK",IF(LOG_ST!AG150=2,"NR",IF(OR(LOG_ST!AG150=0,LOG_ST!AG150="X"),"N/A"))))</f>
        <v/>
      </c>
      <c r="AD151" s="574" t="str">
        <f>IF($L151="","",IF(OR(LOG_ST!AH150=0,LOG_ST!AH150="X"),"N/A",LOG_ST!AH150))</f>
        <v/>
      </c>
      <c r="AE151" s="574" t="str">
        <f>IF($L151="","",IF(LOG_ST!AI150=1,"OK",IF(LOG_ST!AI150=2,"NR",IF(OR(LOG_ST!AI150=0,LOG_ST!AI150="X"),"N/A"))))</f>
        <v/>
      </c>
      <c r="AF151" s="574" t="str">
        <f>IF($L151="","",IF(LOG_ST!AJ150=1,"OK",IF(LOG_ST!AJ150=2,"NR",IF(OR(LOG_ST!AJ150=0,LOG_ST!AJ150="X"),"N/A"))))</f>
        <v/>
      </c>
      <c r="AG151" s="574" t="str">
        <f>IF($L151="","",IF(LOG_ST!AK150=1,"OK",IF(LOG_ST!AK150=2,"NR",IF(OR(LOG_ST!AK150=0,LOG_ST!AK150="X"),"N/A"))))</f>
        <v/>
      </c>
      <c r="AH151" s="574" t="str">
        <f>IF($L151="","",IF(LOG_ST!AL150=1,"OK",IF(LOG_ST!AL150=2,"NR",IF(OR(LOG_ST!AL150=0,LOG_ST!AL150="X"),"N/A"))))</f>
        <v/>
      </c>
      <c r="AI151" s="574" t="str">
        <f>IF($L151="","",IF(LOG_ST!AM150=1,"OK",IF(LOG_ST!AM150=2,"NR",IF(OR(LOG_ST!AM150=0,LOG_ST!AM150="X"),"N/A"))))</f>
        <v/>
      </c>
      <c r="AJ151" s="574" t="str">
        <f>IF($L151="","",IF(LOG_ST!AN150=1,"OK",IF(LOG_ST!AN150=2,"NR",IF(OR(LOG_ST!AN150=0,LOG_ST!AN150="X"),"N/A"))))</f>
        <v/>
      </c>
      <c r="AK151" s="574" t="str">
        <f>IF($L151="","",IF(LOG_ST!AO150=1,"OK",IF(LOG_ST!AO150=2,"NR",IF(OR(LOG_ST!AO150=0,LOG_ST!AO150="X"),"N/A"))))</f>
        <v/>
      </c>
      <c r="AL151" s="574" t="str">
        <f>IF($L151="","",IF(LOG_ST!AP150=1,"OK",IF(LOG_ST!AP150=2,"NR",IF(OR(LOG_ST!AP150=0,LOG_ST!AP150="X"),"N/A"))))</f>
        <v/>
      </c>
      <c r="AM151" s="574" t="str">
        <f>IF($L151="","",IF(LOG_ST!AQ150=1,"OK",IF(LOG_ST!AQ150=2,"NR",IF(OR(LOG_ST!AQ150=0,LOG_ST!AQ150="X"),"N/A"))))</f>
        <v/>
      </c>
      <c r="AN151" s="550" t="str">
        <f t="shared" si="2"/>
        <v/>
      </c>
    </row>
    <row r="152" spans="2:40" x14ac:dyDescent="0.25">
      <c r="B152" s="551" t="str">
        <f>IF(LOG_ST!F151="","",VLOOKUP(LOG_ST!F151,DATA_BASE!$A$46:$C$57,2,FALSE))</f>
        <v/>
      </c>
      <c r="C152" s="570" t="str">
        <f>IF(LOG_ST!G151="","",VLOOKUP(LOG_ST!G151,DATA_HDG,2,FALSE))</f>
        <v/>
      </c>
      <c r="D152" s="571" t="str">
        <f>IF(LOG_ST!H151="","",LOG_ST!H151)</f>
        <v/>
      </c>
      <c r="E152" s="570" t="str">
        <f>IF(LOG_ST!I151="","",VLOOKUP(LOG_ST!I151,DATA_COP,2,FALSE))</f>
        <v/>
      </c>
      <c r="F152" s="573" t="str">
        <f>IF(LOG_ST!J151="","",LOG_ST!J151)</f>
        <v/>
      </c>
      <c r="G152" s="570" t="str">
        <f>IF(LOG_ST!K151="","",VLOOKUP(LOG_ST!K151,DATA_SCIES,2,FALSE))</f>
        <v/>
      </c>
      <c r="H152" s="570" t="str">
        <f>IF(LOG_ST!L151="","",VLOOKUP(LOG_ST!L151,DATA_ST!$U$7:$V$64,2,FALSE))</f>
        <v/>
      </c>
      <c r="I152" s="570" t="str">
        <f>IF(LOG_ST!M151="","",LOG_ST!M151)</f>
        <v/>
      </c>
      <c r="J152" s="570" t="str">
        <f>IF(LOG_ST!N151="","",LOG_ST!N151)</f>
        <v/>
      </c>
      <c r="K152" s="573" t="str">
        <f>IF(LOG_ST!O151="","",LOG_ST!O151)</f>
        <v/>
      </c>
      <c r="L152" s="573" t="str">
        <f>IF(LOG_ST!P151="","",LOG_ST!P151)</f>
        <v/>
      </c>
      <c r="M152" s="574" t="str">
        <f>IF($L152="","",IF(LOG_ST!Q151=1,"OK",IF(LOG_ST!Q151=2,"NR",IF(OR(LOG_ST!Q151=0,LOG_ST!Q151="X"),"N/A"))))</f>
        <v/>
      </c>
      <c r="N152" s="574" t="str">
        <f>IF($L152="","",IF(LOG_ST!R151=1,"OK",IF(LOG_ST!R151=2,"NR",IF(OR(LOG_ST!R151=0,LOG_ST!R151="X"),"N/A"))))</f>
        <v/>
      </c>
      <c r="O152" s="574" t="str">
        <f>IF($L152="","",IF(LOG_ST!S151=1,"OK",IF(LOG_ST!S151=2,"NR",IF(OR(LOG_ST!S151=0,LOG_ST!S151="X"),"N/A"))))</f>
        <v/>
      </c>
      <c r="P152" s="574" t="str">
        <f>IF($L152="","",IF(LOG_ST!T151=1,"OK",IF(LOG_ST!T151=2,"NR",IF(OR(LOG_ST!T151=0,LOG_ST!T151="X"),"N/A"))))</f>
        <v/>
      </c>
      <c r="Q152" s="574" t="str">
        <f>IF($L152="","",IF(LOG_ST!U151=1,"OK",IF(LOG_ST!U151=2,"NR",IF(OR(LOG_ST!U151=0,LOG_ST!U151="X"),"N/A"))))</f>
        <v/>
      </c>
      <c r="R152" s="574" t="str">
        <f>IF($L152="","",IF(LOG_ST!V151=1,"OK",IF(LOG_ST!V151=2,"NR",IF(OR(LOG_ST!V151=0,LOG_ST!V151="X"),"N/A"))))</f>
        <v/>
      </c>
      <c r="S152" s="574" t="str">
        <f>IF($L152="","",IF(LOG_ST!W151=1,"OK",IF(LOG_ST!W151=2,"NR",IF(OR(LOG_ST!W151=0,LOG_ST!W151="X"),"N/A"))))</f>
        <v/>
      </c>
      <c r="T152" s="574" t="str">
        <f>IF($L152="","",IF(LOG_ST!X151=1,"OK",IF(LOG_ST!X151=2,"NR",IF(OR(LOG_ST!X151=0,LOG_ST!X151="X"),"N/A"))))</f>
        <v/>
      </c>
      <c r="U152" s="574" t="str">
        <f>IF($L152="","",IF(LOG_ST!Y151=1,"OK",IF(LOG_ST!Y151=2,"NR",IF(OR(LOG_ST!Y151=0,LOG_ST!Y151="X"),"N/A"))))</f>
        <v/>
      </c>
      <c r="V152" s="574" t="str">
        <f>IF($L152="","",IF(LOG_ST!Z151=1,"OK",IF(LOG_ST!Z151=2,"NR",IF(OR(LOG_ST!Z151=0,LOG_ST!Z151="X"),"N/A"))))</f>
        <v/>
      </c>
      <c r="W152" s="574" t="str">
        <f>IF($L152="","",IF(LOG_ST!AA151=1,"OK",IF(LOG_ST!AA151=2,"NR",IF(OR(LOG_ST!AA151=0,LOG_ST!AA151="X"),"N/A"))))</f>
        <v/>
      </c>
      <c r="X152" s="574" t="str">
        <f>IF($L152="","",IF(LOG_ST!AB151=1,"OK",IF(LOG_ST!AB151=2,"NR",IF(OR(LOG_ST!AB151=0,LOG_ST!AB151="X"),"N/A"))))</f>
        <v/>
      </c>
      <c r="Y152" s="574" t="str">
        <f>IF($L152="","",IF(LOG_ST!AC151=1,"OK",IF(LOG_ST!AC151=2,"NR",IF(OR(LOG_ST!AC151=0,LOG_ST!AC151="X"),"N/A"))))</f>
        <v/>
      </c>
      <c r="Z152" s="574" t="str">
        <f>IF($L152="","",IF(OR(LOG_ST!AD151=0,LOG_ST!AD151="X"),"N/A",LOG_ST!AD151))</f>
        <v/>
      </c>
      <c r="AA152" s="574" t="str">
        <f>IF($L152="","",IF(LOG_ST!AE151=1,"OK",IF(LOG_ST!AE151=2,"NR",IF(OR(LOG_ST!AE151=0,LOG_ST!AE151="X"),"N/A"))))</f>
        <v/>
      </c>
      <c r="AB152" s="574" t="str">
        <f>IF($L152="","",IF(LOG_ST!AF151=1,"OK",IF(LOG_ST!AF151=2,"NR",IF(OR(LOG_ST!AF151=0,LOG_ST!AF151="X"),"N/A"))))</f>
        <v/>
      </c>
      <c r="AC152" s="574" t="str">
        <f>IF($L152="","",IF(LOG_ST!AG151=1,"OK",IF(LOG_ST!AG151=2,"NR",IF(OR(LOG_ST!AG151=0,LOG_ST!AG151="X"),"N/A"))))</f>
        <v/>
      </c>
      <c r="AD152" s="574" t="str">
        <f>IF($L152="","",IF(OR(LOG_ST!AH151=0,LOG_ST!AH151="X"),"N/A",LOG_ST!AH151))</f>
        <v/>
      </c>
      <c r="AE152" s="574" t="str">
        <f>IF($L152="","",IF(LOG_ST!AI151=1,"OK",IF(LOG_ST!AI151=2,"NR",IF(OR(LOG_ST!AI151=0,LOG_ST!AI151="X"),"N/A"))))</f>
        <v/>
      </c>
      <c r="AF152" s="574" t="str">
        <f>IF($L152="","",IF(LOG_ST!AJ151=1,"OK",IF(LOG_ST!AJ151=2,"NR",IF(OR(LOG_ST!AJ151=0,LOG_ST!AJ151="X"),"N/A"))))</f>
        <v/>
      </c>
      <c r="AG152" s="574" t="str">
        <f>IF($L152="","",IF(LOG_ST!AK151=1,"OK",IF(LOG_ST!AK151=2,"NR",IF(OR(LOG_ST!AK151=0,LOG_ST!AK151="X"),"N/A"))))</f>
        <v/>
      </c>
      <c r="AH152" s="574" t="str">
        <f>IF($L152="","",IF(LOG_ST!AL151=1,"OK",IF(LOG_ST!AL151=2,"NR",IF(OR(LOG_ST!AL151=0,LOG_ST!AL151="X"),"N/A"))))</f>
        <v/>
      </c>
      <c r="AI152" s="574" t="str">
        <f>IF($L152="","",IF(LOG_ST!AM151=1,"OK",IF(LOG_ST!AM151=2,"NR",IF(OR(LOG_ST!AM151=0,LOG_ST!AM151="X"),"N/A"))))</f>
        <v/>
      </c>
      <c r="AJ152" s="574" t="str">
        <f>IF($L152="","",IF(LOG_ST!AN151=1,"OK",IF(LOG_ST!AN151=2,"NR",IF(OR(LOG_ST!AN151=0,LOG_ST!AN151="X"),"N/A"))))</f>
        <v/>
      </c>
      <c r="AK152" s="574" t="str">
        <f>IF($L152="","",IF(LOG_ST!AO151=1,"OK",IF(LOG_ST!AO151=2,"NR",IF(OR(LOG_ST!AO151=0,LOG_ST!AO151="X"),"N/A"))))</f>
        <v/>
      </c>
      <c r="AL152" s="574" t="str">
        <f>IF($L152="","",IF(LOG_ST!AP151=1,"OK",IF(LOG_ST!AP151=2,"NR",IF(OR(LOG_ST!AP151=0,LOG_ST!AP151="X"),"N/A"))))</f>
        <v/>
      </c>
      <c r="AM152" s="574" t="str">
        <f>IF($L152="","",IF(LOG_ST!AQ151=1,"OK",IF(LOG_ST!AQ151=2,"NR",IF(OR(LOG_ST!AQ151=0,LOG_ST!AQ151="X"),"N/A"))))</f>
        <v/>
      </c>
      <c r="AN152" s="550" t="str">
        <f t="shared" si="2"/>
        <v/>
      </c>
    </row>
    <row r="153" spans="2:40" x14ac:dyDescent="0.25">
      <c r="B153" s="551" t="str">
        <f>IF(LOG_ST!F152="","",VLOOKUP(LOG_ST!F152,DATA_BASE!$A$46:$C$57,2,FALSE))</f>
        <v/>
      </c>
      <c r="C153" s="570" t="str">
        <f>IF(LOG_ST!G152="","",VLOOKUP(LOG_ST!G152,DATA_HDG,2,FALSE))</f>
        <v/>
      </c>
      <c r="D153" s="571" t="str">
        <f>IF(LOG_ST!H152="","",LOG_ST!H152)</f>
        <v/>
      </c>
      <c r="E153" s="570" t="str">
        <f>IF(LOG_ST!I152="","",VLOOKUP(LOG_ST!I152,DATA_COP,2,FALSE))</f>
        <v/>
      </c>
      <c r="F153" s="573" t="str">
        <f>IF(LOG_ST!J152="","",LOG_ST!J152)</f>
        <v/>
      </c>
      <c r="G153" s="570" t="str">
        <f>IF(LOG_ST!K152="","",VLOOKUP(LOG_ST!K152,DATA_SCIES,2,FALSE))</f>
        <v/>
      </c>
      <c r="H153" s="570" t="str">
        <f>IF(LOG_ST!L152="","",VLOOKUP(LOG_ST!L152,DATA_ST!$U$7:$V$64,2,FALSE))</f>
        <v/>
      </c>
      <c r="I153" s="570" t="str">
        <f>IF(LOG_ST!M152="","",LOG_ST!M152)</f>
        <v/>
      </c>
      <c r="J153" s="570" t="str">
        <f>IF(LOG_ST!N152="","",LOG_ST!N152)</f>
        <v/>
      </c>
      <c r="K153" s="573" t="str">
        <f>IF(LOG_ST!O152="","",LOG_ST!O152)</f>
        <v/>
      </c>
      <c r="L153" s="573" t="str">
        <f>IF(LOG_ST!P152="","",LOG_ST!P152)</f>
        <v/>
      </c>
      <c r="M153" s="574" t="str">
        <f>IF($L153="","",IF(LOG_ST!Q152=1,"OK",IF(LOG_ST!Q152=2,"NR",IF(OR(LOG_ST!Q152=0,LOG_ST!Q152="X"),"N/A"))))</f>
        <v/>
      </c>
      <c r="N153" s="574" t="str">
        <f>IF($L153="","",IF(LOG_ST!R152=1,"OK",IF(LOG_ST!R152=2,"NR",IF(OR(LOG_ST!R152=0,LOG_ST!R152="X"),"N/A"))))</f>
        <v/>
      </c>
      <c r="O153" s="574" t="str">
        <f>IF($L153="","",IF(LOG_ST!S152=1,"OK",IF(LOG_ST!S152=2,"NR",IF(OR(LOG_ST!S152=0,LOG_ST!S152="X"),"N/A"))))</f>
        <v/>
      </c>
      <c r="P153" s="574" t="str">
        <f>IF($L153="","",IF(LOG_ST!T152=1,"OK",IF(LOG_ST!T152=2,"NR",IF(OR(LOG_ST!T152=0,LOG_ST!T152="X"),"N/A"))))</f>
        <v/>
      </c>
      <c r="Q153" s="574" t="str">
        <f>IF($L153="","",IF(LOG_ST!U152=1,"OK",IF(LOG_ST!U152=2,"NR",IF(OR(LOG_ST!U152=0,LOG_ST!U152="X"),"N/A"))))</f>
        <v/>
      </c>
      <c r="R153" s="574" t="str">
        <f>IF($L153="","",IF(LOG_ST!V152=1,"OK",IF(LOG_ST!V152=2,"NR",IF(OR(LOG_ST!V152=0,LOG_ST!V152="X"),"N/A"))))</f>
        <v/>
      </c>
      <c r="S153" s="574" t="str">
        <f>IF($L153="","",IF(LOG_ST!W152=1,"OK",IF(LOG_ST!W152=2,"NR",IF(OR(LOG_ST!W152=0,LOG_ST!W152="X"),"N/A"))))</f>
        <v/>
      </c>
      <c r="T153" s="574" t="str">
        <f>IF($L153="","",IF(LOG_ST!X152=1,"OK",IF(LOG_ST!X152=2,"NR",IF(OR(LOG_ST!X152=0,LOG_ST!X152="X"),"N/A"))))</f>
        <v/>
      </c>
      <c r="U153" s="574" t="str">
        <f>IF($L153="","",IF(LOG_ST!Y152=1,"OK",IF(LOG_ST!Y152=2,"NR",IF(OR(LOG_ST!Y152=0,LOG_ST!Y152="X"),"N/A"))))</f>
        <v/>
      </c>
      <c r="V153" s="574" t="str">
        <f>IF($L153="","",IF(LOG_ST!Z152=1,"OK",IF(LOG_ST!Z152=2,"NR",IF(OR(LOG_ST!Z152=0,LOG_ST!Z152="X"),"N/A"))))</f>
        <v/>
      </c>
      <c r="W153" s="574" t="str">
        <f>IF($L153="","",IF(LOG_ST!AA152=1,"OK",IF(LOG_ST!AA152=2,"NR",IF(OR(LOG_ST!AA152=0,LOG_ST!AA152="X"),"N/A"))))</f>
        <v/>
      </c>
      <c r="X153" s="574" t="str">
        <f>IF($L153="","",IF(LOG_ST!AB152=1,"OK",IF(LOG_ST!AB152=2,"NR",IF(OR(LOG_ST!AB152=0,LOG_ST!AB152="X"),"N/A"))))</f>
        <v/>
      </c>
      <c r="Y153" s="574" t="str">
        <f>IF($L153="","",IF(LOG_ST!AC152=1,"OK",IF(LOG_ST!AC152=2,"NR",IF(OR(LOG_ST!AC152=0,LOG_ST!AC152="X"),"N/A"))))</f>
        <v/>
      </c>
      <c r="Z153" s="574" t="str">
        <f>IF($L153="","",IF(OR(LOG_ST!AD152=0,LOG_ST!AD152="X"),"N/A",LOG_ST!AD152))</f>
        <v/>
      </c>
      <c r="AA153" s="574" t="str">
        <f>IF($L153="","",IF(LOG_ST!AE152=1,"OK",IF(LOG_ST!AE152=2,"NR",IF(OR(LOG_ST!AE152=0,LOG_ST!AE152="X"),"N/A"))))</f>
        <v/>
      </c>
      <c r="AB153" s="574" t="str">
        <f>IF($L153="","",IF(LOG_ST!AF152=1,"OK",IF(LOG_ST!AF152=2,"NR",IF(OR(LOG_ST!AF152=0,LOG_ST!AF152="X"),"N/A"))))</f>
        <v/>
      </c>
      <c r="AC153" s="574" t="str">
        <f>IF($L153="","",IF(LOG_ST!AG152=1,"OK",IF(LOG_ST!AG152=2,"NR",IF(OR(LOG_ST!AG152=0,LOG_ST!AG152="X"),"N/A"))))</f>
        <v/>
      </c>
      <c r="AD153" s="574" t="str">
        <f>IF($L153="","",IF(OR(LOG_ST!AH152=0,LOG_ST!AH152="X"),"N/A",LOG_ST!AH152))</f>
        <v/>
      </c>
      <c r="AE153" s="574" t="str">
        <f>IF($L153="","",IF(LOG_ST!AI152=1,"OK",IF(LOG_ST!AI152=2,"NR",IF(OR(LOG_ST!AI152=0,LOG_ST!AI152="X"),"N/A"))))</f>
        <v/>
      </c>
      <c r="AF153" s="574" t="str">
        <f>IF($L153="","",IF(LOG_ST!AJ152=1,"OK",IF(LOG_ST!AJ152=2,"NR",IF(OR(LOG_ST!AJ152=0,LOG_ST!AJ152="X"),"N/A"))))</f>
        <v/>
      </c>
      <c r="AG153" s="574" t="str">
        <f>IF($L153="","",IF(LOG_ST!AK152=1,"OK",IF(LOG_ST!AK152=2,"NR",IF(OR(LOG_ST!AK152=0,LOG_ST!AK152="X"),"N/A"))))</f>
        <v/>
      </c>
      <c r="AH153" s="574" t="str">
        <f>IF($L153="","",IF(LOG_ST!AL152=1,"OK",IF(LOG_ST!AL152=2,"NR",IF(OR(LOG_ST!AL152=0,LOG_ST!AL152="X"),"N/A"))))</f>
        <v/>
      </c>
      <c r="AI153" s="574" t="str">
        <f>IF($L153="","",IF(LOG_ST!AM152=1,"OK",IF(LOG_ST!AM152=2,"NR",IF(OR(LOG_ST!AM152=0,LOG_ST!AM152="X"),"N/A"))))</f>
        <v/>
      </c>
      <c r="AJ153" s="574" t="str">
        <f>IF($L153="","",IF(LOG_ST!AN152=1,"OK",IF(LOG_ST!AN152=2,"NR",IF(OR(LOG_ST!AN152=0,LOG_ST!AN152="X"),"N/A"))))</f>
        <v/>
      </c>
      <c r="AK153" s="574" t="str">
        <f>IF($L153="","",IF(LOG_ST!AO152=1,"OK",IF(LOG_ST!AO152=2,"NR",IF(OR(LOG_ST!AO152=0,LOG_ST!AO152="X"),"N/A"))))</f>
        <v/>
      </c>
      <c r="AL153" s="574" t="str">
        <f>IF($L153="","",IF(LOG_ST!AP152=1,"OK",IF(LOG_ST!AP152=2,"NR",IF(OR(LOG_ST!AP152=0,LOG_ST!AP152="X"),"N/A"))))</f>
        <v/>
      </c>
      <c r="AM153" s="574" t="str">
        <f>IF($L153="","",IF(LOG_ST!AQ152=1,"OK",IF(LOG_ST!AQ152=2,"NR",IF(OR(LOG_ST!AQ152=0,LOG_ST!AQ152="X"),"N/A"))))</f>
        <v/>
      </c>
      <c r="AN153" s="550" t="str">
        <f t="shared" si="2"/>
        <v/>
      </c>
    </row>
    <row r="154" spans="2:40" x14ac:dyDescent="0.25">
      <c r="B154" s="551" t="str">
        <f>IF(LOG_ST!F153="","",VLOOKUP(LOG_ST!F153,DATA_BASE!$A$46:$C$57,2,FALSE))</f>
        <v/>
      </c>
      <c r="C154" s="570" t="str">
        <f>IF(LOG_ST!G153="","",VLOOKUP(LOG_ST!G153,DATA_HDG,2,FALSE))</f>
        <v/>
      </c>
      <c r="D154" s="571" t="str">
        <f>IF(LOG_ST!H153="","",LOG_ST!H153)</f>
        <v/>
      </c>
      <c r="E154" s="570" t="str">
        <f>IF(LOG_ST!I153="","",VLOOKUP(LOG_ST!I153,DATA_COP,2,FALSE))</f>
        <v/>
      </c>
      <c r="F154" s="573" t="str">
        <f>IF(LOG_ST!J153="","",LOG_ST!J153)</f>
        <v/>
      </c>
      <c r="G154" s="570" t="str">
        <f>IF(LOG_ST!K153="","",VLOOKUP(LOG_ST!K153,DATA_SCIES,2,FALSE))</f>
        <v/>
      </c>
      <c r="H154" s="570" t="str">
        <f>IF(LOG_ST!L153="","",VLOOKUP(LOG_ST!L153,DATA_ST!$U$7:$V$64,2,FALSE))</f>
        <v/>
      </c>
      <c r="I154" s="570" t="str">
        <f>IF(LOG_ST!M153="","",LOG_ST!M153)</f>
        <v/>
      </c>
      <c r="J154" s="570" t="str">
        <f>IF(LOG_ST!N153="","",LOG_ST!N153)</f>
        <v/>
      </c>
      <c r="K154" s="573" t="str">
        <f>IF(LOG_ST!O153="","",LOG_ST!O153)</f>
        <v/>
      </c>
      <c r="L154" s="573" t="str">
        <f>IF(LOG_ST!P153="","",LOG_ST!P153)</f>
        <v/>
      </c>
      <c r="M154" s="574" t="str">
        <f>IF($L154="","",IF(LOG_ST!Q153=1,"OK",IF(LOG_ST!Q153=2,"NR",IF(OR(LOG_ST!Q153=0,LOG_ST!Q153="X"),"N/A"))))</f>
        <v/>
      </c>
      <c r="N154" s="574" t="str">
        <f>IF($L154="","",IF(LOG_ST!R153=1,"OK",IF(LOG_ST!R153=2,"NR",IF(OR(LOG_ST!R153=0,LOG_ST!R153="X"),"N/A"))))</f>
        <v/>
      </c>
      <c r="O154" s="574" t="str">
        <f>IF($L154="","",IF(LOG_ST!S153=1,"OK",IF(LOG_ST!S153=2,"NR",IF(OR(LOG_ST!S153=0,LOG_ST!S153="X"),"N/A"))))</f>
        <v/>
      </c>
      <c r="P154" s="574" t="str">
        <f>IF($L154="","",IF(LOG_ST!T153=1,"OK",IF(LOG_ST!T153=2,"NR",IF(OR(LOG_ST!T153=0,LOG_ST!T153="X"),"N/A"))))</f>
        <v/>
      </c>
      <c r="Q154" s="574" t="str">
        <f>IF($L154="","",IF(LOG_ST!U153=1,"OK",IF(LOG_ST!U153=2,"NR",IF(OR(LOG_ST!U153=0,LOG_ST!U153="X"),"N/A"))))</f>
        <v/>
      </c>
      <c r="R154" s="574" t="str">
        <f>IF($L154="","",IF(LOG_ST!V153=1,"OK",IF(LOG_ST!V153=2,"NR",IF(OR(LOG_ST!V153=0,LOG_ST!V153="X"),"N/A"))))</f>
        <v/>
      </c>
      <c r="S154" s="574" t="str">
        <f>IF($L154="","",IF(LOG_ST!W153=1,"OK",IF(LOG_ST!W153=2,"NR",IF(OR(LOG_ST!W153=0,LOG_ST!W153="X"),"N/A"))))</f>
        <v/>
      </c>
      <c r="T154" s="574" t="str">
        <f>IF($L154="","",IF(LOG_ST!X153=1,"OK",IF(LOG_ST!X153=2,"NR",IF(OR(LOG_ST!X153=0,LOG_ST!X153="X"),"N/A"))))</f>
        <v/>
      </c>
      <c r="U154" s="574" t="str">
        <f>IF($L154="","",IF(LOG_ST!Y153=1,"OK",IF(LOG_ST!Y153=2,"NR",IF(OR(LOG_ST!Y153=0,LOG_ST!Y153="X"),"N/A"))))</f>
        <v/>
      </c>
      <c r="V154" s="574" t="str">
        <f>IF($L154="","",IF(LOG_ST!Z153=1,"OK",IF(LOG_ST!Z153=2,"NR",IF(OR(LOG_ST!Z153=0,LOG_ST!Z153="X"),"N/A"))))</f>
        <v/>
      </c>
      <c r="W154" s="574" t="str">
        <f>IF($L154="","",IF(LOG_ST!AA153=1,"OK",IF(LOG_ST!AA153=2,"NR",IF(OR(LOG_ST!AA153=0,LOG_ST!AA153="X"),"N/A"))))</f>
        <v/>
      </c>
      <c r="X154" s="574" t="str">
        <f>IF($L154="","",IF(LOG_ST!AB153=1,"OK",IF(LOG_ST!AB153=2,"NR",IF(OR(LOG_ST!AB153=0,LOG_ST!AB153="X"),"N/A"))))</f>
        <v/>
      </c>
      <c r="Y154" s="574" t="str">
        <f>IF($L154="","",IF(LOG_ST!AC153=1,"OK",IF(LOG_ST!AC153=2,"NR",IF(OR(LOG_ST!AC153=0,LOG_ST!AC153="X"),"N/A"))))</f>
        <v/>
      </c>
      <c r="Z154" s="574" t="str">
        <f>IF($L154="","",IF(OR(LOG_ST!AD153=0,LOG_ST!AD153="X"),"N/A",LOG_ST!AD153))</f>
        <v/>
      </c>
      <c r="AA154" s="574" t="str">
        <f>IF($L154="","",IF(LOG_ST!AE153=1,"OK",IF(LOG_ST!AE153=2,"NR",IF(OR(LOG_ST!AE153=0,LOG_ST!AE153="X"),"N/A"))))</f>
        <v/>
      </c>
      <c r="AB154" s="574" t="str">
        <f>IF($L154="","",IF(LOG_ST!AF153=1,"OK",IF(LOG_ST!AF153=2,"NR",IF(OR(LOG_ST!AF153=0,LOG_ST!AF153="X"),"N/A"))))</f>
        <v/>
      </c>
      <c r="AC154" s="574" t="str">
        <f>IF($L154="","",IF(LOG_ST!AG153=1,"OK",IF(LOG_ST!AG153=2,"NR",IF(OR(LOG_ST!AG153=0,LOG_ST!AG153="X"),"N/A"))))</f>
        <v/>
      </c>
      <c r="AD154" s="574" t="str">
        <f>IF($L154="","",IF(OR(LOG_ST!AH153=0,LOG_ST!AH153="X"),"N/A",LOG_ST!AH153))</f>
        <v/>
      </c>
      <c r="AE154" s="574" t="str">
        <f>IF($L154="","",IF(LOG_ST!AI153=1,"OK",IF(LOG_ST!AI153=2,"NR",IF(OR(LOG_ST!AI153=0,LOG_ST!AI153="X"),"N/A"))))</f>
        <v/>
      </c>
      <c r="AF154" s="574" t="str">
        <f>IF($L154="","",IF(LOG_ST!AJ153=1,"OK",IF(LOG_ST!AJ153=2,"NR",IF(OR(LOG_ST!AJ153=0,LOG_ST!AJ153="X"),"N/A"))))</f>
        <v/>
      </c>
      <c r="AG154" s="574" t="str">
        <f>IF($L154="","",IF(LOG_ST!AK153=1,"OK",IF(LOG_ST!AK153=2,"NR",IF(OR(LOG_ST!AK153=0,LOG_ST!AK153="X"),"N/A"))))</f>
        <v/>
      </c>
      <c r="AH154" s="574" t="str">
        <f>IF($L154="","",IF(LOG_ST!AL153=1,"OK",IF(LOG_ST!AL153=2,"NR",IF(OR(LOG_ST!AL153=0,LOG_ST!AL153="X"),"N/A"))))</f>
        <v/>
      </c>
      <c r="AI154" s="574" t="str">
        <f>IF($L154="","",IF(LOG_ST!AM153=1,"OK",IF(LOG_ST!AM153=2,"NR",IF(OR(LOG_ST!AM153=0,LOG_ST!AM153="X"),"N/A"))))</f>
        <v/>
      </c>
      <c r="AJ154" s="574" t="str">
        <f>IF($L154="","",IF(LOG_ST!AN153=1,"OK",IF(LOG_ST!AN153=2,"NR",IF(OR(LOG_ST!AN153=0,LOG_ST!AN153="X"),"N/A"))))</f>
        <v/>
      </c>
      <c r="AK154" s="574" t="str">
        <f>IF($L154="","",IF(LOG_ST!AO153=1,"OK",IF(LOG_ST!AO153=2,"NR",IF(OR(LOG_ST!AO153=0,LOG_ST!AO153="X"),"N/A"))))</f>
        <v/>
      </c>
      <c r="AL154" s="574" t="str">
        <f>IF($L154="","",IF(LOG_ST!AP153=1,"OK",IF(LOG_ST!AP153=2,"NR",IF(OR(LOG_ST!AP153=0,LOG_ST!AP153="X"),"N/A"))))</f>
        <v/>
      </c>
      <c r="AM154" s="574" t="str">
        <f>IF($L154="","",IF(LOG_ST!AQ153=1,"OK",IF(LOG_ST!AQ153=2,"NR",IF(OR(LOG_ST!AQ153=0,LOG_ST!AQ153="X"),"N/A"))))</f>
        <v/>
      </c>
      <c r="AN154" s="550" t="str">
        <f t="shared" si="2"/>
        <v/>
      </c>
    </row>
    <row r="155" spans="2:40" x14ac:dyDescent="0.25">
      <c r="B155" s="551" t="str">
        <f>IF(LOG_ST!F154="","",VLOOKUP(LOG_ST!F154,DATA_BASE!$A$46:$C$57,2,FALSE))</f>
        <v/>
      </c>
      <c r="C155" s="570" t="str">
        <f>IF(LOG_ST!G154="","",VLOOKUP(LOG_ST!G154,DATA_HDG,2,FALSE))</f>
        <v/>
      </c>
      <c r="D155" s="571" t="str">
        <f>IF(LOG_ST!H154="","",LOG_ST!H154)</f>
        <v/>
      </c>
      <c r="E155" s="570" t="str">
        <f>IF(LOG_ST!I154="","",VLOOKUP(LOG_ST!I154,DATA_COP,2,FALSE))</f>
        <v/>
      </c>
      <c r="F155" s="573" t="str">
        <f>IF(LOG_ST!J154="","",LOG_ST!J154)</f>
        <v/>
      </c>
      <c r="G155" s="570" t="str">
        <f>IF(LOG_ST!K154="","",VLOOKUP(LOG_ST!K154,DATA_SCIES,2,FALSE))</f>
        <v/>
      </c>
      <c r="H155" s="570" t="str">
        <f>IF(LOG_ST!L154="","",VLOOKUP(LOG_ST!L154,DATA_ST!$U$7:$V$64,2,FALSE))</f>
        <v/>
      </c>
      <c r="I155" s="570" t="str">
        <f>IF(LOG_ST!M154="","",LOG_ST!M154)</f>
        <v/>
      </c>
      <c r="J155" s="570" t="str">
        <f>IF(LOG_ST!N154="","",LOG_ST!N154)</f>
        <v/>
      </c>
      <c r="K155" s="573" t="str">
        <f>IF(LOG_ST!O154="","",LOG_ST!O154)</f>
        <v/>
      </c>
      <c r="L155" s="573" t="str">
        <f>IF(LOG_ST!P154="","",LOG_ST!P154)</f>
        <v/>
      </c>
      <c r="M155" s="574" t="str">
        <f>IF($L155="","",IF(LOG_ST!Q154=1,"OK",IF(LOG_ST!Q154=2,"NR",IF(OR(LOG_ST!Q154=0,LOG_ST!Q154="X"),"N/A"))))</f>
        <v/>
      </c>
      <c r="N155" s="574" t="str">
        <f>IF($L155="","",IF(LOG_ST!R154=1,"OK",IF(LOG_ST!R154=2,"NR",IF(OR(LOG_ST!R154=0,LOG_ST!R154="X"),"N/A"))))</f>
        <v/>
      </c>
      <c r="O155" s="574" t="str">
        <f>IF($L155="","",IF(LOG_ST!S154=1,"OK",IF(LOG_ST!S154=2,"NR",IF(OR(LOG_ST!S154=0,LOG_ST!S154="X"),"N/A"))))</f>
        <v/>
      </c>
      <c r="P155" s="574" t="str">
        <f>IF($L155="","",IF(LOG_ST!T154=1,"OK",IF(LOG_ST!T154=2,"NR",IF(OR(LOG_ST!T154=0,LOG_ST!T154="X"),"N/A"))))</f>
        <v/>
      </c>
      <c r="Q155" s="574" t="str">
        <f>IF($L155="","",IF(LOG_ST!U154=1,"OK",IF(LOG_ST!U154=2,"NR",IF(OR(LOG_ST!U154=0,LOG_ST!U154="X"),"N/A"))))</f>
        <v/>
      </c>
      <c r="R155" s="574" t="str">
        <f>IF($L155="","",IF(LOG_ST!V154=1,"OK",IF(LOG_ST!V154=2,"NR",IF(OR(LOG_ST!V154=0,LOG_ST!V154="X"),"N/A"))))</f>
        <v/>
      </c>
      <c r="S155" s="574" t="str">
        <f>IF($L155="","",IF(LOG_ST!W154=1,"OK",IF(LOG_ST!W154=2,"NR",IF(OR(LOG_ST!W154=0,LOG_ST!W154="X"),"N/A"))))</f>
        <v/>
      </c>
      <c r="T155" s="574" t="str">
        <f>IF($L155="","",IF(LOG_ST!X154=1,"OK",IF(LOG_ST!X154=2,"NR",IF(OR(LOG_ST!X154=0,LOG_ST!X154="X"),"N/A"))))</f>
        <v/>
      </c>
      <c r="U155" s="574" t="str">
        <f>IF($L155="","",IF(LOG_ST!Y154=1,"OK",IF(LOG_ST!Y154=2,"NR",IF(OR(LOG_ST!Y154=0,LOG_ST!Y154="X"),"N/A"))))</f>
        <v/>
      </c>
      <c r="V155" s="574" t="str">
        <f>IF($L155="","",IF(LOG_ST!Z154=1,"OK",IF(LOG_ST!Z154=2,"NR",IF(OR(LOG_ST!Z154=0,LOG_ST!Z154="X"),"N/A"))))</f>
        <v/>
      </c>
      <c r="W155" s="574" t="str">
        <f>IF($L155="","",IF(LOG_ST!AA154=1,"OK",IF(LOG_ST!AA154=2,"NR",IF(OR(LOG_ST!AA154=0,LOG_ST!AA154="X"),"N/A"))))</f>
        <v/>
      </c>
      <c r="X155" s="574" t="str">
        <f>IF($L155="","",IF(LOG_ST!AB154=1,"OK",IF(LOG_ST!AB154=2,"NR",IF(OR(LOG_ST!AB154=0,LOG_ST!AB154="X"),"N/A"))))</f>
        <v/>
      </c>
      <c r="Y155" s="574" t="str">
        <f>IF($L155="","",IF(LOG_ST!AC154=1,"OK",IF(LOG_ST!AC154=2,"NR",IF(OR(LOG_ST!AC154=0,LOG_ST!AC154="X"),"N/A"))))</f>
        <v/>
      </c>
      <c r="Z155" s="574" t="str">
        <f>IF($L155="","",IF(OR(LOG_ST!AD154=0,LOG_ST!AD154="X"),"N/A",LOG_ST!AD154))</f>
        <v/>
      </c>
      <c r="AA155" s="574" t="str">
        <f>IF($L155="","",IF(LOG_ST!AE154=1,"OK",IF(LOG_ST!AE154=2,"NR",IF(OR(LOG_ST!AE154=0,LOG_ST!AE154="X"),"N/A"))))</f>
        <v/>
      </c>
      <c r="AB155" s="574" t="str">
        <f>IF($L155="","",IF(LOG_ST!AF154=1,"OK",IF(LOG_ST!AF154=2,"NR",IF(OR(LOG_ST!AF154=0,LOG_ST!AF154="X"),"N/A"))))</f>
        <v/>
      </c>
      <c r="AC155" s="574" t="str">
        <f>IF($L155="","",IF(LOG_ST!AG154=1,"OK",IF(LOG_ST!AG154=2,"NR",IF(OR(LOG_ST!AG154=0,LOG_ST!AG154="X"),"N/A"))))</f>
        <v/>
      </c>
      <c r="AD155" s="574" t="str">
        <f>IF($L155="","",IF(OR(LOG_ST!AH154=0,LOG_ST!AH154="X"),"N/A",LOG_ST!AH154))</f>
        <v/>
      </c>
      <c r="AE155" s="574" t="str">
        <f>IF($L155="","",IF(LOG_ST!AI154=1,"OK",IF(LOG_ST!AI154=2,"NR",IF(OR(LOG_ST!AI154=0,LOG_ST!AI154="X"),"N/A"))))</f>
        <v/>
      </c>
      <c r="AF155" s="574" t="str">
        <f>IF($L155="","",IF(LOG_ST!AJ154=1,"OK",IF(LOG_ST!AJ154=2,"NR",IF(OR(LOG_ST!AJ154=0,LOG_ST!AJ154="X"),"N/A"))))</f>
        <v/>
      </c>
      <c r="AG155" s="574" t="str">
        <f>IF($L155="","",IF(LOG_ST!AK154=1,"OK",IF(LOG_ST!AK154=2,"NR",IF(OR(LOG_ST!AK154=0,LOG_ST!AK154="X"),"N/A"))))</f>
        <v/>
      </c>
      <c r="AH155" s="574" t="str">
        <f>IF($L155="","",IF(LOG_ST!AL154=1,"OK",IF(LOG_ST!AL154=2,"NR",IF(OR(LOG_ST!AL154=0,LOG_ST!AL154="X"),"N/A"))))</f>
        <v/>
      </c>
      <c r="AI155" s="574" t="str">
        <f>IF($L155="","",IF(LOG_ST!AM154=1,"OK",IF(LOG_ST!AM154=2,"NR",IF(OR(LOG_ST!AM154=0,LOG_ST!AM154="X"),"N/A"))))</f>
        <v/>
      </c>
      <c r="AJ155" s="574" t="str">
        <f>IF($L155="","",IF(LOG_ST!AN154=1,"OK",IF(LOG_ST!AN154=2,"NR",IF(OR(LOG_ST!AN154=0,LOG_ST!AN154="X"),"N/A"))))</f>
        <v/>
      </c>
      <c r="AK155" s="574" t="str">
        <f>IF($L155="","",IF(LOG_ST!AO154=1,"OK",IF(LOG_ST!AO154=2,"NR",IF(OR(LOG_ST!AO154=0,LOG_ST!AO154="X"),"N/A"))))</f>
        <v/>
      </c>
      <c r="AL155" s="574" t="str">
        <f>IF($L155="","",IF(LOG_ST!AP154=1,"OK",IF(LOG_ST!AP154=2,"NR",IF(OR(LOG_ST!AP154=0,LOG_ST!AP154="X"),"N/A"))))</f>
        <v/>
      </c>
      <c r="AM155" s="574" t="str">
        <f>IF($L155="","",IF(LOG_ST!AQ154=1,"OK",IF(LOG_ST!AQ154=2,"NR",IF(OR(LOG_ST!AQ154=0,LOG_ST!AQ154="X"),"N/A"))))</f>
        <v/>
      </c>
      <c r="AN155" s="550" t="str">
        <f t="shared" si="2"/>
        <v/>
      </c>
    </row>
    <row r="156" spans="2:40" x14ac:dyDescent="0.25">
      <c r="B156" s="551" t="str">
        <f>IF(LOG_ST!F155="","",VLOOKUP(LOG_ST!F155,DATA_BASE!$A$46:$C$57,2,FALSE))</f>
        <v/>
      </c>
      <c r="C156" s="570" t="str">
        <f>IF(LOG_ST!G155="","",VLOOKUP(LOG_ST!G155,DATA_HDG,2,FALSE))</f>
        <v/>
      </c>
      <c r="D156" s="571" t="str">
        <f>IF(LOG_ST!H155="","",LOG_ST!H155)</f>
        <v/>
      </c>
      <c r="E156" s="570" t="str">
        <f>IF(LOG_ST!I155="","",VLOOKUP(LOG_ST!I155,DATA_COP,2,FALSE))</f>
        <v/>
      </c>
      <c r="F156" s="573" t="str">
        <f>IF(LOG_ST!J155="","",LOG_ST!J155)</f>
        <v/>
      </c>
      <c r="G156" s="570" t="str">
        <f>IF(LOG_ST!K155="","",VLOOKUP(LOG_ST!K155,DATA_SCIES,2,FALSE))</f>
        <v/>
      </c>
      <c r="H156" s="570" t="str">
        <f>IF(LOG_ST!L155="","",VLOOKUP(LOG_ST!L155,DATA_ST!$U$7:$V$64,2,FALSE))</f>
        <v/>
      </c>
      <c r="I156" s="570" t="str">
        <f>IF(LOG_ST!M155="","",LOG_ST!M155)</f>
        <v/>
      </c>
      <c r="J156" s="570" t="str">
        <f>IF(LOG_ST!N155="","",LOG_ST!N155)</f>
        <v/>
      </c>
      <c r="K156" s="573" t="str">
        <f>IF(LOG_ST!O155="","",LOG_ST!O155)</f>
        <v/>
      </c>
      <c r="L156" s="573" t="str">
        <f>IF(LOG_ST!P155="","",LOG_ST!P155)</f>
        <v/>
      </c>
      <c r="M156" s="574" t="str">
        <f>IF($L156="","",IF(LOG_ST!Q155=1,"OK",IF(LOG_ST!Q155=2,"NR",IF(OR(LOG_ST!Q155=0,LOG_ST!Q155="X"),"N/A"))))</f>
        <v/>
      </c>
      <c r="N156" s="574" t="str">
        <f>IF($L156="","",IF(LOG_ST!R155=1,"OK",IF(LOG_ST!R155=2,"NR",IF(OR(LOG_ST!R155=0,LOG_ST!R155="X"),"N/A"))))</f>
        <v/>
      </c>
      <c r="O156" s="574" t="str">
        <f>IF($L156="","",IF(LOG_ST!S155=1,"OK",IF(LOG_ST!S155=2,"NR",IF(OR(LOG_ST!S155=0,LOG_ST!S155="X"),"N/A"))))</f>
        <v/>
      </c>
      <c r="P156" s="574" t="str">
        <f>IF($L156="","",IF(LOG_ST!T155=1,"OK",IF(LOG_ST!T155=2,"NR",IF(OR(LOG_ST!T155=0,LOG_ST!T155="X"),"N/A"))))</f>
        <v/>
      </c>
      <c r="Q156" s="574" t="str">
        <f>IF($L156="","",IF(LOG_ST!U155=1,"OK",IF(LOG_ST!U155=2,"NR",IF(OR(LOG_ST!U155=0,LOG_ST!U155="X"),"N/A"))))</f>
        <v/>
      </c>
      <c r="R156" s="574" t="str">
        <f>IF($L156="","",IF(LOG_ST!V155=1,"OK",IF(LOG_ST!V155=2,"NR",IF(OR(LOG_ST!V155=0,LOG_ST!V155="X"),"N/A"))))</f>
        <v/>
      </c>
      <c r="S156" s="574" t="str">
        <f>IF($L156="","",IF(LOG_ST!W155=1,"OK",IF(LOG_ST!W155=2,"NR",IF(OR(LOG_ST!W155=0,LOG_ST!W155="X"),"N/A"))))</f>
        <v/>
      </c>
      <c r="T156" s="574" t="str">
        <f>IF($L156="","",IF(LOG_ST!X155=1,"OK",IF(LOG_ST!X155=2,"NR",IF(OR(LOG_ST!X155=0,LOG_ST!X155="X"),"N/A"))))</f>
        <v/>
      </c>
      <c r="U156" s="574" t="str">
        <f>IF($L156="","",IF(LOG_ST!Y155=1,"OK",IF(LOG_ST!Y155=2,"NR",IF(OR(LOG_ST!Y155=0,LOG_ST!Y155="X"),"N/A"))))</f>
        <v/>
      </c>
      <c r="V156" s="574" t="str">
        <f>IF($L156="","",IF(LOG_ST!Z155=1,"OK",IF(LOG_ST!Z155=2,"NR",IF(OR(LOG_ST!Z155=0,LOG_ST!Z155="X"),"N/A"))))</f>
        <v/>
      </c>
      <c r="W156" s="574" t="str">
        <f>IF($L156="","",IF(LOG_ST!AA155=1,"OK",IF(LOG_ST!AA155=2,"NR",IF(OR(LOG_ST!AA155=0,LOG_ST!AA155="X"),"N/A"))))</f>
        <v/>
      </c>
      <c r="X156" s="574" t="str">
        <f>IF($L156="","",IF(LOG_ST!AB155=1,"OK",IF(LOG_ST!AB155=2,"NR",IF(OR(LOG_ST!AB155=0,LOG_ST!AB155="X"),"N/A"))))</f>
        <v/>
      </c>
      <c r="Y156" s="574" t="str">
        <f>IF($L156="","",IF(LOG_ST!AC155=1,"OK",IF(LOG_ST!AC155=2,"NR",IF(OR(LOG_ST!AC155=0,LOG_ST!AC155="X"),"N/A"))))</f>
        <v/>
      </c>
      <c r="Z156" s="574" t="str">
        <f>IF($L156="","",IF(OR(LOG_ST!AD155=0,LOG_ST!AD155="X"),"N/A",LOG_ST!AD155))</f>
        <v/>
      </c>
      <c r="AA156" s="574" t="str">
        <f>IF($L156="","",IF(LOG_ST!AE155=1,"OK",IF(LOG_ST!AE155=2,"NR",IF(OR(LOG_ST!AE155=0,LOG_ST!AE155="X"),"N/A"))))</f>
        <v/>
      </c>
      <c r="AB156" s="574" t="str">
        <f>IF($L156="","",IF(LOG_ST!AF155=1,"OK",IF(LOG_ST!AF155=2,"NR",IF(OR(LOG_ST!AF155=0,LOG_ST!AF155="X"),"N/A"))))</f>
        <v/>
      </c>
      <c r="AC156" s="574" t="str">
        <f>IF($L156="","",IF(LOG_ST!AG155=1,"OK",IF(LOG_ST!AG155=2,"NR",IF(OR(LOG_ST!AG155=0,LOG_ST!AG155="X"),"N/A"))))</f>
        <v/>
      </c>
      <c r="AD156" s="574" t="str">
        <f>IF($L156="","",IF(OR(LOG_ST!AH155=0,LOG_ST!AH155="X"),"N/A",LOG_ST!AH155))</f>
        <v/>
      </c>
      <c r="AE156" s="574" t="str">
        <f>IF($L156="","",IF(LOG_ST!AI155=1,"OK",IF(LOG_ST!AI155=2,"NR",IF(OR(LOG_ST!AI155=0,LOG_ST!AI155="X"),"N/A"))))</f>
        <v/>
      </c>
      <c r="AF156" s="574" t="str">
        <f>IF($L156="","",IF(LOG_ST!AJ155=1,"OK",IF(LOG_ST!AJ155=2,"NR",IF(OR(LOG_ST!AJ155=0,LOG_ST!AJ155="X"),"N/A"))))</f>
        <v/>
      </c>
      <c r="AG156" s="574" t="str">
        <f>IF($L156="","",IF(LOG_ST!AK155=1,"OK",IF(LOG_ST!AK155=2,"NR",IF(OR(LOG_ST!AK155=0,LOG_ST!AK155="X"),"N/A"))))</f>
        <v/>
      </c>
      <c r="AH156" s="574" t="str">
        <f>IF($L156="","",IF(LOG_ST!AL155=1,"OK",IF(LOG_ST!AL155=2,"NR",IF(OR(LOG_ST!AL155=0,LOG_ST!AL155="X"),"N/A"))))</f>
        <v/>
      </c>
      <c r="AI156" s="574" t="str">
        <f>IF($L156="","",IF(LOG_ST!AM155=1,"OK",IF(LOG_ST!AM155=2,"NR",IF(OR(LOG_ST!AM155=0,LOG_ST!AM155="X"),"N/A"))))</f>
        <v/>
      </c>
      <c r="AJ156" s="574" t="str">
        <f>IF($L156="","",IF(LOG_ST!AN155=1,"OK",IF(LOG_ST!AN155=2,"NR",IF(OR(LOG_ST!AN155=0,LOG_ST!AN155="X"),"N/A"))))</f>
        <v/>
      </c>
      <c r="AK156" s="574" t="str">
        <f>IF($L156="","",IF(LOG_ST!AO155=1,"OK",IF(LOG_ST!AO155=2,"NR",IF(OR(LOG_ST!AO155=0,LOG_ST!AO155="X"),"N/A"))))</f>
        <v/>
      </c>
      <c r="AL156" s="574" t="str">
        <f>IF($L156="","",IF(LOG_ST!AP155=1,"OK",IF(LOG_ST!AP155=2,"NR",IF(OR(LOG_ST!AP155=0,LOG_ST!AP155="X"),"N/A"))))</f>
        <v/>
      </c>
      <c r="AM156" s="574" t="str">
        <f>IF($L156="","",IF(LOG_ST!AQ155=1,"OK",IF(LOG_ST!AQ155=2,"NR",IF(OR(LOG_ST!AQ155=0,LOG_ST!AQ155="X"),"N/A"))))</f>
        <v/>
      </c>
      <c r="AN156" s="550" t="str">
        <f t="shared" si="2"/>
        <v/>
      </c>
    </row>
    <row r="157" spans="2:40" x14ac:dyDescent="0.25">
      <c r="B157" s="551" t="str">
        <f>IF(LOG_ST!F156="","",VLOOKUP(LOG_ST!F156,DATA_BASE!$A$46:$C$57,2,FALSE))</f>
        <v/>
      </c>
      <c r="C157" s="570" t="str">
        <f>IF(LOG_ST!G156="","",VLOOKUP(LOG_ST!G156,DATA_HDG,2,FALSE))</f>
        <v/>
      </c>
      <c r="D157" s="571" t="str">
        <f>IF(LOG_ST!H156="","",LOG_ST!H156)</f>
        <v/>
      </c>
      <c r="E157" s="570" t="str">
        <f>IF(LOG_ST!I156="","",VLOOKUP(LOG_ST!I156,DATA_COP,2,FALSE))</f>
        <v/>
      </c>
      <c r="F157" s="573" t="str">
        <f>IF(LOG_ST!J156="","",LOG_ST!J156)</f>
        <v/>
      </c>
      <c r="G157" s="570" t="str">
        <f>IF(LOG_ST!K156="","",VLOOKUP(LOG_ST!K156,DATA_SCIES,2,FALSE))</f>
        <v/>
      </c>
      <c r="H157" s="570" t="str">
        <f>IF(LOG_ST!L156="","",VLOOKUP(LOG_ST!L156,DATA_ST!$U$7:$V$64,2,FALSE))</f>
        <v/>
      </c>
      <c r="I157" s="570" t="str">
        <f>IF(LOG_ST!M156="","",LOG_ST!M156)</f>
        <v/>
      </c>
      <c r="J157" s="570" t="str">
        <f>IF(LOG_ST!N156="","",LOG_ST!N156)</f>
        <v/>
      </c>
      <c r="K157" s="573" t="str">
        <f>IF(LOG_ST!O156="","",LOG_ST!O156)</f>
        <v/>
      </c>
      <c r="L157" s="573" t="str">
        <f>IF(LOG_ST!P156="","",LOG_ST!P156)</f>
        <v/>
      </c>
      <c r="M157" s="574" t="str">
        <f>IF($L157="","",IF(LOG_ST!Q156=1,"OK",IF(LOG_ST!Q156=2,"NR",IF(OR(LOG_ST!Q156=0,LOG_ST!Q156="X"),"N/A"))))</f>
        <v/>
      </c>
      <c r="N157" s="574" t="str">
        <f>IF($L157="","",IF(LOG_ST!R156=1,"OK",IF(LOG_ST!R156=2,"NR",IF(OR(LOG_ST!R156=0,LOG_ST!R156="X"),"N/A"))))</f>
        <v/>
      </c>
      <c r="O157" s="574" t="str">
        <f>IF($L157="","",IF(LOG_ST!S156=1,"OK",IF(LOG_ST!S156=2,"NR",IF(OR(LOG_ST!S156=0,LOG_ST!S156="X"),"N/A"))))</f>
        <v/>
      </c>
      <c r="P157" s="574" t="str">
        <f>IF($L157="","",IF(LOG_ST!T156=1,"OK",IF(LOG_ST!T156=2,"NR",IF(OR(LOG_ST!T156=0,LOG_ST!T156="X"),"N/A"))))</f>
        <v/>
      </c>
      <c r="Q157" s="574" t="str">
        <f>IF($L157="","",IF(LOG_ST!U156=1,"OK",IF(LOG_ST!U156=2,"NR",IF(OR(LOG_ST!U156=0,LOG_ST!U156="X"),"N/A"))))</f>
        <v/>
      </c>
      <c r="R157" s="574" t="str">
        <f>IF($L157="","",IF(LOG_ST!V156=1,"OK",IF(LOG_ST!V156=2,"NR",IF(OR(LOG_ST!V156=0,LOG_ST!V156="X"),"N/A"))))</f>
        <v/>
      </c>
      <c r="S157" s="574" t="str">
        <f>IF($L157="","",IF(LOG_ST!W156=1,"OK",IF(LOG_ST!W156=2,"NR",IF(OR(LOG_ST!W156=0,LOG_ST!W156="X"),"N/A"))))</f>
        <v/>
      </c>
      <c r="T157" s="574" t="str">
        <f>IF($L157="","",IF(LOG_ST!X156=1,"OK",IF(LOG_ST!X156=2,"NR",IF(OR(LOG_ST!X156=0,LOG_ST!X156="X"),"N/A"))))</f>
        <v/>
      </c>
      <c r="U157" s="574" t="str">
        <f>IF($L157="","",IF(LOG_ST!Y156=1,"OK",IF(LOG_ST!Y156=2,"NR",IF(OR(LOG_ST!Y156=0,LOG_ST!Y156="X"),"N/A"))))</f>
        <v/>
      </c>
      <c r="V157" s="574" t="str">
        <f>IF($L157="","",IF(LOG_ST!Z156=1,"OK",IF(LOG_ST!Z156=2,"NR",IF(OR(LOG_ST!Z156=0,LOG_ST!Z156="X"),"N/A"))))</f>
        <v/>
      </c>
      <c r="W157" s="574" t="str">
        <f>IF($L157="","",IF(LOG_ST!AA156=1,"OK",IF(LOG_ST!AA156=2,"NR",IF(OR(LOG_ST!AA156=0,LOG_ST!AA156="X"),"N/A"))))</f>
        <v/>
      </c>
      <c r="X157" s="574" t="str">
        <f>IF($L157="","",IF(LOG_ST!AB156=1,"OK",IF(LOG_ST!AB156=2,"NR",IF(OR(LOG_ST!AB156=0,LOG_ST!AB156="X"),"N/A"))))</f>
        <v/>
      </c>
      <c r="Y157" s="574" t="str">
        <f>IF($L157="","",IF(LOG_ST!AC156=1,"OK",IF(LOG_ST!AC156=2,"NR",IF(OR(LOG_ST!AC156=0,LOG_ST!AC156="X"),"N/A"))))</f>
        <v/>
      </c>
      <c r="Z157" s="574" t="str">
        <f>IF($L157="","",IF(OR(LOG_ST!AD156=0,LOG_ST!AD156="X"),"N/A",LOG_ST!AD156))</f>
        <v/>
      </c>
      <c r="AA157" s="574" t="str">
        <f>IF($L157="","",IF(LOG_ST!AE156=1,"OK",IF(LOG_ST!AE156=2,"NR",IF(OR(LOG_ST!AE156=0,LOG_ST!AE156="X"),"N/A"))))</f>
        <v/>
      </c>
      <c r="AB157" s="574" t="str">
        <f>IF($L157="","",IF(LOG_ST!AF156=1,"OK",IF(LOG_ST!AF156=2,"NR",IF(OR(LOG_ST!AF156=0,LOG_ST!AF156="X"),"N/A"))))</f>
        <v/>
      </c>
      <c r="AC157" s="574" t="str">
        <f>IF($L157="","",IF(LOG_ST!AG156=1,"OK",IF(LOG_ST!AG156=2,"NR",IF(OR(LOG_ST!AG156=0,LOG_ST!AG156="X"),"N/A"))))</f>
        <v/>
      </c>
      <c r="AD157" s="574" t="str">
        <f>IF($L157="","",IF(OR(LOG_ST!AH156=0,LOG_ST!AH156="X"),"N/A",LOG_ST!AH156))</f>
        <v/>
      </c>
      <c r="AE157" s="574" t="str">
        <f>IF($L157="","",IF(LOG_ST!AI156=1,"OK",IF(LOG_ST!AI156=2,"NR",IF(OR(LOG_ST!AI156=0,LOG_ST!AI156="X"),"N/A"))))</f>
        <v/>
      </c>
      <c r="AF157" s="574" t="str">
        <f>IF($L157="","",IF(LOG_ST!AJ156=1,"OK",IF(LOG_ST!AJ156=2,"NR",IF(OR(LOG_ST!AJ156=0,LOG_ST!AJ156="X"),"N/A"))))</f>
        <v/>
      </c>
      <c r="AG157" s="574" t="str">
        <f>IF($L157="","",IF(LOG_ST!AK156=1,"OK",IF(LOG_ST!AK156=2,"NR",IF(OR(LOG_ST!AK156=0,LOG_ST!AK156="X"),"N/A"))))</f>
        <v/>
      </c>
      <c r="AH157" s="574" t="str">
        <f>IF($L157="","",IF(LOG_ST!AL156=1,"OK",IF(LOG_ST!AL156=2,"NR",IF(OR(LOG_ST!AL156=0,LOG_ST!AL156="X"),"N/A"))))</f>
        <v/>
      </c>
      <c r="AI157" s="574" t="str">
        <f>IF($L157="","",IF(LOG_ST!AM156=1,"OK",IF(LOG_ST!AM156=2,"NR",IF(OR(LOG_ST!AM156=0,LOG_ST!AM156="X"),"N/A"))))</f>
        <v/>
      </c>
      <c r="AJ157" s="574" t="str">
        <f>IF($L157="","",IF(LOG_ST!AN156=1,"OK",IF(LOG_ST!AN156=2,"NR",IF(OR(LOG_ST!AN156=0,LOG_ST!AN156="X"),"N/A"))))</f>
        <v/>
      </c>
      <c r="AK157" s="574" t="str">
        <f>IF($L157="","",IF(LOG_ST!AO156=1,"OK",IF(LOG_ST!AO156=2,"NR",IF(OR(LOG_ST!AO156=0,LOG_ST!AO156="X"),"N/A"))))</f>
        <v/>
      </c>
      <c r="AL157" s="574" t="str">
        <f>IF($L157="","",IF(LOG_ST!AP156=1,"OK",IF(LOG_ST!AP156=2,"NR",IF(OR(LOG_ST!AP156=0,LOG_ST!AP156="X"),"N/A"))))</f>
        <v/>
      </c>
      <c r="AM157" s="574" t="str">
        <f>IF($L157="","",IF(LOG_ST!AQ156=1,"OK",IF(LOG_ST!AQ156=2,"NR",IF(OR(LOG_ST!AQ156=0,LOG_ST!AQ156="X"),"N/A"))))</f>
        <v/>
      </c>
      <c r="AN157" s="550" t="str">
        <f t="shared" si="2"/>
        <v/>
      </c>
    </row>
    <row r="158" spans="2:40" x14ac:dyDescent="0.25">
      <c r="B158" s="551" t="str">
        <f>IF(LOG_ST!F157="","",VLOOKUP(LOG_ST!F157,DATA_BASE!$A$46:$C$57,2,FALSE))</f>
        <v/>
      </c>
      <c r="C158" s="570" t="str">
        <f>IF(LOG_ST!G157="","",VLOOKUP(LOG_ST!G157,DATA_HDG,2,FALSE))</f>
        <v/>
      </c>
      <c r="D158" s="571" t="str">
        <f>IF(LOG_ST!H157="","",LOG_ST!H157)</f>
        <v/>
      </c>
      <c r="E158" s="570" t="str">
        <f>IF(LOG_ST!I157="","",VLOOKUP(LOG_ST!I157,DATA_COP,2,FALSE))</f>
        <v/>
      </c>
      <c r="F158" s="573" t="str">
        <f>IF(LOG_ST!J157="","",LOG_ST!J157)</f>
        <v/>
      </c>
      <c r="G158" s="570" t="str">
        <f>IF(LOG_ST!K157="","",VLOOKUP(LOG_ST!K157,DATA_SCIES,2,FALSE))</f>
        <v/>
      </c>
      <c r="H158" s="570" t="str">
        <f>IF(LOG_ST!L157="","",VLOOKUP(LOG_ST!L157,DATA_ST!$U$7:$V$64,2,FALSE))</f>
        <v/>
      </c>
      <c r="I158" s="570" t="str">
        <f>IF(LOG_ST!M157="","",LOG_ST!M157)</f>
        <v/>
      </c>
      <c r="J158" s="570" t="str">
        <f>IF(LOG_ST!N157="","",LOG_ST!N157)</f>
        <v/>
      </c>
      <c r="K158" s="573" t="str">
        <f>IF(LOG_ST!O157="","",LOG_ST!O157)</f>
        <v/>
      </c>
      <c r="L158" s="573" t="str">
        <f>IF(LOG_ST!P157="","",LOG_ST!P157)</f>
        <v/>
      </c>
      <c r="M158" s="574" t="str">
        <f>IF($L158="","",IF(LOG_ST!Q157=1,"OK",IF(LOG_ST!Q157=2,"NR",IF(OR(LOG_ST!Q157=0,LOG_ST!Q157="X"),"N/A"))))</f>
        <v/>
      </c>
      <c r="N158" s="574" t="str">
        <f>IF($L158="","",IF(LOG_ST!R157=1,"OK",IF(LOG_ST!R157=2,"NR",IF(OR(LOG_ST!R157=0,LOG_ST!R157="X"),"N/A"))))</f>
        <v/>
      </c>
      <c r="O158" s="574" t="str">
        <f>IF($L158="","",IF(LOG_ST!S157=1,"OK",IF(LOG_ST!S157=2,"NR",IF(OR(LOG_ST!S157=0,LOG_ST!S157="X"),"N/A"))))</f>
        <v/>
      </c>
      <c r="P158" s="574" t="str">
        <f>IF($L158="","",IF(LOG_ST!T157=1,"OK",IF(LOG_ST!T157=2,"NR",IF(OR(LOG_ST!T157=0,LOG_ST!T157="X"),"N/A"))))</f>
        <v/>
      </c>
      <c r="Q158" s="574" t="str">
        <f>IF($L158="","",IF(LOG_ST!U157=1,"OK",IF(LOG_ST!U157=2,"NR",IF(OR(LOG_ST!U157=0,LOG_ST!U157="X"),"N/A"))))</f>
        <v/>
      </c>
      <c r="R158" s="574" t="str">
        <f>IF($L158="","",IF(LOG_ST!V157=1,"OK",IF(LOG_ST!V157=2,"NR",IF(OR(LOG_ST!V157=0,LOG_ST!V157="X"),"N/A"))))</f>
        <v/>
      </c>
      <c r="S158" s="574" t="str">
        <f>IF($L158="","",IF(LOG_ST!W157=1,"OK",IF(LOG_ST!W157=2,"NR",IF(OR(LOG_ST!W157=0,LOG_ST!W157="X"),"N/A"))))</f>
        <v/>
      </c>
      <c r="T158" s="574" t="str">
        <f>IF($L158="","",IF(LOG_ST!X157=1,"OK",IF(LOG_ST!X157=2,"NR",IF(OR(LOG_ST!X157=0,LOG_ST!X157="X"),"N/A"))))</f>
        <v/>
      </c>
      <c r="U158" s="574" t="str">
        <f>IF($L158="","",IF(LOG_ST!Y157=1,"OK",IF(LOG_ST!Y157=2,"NR",IF(OR(LOG_ST!Y157=0,LOG_ST!Y157="X"),"N/A"))))</f>
        <v/>
      </c>
      <c r="V158" s="574" t="str">
        <f>IF($L158="","",IF(LOG_ST!Z157=1,"OK",IF(LOG_ST!Z157=2,"NR",IF(OR(LOG_ST!Z157=0,LOG_ST!Z157="X"),"N/A"))))</f>
        <v/>
      </c>
      <c r="W158" s="574" t="str">
        <f>IF($L158="","",IF(LOG_ST!AA157=1,"OK",IF(LOG_ST!AA157=2,"NR",IF(OR(LOG_ST!AA157=0,LOG_ST!AA157="X"),"N/A"))))</f>
        <v/>
      </c>
      <c r="X158" s="574" t="str">
        <f>IF($L158="","",IF(LOG_ST!AB157=1,"OK",IF(LOG_ST!AB157=2,"NR",IF(OR(LOG_ST!AB157=0,LOG_ST!AB157="X"),"N/A"))))</f>
        <v/>
      </c>
      <c r="Y158" s="574" t="str">
        <f>IF($L158="","",IF(LOG_ST!AC157=1,"OK",IF(LOG_ST!AC157=2,"NR",IF(OR(LOG_ST!AC157=0,LOG_ST!AC157="X"),"N/A"))))</f>
        <v/>
      </c>
      <c r="Z158" s="574" t="str">
        <f>IF($L158="","",IF(OR(LOG_ST!AD157=0,LOG_ST!AD157="X"),"N/A",LOG_ST!AD157))</f>
        <v/>
      </c>
      <c r="AA158" s="574" t="str">
        <f>IF($L158="","",IF(LOG_ST!AE157=1,"OK",IF(LOG_ST!AE157=2,"NR",IF(OR(LOG_ST!AE157=0,LOG_ST!AE157="X"),"N/A"))))</f>
        <v/>
      </c>
      <c r="AB158" s="574" t="str">
        <f>IF($L158="","",IF(LOG_ST!AF157=1,"OK",IF(LOG_ST!AF157=2,"NR",IF(OR(LOG_ST!AF157=0,LOG_ST!AF157="X"),"N/A"))))</f>
        <v/>
      </c>
      <c r="AC158" s="574" t="str">
        <f>IF($L158="","",IF(LOG_ST!AG157=1,"OK",IF(LOG_ST!AG157=2,"NR",IF(OR(LOG_ST!AG157=0,LOG_ST!AG157="X"),"N/A"))))</f>
        <v/>
      </c>
      <c r="AD158" s="574" t="str">
        <f>IF($L158="","",IF(OR(LOG_ST!AH157=0,LOG_ST!AH157="X"),"N/A",LOG_ST!AH157))</f>
        <v/>
      </c>
      <c r="AE158" s="574" t="str">
        <f>IF($L158="","",IF(LOG_ST!AI157=1,"OK",IF(LOG_ST!AI157=2,"NR",IF(OR(LOG_ST!AI157=0,LOG_ST!AI157="X"),"N/A"))))</f>
        <v/>
      </c>
      <c r="AF158" s="574" t="str">
        <f>IF($L158="","",IF(LOG_ST!AJ157=1,"OK",IF(LOG_ST!AJ157=2,"NR",IF(OR(LOG_ST!AJ157=0,LOG_ST!AJ157="X"),"N/A"))))</f>
        <v/>
      </c>
      <c r="AG158" s="574" t="str">
        <f>IF($L158="","",IF(LOG_ST!AK157=1,"OK",IF(LOG_ST!AK157=2,"NR",IF(OR(LOG_ST!AK157=0,LOG_ST!AK157="X"),"N/A"))))</f>
        <v/>
      </c>
      <c r="AH158" s="574" t="str">
        <f>IF($L158="","",IF(LOG_ST!AL157=1,"OK",IF(LOG_ST!AL157=2,"NR",IF(OR(LOG_ST!AL157=0,LOG_ST!AL157="X"),"N/A"))))</f>
        <v/>
      </c>
      <c r="AI158" s="574" t="str">
        <f>IF($L158="","",IF(LOG_ST!AM157=1,"OK",IF(LOG_ST!AM157=2,"NR",IF(OR(LOG_ST!AM157=0,LOG_ST!AM157="X"),"N/A"))))</f>
        <v/>
      </c>
      <c r="AJ158" s="574" t="str">
        <f>IF($L158="","",IF(LOG_ST!AN157=1,"OK",IF(LOG_ST!AN157=2,"NR",IF(OR(LOG_ST!AN157=0,LOG_ST!AN157="X"),"N/A"))))</f>
        <v/>
      </c>
      <c r="AK158" s="574" t="str">
        <f>IF($L158="","",IF(LOG_ST!AO157=1,"OK",IF(LOG_ST!AO157=2,"NR",IF(OR(LOG_ST!AO157=0,LOG_ST!AO157="X"),"N/A"))))</f>
        <v/>
      </c>
      <c r="AL158" s="574" t="str">
        <f>IF($L158="","",IF(LOG_ST!AP157=1,"OK",IF(LOG_ST!AP157=2,"NR",IF(OR(LOG_ST!AP157=0,LOG_ST!AP157="X"),"N/A"))))</f>
        <v/>
      </c>
      <c r="AM158" s="574" t="str">
        <f>IF($L158="","",IF(LOG_ST!AQ157=1,"OK",IF(LOG_ST!AQ157=2,"NR",IF(OR(LOG_ST!AQ157=0,LOG_ST!AQ157="X"),"N/A"))))</f>
        <v/>
      </c>
      <c r="AN158" s="550" t="str">
        <f t="shared" si="2"/>
        <v/>
      </c>
    </row>
    <row r="159" spans="2:40" x14ac:dyDescent="0.25">
      <c r="B159" s="551" t="str">
        <f>IF(LOG_ST!F158="","",VLOOKUP(LOG_ST!F158,DATA_BASE!$A$46:$C$57,2,FALSE))</f>
        <v/>
      </c>
      <c r="C159" s="570" t="str">
        <f>IF(LOG_ST!G158="","",VLOOKUP(LOG_ST!G158,DATA_HDG,2,FALSE))</f>
        <v/>
      </c>
      <c r="D159" s="571" t="str">
        <f>IF(LOG_ST!H158="","",LOG_ST!H158)</f>
        <v/>
      </c>
      <c r="E159" s="570" t="str">
        <f>IF(LOG_ST!I158="","",VLOOKUP(LOG_ST!I158,DATA_COP,2,FALSE))</f>
        <v/>
      </c>
      <c r="F159" s="573" t="str">
        <f>IF(LOG_ST!J158="","",LOG_ST!J158)</f>
        <v/>
      </c>
      <c r="G159" s="570" t="str">
        <f>IF(LOG_ST!K158="","",VLOOKUP(LOG_ST!K158,DATA_SCIES,2,FALSE))</f>
        <v/>
      </c>
      <c r="H159" s="570" t="str">
        <f>IF(LOG_ST!L158="","",VLOOKUP(LOG_ST!L158,DATA_ST!$U$7:$V$64,2,FALSE))</f>
        <v/>
      </c>
      <c r="I159" s="570" t="str">
        <f>IF(LOG_ST!M158="","",LOG_ST!M158)</f>
        <v/>
      </c>
      <c r="J159" s="570" t="str">
        <f>IF(LOG_ST!N158="","",LOG_ST!N158)</f>
        <v/>
      </c>
      <c r="K159" s="573" t="str">
        <f>IF(LOG_ST!O158="","",LOG_ST!O158)</f>
        <v/>
      </c>
      <c r="L159" s="573" t="str">
        <f>IF(LOG_ST!P158="","",LOG_ST!P158)</f>
        <v/>
      </c>
      <c r="M159" s="574" t="str">
        <f>IF($L159="","",IF(LOG_ST!Q158=1,"OK",IF(LOG_ST!Q158=2,"NR",IF(OR(LOG_ST!Q158=0,LOG_ST!Q158="X"),"N/A"))))</f>
        <v/>
      </c>
      <c r="N159" s="574" t="str">
        <f>IF($L159="","",IF(LOG_ST!R158=1,"OK",IF(LOG_ST!R158=2,"NR",IF(OR(LOG_ST!R158=0,LOG_ST!R158="X"),"N/A"))))</f>
        <v/>
      </c>
      <c r="O159" s="574" t="str">
        <f>IF($L159="","",IF(LOG_ST!S158=1,"OK",IF(LOG_ST!S158=2,"NR",IF(OR(LOG_ST!S158=0,LOG_ST!S158="X"),"N/A"))))</f>
        <v/>
      </c>
      <c r="P159" s="574" t="str">
        <f>IF($L159="","",IF(LOG_ST!T158=1,"OK",IF(LOG_ST!T158=2,"NR",IF(OR(LOG_ST!T158=0,LOG_ST!T158="X"),"N/A"))))</f>
        <v/>
      </c>
      <c r="Q159" s="574" t="str">
        <f>IF($L159="","",IF(LOG_ST!U158=1,"OK",IF(LOG_ST!U158=2,"NR",IF(OR(LOG_ST!U158=0,LOG_ST!U158="X"),"N/A"))))</f>
        <v/>
      </c>
      <c r="R159" s="574" t="str">
        <f>IF($L159="","",IF(LOG_ST!V158=1,"OK",IF(LOG_ST!V158=2,"NR",IF(OR(LOG_ST!V158=0,LOG_ST!V158="X"),"N/A"))))</f>
        <v/>
      </c>
      <c r="S159" s="574" t="str">
        <f>IF($L159="","",IF(LOG_ST!W158=1,"OK",IF(LOG_ST!W158=2,"NR",IF(OR(LOG_ST!W158=0,LOG_ST!W158="X"),"N/A"))))</f>
        <v/>
      </c>
      <c r="T159" s="574" t="str">
        <f>IF($L159="","",IF(LOG_ST!X158=1,"OK",IF(LOG_ST!X158=2,"NR",IF(OR(LOG_ST!X158=0,LOG_ST!X158="X"),"N/A"))))</f>
        <v/>
      </c>
      <c r="U159" s="574" t="str">
        <f>IF($L159="","",IF(LOG_ST!Y158=1,"OK",IF(LOG_ST!Y158=2,"NR",IF(OR(LOG_ST!Y158=0,LOG_ST!Y158="X"),"N/A"))))</f>
        <v/>
      </c>
      <c r="V159" s="574" t="str">
        <f>IF($L159="","",IF(LOG_ST!Z158=1,"OK",IF(LOG_ST!Z158=2,"NR",IF(OR(LOG_ST!Z158=0,LOG_ST!Z158="X"),"N/A"))))</f>
        <v/>
      </c>
      <c r="W159" s="574" t="str">
        <f>IF($L159="","",IF(LOG_ST!AA158=1,"OK",IF(LOG_ST!AA158=2,"NR",IF(OR(LOG_ST!AA158=0,LOG_ST!AA158="X"),"N/A"))))</f>
        <v/>
      </c>
      <c r="X159" s="574" t="str">
        <f>IF($L159="","",IF(LOG_ST!AB158=1,"OK",IF(LOG_ST!AB158=2,"NR",IF(OR(LOG_ST!AB158=0,LOG_ST!AB158="X"),"N/A"))))</f>
        <v/>
      </c>
      <c r="Y159" s="574" t="str">
        <f>IF($L159="","",IF(LOG_ST!AC158=1,"OK",IF(LOG_ST!AC158=2,"NR",IF(OR(LOG_ST!AC158=0,LOG_ST!AC158="X"),"N/A"))))</f>
        <v/>
      </c>
      <c r="Z159" s="574" t="str">
        <f>IF($L159="","",IF(OR(LOG_ST!AD158=0,LOG_ST!AD158="X"),"N/A",LOG_ST!AD158))</f>
        <v/>
      </c>
      <c r="AA159" s="574" t="str">
        <f>IF($L159="","",IF(LOG_ST!AE158=1,"OK",IF(LOG_ST!AE158=2,"NR",IF(OR(LOG_ST!AE158=0,LOG_ST!AE158="X"),"N/A"))))</f>
        <v/>
      </c>
      <c r="AB159" s="574" t="str">
        <f>IF($L159="","",IF(LOG_ST!AF158=1,"OK",IF(LOG_ST!AF158=2,"NR",IF(OR(LOG_ST!AF158=0,LOG_ST!AF158="X"),"N/A"))))</f>
        <v/>
      </c>
      <c r="AC159" s="574" t="str">
        <f>IF($L159="","",IF(LOG_ST!AG158=1,"OK",IF(LOG_ST!AG158=2,"NR",IF(OR(LOG_ST!AG158=0,LOG_ST!AG158="X"),"N/A"))))</f>
        <v/>
      </c>
      <c r="AD159" s="574" t="str">
        <f>IF($L159="","",IF(OR(LOG_ST!AH158=0,LOG_ST!AH158="X"),"N/A",LOG_ST!AH158))</f>
        <v/>
      </c>
      <c r="AE159" s="574" t="str">
        <f>IF($L159="","",IF(LOG_ST!AI158=1,"OK",IF(LOG_ST!AI158=2,"NR",IF(OR(LOG_ST!AI158=0,LOG_ST!AI158="X"),"N/A"))))</f>
        <v/>
      </c>
      <c r="AF159" s="574" t="str">
        <f>IF($L159="","",IF(LOG_ST!AJ158=1,"OK",IF(LOG_ST!AJ158=2,"NR",IF(OR(LOG_ST!AJ158=0,LOG_ST!AJ158="X"),"N/A"))))</f>
        <v/>
      </c>
      <c r="AG159" s="574" t="str">
        <f>IF($L159="","",IF(LOG_ST!AK158=1,"OK",IF(LOG_ST!AK158=2,"NR",IF(OR(LOG_ST!AK158=0,LOG_ST!AK158="X"),"N/A"))))</f>
        <v/>
      </c>
      <c r="AH159" s="574" t="str">
        <f>IF($L159="","",IF(LOG_ST!AL158=1,"OK",IF(LOG_ST!AL158=2,"NR",IF(OR(LOG_ST!AL158=0,LOG_ST!AL158="X"),"N/A"))))</f>
        <v/>
      </c>
      <c r="AI159" s="574" t="str">
        <f>IF($L159="","",IF(LOG_ST!AM158=1,"OK",IF(LOG_ST!AM158=2,"NR",IF(OR(LOG_ST!AM158=0,LOG_ST!AM158="X"),"N/A"))))</f>
        <v/>
      </c>
      <c r="AJ159" s="574" t="str">
        <f>IF($L159="","",IF(LOG_ST!AN158=1,"OK",IF(LOG_ST!AN158=2,"NR",IF(OR(LOG_ST!AN158=0,LOG_ST!AN158="X"),"N/A"))))</f>
        <v/>
      </c>
      <c r="AK159" s="574" t="str">
        <f>IF($L159="","",IF(LOG_ST!AO158=1,"OK",IF(LOG_ST!AO158=2,"NR",IF(OR(LOG_ST!AO158=0,LOG_ST!AO158="X"),"N/A"))))</f>
        <v/>
      </c>
      <c r="AL159" s="574" t="str">
        <f>IF($L159="","",IF(LOG_ST!AP158=1,"OK",IF(LOG_ST!AP158=2,"NR",IF(OR(LOG_ST!AP158=0,LOG_ST!AP158="X"),"N/A"))))</f>
        <v/>
      </c>
      <c r="AM159" s="574" t="str">
        <f>IF($L159="","",IF(LOG_ST!AQ158=1,"OK",IF(LOG_ST!AQ158=2,"NR",IF(OR(LOG_ST!AQ158=0,LOG_ST!AQ158="X"),"N/A"))))</f>
        <v/>
      </c>
      <c r="AN159" s="550" t="str">
        <f t="shared" si="2"/>
        <v/>
      </c>
    </row>
    <row r="160" spans="2:40" x14ac:dyDescent="0.25">
      <c r="B160" s="551" t="str">
        <f>IF(LOG_ST!F159="","",VLOOKUP(LOG_ST!F159,DATA_BASE!$A$46:$C$57,2,FALSE))</f>
        <v/>
      </c>
      <c r="C160" s="570" t="str">
        <f>IF(LOG_ST!G159="","",VLOOKUP(LOG_ST!G159,DATA_HDG,2,FALSE))</f>
        <v/>
      </c>
      <c r="D160" s="571" t="str">
        <f>IF(LOG_ST!H159="","",LOG_ST!H159)</f>
        <v/>
      </c>
      <c r="E160" s="570" t="str">
        <f>IF(LOG_ST!I159="","",VLOOKUP(LOG_ST!I159,DATA_COP,2,FALSE))</f>
        <v/>
      </c>
      <c r="F160" s="573" t="str">
        <f>IF(LOG_ST!J159="","",LOG_ST!J159)</f>
        <v/>
      </c>
      <c r="G160" s="570" t="str">
        <f>IF(LOG_ST!K159="","",VLOOKUP(LOG_ST!K159,DATA_SCIES,2,FALSE))</f>
        <v/>
      </c>
      <c r="H160" s="570" t="str">
        <f>IF(LOG_ST!L159="","",VLOOKUP(LOG_ST!L159,DATA_ST!$U$7:$V$64,2,FALSE))</f>
        <v/>
      </c>
      <c r="I160" s="570" t="str">
        <f>IF(LOG_ST!M159="","",LOG_ST!M159)</f>
        <v/>
      </c>
      <c r="J160" s="570" t="str">
        <f>IF(LOG_ST!N159="","",LOG_ST!N159)</f>
        <v/>
      </c>
      <c r="K160" s="573" t="str">
        <f>IF(LOG_ST!O159="","",LOG_ST!O159)</f>
        <v/>
      </c>
      <c r="L160" s="573" t="str">
        <f>IF(LOG_ST!P159="","",LOG_ST!P159)</f>
        <v/>
      </c>
      <c r="M160" s="574" t="str">
        <f>IF($L160="","",IF(LOG_ST!Q159=1,"OK",IF(LOG_ST!Q159=2,"NR",IF(OR(LOG_ST!Q159=0,LOG_ST!Q159="X"),"N/A"))))</f>
        <v/>
      </c>
      <c r="N160" s="574" t="str">
        <f>IF($L160="","",IF(LOG_ST!R159=1,"OK",IF(LOG_ST!R159=2,"NR",IF(OR(LOG_ST!R159=0,LOG_ST!R159="X"),"N/A"))))</f>
        <v/>
      </c>
      <c r="O160" s="574" t="str">
        <f>IF($L160="","",IF(LOG_ST!S159=1,"OK",IF(LOG_ST!S159=2,"NR",IF(OR(LOG_ST!S159=0,LOG_ST!S159="X"),"N/A"))))</f>
        <v/>
      </c>
      <c r="P160" s="574" t="str">
        <f>IF($L160="","",IF(LOG_ST!T159=1,"OK",IF(LOG_ST!T159=2,"NR",IF(OR(LOG_ST!T159=0,LOG_ST!T159="X"),"N/A"))))</f>
        <v/>
      </c>
      <c r="Q160" s="574" t="str">
        <f>IF($L160="","",IF(LOG_ST!U159=1,"OK",IF(LOG_ST!U159=2,"NR",IF(OR(LOG_ST!U159=0,LOG_ST!U159="X"),"N/A"))))</f>
        <v/>
      </c>
      <c r="R160" s="574" t="str">
        <f>IF($L160="","",IF(LOG_ST!V159=1,"OK",IF(LOG_ST!V159=2,"NR",IF(OR(LOG_ST!V159=0,LOG_ST!V159="X"),"N/A"))))</f>
        <v/>
      </c>
      <c r="S160" s="574" t="str">
        <f>IF($L160="","",IF(LOG_ST!W159=1,"OK",IF(LOG_ST!W159=2,"NR",IF(OR(LOG_ST!W159=0,LOG_ST!W159="X"),"N/A"))))</f>
        <v/>
      </c>
      <c r="T160" s="574" t="str">
        <f>IF($L160="","",IF(LOG_ST!X159=1,"OK",IF(LOG_ST!X159=2,"NR",IF(OR(LOG_ST!X159=0,LOG_ST!X159="X"),"N/A"))))</f>
        <v/>
      </c>
      <c r="U160" s="574" t="str">
        <f>IF($L160="","",IF(LOG_ST!Y159=1,"OK",IF(LOG_ST!Y159=2,"NR",IF(OR(LOG_ST!Y159=0,LOG_ST!Y159="X"),"N/A"))))</f>
        <v/>
      </c>
      <c r="V160" s="574" t="str">
        <f>IF($L160="","",IF(LOG_ST!Z159=1,"OK",IF(LOG_ST!Z159=2,"NR",IF(OR(LOG_ST!Z159=0,LOG_ST!Z159="X"),"N/A"))))</f>
        <v/>
      </c>
      <c r="W160" s="574" t="str">
        <f>IF($L160="","",IF(LOG_ST!AA159=1,"OK",IF(LOG_ST!AA159=2,"NR",IF(OR(LOG_ST!AA159=0,LOG_ST!AA159="X"),"N/A"))))</f>
        <v/>
      </c>
      <c r="X160" s="574" t="str">
        <f>IF($L160="","",IF(LOG_ST!AB159=1,"OK",IF(LOG_ST!AB159=2,"NR",IF(OR(LOG_ST!AB159=0,LOG_ST!AB159="X"),"N/A"))))</f>
        <v/>
      </c>
      <c r="Y160" s="574" t="str">
        <f>IF($L160="","",IF(LOG_ST!AC159=1,"OK",IF(LOG_ST!AC159=2,"NR",IF(OR(LOG_ST!AC159=0,LOG_ST!AC159="X"),"N/A"))))</f>
        <v/>
      </c>
      <c r="Z160" s="574" t="str">
        <f>IF($L160="","",IF(OR(LOG_ST!AD159=0,LOG_ST!AD159="X"),"N/A",LOG_ST!AD159))</f>
        <v/>
      </c>
      <c r="AA160" s="574" t="str">
        <f>IF($L160="","",IF(LOG_ST!AE159=1,"OK",IF(LOG_ST!AE159=2,"NR",IF(OR(LOG_ST!AE159=0,LOG_ST!AE159="X"),"N/A"))))</f>
        <v/>
      </c>
      <c r="AB160" s="574" t="str">
        <f>IF($L160="","",IF(LOG_ST!AF159=1,"OK",IF(LOG_ST!AF159=2,"NR",IF(OR(LOG_ST!AF159=0,LOG_ST!AF159="X"),"N/A"))))</f>
        <v/>
      </c>
      <c r="AC160" s="574" t="str">
        <f>IF($L160="","",IF(LOG_ST!AG159=1,"OK",IF(LOG_ST!AG159=2,"NR",IF(OR(LOG_ST!AG159=0,LOG_ST!AG159="X"),"N/A"))))</f>
        <v/>
      </c>
      <c r="AD160" s="574" t="str">
        <f>IF($L160="","",IF(OR(LOG_ST!AH159=0,LOG_ST!AH159="X"),"N/A",LOG_ST!AH159))</f>
        <v/>
      </c>
      <c r="AE160" s="574" t="str">
        <f>IF($L160="","",IF(LOG_ST!AI159=1,"OK",IF(LOG_ST!AI159=2,"NR",IF(OR(LOG_ST!AI159=0,LOG_ST!AI159="X"),"N/A"))))</f>
        <v/>
      </c>
      <c r="AF160" s="574" t="str">
        <f>IF($L160="","",IF(LOG_ST!AJ159=1,"OK",IF(LOG_ST!AJ159=2,"NR",IF(OR(LOG_ST!AJ159=0,LOG_ST!AJ159="X"),"N/A"))))</f>
        <v/>
      </c>
      <c r="AG160" s="574" t="str">
        <f>IF($L160="","",IF(LOG_ST!AK159=1,"OK",IF(LOG_ST!AK159=2,"NR",IF(OR(LOG_ST!AK159=0,LOG_ST!AK159="X"),"N/A"))))</f>
        <v/>
      </c>
      <c r="AH160" s="574" t="str">
        <f>IF($L160="","",IF(LOG_ST!AL159=1,"OK",IF(LOG_ST!AL159=2,"NR",IF(OR(LOG_ST!AL159=0,LOG_ST!AL159="X"),"N/A"))))</f>
        <v/>
      </c>
      <c r="AI160" s="574" t="str">
        <f>IF($L160="","",IF(LOG_ST!AM159=1,"OK",IF(LOG_ST!AM159=2,"NR",IF(OR(LOG_ST!AM159=0,LOG_ST!AM159="X"),"N/A"))))</f>
        <v/>
      </c>
      <c r="AJ160" s="574" t="str">
        <f>IF($L160="","",IF(LOG_ST!AN159=1,"OK",IF(LOG_ST!AN159=2,"NR",IF(OR(LOG_ST!AN159=0,LOG_ST!AN159="X"),"N/A"))))</f>
        <v/>
      </c>
      <c r="AK160" s="574" t="str">
        <f>IF($L160="","",IF(LOG_ST!AO159=1,"OK",IF(LOG_ST!AO159=2,"NR",IF(OR(LOG_ST!AO159=0,LOG_ST!AO159="X"),"N/A"))))</f>
        <v/>
      </c>
      <c r="AL160" s="574" t="str">
        <f>IF($L160="","",IF(LOG_ST!AP159=1,"OK",IF(LOG_ST!AP159=2,"NR",IF(OR(LOG_ST!AP159=0,LOG_ST!AP159="X"),"N/A"))))</f>
        <v/>
      </c>
      <c r="AM160" s="574" t="str">
        <f>IF($L160="","",IF(LOG_ST!AQ159=1,"OK",IF(LOG_ST!AQ159=2,"NR",IF(OR(LOG_ST!AQ159=0,LOG_ST!AQ159="X"),"N/A"))))</f>
        <v/>
      </c>
      <c r="AN160" s="550" t="str">
        <f t="shared" si="2"/>
        <v/>
      </c>
    </row>
    <row r="161" spans="2:40" x14ac:dyDescent="0.25">
      <c r="B161" s="551" t="str">
        <f>IF(LOG_ST!F160="","",VLOOKUP(LOG_ST!F160,DATA_BASE!$A$46:$C$57,2,FALSE))</f>
        <v/>
      </c>
      <c r="C161" s="570" t="str">
        <f>IF(LOG_ST!G160="","",VLOOKUP(LOG_ST!G160,DATA_HDG,2,FALSE))</f>
        <v/>
      </c>
      <c r="D161" s="571" t="str">
        <f>IF(LOG_ST!H160="","",LOG_ST!H160)</f>
        <v/>
      </c>
      <c r="E161" s="570" t="str">
        <f>IF(LOG_ST!I160="","",VLOOKUP(LOG_ST!I160,DATA_COP,2,FALSE))</f>
        <v/>
      </c>
      <c r="F161" s="573" t="str">
        <f>IF(LOG_ST!J160="","",LOG_ST!J160)</f>
        <v/>
      </c>
      <c r="G161" s="570" t="str">
        <f>IF(LOG_ST!K160="","",VLOOKUP(LOG_ST!K160,DATA_SCIES,2,FALSE))</f>
        <v/>
      </c>
      <c r="H161" s="570" t="str">
        <f>IF(LOG_ST!L160="","",VLOOKUP(LOG_ST!L160,DATA_ST!$U$7:$V$64,2,FALSE))</f>
        <v/>
      </c>
      <c r="I161" s="570" t="str">
        <f>IF(LOG_ST!M160="","",LOG_ST!M160)</f>
        <v/>
      </c>
      <c r="J161" s="570" t="str">
        <f>IF(LOG_ST!N160="","",LOG_ST!N160)</f>
        <v/>
      </c>
      <c r="K161" s="573" t="str">
        <f>IF(LOG_ST!O160="","",LOG_ST!O160)</f>
        <v/>
      </c>
      <c r="L161" s="573" t="str">
        <f>IF(LOG_ST!P160="","",LOG_ST!P160)</f>
        <v/>
      </c>
      <c r="M161" s="574" t="str">
        <f>IF($L161="","",IF(LOG_ST!Q160=1,"OK",IF(LOG_ST!Q160=2,"NR",IF(OR(LOG_ST!Q160=0,LOG_ST!Q160="X"),"N/A"))))</f>
        <v/>
      </c>
      <c r="N161" s="574" t="str">
        <f>IF($L161="","",IF(LOG_ST!R160=1,"OK",IF(LOG_ST!R160=2,"NR",IF(OR(LOG_ST!R160=0,LOG_ST!R160="X"),"N/A"))))</f>
        <v/>
      </c>
      <c r="O161" s="574" t="str">
        <f>IF($L161="","",IF(LOG_ST!S160=1,"OK",IF(LOG_ST!S160=2,"NR",IF(OR(LOG_ST!S160=0,LOG_ST!S160="X"),"N/A"))))</f>
        <v/>
      </c>
      <c r="P161" s="574" t="str">
        <f>IF($L161="","",IF(LOG_ST!T160=1,"OK",IF(LOG_ST!T160=2,"NR",IF(OR(LOG_ST!T160=0,LOG_ST!T160="X"),"N/A"))))</f>
        <v/>
      </c>
      <c r="Q161" s="574" t="str">
        <f>IF($L161="","",IF(LOG_ST!U160=1,"OK",IF(LOG_ST!U160=2,"NR",IF(OR(LOG_ST!U160=0,LOG_ST!U160="X"),"N/A"))))</f>
        <v/>
      </c>
      <c r="R161" s="574" t="str">
        <f>IF($L161="","",IF(LOG_ST!V160=1,"OK",IF(LOG_ST!V160=2,"NR",IF(OR(LOG_ST!V160=0,LOG_ST!V160="X"),"N/A"))))</f>
        <v/>
      </c>
      <c r="S161" s="574" t="str">
        <f>IF($L161="","",IF(LOG_ST!W160=1,"OK",IF(LOG_ST!W160=2,"NR",IF(OR(LOG_ST!W160=0,LOG_ST!W160="X"),"N/A"))))</f>
        <v/>
      </c>
      <c r="T161" s="574" t="str">
        <f>IF($L161="","",IF(LOG_ST!X160=1,"OK",IF(LOG_ST!X160=2,"NR",IF(OR(LOG_ST!X160=0,LOG_ST!X160="X"),"N/A"))))</f>
        <v/>
      </c>
      <c r="U161" s="574" t="str">
        <f>IF($L161="","",IF(LOG_ST!Y160=1,"OK",IF(LOG_ST!Y160=2,"NR",IF(OR(LOG_ST!Y160=0,LOG_ST!Y160="X"),"N/A"))))</f>
        <v/>
      </c>
      <c r="V161" s="574" t="str">
        <f>IF($L161="","",IF(LOG_ST!Z160=1,"OK",IF(LOG_ST!Z160=2,"NR",IF(OR(LOG_ST!Z160=0,LOG_ST!Z160="X"),"N/A"))))</f>
        <v/>
      </c>
      <c r="W161" s="574" t="str">
        <f>IF($L161="","",IF(LOG_ST!AA160=1,"OK",IF(LOG_ST!AA160=2,"NR",IF(OR(LOG_ST!AA160=0,LOG_ST!AA160="X"),"N/A"))))</f>
        <v/>
      </c>
      <c r="X161" s="574" t="str">
        <f>IF($L161="","",IF(LOG_ST!AB160=1,"OK",IF(LOG_ST!AB160=2,"NR",IF(OR(LOG_ST!AB160=0,LOG_ST!AB160="X"),"N/A"))))</f>
        <v/>
      </c>
      <c r="Y161" s="574" t="str">
        <f>IF($L161="","",IF(LOG_ST!AC160=1,"OK",IF(LOG_ST!AC160=2,"NR",IF(OR(LOG_ST!AC160=0,LOG_ST!AC160="X"),"N/A"))))</f>
        <v/>
      </c>
      <c r="Z161" s="574" t="str">
        <f>IF($L161="","",IF(OR(LOG_ST!AD160=0,LOG_ST!AD160="X"),"N/A",LOG_ST!AD160))</f>
        <v/>
      </c>
      <c r="AA161" s="574" t="str">
        <f>IF($L161="","",IF(LOG_ST!AE160=1,"OK",IF(LOG_ST!AE160=2,"NR",IF(OR(LOG_ST!AE160=0,LOG_ST!AE160="X"),"N/A"))))</f>
        <v/>
      </c>
      <c r="AB161" s="574" t="str">
        <f>IF($L161="","",IF(LOG_ST!AF160=1,"OK",IF(LOG_ST!AF160=2,"NR",IF(OR(LOG_ST!AF160=0,LOG_ST!AF160="X"),"N/A"))))</f>
        <v/>
      </c>
      <c r="AC161" s="574" t="str">
        <f>IF($L161="","",IF(LOG_ST!AG160=1,"OK",IF(LOG_ST!AG160=2,"NR",IF(OR(LOG_ST!AG160=0,LOG_ST!AG160="X"),"N/A"))))</f>
        <v/>
      </c>
      <c r="AD161" s="574" t="str">
        <f>IF($L161="","",IF(OR(LOG_ST!AH160=0,LOG_ST!AH160="X"),"N/A",LOG_ST!AH160))</f>
        <v/>
      </c>
      <c r="AE161" s="574" t="str">
        <f>IF($L161="","",IF(LOG_ST!AI160=1,"OK",IF(LOG_ST!AI160=2,"NR",IF(OR(LOG_ST!AI160=0,LOG_ST!AI160="X"),"N/A"))))</f>
        <v/>
      </c>
      <c r="AF161" s="574" t="str">
        <f>IF($L161="","",IF(LOG_ST!AJ160=1,"OK",IF(LOG_ST!AJ160=2,"NR",IF(OR(LOG_ST!AJ160=0,LOG_ST!AJ160="X"),"N/A"))))</f>
        <v/>
      </c>
      <c r="AG161" s="574" t="str">
        <f>IF($L161="","",IF(LOG_ST!AK160=1,"OK",IF(LOG_ST!AK160=2,"NR",IF(OR(LOG_ST!AK160=0,LOG_ST!AK160="X"),"N/A"))))</f>
        <v/>
      </c>
      <c r="AH161" s="574" t="str">
        <f>IF($L161="","",IF(LOG_ST!AL160=1,"OK",IF(LOG_ST!AL160=2,"NR",IF(OR(LOG_ST!AL160=0,LOG_ST!AL160="X"),"N/A"))))</f>
        <v/>
      </c>
      <c r="AI161" s="574" t="str">
        <f>IF($L161="","",IF(LOG_ST!AM160=1,"OK",IF(LOG_ST!AM160=2,"NR",IF(OR(LOG_ST!AM160=0,LOG_ST!AM160="X"),"N/A"))))</f>
        <v/>
      </c>
      <c r="AJ161" s="574" t="str">
        <f>IF($L161="","",IF(LOG_ST!AN160=1,"OK",IF(LOG_ST!AN160=2,"NR",IF(OR(LOG_ST!AN160=0,LOG_ST!AN160="X"),"N/A"))))</f>
        <v/>
      </c>
      <c r="AK161" s="574" t="str">
        <f>IF($L161="","",IF(LOG_ST!AO160=1,"OK",IF(LOG_ST!AO160=2,"NR",IF(OR(LOG_ST!AO160=0,LOG_ST!AO160="X"),"N/A"))))</f>
        <v/>
      </c>
      <c r="AL161" s="574" t="str">
        <f>IF($L161="","",IF(LOG_ST!AP160=1,"OK",IF(LOG_ST!AP160=2,"NR",IF(OR(LOG_ST!AP160=0,LOG_ST!AP160="X"),"N/A"))))</f>
        <v/>
      </c>
      <c r="AM161" s="574" t="str">
        <f>IF($L161="","",IF(LOG_ST!AQ160=1,"OK",IF(LOG_ST!AQ160=2,"NR",IF(OR(LOG_ST!AQ160=0,LOG_ST!AQ160="X"),"N/A"))))</f>
        <v/>
      </c>
      <c r="AN161" s="550" t="str">
        <f t="shared" si="2"/>
        <v/>
      </c>
    </row>
    <row r="162" spans="2:40" ht="15.75" thickBot="1" x14ac:dyDescent="0.3">
      <c r="B162" s="548" t="str">
        <f>IF(LOG_ST!F161="","",VLOOKUP(LOG_ST!F161,DATA_BASE!$A$46:$C$57,2,FALSE))</f>
        <v/>
      </c>
      <c r="C162" s="552" t="str">
        <f>IF(LOG_ST!G161="","",VLOOKUP(LOG_ST!G161,DATA_HDG,2,FALSE))</f>
        <v/>
      </c>
      <c r="D162" s="575" t="str">
        <f>IF(LOG_ST!H161="","",LOG_ST!H161)</f>
        <v/>
      </c>
      <c r="E162" s="552" t="str">
        <f>IF(LOG_ST!I161="","",VLOOKUP(LOG_ST!I161,DATA_COP,2,FALSE))</f>
        <v/>
      </c>
      <c r="F162" s="576" t="str">
        <f>IF(LOG_ST!J161="","",LOG_ST!J161)</f>
        <v/>
      </c>
      <c r="G162" s="552" t="str">
        <f>IF(LOG_ST!K161="","",VLOOKUP(LOG_ST!K161,DATA_SCIES,2,FALSE))</f>
        <v/>
      </c>
      <c r="H162" s="552" t="str">
        <f>IF(LOG_ST!L161="","",VLOOKUP(LOG_ST!L161,DATA_ST!$U$7:$V$64,2,FALSE))</f>
        <v/>
      </c>
      <c r="I162" s="552" t="str">
        <f>IF(LOG_ST!M161="","",LOG_ST!M161)</f>
        <v/>
      </c>
      <c r="J162" s="552" t="str">
        <f>IF(LOG_ST!N161="","",LOG_ST!N161)</f>
        <v/>
      </c>
      <c r="K162" s="576" t="str">
        <f>IF(LOG_ST!O161="","",LOG_ST!O161)</f>
        <v/>
      </c>
      <c r="L162" s="576" t="str">
        <f>IF(LOG_ST!P161="","",LOG_ST!P161)</f>
        <v/>
      </c>
      <c r="M162" s="553" t="str">
        <f>IF($L162="","",IF(LOG_ST!Q161=1,"OK",IF(LOG_ST!Q161=2,"NR",IF(OR(LOG_ST!Q161=0,LOG_ST!Q161="X"),"N/A"))))</f>
        <v/>
      </c>
      <c r="N162" s="553" t="str">
        <f>IF($L162="","",IF(LOG_ST!R161=1,"OK",IF(LOG_ST!R161=2,"NR",IF(OR(LOG_ST!R161=0,LOG_ST!R161="X"),"N/A"))))</f>
        <v/>
      </c>
      <c r="O162" s="553" t="str">
        <f>IF($L162="","",IF(LOG_ST!S161=1,"OK",IF(LOG_ST!S161=2,"NR",IF(OR(LOG_ST!S161=0,LOG_ST!S161="X"),"N/A"))))</f>
        <v/>
      </c>
      <c r="P162" s="553" t="str">
        <f>IF($L162="","",IF(LOG_ST!T161=1,"OK",IF(LOG_ST!T161=2,"NR",IF(OR(LOG_ST!T161=0,LOG_ST!T161="X"),"N/A"))))</f>
        <v/>
      </c>
      <c r="Q162" s="553" t="str">
        <f>IF($L162="","",IF(LOG_ST!U161=1,"OK",IF(LOG_ST!U161=2,"NR",IF(OR(LOG_ST!U161=0,LOG_ST!U161="X"),"N/A"))))</f>
        <v/>
      </c>
      <c r="R162" s="553" t="str">
        <f>IF($L162="","",IF(LOG_ST!V161=1,"OK",IF(LOG_ST!V161=2,"NR",IF(OR(LOG_ST!V161=0,LOG_ST!V161="X"),"N/A"))))</f>
        <v/>
      </c>
      <c r="S162" s="553" t="str">
        <f>IF($L162="","",IF(LOG_ST!W161=1,"OK",IF(LOG_ST!W161=2,"NR",IF(OR(LOG_ST!W161=0,LOG_ST!W161="X"),"N/A"))))</f>
        <v/>
      </c>
      <c r="T162" s="553" t="str">
        <f>IF($L162="","",IF(LOG_ST!X161=1,"OK",IF(LOG_ST!X161=2,"NR",IF(OR(LOG_ST!X161=0,LOG_ST!X161="X"),"N/A"))))</f>
        <v/>
      </c>
      <c r="U162" s="553" t="str">
        <f>IF($L162="","",IF(LOG_ST!Y161=1,"OK",IF(LOG_ST!Y161=2,"NR",IF(OR(LOG_ST!Y161=0,LOG_ST!Y161="X"),"N/A"))))</f>
        <v/>
      </c>
      <c r="V162" s="553" t="str">
        <f>IF($L162="","",IF(LOG_ST!Z161=1,"OK",IF(LOG_ST!Z161=2,"NR",IF(OR(LOG_ST!Z161=0,LOG_ST!Z161="X"),"N/A"))))</f>
        <v/>
      </c>
      <c r="W162" s="553" t="str">
        <f>IF($L162="","",IF(LOG_ST!AA161=1,"OK",IF(LOG_ST!AA161=2,"NR",IF(OR(LOG_ST!AA161=0,LOG_ST!AA161="X"),"N/A"))))</f>
        <v/>
      </c>
      <c r="X162" s="553" t="str">
        <f>IF($L162="","",IF(LOG_ST!AB161=1,"OK",IF(LOG_ST!AB161=2,"NR",IF(OR(LOG_ST!AB161=0,LOG_ST!AB161="X"),"N/A"))))</f>
        <v/>
      </c>
      <c r="Y162" s="553" t="str">
        <f>IF($L162="","",IF(LOG_ST!AC161=1,"OK",IF(LOG_ST!AC161=2,"NR",IF(OR(LOG_ST!AC161=0,LOG_ST!AC161="X"),"N/A"))))</f>
        <v/>
      </c>
      <c r="Z162" s="553" t="str">
        <f>IF($L162="","",IF(OR(LOG_ST!AD161=0,LOG_ST!AD161="X"),"N/A",LOG_ST!AD161))</f>
        <v/>
      </c>
      <c r="AA162" s="553" t="str">
        <f>IF($L162="","",IF(LOG_ST!AE161=1,"OK",IF(LOG_ST!AE161=2,"NR",IF(OR(LOG_ST!AE161=0,LOG_ST!AE161="X"),"N/A"))))</f>
        <v/>
      </c>
      <c r="AB162" s="553" t="str">
        <f>IF($L162="","",IF(LOG_ST!AF161=1,"OK",IF(LOG_ST!AF161=2,"NR",IF(OR(LOG_ST!AF161=0,LOG_ST!AF161="X"),"N/A"))))</f>
        <v/>
      </c>
      <c r="AC162" s="553" t="str">
        <f>IF($L162="","",IF(LOG_ST!AG161=1,"OK",IF(LOG_ST!AG161=2,"NR",IF(OR(LOG_ST!AG161=0,LOG_ST!AG161="X"),"N/A"))))</f>
        <v/>
      </c>
      <c r="AD162" s="553" t="str">
        <f>IF($L162="","",IF(OR(LOG_ST!AH161=0,LOG_ST!AH161="X"),"N/A",LOG_ST!AH161))</f>
        <v/>
      </c>
      <c r="AE162" s="553" t="str">
        <f>IF($L162="","",IF(LOG_ST!AI161=1,"OK",IF(LOG_ST!AI161=2,"NR",IF(OR(LOG_ST!AI161=0,LOG_ST!AI161="X"),"N/A"))))</f>
        <v/>
      </c>
      <c r="AF162" s="553" t="str">
        <f>IF($L162="","",IF(LOG_ST!AJ161=1,"OK",IF(LOG_ST!AJ161=2,"NR",IF(OR(LOG_ST!AJ161=0,LOG_ST!AJ161="X"),"N/A"))))</f>
        <v/>
      </c>
      <c r="AG162" s="553" t="str">
        <f>IF($L162="","",IF(LOG_ST!AK161=1,"OK",IF(LOG_ST!AK161=2,"NR",IF(OR(LOG_ST!AK161=0,LOG_ST!AK161="X"),"N/A"))))</f>
        <v/>
      </c>
      <c r="AH162" s="553" t="str">
        <f>IF($L162="","",IF(LOG_ST!AL161=1,"OK",IF(LOG_ST!AL161=2,"NR",IF(OR(LOG_ST!AL161=0,LOG_ST!AL161="X"),"N/A"))))</f>
        <v/>
      </c>
      <c r="AI162" s="553" t="str">
        <f>IF($L162="","",IF(LOG_ST!AM161=1,"OK",IF(LOG_ST!AM161=2,"NR",IF(OR(LOG_ST!AM161=0,LOG_ST!AM161="X"),"N/A"))))</f>
        <v/>
      </c>
      <c r="AJ162" s="553" t="str">
        <f>IF($L162="","",IF(LOG_ST!AN161=1,"OK",IF(LOG_ST!AN161=2,"NR",IF(OR(LOG_ST!AN161=0,LOG_ST!AN161="X"),"N/A"))))</f>
        <v/>
      </c>
      <c r="AK162" s="553" t="str">
        <f>IF($L162="","",IF(LOG_ST!AO161=1,"OK",IF(LOG_ST!AO161=2,"NR",IF(OR(LOG_ST!AO161=0,LOG_ST!AO161="X"),"N/A"))))</f>
        <v/>
      </c>
      <c r="AL162" s="553" t="str">
        <f>IF($L162="","",IF(LOG_ST!AP161=1,"OK",IF(LOG_ST!AP161=2,"NR",IF(OR(LOG_ST!AP161=0,LOG_ST!AP161="X"),"N/A"))))</f>
        <v/>
      </c>
      <c r="AM162" s="553" t="str">
        <f>IF($L162="","",IF(LOG_ST!AQ161=1,"OK",IF(LOG_ST!AQ161=2,"NR",IF(OR(LOG_ST!AQ161=0,LOG_ST!AQ161="X"),"N/A"))))</f>
        <v/>
      </c>
      <c r="AN162" s="549" t="str">
        <f t="shared" si="2"/>
        <v/>
      </c>
    </row>
  </sheetData>
  <sheetProtection algorithmName="SHA-512" hashValue="BYKx1IVuGCj8kn7VVnIRZmM5lo0T88NsCDXbMIli8QAr06ciQu7UO9CCNWSsuBVX5y/caXEy0y54/UHmNVr0BQ==" saltValue="+RZE21704thhx/P7VZHtdg==" spinCount="100000" sheet="1" objects="1" scenarios="1" selectLockedCells="1" selectUnlockedCells="1"/>
  <autoFilter ref="B6:AN162"/>
  <mergeCells count="1">
    <mergeCell ref="B4:AN5"/>
  </mergeCells>
  <conditionalFormatting sqref="M7:AM162">
    <cfRule type="cellIs" dxfId="110" priority="1" operator="equal">
      <formula>"N/A"</formula>
    </cfRule>
    <cfRule type="cellIs" dxfId="109" priority="2" operator="equal">
      <formula>"NR"</formula>
    </cfRule>
    <cfRule type="cellIs" dxfId="108" priority="3" operator="equal">
      <formula>"OK"</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_LEG_Cliquer">
                <anchor moveWithCells="1" sizeWithCells="1">
                  <from>
                    <xdr:col>30</xdr:col>
                    <xdr:colOff>0</xdr:colOff>
                    <xdr:row>3</xdr:row>
                    <xdr:rowOff>47625</xdr:rowOff>
                  </from>
                  <to>
                    <xdr:col>37</xdr:col>
                    <xdr:colOff>123825</xdr:colOff>
                    <xdr:row>4</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dimension ref="B1:AJ283"/>
  <sheetViews>
    <sheetView topLeftCell="A238" zoomScaleNormal="100" workbookViewId="0">
      <selection activeCell="F249" sqref="F249"/>
    </sheetView>
  </sheetViews>
  <sheetFormatPr baseColWidth="10" defaultRowHeight="15" x14ac:dyDescent="0.25"/>
  <cols>
    <col min="2" max="2" width="4" bestFit="1" customWidth="1"/>
    <col min="5" max="5" width="11.7109375" style="48" customWidth="1"/>
    <col min="6" max="6" width="11.7109375" customWidth="1"/>
    <col min="7" max="7" width="11.7109375" style="48" customWidth="1"/>
    <col min="8" max="8" width="11.7109375" customWidth="1"/>
    <col min="9" max="9" width="11.7109375" style="48" customWidth="1"/>
    <col min="10" max="10" width="11.7109375" customWidth="1"/>
    <col min="11" max="11" width="11.7109375" style="48" customWidth="1"/>
    <col min="12" max="12" width="11.7109375" customWidth="1"/>
    <col min="13" max="13" width="11.7109375" style="48" customWidth="1"/>
    <col min="14" max="14" width="11.7109375" customWidth="1"/>
    <col min="15" max="15" width="11.7109375" style="48" customWidth="1"/>
    <col min="16" max="16" width="11.7109375" customWidth="1"/>
    <col min="17" max="17" width="11.7109375" style="48" customWidth="1"/>
    <col min="18" max="18" width="11.7109375" customWidth="1"/>
    <col min="19" max="19" width="5.28515625" style="48" customWidth="1"/>
    <col min="20" max="20" width="5.28515625" customWidth="1"/>
    <col min="21" max="21" width="5.28515625" style="48" customWidth="1"/>
    <col min="22" max="22" width="5.28515625" customWidth="1"/>
    <col min="23" max="23" width="5.28515625" style="48" customWidth="1"/>
    <col min="24" max="24" width="5.28515625" customWidth="1"/>
    <col min="25" max="25" width="5.28515625" style="48" customWidth="1"/>
    <col min="26" max="26" width="5.28515625" customWidth="1"/>
    <col min="27" max="27" width="5.28515625" style="48" customWidth="1"/>
    <col min="28" max="28" width="5.28515625" customWidth="1"/>
    <col min="29" max="29" width="5.28515625" style="48" customWidth="1"/>
    <col min="30" max="30" width="5.28515625" customWidth="1"/>
    <col min="31" max="31" width="5.28515625" style="48" customWidth="1"/>
    <col min="32" max="32" width="5.28515625" customWidth="1"/>
    <col min="33" max="33" width="5.28515625" style="48" customWidth="1"/>
    <col min="34" max="34" width="5.28515625" customWidth="1"/>
    <col min="35" max="35" width="5.28515625" style="48" customWidth="1"/>
    <col min="36" max="36" width="11.42578125" style="28"/>
  </cols>
  <sheetData>
    <row r="1" spans="2:36" ht="15.75" thickBot="1" x14ac:dyDescent="0.3"/>
    <row r="2" spans="2:36" ht="15" customHeight="1" thickBot="1" x14ac:dyDescent="0.3">
      <c r="C2" s="842" t="str">
        <f>"DONNEES OPS PISTE "</f>
        <v xml:space="preserve">DONNEES OPS PISTE </v>
      </c>
      <c r="D2" s="843"/>
      <c r="E2" s="843"/>
      <c r="F2" s="843"/>
      <c r="G2" s="843"/>
      <c r="H2" s="843"/>
      <c r="I2" s="843"/>
      <c r="J2" s="843"/>
      <c r="K2" s="843"/>
      <c r="L2" s="843"/>
      <c r="M2" s="843"/>
      <c r="N2" s="843"/>
      <c r="O2" s="843"/>
      <c r="P2" s="843"/>
      <c r="Q2" s="843"/>
      <c r="R2" s="844"/>
      <c r="S2" s="367"/>
      <c r="T2" s="367"/>
      <c r="U2" s="367"/>
      <c r="V2" s="367"/>
      <c r="W2" s="367"/>
      <c r="X2" s="367"/>
      <c r="Y2" s="367"/>
      <c r="Z2" s="367"/>
      <c r="AA2" s="367"/>
      <c r="AB2" s="367"/>
      <c r="AC2" s="367"/>
      <c r="AD2" s="367"/>
      <c r="AE2" s="367"/>
      <c r="AF2" s="367"/>
      <c r="AG2" s="367"/>
      <c r="AH2" s="367"/>
      <c r="AI2" s="367"/>
      <c r="AJ2" s="367"/>
    </row>
    <row r="3" spans="2:36" ht="15.75" customHeight="1" thickBot="1" x14ac:dyDescent="0.3">
      <c r="C3" s="845"/>
      <c r="D3" s="846"/>
      <c r="E3" s="846"/>
      <c r="F3" s="846"/>
      <c r="G3" s="846"/>
      <c r="H3" s="846"/>
      <c r="I3" s="846"/>
      <c r="J3" s="846"/>
      <c r="K3" s="846"/>
      <c r="L3" s="846"/>
      <c r="M3" s="846"/>
      <c r="N3" s="846"/>
      <c r="O3" s="846"/>
      <c r="P3" s="846"/>
      <c r="Q3" s="846"/>
      <c r="R3" s="847"/>
      <c r="S3" s="367"/>
      <c r="T3" s="459" t="s">
        <v>848</v>
      </c>
      <c r="U3" s="840">
        <f ca="1">IF(MOIS_M=1,0,((Q9*2795+(Q8-(DATA_MAIN!Y59+DATA_MAIN!Z59+DATA_MAIN!AA59))*5591+(DATA_MAIN!Y59+DATA_MAIN!Z59+DATA_MAIN!AA59)*11182)/1000))</f>
        <v>707.25900000000001</v>
      </c>
      <c r="V3" s="841"/>
      <c r="W3" s="367"/>
      <c r="X3" s="367"/>
      <c r="Y3" s="367"/>
      <c r="Z3" s="367"/>
      <c r="AA3" s="367"/>
      <c r="AB3" s="367"/>
      <c r="AC3" s="367"/>
      <c r="AD3" s="367"/>
      <c r="AE3" s="367"/>
      <c r="AF3" s="367"/>
      <c r="AG3" s="367"/>
      <c r="AH3" s="367"/>
      <c r="AI3" s="367"/>
      <c r="AJ3" s="367"/>
    </row>
    <row r="4" spans="2:36" ht="15.75" customHeight="1" thickBot="1" x14ac:dyDescent="0.3">
      <c r="C4" s="646"/>
      <c r="D4" s="647"/>
      <c r="E4" s="647"/>
      <c r="F4" s="647"/>
      <c r="G4" s="647"/>
      <c r="H4" s="798" t="s">
        <v>960</v>
      </c>
      <c r="I4" s="799"/>
      <c r="J4" s="799"/>
      <c r="K4" s="799"/>
      <c r="L4" s="799"/>
      <c r="M4" s="799"/>
      <c r="N4" s="800"/>
      <c r="O4" s="647"/>
      <c r="P4" s="647"/>
      <c r="Q4" s="647"/>
      <c r="R4" s="648"/>
      <c r="S4" s="367"/>
      <c r="T4" s="367"/>
      <c r="U4" s="367"/>
      <c r="V4" s="367"/>
      <c r="W4" s="367"/>
      <c r="X4" s="367"/>
      <c r="Y4" s="367"/>
      <c r="Z4" s="367"/>
      <c r="AA4" s="367"/>
      <c r="AB4" s="367"/>
      <c r="AC4" s="367"/>
      <c r="AD4" s="367"/>
      <c r="AE4" s="367"/>
      <c r="AF4" s="367"/>
      <c r="AG4" s="367"/>
      <c r="AH4" s="367"/>
      <c r="AI4" s="367"/>
      <c r="AJ4" s="367"/>
    </row>
    <row r="5" spans="2:36" x14ac:dyDescent="0.25">
      <c r="C5" s="737"/>
      <c r="D5" s="810"/>
      <c r="E5" s="794" t="s">
        <v>0</v>
      </c>
      <c r="F5" s="794" t="s">
        <v>44</v>
      </c>
      <c r="G5" s="794" t="s">
        <v>45</v>
      </c>
      <c r="H5" s="796" t="s">
        <v>46</v>
      </c>
      <c r="I5" s="796" t="s">
        <v>47</v>
      </c>
      <c r="J5" s="796" t="s">
        <v>48</v>
      </c>
      <c r="K5" s="796" t="s">
        <v>49</v>
      </c>
      <c r="L5" s="796" t="s">
        <v>50</v>
      </c>
      <c r="M5" s="796" t="s">
        <v>51</v>
      </c>
      <c r="N5" s="796" t="s">
        <v>52</v>
      </c>
      <c r="O5" s="794" t="s">
        <v>53</v>
      </c>
      <c r="P5" s="794" t="s">
        <v>54</v>
      </c>
      <c r="Q5" s="751" t="s">
        <v>41</v>
      </c>
      <c r="R5" s="808" t="s">
        <v>954</v>
      </c>
      <c r="S5" s="801"/>
      <c r="T5" s="802" t="s">
        <v>91</v>
      </c>
      <c r="U5" s="794"/>
      <c r="V5" s="803"/>
      <c r="W5" s="801"/>
      <c r="X5" s="801"/>
      <c r="Y5" s="801"/>
      <c r="Z5" s="801"/>
      <c r="AA5" s="801"/>
      <c r="AB5" s="801"/>
      <c r="AC5" s="801"/>
      <c r="AD5" s="801"/>
      <c r="AE5" s="801"/>
      <c r="AF5" s="801"/>
      <c r="AG5" s="801"/>
      <c r="AH5" s="801"/>
      <c r="AI5" s="801"/>
      <c r="AJ5" s="712"/>
    </row>
    <row r="6" spans="2:36" ht="15.75" thickBot="1" x14ac:dyDescent="0.3">
      <c r="C6" s="743"/>
      <c r="D6" s="811"/>
      <c r="E6" s="795"/>
      <c r="F6" s="795"/>
      <c r="G6" s="795"/>
      <c r="H6" s="797"/>
      <c r="I6" s="797"/>
      <c r="J6" s="797"/>
      <c r="K6" s="797"/>
      <c r="L6" s="797"/>
      <c r="M6" s="797"/>
      <c r="N6" s="797"/>
      <c r="O6" s="795"/>
      <c r="P6" s="795"/>
      <c r="Q6" s="752"/>
      <c r="R6" s="809"/>
      <c r="S6" s="801"/>
      <c r="T6" s="804"/>
      <c r="U6" s="801"/>
      <c r="V6" s="805"/>
      <c r="W6" s="801"/>
      <c r="X6" s="801"/>
      <c r="Y6" s="801"/>
      <c r="Z6" s="801"/>
      <c r="AA6" s="801"/>
      <c r="AB6" s="801"/>
      <c r="AC6" s="801"/>
      <c r="AD6" s="801"/>
      <c r="AE6" s="801"/>
      <c r="AF6" s="801"/>
      <c r="AG6" s="801"/>
      <c r="AH6" s="801"/>
      <c r="AI6" s="801"/>
      <c r="AJ6" s="712"/>
    </row>
    <row r="7" spans="2:36" ht="15.75" thickBot="1" x14ac:dyDescent="0.3">
      <c r="C7" s="806" t="s">
        <v>1</v>
      </c>
      <c r="D7" s="807"/>
      <c r="E7" s="181"/>
      <c r="F7" s="181"/>
      <c r="G7" s="181"/>
      <c r="H7" s="181"/>
      <c r="I7" s="181"/>
      <c r="J7" s="181"/>
      <c r="K7" s="181"/>
      <c r="L7" s="181"/>
      <c r="M7" s="181"/>
      <c r="N7" s="181"/>
      <c r="O7" s="181"/>
      <c r="P7" s="181"/>
      <c r="Q7" s="181"/>
      <c r="R7" s="181"/>
      <c r="S7"/>
      <c r="T7" s="129" t="s">
        <v>909</v>
      </c>
      <c r="U7" s="152" t="s">
        <v>962</v>
      </c>
      <c r="V7" s="153" t="s">
        <v>963</v>
      </c>
      <c r="W7"/>
      <c r="Y7"/>
      <c r="AA7"/>
      <c r="AC7"/>
      <c r="AE7"/>
      <c r="AG7"/>
      <c r="AI7"/>
    </row>
    <row r="8" spans="2:36" ht="15.75" thickBot="1" x14ac:dyDescent="0.3">
      <c r="B8">
        <v>1</v>
      </c>
      <c r="C8" s="727" t="s">
        <v>2</v>
      </c>
      <c r="D8" s="728"/>
      <c r="E8" s="171">
        <v>93</v>
      </c>
      <c r="F8" s="28"/>
      <c r="G8" s="171"/>
      <c r="H8" s="413"/>
      <c r="I8" s="413"/>
      <c r="J8" s="413"/>
      <c r="K8" s="413"/>
      <c r="L8" s="413"/>
      <c r="M8" s="413"/>
      <c r="N8" s="413"/>
      <c r="O8" s="171"/>
      <c r="P8" s="28"/>
      <c r="Q8" s="374">
        <f>SUM(E8:P8)</f>
        <v>93</v>
      </c>
      <c r="R8" s="417">
        <f>SUM(H8:N8)</f>
        <v>0</v>
      </c>
      <c r="S8" s="28"/>
      <c r="T8" s="76">
        <f>IF(OR(LOG_ANNUEL!Q8=0,'LOG_ANNUEL_A-1'!Q8=0),"",((LOG_ANNUEL!Q8-'LOG_ANNUEL_A-1'!Q8)/'LOG_ANNUEL_A-1'!Q8)*100)</f>
        <v>-91.506849315068493</v>
      </c>
      <c r="U8" s="28">
        <f>IF(Q8=0,"",(R8*100)/Q8)</f>
        <v>0</v>
      </c>
      <c r="V8" s="78">
        <f>IF('LOG_ANNUEL_A-1'!R8=0,"",((R8-'LOG_ANNUEL_A-1'!R8)/'LOG_ANNUEL_A-1'!R8)*100)</f>
        <v>-100</v>
      </c>
      <c r="W8" s="28"/>
      <c r="X8" s="28"/>
      <c r="Y8" s="28"/>
      <c r="Z8" s="28"/>
      <c r="AA8" s="28"/>
      <c r="AB8" s="28"/>
      <c r="AC8" s="28"/>
      <c r="AD8" s="28"/>
      <c r="AE8" s="28"/>
      <c r="AF8" s="28"/>
      <c r="AG8" s="28"/>
      <c r="AH8" s="28"/>
      <c r="AI8" s="28"/>
    </row>
    <row r="9" spans="2:36" ht="15.75" thickBot="1" x14ac:dyDescent="0.3">
      <c r="B9">
        <v>2</v>
      </c>
      <c r="C9" s="749" t="s">
        <v>3</v>
      </c>
      <c r="D9" s="750"/>
      <c r="E9" s="171">
        <v>5</v>
      </c>
      <c r="F9" s="28"/>
      <c r="G9" s="171"/>
      <c r="H9" s="413"/>
      <c r="I9" s="413"/>
      <c r="J9" s="413"/>
      <c r="K9" s="413"/>
      <c r="L9" s="413"/>
      <c r="M9" s="413"/>
      <c r="N9" s="413"/>
      <c r="O9" s="171"/>
      <c r="P9" s="28"/>
      <c r="Q9" s="371">
        <f t="shared" ref="Q9:Q18" si="0">SUM(E9:P9)</f>
        <v>5</v>
      </c>
      <c r="R9" s="375">
        <f t="shared" ref="R9:R18" si="1">SUM(H9:N9)</f>
        <v>0</v>
      </c>
      <c r="S9" s="28"/>
      <c r="T9" s="76">
        <f>IF(OR(LOG_ANNUEL!Q9=0,'LOG_ANNUEL_A-1'!Q9=0),"",((LOG_ANNUEL!Q9-'LOG_ANNUEL_A-1'!Q9)/'LOG_ANNUEL_A-1'!Q9)*100)</f>
        <v>-98.120300751879697</v>
      </c>
      <c r="U9" s="28">
        <f t="shared" ref="U9:U72" si="2">IF(Q9=0,"",(R9*100)/Q9)</f>
        <v>0</v>
      </c>
      <c r="V9" s="78">
        <f>IF('LOG_ANNUEL_A-1'!R9=0,"",((R9-'LOG_ANNUEL_A-1'!R9)/'LOG_ANNUEL_A-1'!R9)*100)</f>
        <v>-100</v>
      </c>
      <c r="W9" s="28"/>
      <c r="X9" s="28"/>
      <c r="Y9" s="28"/>
      <c r="Z9" s="28"/>
      <c r="AA9" s="28"/>
      <c r="AB9" s="28"/>
      <c r="AC9" s="28"/>
      <c r="AD9" s="28"/>
      <c r="AE9" s="28"/>
      <c r="AF9" s="28"/>
      <c r="AG9" s="28"/>
      <c r="AH9" s="28"/>
      <c r="AI9" s="28"/>
    </row>
    <row r="10" spans="2:36" x14ac:dyDescent="0.25">
      <c r="B10">
        <v>3</v>
      </c>
      <c r="C10" s="771" t="s">
        <v>23</v>
      </c>
      <c r="D10" s="772"/>
      <c r="E10" s="171">
        <v>4</v>
      </c>
      <c r="F10" s="28"/>
      <c r="G10" s="171"/>
      <c r="H10" s="413"/>
      <c r="I10" s="413"/>
      <c r="J10" s="413"/>
      <c r="K10" s="413"/>
      <c r="L10" s="413"/>
      <c r="M10" s="413"/>
      <c r="N10" s="413"/>
      <c r="O10" s="171"/>
      <c r="P10" s="28"/>
      <c r="Q10" s="371">
        <f t="shared" si="0"/>
        <v>4</v>
      </c>
      <c r="R10" s="375">
        <f t="shared" si="1"/>
        <v>0</v>
      </c>
      <c r="S10" s="28"/>
      <c r="T10" s="76">
        <f>IF(OR(LOG_ANNUEL!Q10=0,'LOG_ANNUEL_A-1'!Q10=0),"",((LOG_ANNUEL!Q10-'LOG_ANNUEL_A-1'!Q10)/'LOG_ANNUEL_A-1'!Q10)*100)</f>
        <v>-97.014925373134332</v>
      </c>
      <c r="U10" s="28">
        <f t="shared" si="2"/>
        <v>0</v>
      </c>
      <c r="V10" s="78">
        <f>IF('LOG_ANNUEL_A-1'!R10=0,"",((R10-'LOG_ANNUEL_A-1'!R10)/'LOG_ANNUEL_A-1'!R10)*100)</f>
        <v>-100</v>
      </c>
      <c r="W10" s="28"/>
      <c r="X10" s="28"/>
      <c r="Y10" s="28"/>
      <c r="Z10" s="28"/>
      <c r="AA10" s="28"/>
      <c r="AB10" s="28"/>
      <c r="AC10" s="28"/>
      <c r="AD10" s="28"/>
      <c r="AE10" s="28"/>
      <c r="AF10" s="28"/>
      <c r="AG10" s="28"/>
      <c r="AH10" s="28"/>
      <c r="AI10" s="28"/>
    </row>
    <row r="11" spans="2:36" x14ac:dyDescent="0.25">
      <c r="B11">
        <v>4</v>
      </c>
      <c r="C11" s="773" t="s">
        <v>24</v>
      </c>
      <c r="D11" s="774"/>
      <c r="E11" s="171">
        <v>0</v>
      </c>
      <c r="F11" s="28"/>
      <c r="G11" s="171"/>
      <c r="H11" s="413"/>
      <c r="I11" s="413"/>
      <c r="J11" s="413"/>
      <c r="K11" s="413"/>
      <c r="L11" s="413"/>
      <c r="M11" s="413"/>
      <c r="N11" s="413"/>
      <c r="O11" s="171"/>
      <c r="P11" s="28"/>
      <c r="Q11" s="371">
        <f t="shared" si="0"/>
        <v>0</v>
      </c>
      <c r="R11" s="375">
        <f t="shared" si="1"/>
        <v>0</v>
      </c>
      <c r="S11" s="28"/>
      <c r="T11" s="76" t="str">
        <f>IF(OR(LOG_ANNUEL!Q11=0,'LOG_ANNUEL_A-1'!Q11=0),"",((LOG_ANNUEL!Q11-'LOG_ANNUEL_A-1'!Q11)/'LOG_ANNUEL_A-1'!Q11)*100)</f>
        <v/>
      </c>
      <c r="U11" s="28" t="str">
        <f t="shared" si="2"/>
        <v/>
      </c>
      <c r="V11" s="78">
        <f>IF('LOG_ANNUEL_A-1'!R11=0,"",((R11-'LOG_ANNUEL_A-1'!R11)/'LOG_ANNUEL_A-1'!R11)*100)</f>
        <v>-100</v>
      </c>
      <c r="W11" s="28"/>
      <c r="X11" s="28"/>
      <c r="Y11" s="28"/>
      <c r="Z11" s="28"/>
      <c r="AA11" s="28"/>
      <c r="AB11" s="28"/>
      <c r="AC11" s="28"/>
      <c r="AD11" s="28"/>
      <c r="AE11" s="28"/>
      <c r="AF11" s="28"/>
      <c r="AG11" s="28"/>
      <c r="AH11" s="28"/>
      <c r="AI11" s="28"/>
    </row>
    <row r="12" spans="2:36" x14ac:dyDescent="0.25">
      <c r="B12">
        <v>5</v>
      </c>
      <c r="C12" s="773" t="s">
        <v>25</v>
      </c>
      <c r="D12" s="774"/>
      <c r="E12" s="171">
        <v>0</v>
      </c>
      <c r="F12" s="28"/>
      <c r="G12" s="171"/>
      <c r="H12" s="413"/>
      <c r="I12" s="413"/>
      <c r="J12" s="413"/>
      <c r="K12" s="413"/>
      <c r="L12" s="413"/>
      <c r="M12" s="413"/>
      <c r="N12" s="413"/>
      <c r="O12" s="171"/>
      <c r="P12" s="28"/>
      <c r="Q12" s="371">
        <f t="shared" si="0"/>
        <v>0</v>
      </c>
      <c r="R12" s="375">
        <f t="shared" si="1"/>
        <v>0</v>
      </c>
      <c r="S12" s="28"/>
      <c r="T12" s="76" t="str">
        <f>IF(OR(LOG_ANNUEL!Q12=0,'LOG_ANNUEL_A-1'!Q12=0),"",((LOG_ANNUEL!Q12-'LOG_ANNUEL_A-1'!Q12)/'LOG_ANNUEL_A-1'!Q12)*100)</f>
        <v/>
      </c>
      <c r="U12" s="28" t="str">
        <f t="shared" si="2"/>
        <v/>
      </c>
      <c r="V12" s="78">
        <f>IF('LOG_ANNUEL_A-1'!R12=0,"",((R12-'LOG_ANNUEL_A-1'!R12)/'LOG_ANNUEL_A-1'!R12)*100)</f>
        <v>-100</v>
      </c>
      <c r="W12" s="28"/>
      <c r="X12" s="28"/>
      <c r="Y12" s="28"/>
      <c r="Z12" s="28"/>
      <c r="AA12" s="28"/>
      <c r="AB12" s="28"/>
      <c r="AC12" s="28"/>
      <c r="AD12" s="28"/>
      <c r="AE12" s="28"/>
      <c r="AF12" s="28"/>
      <c r="AG12" s="28"/>
      <c r="AH12" s="28"/>
      <c r="AI12" s="28"/>
    </row>
    <row r="13" spans="2:36" x14ac:dyDescent="0.25">
      <c r="B13">
        <v>6</v>
      </c>
      <c r="C13" s="773" t="s">
        <v>26</v>
      </c>
      <c r="D13" s="774"/>
      <c r="E13" s="171">
        <v>0</v>
      </c>
      <c r="F13" s="28"/>
      <c r="G13" s="171"/>
      <c r="H13" s="413"/>
      <c r="I13" s="413"/>
      <c r="J13" s="413"/>
      <c r="K13" s="413"/>
      <c r="L13" s="413"/>
      <c r="M13" s="413"/>
      <c r="N13" s="413"/>
      <c r="O13" s="171"/>
      <c r="P13" s="28"/>
      <c r="Q13" s="371">
        <f t="shared" si="0"/>
        <v>0</v>
      </c>
      <c r="R13" s="375">
        <f t="shared" si="1"/>
        <v>0</v>
      </c>
      <c r="S13" s="28"/>
      <c r="T13" s="76" t="str">
        <f>IF(OR(LOG_ANNUEL!Q13=0,'LOG_ANNUEL_A-1'!Q13=0),"",((LOG_ANNUEL!Q13-'LOG_ANNUEL_A-1'!Q13)/'LOG_ANNUEL_A-1'!Q13)*100)</f>
        <v/>
      </c>
      <c r="U13" s="28" t="str">
        <f t="shared" si="2"/>
        <v/>
      </c>
      <c r="V13" s="78">
        <f>IF('LOG_ANNUEL_A-1'!R13=0,"",((R13-'LOG_ANNUEL_A-1'!R13)/'LOG_ANNUEL_A-1'!R13)*100)</f>
        <v>-100</v>
      </c>
      <c r="W13" s="28"/>
      <c r="X13" s="28"/>
      <c r="Y13" s="28"/>
      <c r="Z13" s="28"/>
      <c r="AA13" s="28"/>
      <c r="AB13" s="28"/>
      <c r="AC13" s="28"/>
      <c r="AD13" s="28"/>
      <c r="AE13" s="28"/>
      <c r="AF13" s="28"/>
      <c r="AG13" s="28"/>
      <c r="AH13" s="28"/>
      <c r="AI13" s="28"/>
    </row>
    <row r="14" spans="2:36" x14ac:dyDescent="0.25">
      <c r="B14">
        <v>7</v>
      </c>
      <c r="C14" s="773" t="s">
        <v>27</v>
      </c>
      <c r="D14" s="774"/>
      <c r="E14" s="171">
        <v>1</v>
      </c>
      <c r="F14" s="28"/>
      <c r="G14" s="171"/>
      <c r="H14" s="413"/>
      <c r="I14" s="413"/>
      <c r="J14" s="413"/>
      <c r="K14" s="413"/>
      <c r="L14" s="413"/>
      <c r="M14" s="413"/>
      <c r="N14" s="413"/>
      <c r="O14" s="171"/>
      <c r="P14" s="28"/>
      <c r="Q14" s="371">
        <f t="shared" si="0"/>
        <v>1</v>
      </c>
      <c r="R14" s="375">
        <f t="shared" si="1"/>
        <v>0</v>
      </c>
      <c r="S14" s="28"/>
      <c r="T14" s="76">
        <f>IF(OR(LOG_ANNUEL!Q14=0,'LOG_ANNUEL_A-1'!Q14=0),"",((LOG_ANNUEL!Q14-'LOG_ANNUEL_A-1'!Q14)/'LOG_ANNUEL_A-1'!Q14)*100)</f>
        <v>-95.454545454545453</v>
      </c>
      <c r="U14" s="28">
        <f t="shared" si="2"/>
        <v>0</v>
      </c>
      <c r="V14" s="78">
        <f>IF('LOG_ANNUEL_A-1'!R14=0,"",((R14-'LOG_ANNUEL_A-1'!R14)/'LOG_ANNUEL_A-1'!R14)*100)</f>
        <v>-100</v>
      </c>
      <c r="W14" s="28"/>
      <c r="X14" s="28"/>
      <c r="Y14" s="28"/>
      <c r="Z14" s="28"/>
      <c r="AA14" s="28"/>
      <c r="AB14" s="28"/>
      <c r="AC14" s="28"/>
      <c r="AD14" s="28"/>
      <c r="AE14" s="28"/>
      <c r="AF14" s="28"/>
      <c r="AG14" s="28"/>
      <c r="AH14" s="28"/>
      <c r="AI14" s="28"/>
    </row>
    <row r="15" spans="2:36" x14ac:dyDescent="0.25">
      <c r="B15">
        <v>8</v>
      </c>
      <c r="C15" s="773" t="s">
        <v>28</v>
      </c>
      <c r="D15" s="774"/>
      <c r="E15" s="171">
        <v>0</v>
      </c>
      <c r="F15" s="28"/>
      <c r="G15" s="171"/>
      <c r="H15" s="413"/>
      <c r="I15" s="413"/>
      <c r="J15" s="413"/>
      <c r="K15" s="413"/>
      <c r="L15" s="413"/>
      <c r="M15" s="413"/>
      <c r="N15" s="413"/>
      <c r="O15" s="171"/>
      <c r="P15" s="28"/>
      <c r="Q15" s="371">
        <f t="shared" si="0"/>
        <v>0</v>
      </c>
      <c r="R15" s="375">
        <f t="shared" si="1"/>
        <v>0</v>
      </c>
      <c r="S15" s="28"/>
      <c r="T15" s="76" t="str">
        <f>IF(OR(LOG_ANNUEL!Q15=0,'LOG_ANNUEL_A-1'!Q15=0),"",((LOG_ANNUEL!Q15-'LOG_ANNUEL_A-1'!Q15)/'LOG_ANNUEL_A-1'!Q15)*100)</f>
        <v/>
      </c>
      <c r="U15" s="28" t="str">
        <f t="shared" si="2"/>
        <v/>
      </c>
      <c r="V15" s="78" t="str">
        <f>IF('LOG_ANNUEL_A-1'!R15=0,"",((R15-'LOG_ANNUEL_A-1'!R15)/'LOG_ANNUEL_A-1'!R15)*100)</f>
        <v/>
      </c>
      <c r="W15" s="28"/>
      <c r="X15" s="28"/>
      <c r="Y15" s="28"/>
      <c r="Z15" s="28"/>
      <c r="AA15" s="28"/>
      <c r="AB15" s="28"/>
      <c r="AC15" s="28"/>
      <c r="AD15" s="28"/>
      <c r="AE15" s="28"/>
      <c r="AF15" s="28"/>
      <c r="AG15" s="28"/>
      <c r="AH15" s="28"/>
      <c r="AI15" s="28"/>
    </row>
    <row r="16" spans="2:36" x14ac:dyDescent="0.25">
      <c r="B16">
        <v>9</v>
      </c>
      <c r="C16" s="773" t="s">
        <v>29</v>
      </c>
      <c r="D16" s="774"/>
      <c r="E16" s="171">
        <v>0</v>
      </c>
      <c r="F16" s="28"/>
      <c r="G16" s="171"/>
      <c r="H16" s="413"/>
      <c r="I16" s="413"/>
      <c r="J16" s="413"/>
      <c r="K16" s="413"/>
      <c r="L16" s="413"/>
      <c r="M16" s="413"/>
      <c r="N16" s="413"/>
      <c r="O16" s="171"/>
      <c r="P16" s="28"/>
      <c r="Q16" s="371">
        <f t="shared" si="0"/>
        <v>0</v>
      </c>
      <c r="R16" s="375">
        <f t="shared" si="1"/>
        <v>0</v>
      </c>
      <c r="S16" s="28"/>
      <c r="T16" s="76" t="str">
        <f>IF(OR(LOG_ANNUEL!Q16=0,'LOG_ANNUEL_A-1'!Q16=0),"",((LOG_ANNUEL!Q16-'LOG_ANNUEL_A-1'!Q16)/'LOG_ANNUEL_A-1'!Q16)*100)</f>
        <v/>
      </c>
      <c r="U16" s="28" t="str">
        <f t="shared" si="2"/>
        <v/>
      </c>
      <c r="V16" s="78">
        <f>IF('LOG_ANNUEL_A-1'!R16=0,"",((R16-'LOG_ANNUEL_A-1'!R16)/'LOG_ANNUEL_A-1'!R16)*100)</f>
        <v>-100</v>
      </c>
      <c r="W16" s="28"/>
      <c r="X16" s="28"/>
      <c r="Y16" s="28"/>
      <c r="Z16" s="28"/>
      <c r="AA16" s="28"/>
      <c r="AB16" s="28"/>
      <c r="AC16" s="28"/>
      <c r="AD16" s="28"/>
      <c r="AE16" s="28"/>
      <c r="AF16" s="28"/>
      <c r="AG16" s="28"/>
      <c r="AH16" s="28"/>
      <c r="AI16" s="28"/>
    </row>
    <row r="17" spans="2:35" x14ac:dyDescent="0.25">
      <c r="B17">
        <v>10</v>
      </c>
      <c r="C17" s="773" t="s">
        <v>30</v>
      </c>
      <c r="D17" s="774"/>
      <c r="E17" s="171">
        <v>0</v>
      </c>
      <c r="F17" s="28"/>
      <c r="G17" s="171"/>
      <c r="H17" s="413"/>
      <c r="I17" s="413"/>
      <c r="J17" s="413"/>
      <c r="K17" s="413"/>
      <c r="L17" s="413"/>
      <c r="M17" s="413"/>
      <c r="N17" s="413"/>
      <c r="O17" s="171"/>
      <c r="P17" s="28"/>
      <c r="Q17" s="371">
        <f t="shared" si="0"/>
        <v>0</v>
      </c>
      <c r="R17" s="375">
        <f t="shared" si="1"/>
        <v>0</v>
      </c>
      <c r="S17" s="28"/>
      <c r="T17" s="76" t="str">
        <f>IF(OR(LOG_ANNUEL!Q17=0,'LOG_ANNUEL_A-1'!Q17=0),"",((LOG_ANNUEL!Q17-'LOG_ANNUEL_A-1'!Q17)/'LOG_ANNUEL_A-1'!Q17)*100)</f>
        <v/>
      </c>
      <c r="U17" s="28" t="str">
        <f t="shared" si="2"/>
        <v/>
      </c>
      <c r="V17" s="78">
        <f>IF('LOG_ANNUEL_A-1'!R17=0,"",((R17-'LOG_ANNUEL_A-1'!R17)/'LOG_ANNUEL_A-1'!R17)*100)</f>
        <v>-100</v>
      </c>
      <c r="W17" s="28"/>
      <c r="X17" s="28"/>
      <c r="Y17" s="28"/>
      <c r="Z17" s="28"/>
      <c r="AA17" s="28"/>
      <c r="AB17" s="28"/>
      <c r="AC17" s="28"/>
      <c r="AD17" s="28"/>
      <c r="AE17" s="28"/>
      <c r="AF17" s="28"/>
      <c r="AG17" s="28"/>
      <c r="AH17" s="28"/>
      <c r="AI17" s="28"/>
    </row>
    <row r="18" spans="2:35" ht="15.75" thickBot="1" x14ac:dyDescent="0.3">
      <c r="B18">
        <v>11</v>
      </c>
      <c r="C18" s="781" t="s">
        <v>31</v>
      </c>
      <c r="D18" s="782"/>
      <c r="E18" s="171">
        <v>0</v>
      </c>
      <c r="F18" s="28"/>
      <c r="G18" s="171"/>
      <c r="H18" s="413"/>
      <c r="I18" s="413"/>
      <c r="J18" s="413"/>
      <c r="K18" s="413"/>
      <c r="L18" s="413"/>
      <c r="M18" s="413"/>
      <c r="N18" s="413"/>
      <c r="O18" s="171"/>
      <c r="P18" s="28"/>
      <c r="Q18" s="373">
        <f t="shared" si="0"/>
        <v>0</v>
      </c>
      <c r="R18" s="418">
        <f t="shared" si="1"/>
        <v>0</v>
      </c>
      <c r="S18" s="28"/>
      <c r="T18" s="76" t="str">
        <f>IF(OR(LOG_ANNUEL!Q18=0,'LOG_ANNUEL_A-1'!Q18=0),"",((LOG_ANNUEL!Q18-'LOG_ANNUEL_A-1'!Q18)/'LOG_ANNUEL_A-1'!Q18)*100)</f>
        <v/>
      </c>
      <c r="U18" s="28" t="str">
        <f t="shared" si="2"/>
        <v/>
      </c>
      <c r="V18" s="78">
        <f>IF('LOG_ANNUEL_A-1'!R18=0,"",((R18-'LOG_ANNUEL_A-1'!R18)/'LOG_ANNUEL_A-1'!R18)*100)</f>
        <v>-100</v>
      </c>
      <c r="W18" s="28"/>
      <c r="X18" s="28"/>
      <c r="Y18" s="28"/>
      <c r="Z18" s="28"/>
      <c r="AA18" s="28"/>
      <c r="AB18" s="28"/>
      <c r="AC18" s="28"/>
      <c r="AD18" s="28"/>
      <c r="AE18" s="28"/>
      <c r="AF18" s="28"/>
      <c r="AG18" s="28"/>
      <c r="AH18" s="28"/>
      <c r="AI18" s="28"/>
    </row>
    <row r="19" spans="2:35" ht="15.75" thickBot="1" x14ac:dyDescent="0.3">
      <c r="C19" s="806" t="s">
        <v>4</v>
      </c>
      <c r="D19" s="807"/>
      <c r="E19" s="181"/>
      <c r="F19" s="181"/>
      <c r="G19" s="181"/>
      <c r="H19" s="181"/>
      <c r="I19" s="181"/>
      <c r="J19" s="181"/>
      <c r="K19" s="181"/>
      <c r="L19" s="181"/>
      <c r="M19" s="181"/>
      <c r="N19" s="181"/>
      <c r="O19" s="181"/>
      <c r="P19" s="181"/>
      <c r="Q19" s="181"/>
      <c r="R19" s="181"/>
      <c r="S19"/>
      <c r="T19" s="76"/>
      <c r="U19" s="28"/>
      <c r="V19" s="78"/>
      <c r="W19"/>
      <c r="Y19"/>
      <c r="AA19"/>
      <c r="AC19"/>
      <c r="AE19"/>
      <c r="AG19"/>
      <c r="AI19"/>
    </row>
    <row r="20" spans="2:35" x14ac:dyDescent="0.25">
      <c r="B20">
        <v>12</v>
      </c>
      <c r="C20" s="727" t="s">
        <v>5</v>
      </c>
      <c r="D20" s="728"/>
      <c r="E20" s="171">
        <v>10</v>
      </c>
      <c r="F20" s="28"/>
      <c r="G20" s="171"/>
      <c r="H20" s="413"/>
      <c r="I20" s="413"/>
      <c r="J20" s="413"/>
      <c r="K20" s="413"/>
      <c r="L20" s="413"/>
      <c r="M20" s="413"/>
      <c r="N20" s="413"/>
      <c r="O20" s="171"/>
      <c r="P20" s="28"/>
      <c r="Q20" s="374">
        <f>SUM(E20:P20)</f>
        <v>10</v>
      </c>
      <c r="R20" s="425">
        <f>SUM(H20:N20)</f>
        <v>0</v>
      </c>
      <c r="S20" s="28"/>
      <c r="T20" s="76">
        <f>IF(OR(LOG_ANNUEL!Q20=0,'LOG_ANNUEL_A-1'!Q20=0),"",((LOG_ANNUEL!Q20-'LOG_ANNUEL_A-1'!Q20)/'LOG_ANNUEL_A-1'!Q20)*100)</f>
        <v>-85.074626865671647</v>
      </c>
      <c r="U20" s="28">
        <f t="shared" si="2"/>
        <v>0</v>
      </c>
      <c r="V20" s="78">
        <f>IF('LOG_ANNUEL_A-1'!R20=0,"",((R20-'LOG_ANNUEL_A-1'!R20)/'LOG_ANNUEL_A-1'!R20)*100)</f>
        <v>-100</v>
      </c>
      <c r="W20" s="28"/>
      <c r="X20" s="28"/>
      <c r="Y20" s="28"/>
      <c r="Z20" s="28"/>
      <c r="AA20" s="28"/>
      <c r="AB20" s="28"/>
      <c r="AC20" s="28"/>
      <c r="AD20" s="28"/>
      <c r="AE20" s="28"/>
      <c r="AF20" s="28"/>
      <c r="AG20" s="28"/>
      <c r="AH20" s="28"/>
      <c r="AI20" s="28"/>
    </row>
    <row r="21" spans="2:35" x14ac:dyDescent="0.25">
      <c r="B21">
        <v>13</v>
      </c>
      <c r="C21" s="727" t="s">
        <v>6</v>
      </c>
      <c r="D21" s="728"/>
      <c r="E21" s="171">
        <v>8</v>
      </c>
      <c r="F21" s="28"/>
      <c r="G21" s="171"/>
      <c r="H21" s="413"/>
      <c r="I21" s="413"/>
      <c r="J21" s="413"/>
      <c r="K21" s="413"/>
      <c r="L21" s="413"/>
      <c r="M21" s="413"/>
      <c r="N21" s="413"/>
      <c r="O21" s="171"/>
      <c r="P21" s="28"/>
      <c r="Q21" s="371">
        <f t="shared" ref="Q21:Q22" si="3">SUM(E21:P21)</f>
        <v>8</v>
      </c>
      <c r="R21" s="426">
        <f t="shared" ref="R21:R22" si="4">SUM(H21:N21)</f>
        <v>0</v>
      </c>
      <c r="S21" s="28"/>
      <c r="T21" s="76">
        <f>IF(OR(LOG_ANNUEL!Q21=0,'LOG_ANNUEL_A-1'!Q21=0),"",((LOG_ANNUEL!Q21-'LOG_ANNUEL_A-1'!Q21)/'LOG_ANNUEL_A-1'!Q21)*100)</f>
        <v>-94.326241134751783</v>
      </c>
      <c r="U21" s="28">
        <f t="shared" si="2"/>
        <v>0</v>
      </c>
      <c r="V21" s="78">
        <f>IF('LOG_ANNUEL_A-1'!R21=0,"",((R21-'LOG_ANNUEL_A-1'!R21)/'LOG_ANNUEL_A-1'!R21)*100)</f>
        <v>-100</v>
      </c>
      <c r="W21" s="28"/>
      <c r="X21" s="28"/>
      <c r="Y21" s="28"/>
      <c r="Z21" s="28"/>
      <c r="AA21" s="28"/>
      <c r="AB21" s="28"/>
      <c r="AC21" s="28"/>
      <c r="AD21" s="28"/>
      <c r="AE21" s="28"/>
      <c r="AF21" s="28"/>
      <c r="AG21" s="28"/>
      <c r="AH21" s="28"/>
      <c r="AI21" s="28"/>
    </row>
    <row r="22" spans="2:35" ht="15.75" thickBot="1" x14ac:dyDescent="0.3">
      <c r="B22">
        <v>14</v>
      </c>
      <c r="C22" s="743" t="s">
        <v>352</v>
      </c>
      <c r="D22" s="744"/>
      <c r="E22" s="171">
        <v>2</v>
      </c>
      <c r="F22" s="28"/>
      <c r="G22" s="171"/>
      <c r="H22" s="413"/>
      <c r="I22" s="413"/>
      <c r="J22" s="413"/>
      <c r="K22" s="413"/>
      <c r="L22" s="413"/>
      <c r="M22" s="413"/>
      <c r="N22" s="413"/>
      <c r="O22" s="171"/>
      <c r="P22" s="28"/>
      <c r="Q22" s="373">
        <f t="shared" si="3"/>
        <v>2</v>
      </c>
      <c r="R22" s="427">
        <f t="shared" si="4"/>
        <v>0</v>
      </c>
      <c r="S22" s="28"/>
      <c r="T22" s="76">
        <f>IF(OR(LOG_ANNUEL!Q22=0,'LOG_ANNUEL_A-1'!Q22=0),"",((LOG_ANNUEL!Q22-'LOG_ANNUEL_A-1'!Q22)/'LOG_ANNUEL_A-1'!Q22)*100)</f>
        <v>-90.476190476190482</v>
      </c>
      <c r="U22" s="28">
        <f t="shared" si="2"/>
        <v>0</v>
      </c>
      <c r="V22" s="78">
        <f>IF('LOG_ANNUEL_A-1'!R22=0,"",((R22-'LOG_ANNUEL_A-1'!R22)/'LOG_ANNUEL_A-1'!R22)*100)</f>
        <v>-100</v>
      </c>
      <c r="W22" s="28"/>
      <c r="X22" s="28"/>
      <c r="Y22" s="28"/>
      <c r="Z22" s="28"/>
      <c r="AA22" s="28"/>
      <c r="AB22" s="28"/>
      <c r="AC22" s="28"/>
      <c r="AD22" s="28"/>
      <c r="AE22" s="28"/>
      <c r="AF22" s="28"/>
      <c r="AG22" s="28"/>
      <c r="AH22" s="28"/>
      <c r="AI22" s="28"/>
    </row>
    <row r="23" spans="2:35" ht="15.75" thickBot="1" x14ac:dyDescent="0.3">
      <c r="B23">
        <v>15</v>
      </c>
      <c r="C23" s="625"/>
      <c r="D23" s="626" t="s">
        <v>353</v>
      </c>
      <c r="E23" s="181"/>
      <c r="F23" s="61"/>
      <c r="G23" s="181"/>
      <c r="H23" s="61"/>
      <c r="I23" s="181"/>
      <c r="J23" s="61"/>
      <c r="K23" s="181"/>
      <c r="L23" s="61"/>
      <c r="M23" s="181"/>
      <c r="N23" s="61"/>
      <c r="O23" s="181"/>
      <c r="P23" s="61"/>
      <c r="Q23" s="642"/>
      <c r="R23" s="643"/>
      <c r="S23" s="28"/>
      <c r="T23" s="76" t="str">
        <f>IF(OR(LOG_ANNUEL!Q23=0,'LOG_ANNUEL_A-1'!Q23=0),"",((LOG_ANNUEL!Q23-'LOG_ANNUEL_A-1'!Q23)/'LOG_ANNUEL_A-1'!Q23)*100)</f>
        <v/>
      </c>
      <c r="U23" s="28" t="str">
        <f t="shared" si="2"/>
        <v/>
      </c>
      <c r="V23" s="78" t="str">
        <f>IF('LOG_ANNUEL_A-1'!R23=0,"",((R23-'LOG_ANNUEL_A-1'!R23)/'LOG_ANNUEL_A-1'!R23)*100)</f>
        <v/>
      </c>
      <c r="W23" s="28"/>
      <c r="X23" s="28"/>
      <c r="Y23" s="28"/>
      <c r="Z23" s="28"/>
      <c r="AA23" s="28"/>
      <c r="AB23" s="28"/>
      <c r="AC23" s="28"/>
      <c r="AD23" s="28"/>
      <c r="AE23" s="28"/>
      <c r="AF23" s="28"/>
      <c r="AG23" s="28"/>
      <c r="AH23" s="28"/>
      <c r="AI23" s="28"/>
    </row>
    <row r="24" spans="2:35" ht="15.75" thickBot="1" x14ac:dyDescent="0.3">
      <c r="C24" s="806" t="s">
        <v>7</v>
      </c>
      <c r="D24" s="807"/>
      <c r="E24" s="181"/>
      <c r="F24" s="181"/>
      <c r="G24" s="181"/>
      <c r="H24" s="181"/>
      <c r="I24" s="181"/>
      <c r="J24" s="181"/>
      <c r="K24" s="181"/>
      <c r="L24" s="181"/>
      <c r="M24" s="181"/>
      <c r="N24" s="181"/>
      <c r="O24" s="181"/>
      <c r="P24" s="181"/>
      <c r="Q24" s="181"/>
      <c r="R24" s="181"/>
      <c r="S24"/>
      <c r="T24" s="76"/>
      <c r="U24" s="28"/>
      <c r="V24" s="78"/>
      <c r="W24"/>
      <c r="Y24"/>
      <c r="AA24"/>
      <c r="AC24"/>
      <c r="AE24"/>
      <c r="AG24"/>
      <c r="AI24"/>
    </row>
    <row r="25" spans="2:35" x14ac:dyDescent="0.25">
      <c r="B25">
        <v>16</v>
      </c>
      <c r="C25" s="737" t="s">
        <v>8</v>
      </c>
      <c r="D25" s="738"/>
      <c r="E25" s="171">
        <v>1</v>
      </c>
      <c r="F25" s="28"/>
      <c r="G25" s="171"/>
      <c r="H25" s="413"/>
      <c r="I25" s="413"/>
      <c r="J25" s="413"/>
      <c r="K25" s="413"/>
      <c r="L25" s="413"/>
      <c r="M25" s="413"/>
      <c r="N25" s="413"/>
      <c r="O25" s="171"/>
      <c r="P25" s="28"/>
      <c r="Q25" s="374">
        <f>SUM(E25:P25)</f>
        <v>1</v>
      </c>
      <c r="R25" s="417">
        <f>SUM(H25:N25)</f>
        <v>0</v>
      </c>
      <c r="S25" s="28"/>
      <c r="T25" s="76">
        <f>IF(OR(LOG_ANNUEL!Q25=0,'LOG_ANNUEL_A-1'!Q25=0),"",((LOG_ANNUEL!Q25-'LOG_ANNUEL_A-1'!Q25)/'LOG_ANNUEL_A-1'!Q25)*100)</f>
        <v>-95.833333333333343</v>
      </c>
      <c r="U25" s="28">
        <f t="shared" si="2"/>
        <v>0</v>
      </c>
      <c r="V25" s="78">
        <f>IF('LOG_ANNUEL_A-1'!R25=0,"",((R25-'LOG_ANNUEL_A-1'!R25)/'LOG_ANNUEL_A-1'!R25)*100)</f>
        <v>-100</v>
      </c>
      <c r="W25" s="28"/>
      <c r="X25" s="28"/>
      <c r="Y25" s="28"/>
      <c r="Z25" s="28"/>
      <c r="AA25" s="28"/>
      <c r="AB25" s="28"/>
      <c r="AC25" s="28"/>
      <c r="AD25" s="28"/>
      <c r="AE25" s="28"/>
      <c r="AF25" s="28"/>
      <c r="AG25" s="28"/>
      <c r="AH25" s="28"/>
      <c r="AI25" s="28"/>
    </row>
    <row r="26" spans="2:35" x14ac:dyDescent="0.25">
      <c r="B26">
        <v>17</v>
      </c>
      <c r="C26" s="727" t="s">
        <v>9</v>
      </c>
      <c r="D26" s="728"/>
      <c r="E26" s="171">
        <v>3</v>
      </c>
      <c r="F26" s="28"/>
      <c r="G26" s="171"/>
      <c r="H26" s="413"/>
      <c r="I26" s="413"/>
      <c r="J26" s="413"/>
      <c r="K26" s="413"/>
      <c r="L26" s="413"/>
      <c r="M26" s="413"/>
      <c r="N26" s="413"/>
      <c r="O26" s="171"/>
      <c r="P26" s="28"/>
      <c r="Q26" s="371">
        <f t="shared" ref="Q26:Q28" si="5">SUM(E26:P26)</f>
        <v>3</v>
      </c>
      <c r="R26" s="375">
        <f t="shared" ref="R26:R28" si="6">SUM(H26:N26)</f>
        <v>0</v>
      </c>
      <c r="S26" s="28"/>
      <c r="T26" s="76">
        <f>IF(OR(LOG_ANNUEL!Q26=0,'LOG_ANNUEL_A-1'!Q26=0),"",((LOG_ANNUEL!Q26-'LOG_ANNUEL_A-1'!Q26)/'LOG_ANNUEL_A-1'!Q26)*100)</f>
        <v>-90.625</v>
      </c>
      <c r="U26" s="28">
        <f t="shared" si="2"/>
        <v>0</v>
      </c>
      <c r="V26" s="78">
        <f>IF('LOG_ANNUEL_A-1'!R26=0,"",((R26-'LOG_ANNUEL_A-1'!R26)/'LOG_ANNUEL_A-1'!R26)*100)</f>
        <v>-100</v>
      </c>
      <c r="W26" s="28"/>
      <c r="X26" s="28"/>
      <c r="Y26" s="28"/>
      <c r="Z26" s="28"/>
      <c r="AA26" s="28"/>
      <c r="AB26" s="28"/>
      <c r="AC26" s="28"/>
      <c r="AD26" s="28"/>
      <c r="AE26" s="28"/>
      <c r="AF26" s="28"/>
      <c r="AG26" s="28"/>
      <c r="AH26" s="28"/>
      <c r="AI26" s="28"/>
    </row>
    <row r="27" spans="2:35" x14ac:dyDescent="0.25">
      <c r="B27">
        <v>18</v>
      </c>
      <c r="C27" s="727" t="s">
        <v>10</v>
      </c>
      <c r="D27" s="728"/>
      <c r="E27" s="171">
        <v>0</v>
      </c>
      <c r="F27" s="28"/>
      <c r="G27" s="171"/>
      <c r="H27" s="413"/>
      <c r="I27" s="413"/>
      <c r="J27" s="413"/>
      <c r="K27" s="413"/>
      <c r="L27" s="413"/>
      <c r="M27" s="413"/>
      <c r="N27" s="413"/>
      <c r="O27" s="171"/>
      <c r="P27" s="28"/>
      <c r="Q27" s="371">
        <f t="shared" si="5"/>
        <v>0</v>
      </c>
      <c r="R27" s="375">
        <f t="shared" si="6"/>
        <v>0</v>
      </c>
      <c r="S27" s="28"/>
      <c r="T27" s="76" t="str">
        <f>IF(OR(LOG_ANNUEL!Q27=0,'LOG_ANNUEL_A-1'!Q27=0),"",((LOG_ANNUEL!Q27-'LOG_ANNUEL_A-1'!Q27)/'LOG_ANNUEL_A-1'!Q27)*100)</f>
        <v/>
      </c>
      <c r="U27" s="28" t="str">
        <f t="shared" si="2"/>
        <v/>
      </c>
      <c r="V27" s="78" t="str">
        <f>IF('LOG_ANNUEL_A-1'!R27=0,"",((R27-'LOG_ANNUEL_A-1'!R27)/'LOG_ANNUEL_A-1'!R27)*100)</f>
        <v/>
      </c>
      <c r="W27" s="28"/>
      <c r="X27" s="28"/>
      <c r="Y27" s="28"/>
      <c r="Z27" s="28"/>
      <c r="AA27" s="28"/>
      <c r="AB27" s="28"/>
      <c r="AC27" s="28"/>
      <c r="AD27" s="28"/>
      <c r="AE27" s="28"/>
      <c r="AF27" s="28"/>
      <c r="AG27" s="28"/>
      <c r="AH27" s="28"/>
      <c r="AI27" s="28"/>
    </row>
    <row r="28" spans="2:35" ht="15.75" thickBot="1" x14ac:dyDescent="0.3">
      <c r="B28">
        <v>19</v>
      </c>
      <c r="C28" s="743" t="s">
        <v>11</v>
      </c>
      <c r="D28" s="744"/>
      <c r="E28" s="171">
        <v>0</v>
      </c>
      <c r="F28" s="28"/>
      <c r="G28" s="171"/>
      <c r="H28" s="413"/>
      <c r="I28" s="413"/>
      <c r="J28" s="413"/>
      <c r="K28" s="413"/>
      <c r="L28" s="413"/>
      <c r="M28" s="413"/>
      <c r="N28" s="413"/>
      <c r="O28" s="171"/>
      <c r="P28" s="28"/>
      <c r="Q28" s="373">
        <f t="shared" si="5"/>
        <v>0</v>
      </c>
      <c r="R28" s="418">
        <f t="shared" si="6"/>
        <v>0</v>
      </c>
      <c r="S28" s="28"/>
      <c r="T28" s="76" t="str">
        <f>IF(OR(LOG_ANNUEL!Q28=0,'LOG_ANNUEL_A-1'!Q28=0),"",((LOG_ANNUEL!Q28-'LOG_ANNUEL_A-1'!Q28)/'LOG_ANNUEL_A-1'!Q28)*100)</f>
        <v/>
      </c>
      <c r="U28" s="28" t="str">
        <f t="shared" si="2"/>
        <v/>
      </c>
      <c r="V28" s="78" t="str">
        <f>IF('LOG_ANNUEL_A-1'!R28=0,"",((R28-'LOG_ANNUEL_A-1'!R28)/'LOG_ANNUEL_A-1'!R28)*100)</f>
        <v/>
      </c>
      <c r="W28" s="28"/>
      <c r="X28" s="28"/>
      <c r="Y28" s="28"/>
      <c r="Z28" s="28"/>
      <c r="AA28" s="28"/>
      <c r="AB28" s="28"/>
      <c r="AC28" s="28"/>
      <c r="AD28" s="28"/>
      <c r="AE28" s="28"/>
      <c r="AF28" s="28"/>
      <c r="AG28" s="28"/>
      <c r="AH28" s="28"/>
      <c r="AI28" s="28"/>
    </row>
    <row r="29" spans="2:35" ht="15.75" thickBot="1" x14ac:dyDescent="0.3">
      <c r="C29" s="170"/>
      <c r="D29" s="170"/>
      <c r="E29" s="181"/>
      <c r="F29" s="61"/>
      <c r="G29" s="181"/>
      <c r="H29" s="61"/>
      <c r="I29" s="181"/>
      <c r="J29" s="61"/>
      <c r="K29" s="181"/>
      <c r="L29" s="61"/>
      <c r="M29" s="181"/>
      <c r="N29" s="61"/>
      <c r="O29" s="181"/>
      <c r="P29" s="61"/>
      <c r="Q29" s="61"/>
      <c r="R29" s="61"/>
      <c r="S29" s="28"/>
      <c r="T29" s="76"/>
      <c r="U29" s="28"/>
      <c r="V29" s="78"/>
      <c r="W29" s="28"/>
      <c r="X29" s="28"/>
      <c r="Y29" s="28"/>
      <c r="Z29" s="28"/>
      <c r="AA29" s="28"/>
      <c r="AB29" s="28"/>
      <c r="AC29" s="28"/>
      <c r="AD29" s="28"/>
      <c r="AE29" s="28"/>
      <c r="AF29" s="28"/>
      <c r="AG29" s="28"/>
      <c r="AH29" s="28"/>
      <c r="AI29" s="28"/>
    </row>
    <row r="30" spans="2:35" ht="15.75" thickBot="1" x14ac:dyDescent="0.3">
      <c r="B30">
        <v>20</v>
      </c>
      <c r="C30" s="806" t="s">
        <v>12</v>
      </c>
      <c r="D30" s="807"/>
      <c r="E30" s="171">
        <v>5</v>
      </c>
      <c r="F30" s="28"/>
      <c r="G30" s="171"/>
      <c r="H30" s="413"/>
      <c r="I30" s="413"/>
      <c r="J30" s="413"/>
      <c r="K30" s="413"/>
      <c r="L30" s="413"/>
      <c r="M30" s="413"/>
      <c r="N30" s="413"/>
      <c r="O30" s="171"/>
      <c r="P30" s="28"/>
      <c r="Q30" s="644">
        <f>SUM(E30:P30)</f>
        <v>5</v>
      </c>
      <c r="R30" s="645">
        <f>SUM(H30:N30)</f>
        <v>0</v>
      </c>
      <c r="S30" s="28"/>
      <c r="T30" s="76">
        <f>IF(OR(LOG_ANNUEL!Q30=0,'LOG_ANNUEL_A-1'!Q30=0),"",((LOG_ANNUEL!Q30-'LOG_ANNUEL_A-1'!Q30)/'LOG_ANNUEL_A-1'!Q30)*100)</f>
        <v>-98.069498069498067</v>
      </c>
      <c r="U30" s="28">
        <f t="shared" si="2"/>
        <v>0</v>
      </c>
      <c r="V30" s="78">
        <f>IF('LOG_ANNUEL_A-1'!R30=0,"",((R30-'LOG_ANNUEL_A-1'!R30)/'LOG_ANNUEL_A-1'!R30)*100)</f>
        <v>-100</v>
      </c>
      <c r="W30" s="28"/>
      <c r="X30" s="28"/>
      <c r="Y30" s="28"/>
      <c r="Z30" s="28"/>
      <c r="AA30" s="28"/>
      <c r="AB30" s="28"/>
      <c r="AC30" s="28"/>
      <c r="AD30" s="28"/>
      <c r="AE30" s="28"/>
      <c r="AF30" s="28"/>
      <c r="AG30" s="28"/>
      <c r="AH30" s="28"/>
      <c r="AI30" s="28"/>
    </row>
    <row r="31" spans="2:35" ht="15.75" thickBot="1" x14ac:dyDescent="0.3">
      <c r="C31" s="170"/>
      <c r="D31" s="170"/>
      <c r="E31" s="181"/>
      <c r="F31" s="61"/>
      <c r="G31" s="181"/>
      <c r="H31" s="61"/>
      <c r="I31" s="181"/>
      <c r="J31" s="61"/>
      <c r="K31" s="181"/>
      <c r="L31" s="61"/>
      <c r="M31" s="181"/>
      <c r="N31" s="61"/>
      <c r="O31" s="181"/>
      <c r="P31" s="61"/>
      <c r="Q31" s="61"/>
      <c r="R31" s="61"/>
      <c r="S31" s="28"/>
      <c r="T31" s="76"/>
      <c r="U31" s="28"/>
      <c r="V31" s="78"/>
      <c r="W31" s="28"/>
      <c r="X31" s="28"/>
      <c r="Y31" s="28"/>
      <c r="Z31" s="28"/>
      <c r="AA31" s="28"/>
      <c r="AB31" s="28"/>
      <c r="AC31" s="28"/>
      <c r="AD31" s="28"/>
      <c r="AE31" s="28"/>
      <c r="AF31" s="28"/>
      <c r="AG31" s="28"/>
      <c r="AH31" s="28"/>
      <c r="AI31" s="28"/>
    </row>
    <row r="32" spans="2:35" ht="15.75" thickBot="1" x14ac:dyDescent="0.3">
      <c r="C32" s="806" t="s">
        <v>16</v>
      </c>
      <c r="D32" s="807"/>
      <c r="E32" s="171">
        <v>0</v>
      </c>
      <c r="F32" s="28"/>
      <c r="G32" s="171"/>
      <c r="H32" s="413"/>
      <c r="I32" s="413"/>
      <c r="J32" s="413"/>
      <c r="K32" s="413"/>
      <c r="L32" s="413"/>
      <c r="M32" s="413"/>
      <c r="N32" s="413"/>
      <c r="O32" s="171"/>
      <c r="P32" s="28"/>
      <c r="Q32" s="374">
        <f>SUM(E32:P32)</f>
        <v>0</v>
      </c>
      <c r="R32" s="417">
        <f>SUM(H32:N32)</f>
        <v>0</v>
      </c>
      <c r="S32" s="28"/>
      <c r="T32" s="76" t="str">
        <f>IF(OR(LOG_ANNUEL!Q32=0,'LOG_ANNUEL_A-1'!Q32=0),"",((LOG_ANNUEL!Q32-'LOG_ANNUEL_A-1'!Q32)/'LOG_ANNUEL_A-1'!Q32)*100)</f>
        <v/>
      </c>
      <c r="U32" s="28" t="str">
        <f t="shared" si="2"/>
        <v/>
      </c>
      <c r="V32" s="78">
        <f>IF('LOG_ANNUEL_A-1'!R32=0,"",((R32-'LOG_ANNUEL_A-1'!R32)/'LOG_ANNUEL_A-1'!R32)*100)</f>
        <v>-100</v>
      </c>
      <c r="W32" s="28"/>
      <c r="X32" s="28"/>
      <c r="Y32" s="28"/>
      <c r="Z32" s="28"/>
      <c r="AA32" s="28"/>
      <c r="AB32" s="28"/>
      <c r="AC32" s="28"/>
      <c r="AD32" s="28"/>
      <c r="AE32" s="28"/>
      <c r="AF32" s="28"/>
      <c r="AG32" s="28"/>
      <c r="AH32" s="28"/>
      <c r="AI32" s="28"/>
    </row>
    <row r="33" spans="2:35" x14ac:dyDescent="0.25">
      <c r="B33">
        <v>21</v>
      </c>
      <c r="C33" s="737" t="s">
        <v>13</v>
      </c>
      <c r="D33" s="738"/>
      <c r="E33" s="171">
        <v>0</v>
      </c>
      <c r="F33" s="28"/>
      <c r="G33" s="171"/>
      <c r="H33" s="413"/>
      <c r="I33" s="413"/>
      <c r="J33" s="413"/>
      <c r="K33" s="413"/>
      <c r="L33" s="413"/>
      <c r="M33" s="413"/>
      <c r="N33" s="413"/>
      <c r="O33" s="171"/>
      <c r="P33" s="28"/>
      <c r="Q33" s="371">
        <f t="shared" ref="Q33:Q37" si="7">SUM(E33:P33)</f>
        <v>0</v>
      </c>
      <c r="R33" s="375">
        <f t="shared" ref="R33:R37" si="8">SUM(H33:N33)</f>
        <v>0</v>
      </c>
      <c r="S33" s="28"/>
      <c r="T33" s="76" t="str">
        <f>IF(OR(LOG_ANNUEL!Q33=0,'LOG_ANNUEL_A-1'!Q33=0),"",((LOG_ANNUEL!Q33-'LOG_ANNUEL_A-1'!Q33)/'LOG_ANNUEL_A-1'!Q33)*100)</f>
        <v/>
      </c>
      <c r="U33" s="28" t="str">
        <f t="shared" si="2"/>
        <v/>
      </c>
      <c r="V33" s="78">
        <f>IF('LOG_ANNUEL_A-1'!R33=0,"",((R33-'LOG_ANNUEL_A-1'!R33)/'LOG_ANNUEL_A-1'!R33)*100)</f>
        <v>-100</v>
      </c>
      <c r="W33" s="28"/>
      <c r="X33" s="28"/>
      <c r="Y33" s="28"/>
      <c r="Z33" s="28"/>
      <c r="AA33" s="28"/>
      <c r="AB33" s="28"/>
      <c r="AC33" s="28"/>
      <c r="AD33" s="28"/>
      <c r="AE33" s="28"/>
      <c r="AF33" s="28"/>
      <c r="AG33" s="28"/>
      <c r="AH33" s="28"/>
      <c r="AI33" s="28"/>
    </row>
    <row r="34" spans="2:35" x14ac:dyDescent="0.25">
      <c r="B34">
        <v>22</v>
      </c>
      <c r="C34" s="727" t="s">
        <v>14</v>
      </c>
      <c r="D34" s="728"/>
      <c r="E34" s="171">
        <v>0</v>
      </c>
      <c r="F34" s="28"/>
      <c r="G34" s="171"/>
      <c r="H34" s="413"/>
      <c r="I34" s="413"/>
      <c r="J34" s="413"/>
      <c r="K34" s="413"/>
      <c r="L34" s="413"/>
      <c r="M34" s="413"/>
      <c r="N34" s="413"/>
      <c r="O34" s="171"/>
      <c r="P34" s="28"/>
      <c r="Q34" s="371">
        <f t="shared" si="7"/>
        <v>0</v>
      </c>
      <c r="R34" s="375">
        <f t="shared" si="8"/>
        <v>0</v>
      </c>
      <c r="S34" s="28"/>
      <c r="T34" s="76" t="str">
        <f>IF(OR(LOG_ANNUEL!Q34=0,'LOG_ANNUEL_A-1'!Q34=0),"",((LOG_ANNUEL!Q34-'LOG_ANNUEL_A-1'!Q34)/'LOG_ANNUEL_A-1'!Q34)*100)</f>
        <v/>
      </c>
      <c r="U34" s="28" t="str">
        <f t="shared" si="2"/>
        <v/>
      </c>
      <c r="V34" s="78">
        <f>IF('LOG_ANNUEL_A-1'!R34=0,"",((R34-'LOG_ANNUEL_A-1'!R34)/'LOG_ANNUEL_A-1'!R34)*100)</f>
        <v>-100</v>
      </c>
      <c r="W34" s="28"/>
      <c r="X34" s="28"/>
      <c r="Y34" s="28"/>
      <c r="Z34" s="28"/>
      <c r="AA34" s="28"/>
      <c r="AB34" s="28"/>
      <c r="AC34" s="28"/>
      <c r="AD34" s="28"/>
      <c r="AE34" s="28"/>
      <c r="AF34" s="28"/>
      <c r="AG34" s="28"/>
      <c r="AH34" s="28"/>
      <c r="AI34" s="28"/>
    </row>
    <row r="35" spans="2:35" x14ac:dyDescent="0.25">
      <c r="B35">
        <v>23</v>
      </c>
      <c r="C35" s="727" t="s">
        <v>15</v>
      </c>
      <c r="D35" s="728"/>
      <c r="E35" s="171">
        <v>0</v>
      </c>
      <c r="F35" s="28"/>
      <c r="G35" s="171"/>
      <c r="H35" s="413"/>
      <c r="I35" s="413"/>
      <c r="J35" s="413"/>
      <c r="K35" s="413"/>
      <c r="L35" s="413"/>
      <c r="M35" s="413"/>
      <c r="N35" s="413"/>
      <c r="O35" s="171"/>
      <c r="P35" s="28"/>
      <c r="Q35" s="371">
        <f t="shared" si="7"/>
        <v>0</v>
      </c>
      <c r="R35" s="375">
        <f t="shared" si="8"/>
        <v>0</v>
      </c>
      <c r="S35" s="28"/>
      <c r="T35" s="76" t="str">
        <f>IF(OR(LOG_ANNUEL!Q35=0,'LOG_ANNUEL_A-1'!Q35=0),"",((LOG_ANNUEL!Q35-'LOG_ANNUEL_A-1'!Q35)/'LOG_ANNUEL_A-1'!Q35)*100)</f>
        <v/>
      </c>
      <c r="U35" s="28" t="str">
        <f t="shared" si="2"/>
        <v/>
      </c>
      <c r="V35" s="78">
        <f>IF('LOG_ANNUEL_A-1'!R35=0,"",((R35-'LOG_ANNUEL_A-1'!R35)/'LOG_ANNUEL_A-1'!R35)*100)</f>
        <v>-100</v>
      </c>
      <c r="W35" s="28"/>
      <c r="X35" s="28"/>
      <c r="Y35" s="28"/>
      <c r="Z35" s="28"/>
      <c r="AA35" s="28"/>
      <c r="AB35" s="28"/>
      <c r="AC35" s="28"/>
      <c r="AD35" s="28"/>
      <c r="AE35" s="28"/>
      <c r="AF35" s="28"/>
      <c r="AG35" s="28"/>
      <c r="AH35" s="28"/>
      <c r="AI35" s="28"/>
    </row>
    <row r="36" spans="2:35" x14ac:dyDescent="0.25">
      <c r="B36">
        <v>24</v>
      </c>
      <c r="C36" s="727" t="s">
        <v>18</v>
      </c>
      <c r="D36" s="728"/>
      <c r="E36" s="171">
        <v>0</v>
      </c>
      <c r="F36" s="28"/>
      <c r="G36" s="171"/>
      <c r="H36" s="413"/>
      <c r="I36" s="413"/>
      <c r="J36" s="413"/>
      <c r="K36" s="413"/>
      <c r="L36" s="413"/>
      <c r="M36" s="413"/>
      <c r="N36" s="413"/>
      <c r="O36" s="171"/>
      <c r="P36" s="28"/>
      <c r="Q36" s="371">
        <f t="shared" si="7"/>
        <v>0</v>
      </c>
      <c r="R36" s="375">
        <f t="shared" si="8"/>
        <v>0</v>
      </c>
      <c r="S36" s="28"/>
      <c r="T36" s="76" t="str">
        <f>IF(OR(LOG_ANNUEL!Q36=0,'LOG_ANNUEL_A-1'!Q36=0),"",((LOG_ANNUEL!Q36-'LOG_ANNUEL_A-1'!Q36)/'LOG_ANNUEL_A-1'!Q36)*100)</f>
        <v/>
      </c>
      <c r="U36" s="28" t="str">
        <f t="shared" si="2"/>
        <v/>
      </c>
      <c r="V36" s="78" t="str">
        <f>IF('LOG_ANNUEL_A-1'!R36=0,"",((R36-'LOG_ANNUEL_A-1'!R36)/'LOG_ANNUEL_A-1'!R36)*100)</f>
        <v/>
      </c>
      <c r="W36" s="28"/>
      <c r="X36" s="28"/>
      <c r="Y36" s="28"/>
      <c r="Z36" s="28"/>
      <c r="AA36" s="28"/>
      <c r="AB36" s="28"/>
      <c r="AC36" s="28"/>
      <c r="AD36" s="28"/>
      <c r="AE36" s="28"/>
      <c r="AF36" s="28"/>
      <c r="AG36" s="28"/>
      <c r="AH36" s="28"/>
      <c r="AI36" s="28"/>
    </row>
    <row r="37" spans="2:35" ht="15.75" thickBot="1" x14ac:dyDescent="0.3">
      <c r="B37">
        <v>25</v>
      </c>
      <c r="C37" s="743" t="s">
        <v>19</v>
      </c>
      <c r="D37" s="744"/>
      <c r="E37" s="171">
        <v>0</v>
      </c>
      <c r="F37" s="28"/>
      <c r="G37" s="171"/>
      <c r="H37" s="413"/>
      <c r="I37" s="413"/>
      <c r="J37" s="413"/>
      <c r="K37" s="413"/>
      <c r="L37" s="413"/>
      <c r="M37" s="413"/>
      <c r="N37" s="413"/>
      <c r="O37" s="171"/>
      <c r="P37" s="28"/>
      <c r="Q37" s="373">
        <f t="shared" si="7"/>
        <v>0</v>
      </c>
      <c r="R37" s="418">
        <f t="shared" si="8"/>
        <v>0</v>
      </c>
      <c r="S37" s="28"/>
      <c r="T37" s="76" t="str">
        <f>IF(OR(LOG_ANNUEL!Q37=0,'LOG_ANNUEL_A-1'!Q37=0),"",((LOG_ANNUEL!Q37-'LOG_ANNUEL_A-1'!Q37)/'LOG_ANNUEL_A-1'!Q37)*100)</f>
        <v/>
      </c>
      <c r="U37" s="28" t="str">
        <f t="shared" si="2"/>
        <v/>
      </c>
      <c r="V37" s="78" t="str">
        <f>IF('LOG_ANNUEL_A-1'!R37=0,"",((R37-'LOG_ANNUEL_A-1'!R37)/'LOG_ANNUEL_A-1'!R37)*100)</f>
        <v/>
      </c>
      <c r="W37" s="28"/>
      <c r="X37" s="28"/>
      <c r="Y37" s="28"/>
      <c r="Z37" s="28"/>
      <c r="AA37" s="28"/>
      <c r="AB37" s="28"/>
      <c r="AC37" s="28"/>
      <c r="AD37" s="28"/>
      <c r="AE37" s="28"/>
      <c r="AF37" s="28"/>
      <c r="AG37" s="28"/>
      <c r="AH37" s="28"/>
      <c r="AI37" s="28"/>
    </row>
    <row r="38" spans="2:35" ht="15.75" thickBot="1" x14ac:dyDescent="0.3">
      <c r="C38" s="170"/>
      <c r="D38" s="170"/>
      <c r="E38" s="181"/>
      <c r="F38" s="61"/>
      <c r="G38" s="181"/>
      <c r="H38" s="61"/>
      <c r="I38" s="181"/>
      <c r="J38" s="61"/>
      <c r="K38" s="181"/>
      <c r="L38" s="61"/>
      <c r="M38" s="181"/>
      <c r="N38" s="61"/>
      <c r="O38" s="181"/>
      <c r="P38" s="61"/>
      <c r="Q38" s="61"/>
      <c r="R38" s="61"/>
      <c r="S38" s="28"/>
      <c r="T38" s="76"/>
      <c r="U38" s="28"/>
      <c r="V38" s="78"/>
      <c r="W38" s="28"/>
      <c r="X38" s="28"/>
      <c r="Y38" s="28"/>
      <c r="Z38" s="28"/>
      <c r="AA38" s="28"/>
      <c r="AB38" s="28"/>
      <c r="AC38" s="28"/>
      <c r="AD38" s="28"/>
      <c r="AE38" s="28"/>
      <c r="AF38" s="28"/>
      <c r="AG38" s="28"/>
      <c r="AH38" s="28"/>
      <c r="AI38" s="28"/>
    </row>
    <row r="39" spans="2:35" ht="15.75" thickBot="1" x14ac:dyDescent="0.3">
      <c r="C39" s="806" t="s">
        <v>20</v>
      </c>
      <c r="D39" s="807"/>
      <c r="E39" s="171">
        <f>E40+E41</f>
        <v>13</v>
      </c>
      <c r="F39" s="171">
        <f t="shared" ref="F39:P39" si="9">F40+F41</f>
        <v>0</v>
      </c>
      <c r="G39" s="171">
        <f t="shared" si="9"/>
        <v>0</v>
      </c>
      <c r="H39" s="413">
        <f t="shared" si="9"/>
        <v>0</v>
      </c>
      <c r="I39" s="413">
        <f t="shared" si="9"/>
        <v>0</v>
      </c>
      <c r="J39" s="413">
        <f t="shared" si="9"/>
        <v>0</v>
      </c>
      <c r="K39" s="413">
        <f t="shared" si="9"/>
        <v>0</v>
      </c>
      <c r="L39" s="413">
        <f t="shared" si="9"/>
        <v>0</v>
      </c>
      <c r="M39" s="413">
        <f t="shared" si="9"/>
        <v>0</v>
      </c>
      <c r="N39" s="413">
        <f t="shared" si="9"/>
        <v>0</v>
      </c>
      <c r="O39" s="171">
        <f t="shared" si="9"/>
        <v>0</v>
      </c>
      <c r="P39" s="171">
        <f t="shared" si="9"/>
        <v>0</v>
      </c>
      <c r="Q39" s="374">
        <f>SUM(E39:P39)</f>
        <v>13</v>
      </c>
      <c r="R39" s="417">
        <f>SUM(H39:N39)</f>
        <v>0</v>
      </c>
      <c r="S39" s="28"/>
      <c r="T39" s="76">
        <f>IF(OR(LOG_ANNUEL!Q39=0,'LOG_ANNUEL_A-1'!Q39=0),"",((LOG_ANNUEL!Q39-'LOG_ANNUEL_A-1'!Q39)/'LOG_ANNUEL_A-1'!Q39)*100)</f>
        <v>-91.719745222929944</v>
      </c>
      <c r="U39" s="28">
        <f t="shared" si="2"/>
        <v>0</v>
      </c>
      <c r="V39" s="78">
        <f>IF('LOG_ANNUEL_A-1'!R39=0,"",((R39-'LOG_ANNUEL_A-1'!R39)/'LOG_ANNUEL_A-1'!R39)*100)</f>
        <v>-100</v>
      </c>
      <c r="W39" s="28"/>
      <c r="X39" s="28"/>
      <c r="Y39" s="28"/>
      <c r="Z39" s="28"/>
      <c r="AA39" s="28"/>
      <c r="AB39" s="28"/>
      <c r="AC39" s="28"/>
      <c r="AD39" s="28"/>
      <c r="AE39" s="28"/>
      <c r="AF39" s="28"/>
      <c r="AG39" s="28"/>
      <c r="AH39" s="28"/>
      <c r="AI39" s="28"/>
    </row>
    <row r="40" spans="2:35" x14ac:dyDescent="0.25">
      <c r="B40">
        <v>26</v>
      </c>
      <c r="C40" s="802" t="s">
        <v>174</v>
      </c>
      <c r="D40" s="624" t="s">
        <v>172</v>
      </c>
      <c r="E40" s="171">
        <v>5</v>
      </c>
      <c r="F40" s="28"/>
      <c r="G40" s="171"/>
      <c r="H40" s="413"/>
      <c r="I40" s="413"/>
      <c r="J40" s="413"/>
      <c r="K40" s="413"/>
      <c r="L40" s="413"/>
      <c r="M40" s="413"/>
      <c r="N40" s="413"/>
      <c r="O40" s="171"/>
      <c r="P40" s="28"/>
      <c r="Q40" s="371">
        <f t="shared" ref="Q40:Q44" si="10">SUM(E40:P40)</f>
        <v>5</v>
      </c>
      <c r="R40" s="375">
        <f t="shared" ref="R40:R44" si="11">SUM(H40:N40)</f>
        <v>0</v>
      </c>
      <c r="S40" s="28"/>
      <c r="T40" s="76">
        <f>IF(OR(LOG_ANNUEL!Q40=0,'LOG_ANNUEL_A-1'!Q40=0),"",((LOG_ANNUEL!Q40-'LOG_ANNUEL_A-1'!Q40)/'LOG_ANNUEL_A-1'!Q40)*100)</f>
        <v>-91.666666666666657</v>
      </c>
      <c r="U40" s="28">
        <f t="shared" si="2"/>
        <v>0</v>
      </c>
      <c r="V40" s="78">
        <f>IF('LOG_ANNUEL_A-1'!R40=0,"",((R40-'LOG_ANNUEL_A-1'!R40)/'LOG_ANNUEL_A-1'!R40)*100)</f>
        <v>-100</v>
      </c>
      <c r="W40" s="28"/>
      <c r="X40" s="28"/>
      <c r="Y40" s="28"/>
      <c r="Z40" s="28"/>
      <c r="AA40" s="28"/>
      <c r="AB40" s="28"/>
      <c r="AC40" s="28"/>
      <c r="AD40" s="28"/>
      <c r="AE40" s="28"/>
      <c r="AF40" s="28"/>
      <c r="AG40" s="28"/>
      <c r="AH40" s="28"/>
      <c r="AI40" s="28"/>
    </row>
    <row r="41" spans="2:35" x14ac:dyDescent="0.25">
      <c r="B41">
        <v>27</v>
      </c>
      <c r="C41" s="812"/>
      <c r="D41" s="35" t="s">
        <v>173</v>
      </c>
      <c r="E41" s="171">
        <v>8</v>
      </c>
      <c r="F41" s="28"/>
      <c r="G41" s="171"/>
      <c r="H41" s="413"/>
      <c r="I41" s="413"/>
      <c r="J41" s="413"/>
      <c r="K41" s="413"/>
      <c r="L41" s="413"/>
      <c r="M41" s="413"/>
      <c r="N41" s="413"/>
      <c r="O41" s="171"/>
      <c r="P41" s="28"/>
      <c r="Q41" s="371">
        <f t="shared" si="10"/>
        <v>8</v>
      </c>
      <c r="R41" s="375">
        <f t="shared" si="11"/>
        <v>0</v>
      </c>
      <c r="S41" s="28"/>
      <c r="T41" s="76">
        <f>IF(OR(LOG_ANNUEL!Q41=0,'LOG_ANNUEL_A-1'!Q41=0),"",((LOG_ANNUEL!Q41-'LOG_ANNUEL_A-1'!Q41)/'LOG_ANNUEL_A-1'!Q41)*100)</f>
        <v>-91.666666666666657</v>
      </c>
      <c r="U41" s="28">
        <f t="shared" si="2"/>
        <v>0</v>
      </c>
      <c r="V41" s="78">
        <f>IF('LOG_ANNUEL_A-1'!R41=0,"",((R41-'LOG_ANNUEL_A-1'!R41)/'LOG_ANNUEL_A-1'!R41)*100)</f>
        <v>-100</v>
      </c>
      <c r="W41" s="28"/>
      <c r="X41" s="28"/>
      <c r="Y41" s="28"/>
      <c r="Z41" s="28"/>
      <c r="AA41" s="28"/>
      <c r="AB41" s="28"/>
      <c r="AC41" s="28"/>
      <c r="AD41" s="28"/>
      <c r="AE41" s="28"/>
      <c r="AF41" s="28"/>
      <c r="AG41" s="28"/>
      <c r="AH41" s="28"/>
      <c r="AI41" s="28"/>
    </row>
    <row r="42" spans="2:35" x14ac:dyDescent="0.25">
      <c r="B42">
        <v>28</v>
      </c>
      <c r="C42" s="823" t="s">
        <v>168</v>
      </c>
      <c r="D42" s="38" t="s">
        <v>169</v>
      </c>
      <c r="E42" s="171">
        <v>14</v>
      </c>
      <c r="F42" s="28"/>
      <c r="G42" s="171"/>
      <c r="H42" s="413"/>
      <c r="I42" s="413"/>
      <c r="J42" s="413"/>
      <c r="K42" s="413"/>
      <c r="L42" s="413"/>
      <c r="M42" s="413"/>
      <c r="N42" s="413"/>
      <c r="O42" s="171"/>
      <c r="P42" s="28"/>
      <c r="Q42" s="371">
        <f t="shared" si="10"/>
        <v>14</v>
      </c>
      <c r="R42" s="375">
        <f t="shared" si="11"/>
        <v>0</v>
      </c>
      <c r="S42" s="28"/>
      <c r="T42" s="76">
        <f>IF(OR(LOG_ANNUEL!Q42=0,'LOG_ANNUEL_A-1'!Q42=0),"",((LOG_ANNUEL!Q42-'LOG_ANNUEL_A-1'!Q42)/'LOG_ANNUEL_A-1'!Q42)*100)</f>
        <v>-89.85507246376811</v>
      </c>
      <c r="U42" s="28">
        <f t="shared" si="2"/>
        <v>0</v>
      </c>
      <c r="V42" s="78">
        <f>IF('LOG_ANNUEL_A-1'!R42=0,"",((R42-'LOG_ANNUEL_A-1'!R42)/'LOG_ANNUEL_A-1'!R42)*100)</f>
        <v>-100</v>
      </c>
      <c r="W42" s="28"/>
      <c r="X42" s="28"/>
      <c r="Y42" s="28"/>
      <c r="Z42" s="28"/>
      <c r="AA42" s="28"/>
      <c r="AB42" s="28"/>
      <c r="AC42" s="28"/>
      <c r="AD42" s="28"/>
      <c r="AE42" s="28"/>
      <c r="AF42" s="28"/>
      <c r="AG42" s="28"/>
      <c r="AH42" s="28"/>
      <c r="AI42" s="28"/>
    </row>
    <row r="43" spans="2:35" x14ac:dyDescent="0.25">
      <c r="B43">
        <v>29</v>
      </c>
      <c r="C43" s="804"/>
      <c r="D43" s="37" t="s">
        <v>185</v>
      </c>
      <c r="E43" s="171">
        <v>0</v>
      </c>
      <c r="F43" s="28"/>
      <c r="G43" s="171"/>
      <c r="H43" s="413"/>
      <c r="I43" s="413"/>
      <c r="J43" s="413"/>
      <c r="K43" s="413"/>
      <c r="L43" s="413"/>
      <c r="M43" s="413"/>
      <c r="N43" s="413"/>
      <c r="O43" s="171"/>
      <c r="P43" s="28"/>
      <c r="Q43" s="371">
        <f t="shared" si="10"/>
        <v>0</v>
      </c>
      <c r="R43" s="375">
        <f t="shared" si="11"/>
        <v>0</v>
      </c>
      <c r="S43" s="28"/>
      <c r="T43" s="76" t="str">
        <f>IF(OR(LOG_ANNUEL!Q43=0,'LOG_ANNUEL_A-1'!Q43=0),"",((LOG_ANNUEL!Q43-'LOG_ANNUEL_A-1'!Q43)/'LOG_ANNUEL_A-1'!Q43)*100)</f>
        <v/>
      </c>
      <c r="U43" s="28" t="str">
        <f t="shared" si="2"/>
        <v/>
      </c>
      <c r="V43" s="78">
        <f>IF('LOG_ANNUEL_A-1'!R43=0,"",((R43-'LOG_ANNUEL_A-1'!R43)/'LOG_ANNUEL_A-1'!R43)*100)</f>
        <v>-100</v>
      </c>
      <c r="W43" s="28"/>
      <c r="X43" s="28"/>
      <c r="Y43" s="28"/>
      <c r="Z43" s="28"/>
      <c r="AA43" s="28"/>
      <c r="AB43" s="28"/>
      <c r="AC43" s="28"/>
      <c r="AD43" s="28"/>
      <c r="AE43" s="28"/>
      <c r="AF43" s="28"/>
      <c r="AG43" s="28"/>
      <c r="AH43" s="28"/>
      <c r="AI43" s="28"/>
    </row>
    <row r="44" spans="2:35" ht="15.75" thickBot="1" x14ac:dyDescent="0.3">
      <c r="B44">
        <v>30</v>
      </c>
      <c r="C44" s="812"/>
      <c r="D44" s="39" t="s">
        <v>170</v>
      </c>
      <c r="E44" s="171">
        <v>0</v>
      </c>
      <c r="F44" s="28"/>
      <c r="G44" s="171"/>
      <c r="H44" s="413"/>
      <c r="I44" s="413"/>
      <c r="J44" s="413"/>
      <c r="K44" s="413"/>
      <c r="L44" s="413"/>
      <c r="M44" s="413"/>
      <c r="N44" s="413"/>
      <c r="O44" s="171"/>
      <c r="P44" s="28"/>
      <c r="Q44" s="373">
        <f t="shared" si="10"/>
        <v>0</v>
      </c>
      <c r="R44" s="418">
        <f t="shared" si="11"/>
        <v>0</v>
      </c>
      <c r="S44" s="28"/>
      <c r="T44" s="76" t="str">
        <f>IF(OR(LOG_ANNUEL!Q44=0,'LOG_ANNUEL_A-1'!Q44=0),"",((LOG_ANNUEL!Q44-'LOG_ANNUEL_A-1'!Q44)/'LOG_ANNUEL_A-1'!Q44)*100)</f>
        <v/>
      </c>
      <c r="U44" s="28" t="str">
        <f t="shared" si="2"/>
        <v/>
      </c>
      <c r="V44" s="78">
        <f>IF('LOG_ANNUEL_A-1'!R44=0,"",((R44-'LOG_ANNUEL_A-1'!R44)/'LOG_ANNUEL_A-1'!R44)*100)</f>
        <v>-100</v>
      </c>
      <c r="W44" s="28"/>
      <c r="X44" s="28"/>
      <c r="Y44" s="28"/>
      <c r="Z44" s="28"/>
      <c r="AA44" s="28"/>
      <c r="AB44" s="28"/>
      <c r="AC44" s="28"/>
      <c r="AD44" s="28"/>
      <c r="AE44" s="28"/>
      <c r="AF44" s="28"/>
      <c r="AG44" s="28"/>
      <c r="AH44" s="28"/>
      <c r="AI44" s="28"/>
    </row>
    <row r="45" spans="2:35" ht="15.75" thickBot="1" x14ac:dyDescent="0.3">
      <c r="B45">
        <v>31</v>
      </c>
      <c r="C45" s="714" t="s">
        <v>171</v>
      </c>
      <c r="D45" s="716"/>
      <c r="E45" s="181"/>
      <c r="F45" s="61"/>
      <c r="G45" s="181"/>
      <c r="H45" s="61"/>
      <c r="I45" s="181"/>
      <c r="J45" s="61"/>
      <c r="K45" s="181"/>
      <c r="L45" s="61"/>
      <c r="M45" s="181"/>
      <c r="N45" s="61"/>
      <c r="O45" s="181"/>
      <c r="P45" s="61"/>
      <c r="Q45" s="61"/>
      <c r="R45" s="61"/>
      <c r="S45" s="28"/>
      <c r="T45" s="76" t="str">
        <f>IF(OR(LOG_ANNUEL!Q45=0,'LOG_ANNUEL_A-1'!Q45=0),"",((LOG_ANNUEL!Q45-'LOG_ANNUEL_A-1'!Q45)/'LOG_ANNUEL_A-1'!Q45)*100)</f>
        <v/>
      </c>
      <c r="U45" s="28" t="str">
        <f t="shared" si="2"/>
        <v/>
      </c>
      <c r="V45" s="78" t="str">
        <f>IF('LOG_ANNUEL_A-1'!R45=0,"",((R45-'LOG_ANNUEL_A-1'!R45)/'LOG_ANNUEL_A-1'!R45)*100)</f>
        <v/>
      </c>
      <c r="W45" s="28"/>
      <c r="X45" s="28"/>
      <c r="Y45" s="28"/>
      <c r="Z45" s="28"/>
      <c r="AA45" s="28"/>
      <c r="AB45" s="28"/>
      <c r="AC45" s="28"/>
      <c r="AD45" s="28"/>
      <c r="AE45" s="28"/>
      <c r="AF45" s="28"/>
      <c r="AG45" s="28"/>
      <c r="AH45" s="28"/>
      <c r="AI45" s="28"/>
    </row>
    <row r="46" spans="2:35" ht="15.75" thickBot="1" x14ac:dyDescent="0.3">
      <c r="C46" s="170"/>
      <c r="D46" s="170"/>
      <c r="E46" s="181"/>
      <c r="F46" s="61"/>
      <c r="G46" s="181"/>
      <c r="H46" s="61"/>
      <c r="I46" s="181"/>
      <c r="J46" s="61"/>
      <c r="K46" s="181"/>
      <c r="L46" s="61"/>
      <c r="M46" s="181"/>
      <c r="N46" s="61"/>
      <c r="O46" s="181"/>
      <c r="P46" s="61"/>
      <c r="Q46" s="61"/>
      <c r="R46" s="61"/>
      <c r="S46" s="28"/>
      <c r="T46" s="76"/>
      <c r="U46" s="28"/>
      <c r="V46" s="78"/>
      <c r="W46" s="28"/>
      <c r="X46" s="28"/>
      <c r="Y46" s="28"/>
      <c r="Z46" s="28"/>
      <c r="AA46" s="28"/>
      <c r="AB46" s="28"/>
      <c r="AC46" s="28"/>
      <c r="AD46" s="28"/>
      <c r="AE46" s="28"/>
      <c r="AF46" s="28"/>
      <c r="AG46" s="28"/>
      <c r="AH46" s="28"/>
      <c r="AI46" s="28"/>
    </row>
    <row r="47" spans="2:35" ht="15.75" thickBot="1" x14ac:dyDescent="0.3">
      <c r="C47" s="806" t="s">
        <v>21</v>
      </c>
      <c r="D47" s="807"/>
      <c r="E47" s="181"/>
      <c r="F47" s="61"/>
      <c r="G47" s="181"/>
      <c r="H47" s="61"/>
      <c r="I47" s="181"/>
      <c r="J47" s="61"/>
      <c r="K47" s="181"/>
      <c r="L47" s="61"/>
      <c r="M47" s="181"/>
      <c r="N47" s="61"/>
      <c r="O47" s="181"/>
      <c r="P47" s="61"/>
      <c r="Q47" s="61"/>
      <c r="R47" s="61"/>
      <c r="S47" s="28"/>
      <c r="T47" s="76"/>
      <c r="U47" s="28"/>
      <c r="V47" s="78"/>
      <c r="W47" s="28"/>
      <c r="X47" s="28"/>
      <c r="Y47" s="28"/>
      <c r="Z47" s="28"/>
      <c r="AA47" s="28"/>
      <c r="AB47" s="28"/>
      <c r="AC47" s="28"/>
      <c r="AD47" s="28"/>
      <c r="AE47" s="28"/>
      <c r="AF47" s="28"/>
      <c r="AG47" s="28"/>
      <c r="AH47" s="28"/>
      <c r="AI47" s="28"/>
    </row>
    <row r="48" spans="2:35" ht="15.75" customHeight="1" x14ac:dyDescent="0.25">
      <c r="B48">
        <v>32</v>
      </c>
      <c r="C48" s="824" t="s">
        <v>617</v>
      </c>
      <c r="D48" s="825"/>
      <c r="E48" s="171">
        <v>0</v>
      </c>
      <c r="F48" s="28"/>
      <c r="G48" s="171"/>
      <c r="H48" s="413"/>
      <c r="I48" s="413"/>
      <c r="J48" s="413"/>
      <c r="K48" s="413"/>
      <c r="L48" s="413"/>
      <c r="M48" s="413"/>
      <c r="N48" s="413"/>
      <c r="O48" s="171"/>
      <c r="P48" s="28"/>
      <c r="Q48" s="374">
        <f>SUM(E48:P48)</f>
        <v>0</v>
      </c>
      <c r="R48" s="417">
        <f>SUM(H48:N48)</f>
        <v>0</v>
      </c>
      <c r="S48" s="28"/>
      <c r="T48" s="76" t="str">
        <f>IF(OR(LOG_ANNUEL!Q48=0,'LOG_ANNUEL_A-1'!Q48=0),"",((LOG_ANNUEL!Q48-'LOG_ANNUEL_A-1'!Q48)/'LOG_ANNUEL_A-1'!Q48)*100)</f>
        <v/>
      </c>
      <c r="U48" s="28" t="str">
        <f t="shared" si="2"/>
        <v/>
      </c>
      <c r="V48" s="78">
        <f>IF('LOG_ANNUEL_A-1'!R48=0,"",((R48-'LOG_ANNUEL_A-1'!R48)/'LOG_ANNUEL_A-1'!R48)*100)</f>
        <v>-100</v>
      </c>
      <c r="W48" s="28"/>
      <c r="X48" s="28"/>
      <c r="Y48" s="28"/>
      <c r="Z48" s="28"/>
      <c r="AA48" s="28"/>
      <c r="AB48" s="28"/>
      <c r="AC48" s="28"/>
      <c r="AD48" s="28"/>
      <c r="AE48" s="28"/>
      <c r="AF48" s="28"/>
      <c r="AG48" s="28"/>
      <c r="AH48" s="28"/>
      <c r="AI48" s="28"/>
    </row>
    <row r="49" spans="2:35" x14ac:dyDescent="0.25">
      <c r="B49">
        <v>33</v>
      </c>
      <c r="C49" s="817" t="s">
        <v>42</v>
      </c>
      <c r="D49" s="818"/>
      <c r="E49" s="171">
        <v>0</v>
      </c>
      <c r="F49" s="28"/>
      <c r="G49" s="171"/>
      <c r="H49" s="413"/>
      <c r="I49" s="413"/>
      <c r="J49" s="413"/>
      <c r="K49" s="413"/>
      <c r="L49" s="413"/>
      <c r="M49" s="413"/>
      <c r="N49" s="413"/>
      <c r="O49" s="171"/>
      <c r="P49" s="28"/>
      <c r="Q49" s="371">
        <f t="shared" ref="Q49:Q55" si="12">SUM(E49:P49)</f>
        <v>0</v>
      </c>
      <c r="R49" s="375">
        <f t="shared" ref="R49:R55" si="13">SUM(H49:N49)</f>
        <v>0</v>
      </c>
      <c r="S49" s="28"/>
      <c r="T49" s="76" t="str">
        <f>IF(OR(LOG_ANNUEL!Q49=0,'LOG_ANNUEL_A-1'!Q49=0),"",((LOG_ANNUEL!Q49-'LOG_ANNUEL_A-1'!Q49)/'LOG_ANNUEL_A-1'!Q49)*100)</f>
        <v/>
      </c>
      <c r="U49" s="28" t="str">
        <f t="shared" si="2"/>
        <v/>
      </c>
      <c r="V49" s="78">
        <f>IF('LOG_ANNUEL_A-1'!R49=0,"",((R49-'LOG_ANNUEL_A-1'!R49)/'LOG_ANNUEL_A-1'!R49)*100)</f>
        <v>-100</v>
      </c>
      <c r="W49" s="28"/>
      <c r="X49" s="28"/>
      <c r="Y49" s="28"/>
      <c r="Z49" s="28"/>
      <c r="AA49" s="28"/>
      <c r="AB49" s="28"/>
      <c r="AC49" s="28"/>
      <c r="AD49" s="28"/>
      <c r="AE49" s="28"/>
      <c r="AF49" s="28"/>
      <c r="AG49" s="28"/>
      <c r="AH49" s="28"/>
      <c r="AI49" s="28"/>
    </row>
    <row r="50" spans="2:35" ht="15.75" customHeight="1" x14ac:dyDescent="0.25">
      <c r="B50">
        <v>34</v>
      </c>
      <c r="C50" s="826" t="s">
        <v>166</v>
      </c>
      <c r="D50" s="827"/>
      <c r="E50" s="171">
        <v>73</v>
      </c>
      <c r="F50" s="28"/>
      <c r="G50" s="171"/>
      <c r="H50" s="413"/>
      <c r="I50" s="413"/>
      <c r="J50" s="413"/>
      <c r="K50" s="413"/>
      <c r="L50" s="413"/>
      <c r="M50" s="413"/>
      <c r="N50" s="413"/>
      <c r="O50" s="171"/>
      <c r="P50" s="28"/>
      <c r="Q50" s="371">
        <f t="shared" si="12"/>
        <v>73</v>
      </c>
      <c r="R50" s="375">
        <f t="shared" si="13"/>
        <v>0</v>
      </c>
      <c r="S50" s="28"/>
      <c r="T50" s="76">
        <f>IF(OR(LOG_ANNUEL!Q50=0,'LOG_ANNUEL_A-1'!Q50=0),"",((LOG_ANNUEL!Q50-'LOG_ANNUEL_A-1'!Q50)/'LOG_ANNUEL_A-1'!Q50)*100)</f>
        <v>-88.922610015174513</v>
      </c>
      <c r="U50" s="28">
        <f t="shared" si="2"/>
        <v>0</v>
      </c>
      <c r="V50" s="78">
        <f>IF('LOG_ANNUEL_A-1'!R50=0,"",((R50-'LOG_ANNUEL_A-1'!R50)/'LOG_ANNUEL_A-1'!R50)*100)</f>
        <v>-100</v>
      </c>
      <c r="W50" s="28"/>
      <c r="X50" s="28"/>
      <c r="Y50" s="28"/>
      <c r="Z50" s="28"/>
      <c r="AA50" s="28"/>
      <c r="AB50" s="28"/>
      <c r="AC50" s="28"/>
      <c r="AD50" s="28"/>
      <c r="AE50" s="28"/>
      <c r="AF50" s="28"/>
      <c r="AG50" s="28"/>
      <c r="AH50" s="28"/>
      <c r="AI50" s="28"/>
    </row>
    <row r="51" spans="2:35" x14ac:dyDescent="0.25">
      <c r="B51">
        <v>35</v>
      </c>
      <c r="C51" s="813" t="s">
        <v>618</v>
      </c>
      <c r="D51" s="814"/>
      <c r="E51" s="171">
        <v>5</v>
      </c>
      <c r="F51" s="28"/>
      <c r="G51" s="171"/>
      <c r="H51" s="413"/>
      <c r="I51" s="413"/>
      <c r="J51" s="413"/>
      <c r="K51" s="413"/>
      <c r="L51" s="413"/>
      <c r="M51" s="413"/>
      <c r="N51" s="413"/>
      <c r="O51" s="171"/>
      <c r="P51" s="28"/>
      <c r="Q51" s="371">
        <f t="shared" si="12"/>
        <v>5</v>
      </c>
      <c r="R51" s="375">
        <f t="shared" si="13"/>
        <v>0</v>
      </c>
      <c r="S51" s="28"/>
      <c r="T51" s="76">
        <f>IF(OR(LOG_ANNUEL!Q51=0,'LOG_ANNUEL_A-1'!Q51=0),"",((LOG_ANNUEL!Q51-'LOG_ANNUEL_A-1'!Q51)/'LOG_ANNUEL_A-1'!Q51)*100)</f>
        <v>-97.159090909090907</v>
      </c>
      <c r="U51" s="28">
        <f t="shared" si="2"/>
        <v>0</v>
      </c>
      <c r="V51" s="78">
        <f>IF('LOG_ANNUEL_A-1'!R51=0,"",((R51-'LOG_ANNUEL_A-1'!R51)/'LOG_ANNUEL_A-1'!R51)*100)</f>
        <v>-100</v>
      </c>
      <c r="W51" s="28"/>
      <c r="X51" s="28"/>
      <c r="Y51" s="28"/>
      <c r="Z51" s="28"/>
      <c r="AA51" s="28"/>
      <c r="AB51" s="28"/>
      <c r="AC51" s="28"/>
      <c r="AD51" s="28"/>
      <c r="AE51" s="28"/>
      <c r="AF51" s="28"/>
      <c r="AG51" s="28"/>
      <c r="AH51" s="28"/>
      <c r="AI51" s="28"/>
    </row>
    <row r="52" spans="2:35" x14ac:dyDescent="0.25">
      <c r="B52">
        <v>36</v>
      </c>
      <c r="C52" s="815" t="s">
        <v>175</v>
      </c>
      <c r="D52" s="816"/>
      <c r="E52" s="171">
        <v>0</v>
      </c>
      <c r="F52" s="28"/>
      <c r="G52" s="171"/>
      <c r="H52" s="413"/>
      <c r="I52" s="413"/>
      <c r="J52" s="413"/>
      <c r="K52" s="413"/>
      <c r="L52" s="413"/>
      <c r="M52" s="413"/>
      <c r="N52" s="413"/>
      <c r="O52" s="171"/>
      <c r="P52" s="28"/>
      <c r="Q52" s="371">
        <f t="shared" si="12"/>
        <v>0</v>
      </c>
      <c r="R52" s="375">
        <f t="shared" si="13"/>
        <v>0</v>
      </c>
      <c r="S52" s="28"/>
      <c r="T52" s="76" t="str">
        <f>IF(OR(LOG_ANNUEL!Q52=0,'LOG_ANNUEL_A-1'!Q52=0),"",((LOG_ANNUEL!Q52-'LOG_ANNUEL_A-1'!Q52)/'LOG_ANNUEL_A-1'!Q52)*100)</f>
        <v/>
      </c>
      <c r="U52" s="28" t="str">
        <f t="shared" si="2"/>
        <v/>
      </c>
      <c r="V52" s="78" t="str">
        <f>IF('LOG_ANNUEL_A-1'!R52=0,"",((R52-'LOG_ANNUEL_A-1'!R52)/'LOG_ANNUEL_A-1'!R52)*100)</f>
        <v/>
      </c>
      <c r="W52" s="28"/>
      <c r="X52" s="28"/>
      <c r="Y52" s="28"/>
      <c r="Z52" s="28"/>
      <c r="AA52" s="28"/>
      <c r="AB52" s="28"/>
      <c r="AC52" s="28"/>
      <c r="AD52" s="28"/>
      <c r="AE52" s="28"/>
      <c r="AF52" s="28"/>
      <c r="AG52" s="28"/>
      <c r="AH52" s="28"/>
      <c r="AI52" s="28"/>
    </row>
    <row r="53" spans="2:35" x14ac:dyDescent="0.25">
      <c r="B53">
        <v>37</v>
      </c>
      <c r="C53" s="817" t="s">
        <v>619</v>
      </c>
      <c r="D53" s="818"/>
      <c r="E53" s="171">
        <v>6</v>
      </c>
      <c r="F53" s="28"/>
      <c r="G53" s="171"/>
      <c r="H53" s="413"/>
      <c r="I53" s="413"/>
      <c r="J53" s="413"/>
      <c r="K53" s="413"/>
      <c r="L53" s="413"/>
      <c r="M53" s="413"/>
      <c r="N53" s="413"/>
      <c r="O53" s="171"/>
      <c r="P53" s="28"/>
      <c r="Q53" s="371">
        <f t="shared" si="12"/>
        <v>6</v>
      </c>
      <c r="R53" s="375">
        <f t="shared" si="13"/>
        <v>0</v>
      </c>
      <c r="S53" s="28"/>
      <c r="T53" s="76">
        <f>IF(OR(LOG_ANNUEL!Q53=0,'LOG_ANNUEL_A-1'!Q53=0),"",((LOG_ANNUEL!Q53-'LOG_ANNUEL_A-1'!Q53)/'LOG_ANNUEL_A-1'!Q53)*100)</f>
        <v>-98.928571428571431</v>
      </c>
      <c r="U53" s="28">
        <f t="shared" si="2"/>
        <v>0</v>
      </c>
      <c r="V53" s="78">
        <f>IF('LOG_ANNUEL_A-1'!R53=0,"",((R53-'LOG_ANNUEL_A-1'!R53)/'LOG_ANNUEL_A-1'!R53)*100)</f>
        <v>-100</v>
      </c>
      <c r="W53" s="28"/>
      <c r="X53" s="28"/>
      <c r="Y53" s="28"/>
      <c r="Z53" s="28"/>
      <c r="AA53" s="28"/>
      <c r="AB53" s="28"/>
      <c r="AC53" s="28"/>
      <c r="AD53" s="28"/>
      <c r="AE53" s="28"/>
      <c r="AF53" s="28"/>
      <c r="AG53" s="28"/>
      <c r="AH53" s="28"/>
      <c r="AI53" s="28"/>
    </row>
    <row r="54" spans="2:35" ht="15.75" customHeight="1" x14ac:dyDescent="0.25">
      <c r="B54">
        <v>38</v>
      </c>
      <c r="C54" s="815" t="s">
        <v>167</v>
      </c>
      <c r="D54" s="816"/>
      <c r="E54" s="171">
        <v>3</v>
      </c>
      <c r="F54" s="28"/>
      <c r="G54" s="171"/>
      <c r="H54" s="413"/>
      <c r="I54" s="413"/>
      <c r="J54" s="413"/>
      <c r="K54" s="413"/>
      <c r="L54" s="413"/>
      <c r="M54" s="413"/>
      <c r="N54" s="413"/>
      <c r="O54" s="171"/>
      <c r="P54" s="28"/>
      <c r="Q54" s="371">
        <f t="shared" si="12"/>
        <v>3</v>
      </c>
      <c r="R54" s="375">
        <f t="shared" si="13"/>
        <v>0</v>
      </c>
      <c r="S54" s="28"/>
      <c r="T54" s="76">
        <f>IF(OR(LOG_ANNUEL!Q54=0,'LOG_ANNUEL_A-1'!Q54=0),"",((LOG_ANNUEL!Q54-'LOG_ANNUEL_A-1'!Q54)/'LOG_ANNUEL_A-1'!Q54)*100)</f>
        <v>-95</v>
      </c>
      <c r="U54" s="28">
        <f t="shared" si="2"/>
        <v>0</v>
      </c>
      <c r="V54" s="78">
        <f>IF('LOG_ANNUEL_A-1'!R54=0,"",((R54-'LOG_ANNUEL_A-1'!R54)/'LOG_ANNUEL_A-1'!R54)*100)</f>
        <v>-100</v>
      </c>
      <c r="W54" s="28"/>
      <c r="X54" s="28"/>
      <c r="Y54" s="28"/>
      <c r="Z54" s="28"/>
      <c r="AA54" s="28"/>
      <c r="AB54" s="28"/>
      <c r="AC54" s="28"/>
      <c r="AD54" s="28"/>
      <c r="AE54" s="28"/>
      <c r="AF54" s="28"/>
      <c r="AG54" s="28"/>
      <c r="AH54" s="28"/>
      <c r="AI54" s="28"/>
    </row>
    <row r="55" spans="2:35" ht="15.75" thickBot="1" x14ac:dyDescent="0.3">
      <c r="B55">
        <v>39</v>
      </c>
      <c r="C55" s="819" t="s">
        <v>43</v>
      </c>
      <c r="D55" s="820"/>
      <c r="E55" s="171">
        <v>22</v>
      </c>
      <c r="F55" s="28"/>
      <c r="G55" s="171"/>
      <c r="H55" s="413"/>
      <c r="I55" s="413"/>
      <c r="J55" s="413"/>
      <c r="K55" s="413"/>
      <c r="L55" s="413"/>
      <c r="M55" s="413"/>
      <c r="N55" s="413"/>
      <c r="O55" s="171"/>
      <c r="P55" s="28"/>
      <c r="Q55" s="373">
        <f t="shared" si="12"/>
        <v>22</v>
      </c>
      <c r="R55" s="418">
        <f t="shared" si="13"/>
        <v>0</v>
      </c>
      <c r="S55" s="28"/>
      <c r="T55" s="76">
        <f>IF(OR(LOG_ANNUEL!Q55=0,'LOG_ANNUEL_A-1'!Q55=0),"",((LOG_ANNUEL!Q55-'LOG_ANNUEL_A-1'!Q55)/'LOG_ANNUEL_A-1'!Q55)*100)</f>
        <v>-91.269841269841265</v>
      </c>
      <c r="U55" s="28">
        <f t="shared" si="2"/>
        <v>0</v>
      </c>
      <c r="V55" s="78">
        <f>IF('LOG_ANNUEL_A-1'!R55=0,"",((R55-'LOG_ANNUEL_A-1'!R55)/'LOG_ANNUEL_A-1'!R55)*100)</f>
        <v>-100</v>
      </c>
      <c r="W55" s="28"/>
      <c r="X55" s="28"/>
      <c r="Y55" s="28"/>
      <c r="Z55" s="28"/>
      <c r="AA55" s="28"/>
      <c r="AB55" s="28"/>
      <c r="AC55" s="28"/>
      <c r="AD55" s="28"/>
      <c r="AE55" s="28"/>
      <c r="AF55" s="28"/>
      <c r="AG55" s="28"/>
      <c r="AH55" s="28"/>
      <c r="AI55" s="28"/>
    </row>
    <row r="56" spans="2:35" ht="15.75" thickBot="1" x14ac:dyDescent="0.3">
      <c r="B56">
        <v>40</v>
      </c>
      <c r="C56" s="821" t="s">
        <v>41</v>
      </c>
      <c r="D56" s="822"/>
      <c r="E56" s="181"/>
      <c r="F56" s="181"/>
      <c r="G56" s="181"/>
      <c r="H56" s="181"/>
      <c r="I56" s="181"/>
      <c r="J56" s="181"/>
      <c r="K56" s="181"/>
      <c r="L56" s="181"/>
      <c r="M56" s="181"/>
      <c r="N56" s="181"/>
      <c r="O56" s="181"/>
      <c r="P56" s="181"/>
      <c r="Q56" s="181"/>
      <c r="R56" s="181"/>
      <c r="S56"/>
      <c r="T56" s="76"/>
      <c r="U56" s="28"/>
      <c r="V56" s="78"/>
      <c r="W56"/>
      <c r="Y56"/>
      <c r="AA56"/>
      <c r="AC56"/>
      <c r="AE56"/>
      <c r="AG56"/>
      <c r="AI56"/>
    </row>
    <row r="57" spans="2:35" x14ac:dyDescent="0.25">
      <c r="B57">
        <v>41</v>
      </c>
      <c r="C57" s="751" t="s">
        <v>178</v>
      </c>
      <c r="D57" s="41" t="s">
        <v>176</v>
      </c>
      <c r="E57" s="171">
        <v>77</v>
      </c>
      <c r="F57" s="28"/>
      <c r="G57" s="171"/>
      <c r="H57" s="413"/>
      <c r="I57" s="413"/>
      <c r="J57" s="413"/>
      <c r="K57" s="413"/>
      <c r="L57" s="413"/>
      <c r="M57" s="413"/>
      <c r="N57" s="413"/>
      <c r="O57" s="171"/>
      <c r="P57" s="28"/>
      <c r="Q57" s="374">
        <f>SUM(E57:P57)</f>
        <v>77</v>
      </c>
      <c r="R57" s="417">
        <f>SUM(H57:N57)</f>
        <v>0</v>
      </c>
      <c r="S57" s="28"/>
      <c r="T57" s="76">
        <f>IF(OR(LOG_ANNUEL!Q57=0,'LOG_ANNUEL_A-1'!Q57=0),"",((LOG_ANNUEL!Q57-'LOG_ANNUEL_A-1'!Q57)/'LOG_ANNUEL_A-1'!Q57)*100)</f>
        <v>-95.193508114856428</v>
      </c>
      <c r="U57" s="28">
        <f t="shared" si="2"/>
        <v>0</v>
      </c>
      <c r="V57" s="78">
        <f>IF('LOG_ANNUEL_A-1'!R57=0,"",((R57-'LOG_ANNUEL_A-1'!R57)/'LOG_ANNUEL_A-1'!R57)*100)</f>
        <v>-100</v>
      </c>
      <c r="W57" s="28"/>
      <c r="X57" s="28"/>
      <c r="Y57" s="28"/>
      <c r="Z57" s="28"/>
      <c r="AA57" s="28"/>
      <c r="AB57" s="28"/>
      <c r="AC57" s="28"/>
      <c r="AD57" s="28"/>
      <c r="AE57" s="28"/>
      <c r="AF57" s="28"/>
      <c r="AG57" s="28"/>
      <c r="AH57" s="28"/>
      <c r="AI57" s="28"/>
    </row>
    <row r="58" spans="2:35" ht="15.75" thickBot="1" x14ac:dyDescent="0.3">
      <c r="B58">
        <v>42</v>
      </c>
      <c r="C58" s="752"/>
      <c r="D58" s="42" t="s">
        <v>177</v>
      </c>
      <c r="E58" s="171">
        <v>32</v>
      </c>
      <c r="F58" s="28"/>
      <c r="G58" s="171"/>
      <c r="H58" s="413"/>
      <c r="I58" s="413"/>
      <c r="J58" s="413"/>
      <c r="K58" s="413"/>
      <c r="L58" s="413"/>
      <c r="M58" s="413"/>
      <c r="N58" s="413"/>
      <c r="O58" s="171"/>
      <c r="P58" s="28"/>
      <c r="Q58" s="373">
        <f>SUM(E58:P58)</f>
        <v>32</v>
      </c>
      <c r="R58" s="418">
        <f>SUM(H58:N58)</f>
        <v>0</v>
      </c>
      <c r="S58" s="28"/>
      <c r="T58" s="76">
        <f>IF(OR(LOG_ANNUEL!Q58=0,'LOG_ANNUEL_A-1'!Q58=0),"",((LOG_ANNUEL!Q58-'LOG_ANNUEL_A-1'!Q58)/'LOG_ANNUEL_A-1'!Q58)*100)</f>
        <v>-73.770491803278688</v>
      </c>
      <c r="U58" s="28">
        <f t="shared" si="2"/>
        <v>0</v>
      </c>
      <c r="V58" s="78">
        <f>IF('LOG_ANNUEL_A-1'!R58=0,"",((R58-'LOG_ANNUEL_A-1'!R58)/'LOG_ANNUEL_A-1'!R58)*100)</f>
        <v>-100</v>
      </c>
      <c r="W58" s="28"/>
      <c r="X58" s="28"/>
      <c r="Y58" s="28"/>
      <c r="Z58" s="28"/>
      <c r="AA58" s="28"/>
      <c r="AB58" s="28"/>
      <c r="AC58" s="28"/>
      <c r="AD58" s="28"/>
      <c r="AE58" s="28"/>
      <c r="AF58" s="28"/>
      <c r="AG58" s="28"/>
      <c r="AH58" s="28"/>
      <c r="AI58" s="28"/>
    </row>
    <row r="59" spans="2:35" ht="15.75" thickBot="1" x14ac:dyDescent="0.3">
      <c r="C59" s="170"/>
      <c r="D59" s="170"/>
      <c r="E59" s="181"/>
      <c r="F59" s="61"/>
      <c r="G59" s="181"/>
      <c r="H59" s="61"/>
      <c r="I59" s="181"/>
      <c r="J59" s="61"/>
      <c r="K59" s="181"/>
      <c r="L59" s="61"/>
      <c r="M59" s="181"/>
      <c r="N59" s="61"/>
      <c r="O59" s="181"/>
      <c r="P59" s="61"/>
      <c r="Q59" s="61"/>
      <c r="R59" s="61"/>
      <c r="S59" s="28"/>
      <c r="T59" s="76"/>
      <c r="U59" s="28"/>
      <c r="V59" s="78"/>
      <c r="W59" s="28"/>
      <c r="X59" s="28"/>
      <c r="Y59" s="28"/>
      <c r="Z59" s="28"/>
      <c r="AA59" s="28"/>
      <c r="AB59" s="28"/>
      <c r="AC59" s="28"/>
      <c r="AD59" s="28"/>
      <c r="AE59" s="28"/>
      <c r="AF59" s="28"/>
      <c r="AG59" s="28"/>
      <c r="AH59" s="28"/>
      <c r="AI59" s="28"/>
    </row>
    <row r="60" spans="2:35" ht="15.75" thickBot="1" x14ac:dyDescent="0.3">
      <c r="C60" s="806" t="s">
        <v>421</v>
      </c>
      <c r="D60" s="807"/>
      <c r="E60" s="181"/>
      <c r="F60" s="61"/>
      <c r="G60" s="181"/>
      <c r="H60" s="61"/>
      <c r="I60" s="181"/>
      <c r="J60" s="61"/>
      <c r="K60" s="181"/>
      <c r="L60" s="61"/>
      <c r="M60" s="181"/>
      <c r="N60" s="61"/>
      <c r="O60" s="181"/>
      <c r="P60" s="61"/>
      <c r="Q60" s="61"/>
      <c r="R60" s="61"/>
      <c r="S60" s="28"/>
      <c r="T60" s="76"/>
      <c r="U60" s="28"/>
      <c r="V60" s="78"/>
      <c r="W60" s="28"/>
      <c r="X60" s="28"/>
      <c r="Y60" s="28"/>
      <c r="Z60" s="28"/>
      <c r="AA60" s="28"/>
      <c r="AB60" s="28"/>
      <c r="AC60" s="28"/>
      <c r="AD60" s="28"/>
      <c r="AE60" s="28"/>
      <c r="AF60" s="28"/>
      <c r="AG60" s="28"/>
      <c r="AH60" s="28"/>
      <c r="AI60" s="28"/>
    </row>
    <row r="61" spans="2:35" ht="15.75" thickBot="1" x14ac:dyDescent="0.3">
      <c r="C61" s="50"/>
      <c r="D61" s="624" t="s">
        <v>422</v>
      </c>
      <c r="E61" s="181"/>
      <c r="F61" s="61"/>
      <c r="G61" s="181"/>
      <c r="H61" s="61"/>
      <c r="I61" s="181"/>
      <c r="J61" s="61"/>
      <c r="K61" s="181"/>
      <c r="L61" s="61"/>
      <c r="M61" s="181"/>
      <c r="N61" s="61"/>
      <c r="O61" s="181"/>
      <c r="P61" s="61"/>
      <c r="Q61" s="61"/>
      <c r="R61" s="61"/>
      <c r="S61" s="28"/>
      <c r="T61" s="76"/>
      <c r="U61" s="28"/>
      <c r="V61" s="78"/>
      <c r="W61" s="28"/>
      <c r="X61" s="28"/>
      <c r="Y61" s="28"/>
      <c r="Z61" s="28"/>
      <c r="AA61" s="28"/>
      <c r="AB61" s="28"/>
      <c r="AC61" s="28"/>
      <c r="AD61" s="28"/>
      <c r="AE61" s="28"/>
      <c r="AF61" s="28"/>
      <c r="AG61" s="28"/>
      <c r="AH61" s="28"/>
      <c r="AI61" s="28"/>
    </row>
    <row r="62" spans="2:35" x14ac:dyDescent="0.25">
      <c r="B62">
        <v>43</v>
      </c>
      <c r="C62" s="95"/>
      <c r="D62" s="104">
        <v>1</v>
      </c>
      <c r="E62" s="171">
        <v>0</v>
      </c>
      <c r="F62" s="28"/>
      <c r="G62" s="171"/>
      <c r="H62" s="413"/>
      <c r="I62" s="413"/>
      <c r="J62" s="413"/>
      <c r="K62" s="413"/>
      <c r="L62" s="413"/>
      <c r="M62" s="413"/>
      <c r="N62" s="413"/>
      <c r="O62" s="171"/>
      <c r="P62" s="28"/>
      <c r="Q62" s="374">
        <f>SUM(E62:P62)</f>
        <v>0</v>
      </c>
      <c r="R62" s="417">
        <f>SUM(H62:N62)</f>
        <v>0</v>
      </c>
      <c r="S62" s="28"/>
      <c r="T62" s="76" t="str">
        <f>IF(OR(LOG_ANNUEL!Q62=0,'LOG_ANNUEL_A-1'!Q62=0),"",((LOG_ANNUEL!Q62-'LOG_ANNUEL_A-1'!Q62)/'LOG_ANNUEL_A-1'!Q62)*100)</f>
        <v/>
      </c>
      <c r="U62" s="28" t="str">
        <f t="shared" si="2"/>
        <v/>
      </c>
      <c r="V62" s="78">
        <f>IF('LOG_ANNUEL_A-1'!R62=0,"",((R62-'LOG_ANNUEL_A-1'!R62)/'LOG_ANNUEL_A-1'!R62)*100)</f>
        <v>-100</v>
      </c>
      <c r="W62" s="28"/>
      <c r="X62" s="28"/>
      <c r="Y62" s="28"/>
      <c r="Z62" s="28"/>
      <c r="AA62" s="28"/>
      <c r="AB62" s="28"/>
      <c r="AC62" s="28"/>
      <c r="AD62" s="28"/>
      <c r="AE62" s="28"/>
      <c r="AF62" s="28"/>
      <c r="AG62" s="28"/>
      <c r="AH62" s="28"/>
      <c r="AI62" s="28"/>
    </row>
    <row r="63" spans="2:35" x14ac:dyDescent="0.25">
      <c r="B63">
        <v>44</v>
      </c>
      <c r="C63" s="70"/>
      <c r="D63" s="104">
        <v>2</v>
      </c>
      <c r="E63" s="171">
        <v>1</v>
      </c>
      <c r="F63" s="28"/>
      <c r="G63" s="171"/>
      <c r="H63" s="413"/>
      <c r="I63" s="413"/>
      <c r="J63" s="413"/>
      <c r="K63" s="413"/>
      <c r="L63" s="413"/>
      <c r="M63" s="413"/>
      <c r="N63" s="413"/>
      <c r="O63" s="171"/>
      <c r="P63" s="28"/>
      <c r="Q63" s="371">
        <f t="shared" ref="Q63:Q75" si="14">SUM(E63:P63)</f>
        <v>1</v>
      </c>
      <c r="R63" s="375">
        <f t="shared" ref="R63:R75" si="15">SUM(H63:N63)</f>
        <v>0</v>
      </c>
      <c r="S63" s="28"/>
      <c r="T63" s="76">
        <f>IF(OR(LOG_ANNUEL!Q63=0,'LOG_ANNUEL_A-1'!Q63=0),"",((LOG_ANNUEL!Q63-'LOG_ANNUEL_A-1'!Q63)/'LOG_ANNUEL_A-1'!Q63)*100)</f>
        <v>-88.888888888888886</v>
      </c>
      <c r="U63" s="28">
        <f t="shared" si="2"/>
        <v>0</v>
      </c>
      <c r="V63" s="78">
        <f>IF('LOG_ANNUEL_A-1'!R63=0,"",((R63-'LOG_ANNUEL_A-1'!R63)/'LOG_ANNUEL_A-1'!R63)*100)</f>
        <v>-100</v>
      </c>
      <c r="W63" s="28"/>
      <c r="X63" s="28"/>
      <c r="Y63" s="28"/>
      <c r="Z63" s="28"/>
      <c r="AA63" s="28"/>
      <c r="AB63" s="28"/>
      <c r="AC63" s="28"/>
      <c r="AD63" s="28"/>
      <c r="AE63" s="28"/>
      <c r="AF63" s="28"/>
      <c r="AG63" s="28"/>
      <c r="AH63" s="28"/>
      <c r="AI63" s="28"/>
    </row>
    <row r="64" spans="2:35" x14ac:dyDescent="0.25">
      <c r="B64">
        <v>45</v>
      </c>
      <c r="C64" s="70"/>
      <c r="D64" s="104">
        <v>3</v>
      </c>
      <c r="E64" s="171">
        <v>0</v>
      </c>
      <c r="F64" s="28"/>
      <c r="G64" s="171"/>
      <c r="H64" s="413"/>
      <c r="I64" s="413"/>
      <c r="J64" s="413"/>
      <c r="K64" s="413"/>
      <c r="L64" s="413"/>
      <c r="M64" s="413"/>
      <c r="N64" s="413"/>
      <c r="O64" s="171"/>
      <c r="P64" s="28"/>
      <c r="Q64" s="371">
        <f t="shared" si="14"/>
        <v>0</v>
      </c>
      <c r="R64" s="375">
        <f t="shared" si="15"/>
        <v>0</v>
      </c>
      <c r="S64" s="28"/>
      <c r="T64" s="76" t="str">
        <f>IF(OR(LOG_ANNUEL!Q64=0,'LOG_ANNUEL_A-1'!Q64=0),"",((LOG_ANNUEL!Q64-'LOG_ANNUEL_A-1'!Q64)/'LOG_ANNUEL_A-1'!Q64)*100)</f>
        <v/>
      </c>
      <c r="U64" s="28" t="str">
        <f t="shared" si="2"/>
        <v/>
      </c>
      <c r="V64" s="78">
        <f>IF('LOG_ANNUEL_A-1'!R64=0,"",((R64-'LOG_ANNUEL_A-1'!R64)/'LOG_ANNUEL_A-1'!R64)*100)</f>
        <v>-100</v>
      </c>
      <c r="W64" s="28"/>
      <c r="X64" s="28"/>
      <c r="Y64" s="28"/>
      <c r="Z64" s="28"/>
      <c r="AA64" s="28"/>
      <c r="AB64" s="28"/>
      <c r="AC64" s="28"/>
      <c r="AD64" s="28"/>
      <c r="AE64" s="28"/>
      <c r="AF64" s="28"/>
      <c r="AG64" s="28"/>
      <c r="AH64" s="28"/>
      <c r="AI64" s="28"/>
    </row>
    <row r="65" spans="2:36" x14ac:dyDescent="0.25">
      <c r="B65">
        <v>46</v>
      </c>
      <c r="C65" s="70"/>
      <c r="D65" s="104">
        <v>4</v>
      </c>
      <c r="E65" s="171">
        <v>1</v>
      </c>
      <c r="F65" s="28"/>
      <c r="G65" s="171"/>
      <c r="H65" s="413"/>
      <c r="I65" s="413"/>
      <c r="J65" s="413"/>
      <c r="K65" s="413"/>
      <c r="L65" s="413"/>
      <c r="M65" s="413"/>
      <c r="N65" s="413"/>
      <c r="O65" s="171"/>
      <c r="P65" s="28"/>
      <c r="Q65" s="371">
        <f t="shared" si="14"/>
        <v>1</v>
      </c>
      <c r="R65" s="375">
        <f t="shared" si="15"/>
        <v>0</v>
      </c>
      <c r="S65" s="28"/>
      <c r="T65" s="76">
        <f>IF(OR(LOG_ANNUEL!Q65=0,'LOG_ANNUEL_A-1'!Q65=0),"",((LOG_ANNUEL!Q65-'LOG_ANNUEL_A-1'!Q65)/'LOG_ANNUEL_A-1'!Q65)*100)</f>
        <v>-92.307692307692307</v>
      </c>
      <c r="U65" s="28">
        <f t="shared" si="2"/>
        <v>0</v>
      </c>
      <c r="V65" s="78">
        <f>IF('LOG_ANNUEL_A-1'!R65=0,"",((R65-'LOG_ANNUEL_A-1'!R65)/'LOG_ANNUEL_A-1'!R65)*100)</f>
        <v>-100</v>
      </c>
      <c r="W65" s="28"/>
      <c r="X65" s="28"/>
      <c r="Y65" s="28"/>
      <c r="Z65" s="28"/>
      <c r="AA65" s="28"/>
      <c r="AB65" s="28"/>
      <c r="AC65" s="28"/>
      <c r="AD65" s="28"/>
      <c r="AE65" s="28"/>
      <c r="AF65" s="28"/>
      <c r="AG65" s="28"/>
      <c r="AH65" s="28"/>
      <c r="AI65" s="28"/>
    </row>
    <row r="66" spans="2:36" x14ac:dyDescent="0.25">
      <c r="C66" s="70"/>
      <c r="D66" s="96" t="s">
        <v>182</v>
      </c>
      <c r="E66" s="171">
        <f>SUM(E62:E65)</f>
        <v>2</v>
      </c>
      <c r="F66" s="171">
        <f t="shared" ref="F66:P66" si="16">SUM(F62:F65)</f>
        <v>0</v>
      </c>
      <c r="G66" s="171">
        <f t="shared" si="16"/>
        <v>0</v>
      </c>
      <c r="H66" s="413">
        <f t="shared" si="16"/>
        <v>0</v>
      </c>
      <c r="I66" s="413">
        <f t="shared" si="16"/>
        <v>0</v>
      </c>
      <c r="J66" s="413">
        <f t="shared" si="16"/>
        <v>0</v>
      </c>
      <c r="K66" s="413">
        <f t="shared" si="16"/>
        <v>0</v>
      </c>
      <c r="L66" s="413">
        <f t="shared" si="16"/>
        <v>0</v>
      </c>
      <c r="M66" s="413">
        <f t="shared" si="16"/>
        <v>0</v>
      </c>
      <c r="N66" s="413">
        <f t="shared" si="16"/>
        <v>0</v>
      </c>
      <c r="O66" s="171">
        <f t="shared" si="16"/>
        <v>0</v>
      </c>
      <c r="P66" s="171">
        <f t="shared" si="16"/>
        <v>0</v>
      </c>
      <c r="Q66" s="371">
        <f t="shared" si="14"/>
        <v>2</v>
      </c>
      <c r="R66" s="375">
        <f t="shared" si="15"/>
        <v>0</v>
      </c>
      <c r="S66" s="28"/>
      <c r="T66" s="76">
        <f>IF(OR(LOG_ANNUEL!Q66=0,'LOG_ANNUEL_A-1'!Q66=0),"",((LOG_ANNUEL!Q66-'LOG_ANNUEL_A-1'!Q66)/'LOG_ANNUEL_A-1'!Q66)*100)</f>
        <v>-92.592592592592595</v>
      </c>
      <c r="U66" s="28">
        <f t="shared" si="2"/>
        <v>0</v>
      </c>
      <c r="V66" s="78">
        <f>IF('LOG_ANNUEL_A-1'!R66=0,"",((R66-'LOG_ANNUEL_A-1'!R66)/'LOG_ANNUEL_A-1'!R66)*100)</f>
        <v>-100</v>
      </c>
      <c r="W66" s="28"/>
      <c r="X66" s="28"/>
      <c r="Y66" s="28"/>
      <c r="Z66" s="28"/>
      <c r="AA66" s="28"/>
      <c r="AB66" s="28"/>
      <c r="AC66" s="28"/>
      <c r="AD66" s="28"/>
      <c r="AE66" s="28"/>
      <c r="AF66" s="28"/>
      <c r="AG66" s="28"/>
      <c r="AH66" s="28"/>
      <c r="AI66" s="28"/>
    </row>
    <row r="67" spans="2:36" x14ac:dyDescent="0.25">
      <c r="B67">
        <v>47</v>
      </c>
      <c r="C67" s="70"/>
      <c r="D67" s="105">
        <v>5</v>
      </c>
      <c r="E67" s="171">
        <v>0</v>
      </c>
      <c r="F67" s="28"/>
      <c r="G67" s="171"/>
      <c r="H67" s="413"/>
      <c r="I67" s="413"/>
      <c r="J67" s="413"/>
      <c r="K67" s="413"/>
      <c r="L67" s="413"/>
      <c r="M67" s="413"/>
      <c r="N67" s="413"/>
      <c r="O67" s="171"/>
      <c r="P67" s="28"/>
      <c r="Q67" s="371">
        <f t="shared" si="14"/>
        <v>0</v>
      </c>
      <c r="R67" s="375">
        <f t="shared" si="15"/>
        <v>0</v>
      </c>
      <c r="S67" s="28"/>
      <c r="T67" s="76" t="str">
        <f>IF(OR(LOG_ANNUEL!Q67=0,'LOG_ANNUEL_A-1'!Q67=0),"",((LOG_ANNUEL!Q67-'LOG_ANNUEL_A-1'!Q67)/'LOG_ANNUEL_A-1'!Q67)*100)</f>
        <v/>
      </c>
      <c r="U67" s="28" t="str">
        <f t="shared" si="2"/>
        <v/>
      </c>
      <c r="V67" s="78">
        <f>IF('LOG_ANNUEL_A-1'!R67=0,"",((R67-'LOG_ANNUEL_A-1'!R67)/'LOG_ANNUEL_A-1'!R67)*100)</f>
        <v>-100</v>
      </c>
      <c r="W67" s="28"/>
      <c r="X67" s="28"/>
      <c r="Y67" s="28"/>
      <c r="Z67" s="28"/>
      <c r="AA67" s="28"/>
      <c r="AB67" s="28"/>
      <c r="AC67" s="28"/>
      <c r="AD67" s="28"/>
      <c r="AE67" s="28"/>
      <c r="AF67" s="28"/>
      <c r="AG67" s="28"/>
      <c r="AH67" s="28"/>
      <c r="AI67" s="28"/>
    </row>
    <row r="68" spans="2:36" x14ac:dyDescent="0.25">
      <c r="B68">
        <v>48</v>
      </c>
      <c r="C68" s="70"/>
      <c r="D68" s="105">
        <v>6</v>
      </c>
      <c r="E68" s="171">
        <v>0</v>
      </c>
      <c r="F68" s="28"/>
      <c r="G68" s="171"/>
      <c r="H68" s="413"/>
      <c r="I68" s="413"/>
      <c r="J68" s="413"/>
      <c r="K68" s="413"/>
      <c r="L68" s="413"/>
      <c r="M68" s="413"/>
      <c r="N68" s="413"/>
      <c r="O68" s="171"/>
      <c r="P68" s="28"/>
      <c r="Q68" s="371">
        <f t="shared" si="14"/>
        <v>0</v>
      </c>
      <c r="R68" s="375">
        <f t="shared" si="15"/>
        <v>0</v>
      </c>
      <c r="S68" s="28"/>
      <c r="T68" s="76" t="str">
        <f>IF(OR(LOG_ANNUEL!Q68=0,'LOG_ANNUEL_A-1'!Q68=0),"",((LOG_ANNUEL!Q68-'LOG_ANNUEL_A-1'!Q68)/'LOG_ANNUEL_A-1'!Q68)*100)</f>
        <v/>
      </c>
      <c r="U68" s="28" t="str">
        <f t="shared" si="2"/>
        <v/>
      </c>
      <c r="V68" s="78" t="str">
        <f>IF('LOG_ANNUEL_A-1'!R68=0,"",((R68-'LOG_ANNUEL_A-1'!R68)/'LOG_ANNUEL_A-1'!R68)*100)</f>
        <v/>
      </c>
      <c r="W68" s="28"/>
      <c r="X68" s="28"/>
      <c r="Y68" s="28"/>
      <c r="Z68" s="28"/>
      <c r="AA68" s="28"/>
      <c r="AB68" s="28"/>
      <c r="AC68" s="28"/>
      <c r="AD68" s="28"/>
      <c r="AE68" s="28"/>
      <c r="AF68" s="28"/>
      <c r="AG68" s="28"/>
      <c r="AH68" s="28"/>
      <c r="AI68" s="28"/>
    </row>
    <row r="69" spans="2:36" x14ac:dyDescent="0.25">
      <c r="B69">
        <v>49</v>
      </c>
      <c r="C69" s="70"/>
      <c r="D69" s="105">
        <v>7</v>
      </c>
      <c r="E69" s="171">
        <v>0</v>
      </c>
      <c r="F69" s="28"/>
      <c r="G69" s="171"/>
      <c r="H69" s="413"/>
      <c r="I69" s="413"/>
      <c r="J69" s="413"/>
      <c r="K69" s="413"/>
      <c r="L69" s="413"/>
      <c r="M69" s="413"/>
      <c r="N69" s="413"/>
      <c r="O69" s="171"/>
      <c r="P69" s="28"/>
      <c r="Q69" s="371">
        <f t="shared" si="14"/>
        <v>0</v>
      </c>
      <c r="R69" s="375">
        <f t="shared" si="15"/>
        <v>0</v>
      </c>
      <c r="S69" s="28"/>
      <c r="T69" s="76" t="str">
        <f>IF(OR(LOG_ANNUEL!Q69=0,'LOG_ANNUEL_A-1'!Q69=0),"",((LOG_ANNUEL!Q69-'LOG_ANNUEL_A-1'!Q69)/'LOG_ANNUEL_A-1'!Q69)*100)</f>
        <v/>
      </c>
      <c r="U69" s="28" t="str">
        <f t="shared" si="2"/>
        <v/>
      </c>
      <c r="V69" s="78" t="str">
        <f>IF('LOG_ANNUEL_A-1'!R69=0,"",((R69-'LOG_ANNUEL_A-1'!R69)/'LOG_ANNUEL_A-1'!R69)*100)</f>
        <v/>
      </c>
      <c r="W69" s="28"/>
      <c r="X69" s="28"/>
      <c r="Y69" s="28"/>
      <c r="Z69" s="28"/>
      <c r="AA69" s="28"/>
      <c r="AB69" s="28"/>
      <c r="AC69" s="28"/>
      <c r="AD69" s="28"/>
      <c r="AE69" s="28"/>
      <c r="AF69" s="28"/>
      <c r="AG69" s="28"/>
      <c r="AH69" s="28"/>
      <c r="AI69" s="28"/>
    </row>
    <row r="70" spans="2:36" x14ac:dyDescent="0.25">
      <c r="B70">
        <v>50</v>
      </c>
      <c r="C70" s="70"/>
      <c r="D70" s="105">
        <v>8</v>
      </c>
      <c r="E70" s="171">
        <v>0</v>
      </c>
      <c r="F70" s="28"/>
      <c r="G70" s="171"/>
      <c r="H70" s="413"/>
      <c r="I70" s="413"/>
      <c r="J70" s="413"/>
      <c r="K70" s="413"/>
      <c r="L70" s="413"/>
      <c r="M70" s="413"/>
      <c r="N70" s="413"/>
      <c r="O70" s="171"/>
      <c r="P70" s="28"/>
      <c r="Q70" s="371">
        <f t="shared" si="14"/>
        <v>0</v>
      </c>
      <c r="R70" s="375">
        <f t="shared" si="15"/>
        <v>0</v>
      </c>
      <c r="S70" s="28"/>
      <c r="T70" s="76" t="str">
        <f>IF(OR(LOG_ANNUEL!Q70=0,'LOG_ANNUEL_A-1'!Q70=0),"",((LOG_ANNUEL!Q70-'LOG_ANNUEL_A-1'!Q70)/'LOG_ANNUEL_A-1'!Q70)*100)</f>
        <v/>
      </c>
      <c r="U70" s="28" t="str">
        <f t="shared" si="2"/>
        <v/>
      </c>
      <c r="V70" s="78" t="str">
        <f>IF('LOG_ANNUEL_A-1'!R70=0,"",((R70-'LOG_ANNUEL_A-1'!R70)/'LOG_ANNUEL_A-1'!R70)*100)</f>
        <v/>
      </c>
      <c r="W70" s="28"/>
      <c r="X70" s="28"/>
      <c r="Y70" s="28"/>
      <c r="Z70" s="28"/>
      <c r="AA70" s="28"/>
      <c r="AB70" s="28"/>
      <c r="AC70" s="28"/>
      <c r="AD70" s="28"/>
      <c r="AE70" s="28"/>
      <c r="AF70" s="28"/>
      <c r="AG70" s="28"/>
      <c r="AH70" s="28"/>
      <c r="AI70" s="28"/>
    </row>
    <row r="71" spans="2:36" x14ac:dyDescent="0.25">
      <c r="B71">
        <v>51</v>
      </c>
      <c r="C71" s="70"/>
      <c r="D71" s="105">
        <v>9</v>
      </c>
      <c r="E71" s="171">
        <v>0</v>
      </c>
      <c r="F71" s="28"/>
      <c r="G71" s="171"/>
      <c r="H71" s="413"/>
      <c r="I71" s="413"/>
      <c r="J71" s="413"/>
      <c r="K71" s="413"/>
      <c r="L71" s="413"/>
      <c r="M71" s="413"/>
      <c r="N71" s="413"/>
      <c r="O71" s="171"/>
      <c r="P71" s="28"/>
      <c r="Q71" s="371">
        <f t="shared" si="14"/>
        <v>0</v>
      </c>
      <c r="R71" s="375">
        <f t="shared" si="15"/>
        <v>0</v>
      </c>
      <c r="S71" s="28"/>
      <c r="T71" s="76" t="str">
        <f>IF(OR(LOG_ANNUEL!Q71=0,'LOG_ANNUEL_A-1'!Q71=0),"",((LOG_ANNUEL!Q71-'LOG_ANNUEL_A-1'!Q71)/'LOG_ANNUEL_A-1'!Q71)*100)</f>
        <v/>
      </c>
      <c r="U71" s="28" t="str">
        <f t="shared" si="2"/>
        <v/>
      </c>
      <c r="V71" s="78">
        <f>IF('LOG_ANNUEL_A-1'!R71=0,"",((R71-'LOG_ANNUEL_A-1'!R71)/'LOG_ANNUEL_A-1'!R71)*100)</f>
        <v>-100</v>
      </c>
      <c r="W71" s="28"/>
      <c r="X71" s="28"/>
      <c r="Y71" s="28"/>
      <c r="Z71" s="28"/>
      <c r="AA71" s="28"/>
      <c r="AB71" s="28"/>
      <c r="AC71" s="28"/>
      <c r="AD71" s="28"/>
      <c r="AE71" s="28"/>
      <c r="AF71" s="28"/>
      <c r="AG71" s="28"/>
      <c r="AH71" s="28"/>
      <c r="AI71" s="28"/>
    </row>
    <row r="72" spans="2:36" x14ac:dyDescent="0.25">
      <c r="B72">
        <v>52</v>
      </c>
      <c r="C72" s="70"/>
      <c r="D72" s="105">
        <v>10</v>
      </c>
      <c r="E72" s="171">
        <v>0</v>
      </c>
      <c r="F72" s="28"/>
      <c r="G72" s="171"/>
      <c r="H72" s="413"/>
      <c r="I72" s="413"/>
      <c r="J72" s="413"/>
      <c r="K72" s="413"/>
      <c r="L72" s="413"/>
      <c r="M72" s="413"/>
      <c r="N72" s="413"/>
      <c r="O72" s="171"/>
      <c r="P72" s="28"/>
      <c r="Q72" s="371">
        <f t="shared" si="14"/>
        <v>0</v>
      </c>
      <c r="R72" s="375">
        <f t="shared" si="15"/>
        <v>0</v>
      </c>
      <c r="S72" s="28"/>
      <c r="T72" s="76" t="str">
        <f>IF(OR(LOG_ANNUEL!Q72=0,'LOG_ANNUEL_A-1'!Q72=0),"",((LOG_ANNUEL!Q72-'LOG_ANNUEL_A-1'!Q72)/'LOG_ANNUEL_A-1'!Q72)*100)</f>
        <v/>
      </c>
      <c r="U72" s="28" t="str">
        <f t="shared" si="2"/>
        <v/>
      </c>
      <c r="V72" s="78">
        <f>IF('LOG_ANNUEL_A-1'!R72=0,"",((R72-'LOG_ANNUEL_A-1'!R72)/'LOG_ANNUEL_A-1'!R72)*100)</f>
        <v>-100</v>
      </c>
      <c r="W72" s="28"/>
      <c r="X72" s="28"/>
      <c r="Y72" s="28"/>
      <c r="Z72" s="28"/>
      <c r="AA72" s="28"/>
      <c r="AB72" s="28"/>
      <c r="AC72" s="28"/>
      <c r="AD72" s="28"/>
      <c r="AE72" s="28"/>
      <c r="AF72" s="28"/>
      <c r="AG72" s="28"/>
      <c r="AH72" s="28"/>
      <c r="AI72" s="28"/>
    </row>
    <row r="73" spans="2:36" x14ac:dyDescent="0.25">
      <c r="B73">
        <v>53</v>
      </c>
      <c r="C73" s="70"/>
      <c r="D73" s="105">
        <v>11</v>
      </c>
      <c r="E73" s="171">
        <v>0</v>
      </c>
      <c r="F73" s="28"/>
      <c r="G73" s="171"/>
      <c r="H73" s="413"/>
      <c r="I73" s="413"/>
      <c r="J73" s="413"/>
      <c r="K73" s="413"/>
      <c r="L73" s="413"/>
      <c r="M73" s="413"/>
      <c r="N73" s="413"/>
      <c r="O73" s="171"/>
      <c r="P73" s="28"/>
      <c r="Q73" s="371">
        <f t="shared" si="14"/>
        <v>0</v>
      </c>
      <c r="R73" s="375">
        <f t="shared" si="15"/>
        <v>0</v>
      </c>
      <c r="S73" s="28"/>
      <c r="T73" s="76" t="str">
        <f>IF(OR(LOG_ANNUEL!Q73=0,'LOG_ANNUEL_A-1'!Q73=0),"",((LOG_ANNUEL!Q73-'LOG_ANNUEL_A-1'!Q73)/'LOG_ANNUEL_A-1'!Q73)*100)</f>
        <v/>
      </c>
      <c r="U73" s="28" t="str">
        <f t="shared" ref="U73:U136" si="17">IF(Q73=0,"",(R73*100)/Q73)</f>
        <v/>
      </c>
      <c r="V73" s="78" t="str">
        <f>IF('LOG_ANNUEL_A-1'!R73=0,"",((R73-'LOG_ANNUEL_A-1'!R73)/'LOG_ANNUEL_A-1'!R73)*100)</f>
        <v/>
      </c>
      <c r="W73" s="28"/>
      <c r="X73" s="28"/>
      <c r="Y73" s="28"/>
      <c r="Z73" s="28"/>
      <c r="AA73" s="28"/>
      <c r="AB73" s="28"/>
      <c r="AC73" s="28"/>
      <c r="AD73" s="28"/>
      <c r="AE73" s="28"/>
      <c r="AF73" s="28"/>
      <c r="AG73" s="28"/>
      <c r="AH73" s="28"/>
      <c r="AI73" s="28"/>
    </row>
    <row r="74" spans="2:36" x14ac:dyDescent="0.25">
      <c r="B74">
        <v>54</v>
      </c>
      <c r="C74" s="70"/>
      <c r="D74" s="105">
        <v>12</v>
      </c>
      <c r="E74" s="171">
        <v>0</v>
      </c>
      <c r="F74" s="28"/>
      <c r="G74" s="171"/>
      <c r="H74" s="413"/>
      <c r="I74" s="413"/>
      <c r="J74" s="413"/>
      <c r="K74" s="413"/>
      <c r="L74" s="413"/>
      <c r="M74" s="413"/>
      <c r="N74" s="413"/>
      <c r="O74" s="171"/>
      <c r="P74" s="28"/>
      <c r="Q74" s="371">
        <f t="shared" si="14"/>
        <v>0</v>
      </c>
      <c r="R74" s="375">
        <f t="shared" si="15"/>
        <v>0</v>
      </c>
      <c r="S74" s="28"/>
      <c r="T74" s="76" t="str">
        <f>IF(OR(LOG_ANNUEL!Q74=0,'LOG_ANNUEL_A-1'!Q74=0),"",((LOG_ANNUEL!Q74-'LOG_ANNUEL_A-1'!Q74)/'LOG_ANNUEL_A-1'!Q74)*100)</f>
        <v/>
      </c>
      <c r="U74" s="28" t="str">
        <f t="shared" si="17"/>
        <v/>
      </c>
      <c r="V74" s="78" t="str">
        <f>IF('LOG_ANNUEL_A-1'!R74=0,"",((R74-'LOG_ANNUEL_A-1'!R74)/'LOG_ANNUEL_A-1'!R74)*100)</f>
        <v/>
      </c>
      <c r="W74" s="28"/>
      <c r="X74" s="28"/>
      <c r="Y74" s="28"/>
      <c r="Z74" s="28"/>
      <c r="AA74" s="28"/>
      <c r="AB74" s="28"/>
      <c r="AC74" s="28"/>
      <c r="AD74" s="28"/>
      <c r="AE74" s="28"/>
      <c r="AF74" s="28"/>
      <c r="AG74" s="28"/>
      <c r="AH74" s="28"/>
      <c r="AI74" s="28"/>
    </row>
    <row r="75" spans="2:36" ht="15.75" thickBot="1" x14ac:dyDescent="0.3">
      <c r="C75" s="70"/>
      <c r="D75" s="96" t="s">
        <v>182</v>
      </c>
      <c r="E75" s="171">
        <f>SUM(E67:E74)</f>
        <v>0</v>
      </c>
      <c r="F75" s="171">
        <f t="shared" ref="F75:P75" si="18">SUM(F67:F74)</f>
        <v>0</v>
      </c>
      <c r="G75" s="171">
        <f t="shared" si="18"/>
        <v>0</v>
      </c>
      <c r="H75" s="413">
        <f t="shared" si="18"/>
        <v>0</v>
      </c>
      <c r="I75" s="413">
        <f t="shared" si="18"/>
        <v>0</v>
      </c>
      <c r="J75" s="413">
        <f t="shared" si="18"/>
        <v>0</v>
      </c>
      <c r="K75" s="413">
        <f t="shared" si="18"/>
        <v>0</v>
      </c>
      <c r="L75" s="413">
        <f t="shared" si="18"/>
        <v>0</v>
      </c>
      <c r="M75" s="413">
        <f t="shared" si="18"/>
        <v>0</v>
      </c>
      <c r="N75" s="413">
        <f t="shared" si="18"/>
        <v>0</v>
      </c>
      <c r="O75" s="171">
        <f t="shared" si="18"/>
        <v>0</v>
      </c>
      <c r="P75" s="171">
        <f t="shared" si="18"/>
        <v>0</v>
      </c>
      <c r="Q75" s="373">
        <f t="shared" si="14"/>
        <v>0</v>
      </c>
      <c r="R75" s="418">
        <f t="shared" si="15"/>
        <v>0</v>
      </c>
      <c r="S75" s="28"/>
      <c r="T75" s="76" t="str">
        <f>IF(OR(LOG_ANNUEL!Q75=0,'LOG_ANNUEL_A-1'!Q75=0),"",((LOG_ANNUEL!Q75-'LOG_ANNUEL_A-1'!Q75)/'LOG_ANNUEL_A-1'!Q75)*100)</f>
        <v/>
      </c>
      <c r="U75" s="28" t="str">
        <f t="shared" si="17"/>
        <v/>
      </c>
      <c r="V75" s="78">
        <f>IF('LOG_ANNUEL_A-1'!R75=0,"",((R75-'LOG_ANNUEL_A-1'!R75)/'LOG_ANNUEL_A-1'!R75)*100)</f>
        <v>-100</v>
      </c>
      <c r="W75" s="28"/>
      <c r="X75" s="28"/>
      <c r="Y75" s="28"/>
      <c r="Z75" s="28"/>
      <c r="AA75" s="28"/>
      <c r="AB75" s="28"/>
      <c r="AC75" s="28"/>
      <c r="AD75" s="28"/>
      <c r="AE75" s="28"/>
      <c r="AF75" s="28"/>
      <c r="AG75" s="28"/>
      <c r="AH75" s="28"/>
      <c r="AI75" s="28"/>
    </row>
    <row r="76" spans="2:36" ht="15.75" thickBot="1" x14ac:dyDescent="0.3">
      <c r="B76">
        <v>55</v>
      </c>
      <c r="C76" s="97"/>
      <c r="D76" s="626" t="s">
        <v>184</v>
      </c>
      <c r="E76" s="181"/>
      <c r="F76" s="61"/>
      <c r="G76" s="181"/>
      <c r="H76" s="536"/>
      <c r="I76" s="536"/>
      <c r="J76" s="536"/>
      <c r="K76" s="536"/>
      <c r="L76" s="536"/>
      <c r="M76" s="536"/>
      <c r="N76" s="536"/>
      <c r="O76" s="181"/>
      <c r="P76" s="61"/>
      <c r="Q76" s="61"/>
      <c r="R76" s="61"/>
      <c r="S76" s="28"/>
      <c r="T76" s="76"/>
      <c r="U76" s="28"/>
      <c r="V76" s="78"/>
      <c r="W76" s="28"/>
      <c r="X76" s="28"/>
      <c r="Y76" s="28"/>
      <c r="Z76" s="28"/>
      <c r="AA76" s="28"/>
      <c r="AB76" s="28"/>
      <c r="AC76" s="28"/>
      <c r="AD76" s="28"/>
      <c r="AE76" s="28"/>
      <c r="AF76" s="28"/>
      <c r="AG76" s="28"/>
      <c r="AH76" s="28"/>
      <c r="AI76" s="28"/>
    </row>
    <row r="77" spans="2:36" ht="15.75" thickBot="1" x14ac:dyDescent="0.3">
      <c r="C77" s="61"/>
      <c r="D77" s="61"/>
      <c r="E77" s="61"/>
      <c r="F77" s="61"/>
      <c r="G77" s="181"/>
      <c r="H77" s="61"/>
      <c r="I77" s="181"/>
      <c r="J77" s="61"/>
      <c r="K77" s="181"/>
      <c r="L77" s="61"/>
      <c r="M77" s="181"/>
      <c r="N77" s="61"/>
      <c r="O77" s="181"/>
      <c r="P77" s="61"/>
      <c r="Q77" s="181"/>
      <c r="R77" s="61"/>
      <c r="S77" s="28"/>
      <c r="T77" s="76"/>
      <c r="U77" s="28"/>
      <c r="V77" s="78"/>
      <c r="W77" s="28"/>
      <c r="X77" s="28"/>
      <c r="Y77" s="28"/>
      <c r="Z77" s="28"/>
      <c r="AA77" s="28"/>
      <c r="AB77" s="28"/>
      <c r="AC77" s="28"/>
      <c r="AD77" s="28"/>
      <c r="AE77" s="28"/>
      <c r="AF77" s="28"/>
      <c r="AG77" s="28"/>
      <c r="AH77" s="28"/>
      <c r="AI77" s="28"/>
    </row>
    <row r="78" spans="2:36" ht="15" customHeight="1" x14ac:dyDescent="0.25">
      <c r="C78" s="842" t="s">
        <v>55</v>
      </c>
      <c r="D78" s="843"/>
      <c r="E78" s="843"/>
      <c r="F78" s="843"/>
      <c r="G78" s="843"/>
      <c r="H78" s="843"/>
      <c r="I78" s="843"/>
      <c r="J78" s="843"/>
      <c r="K78" s="843"/>
      <c r="L78" s="843"/>
      <c r="M78" s="843"/>
      <c r="N78" s="843"/>
      <c r="O78" s="843"/>
      <c r="P78" s="843"/>
      <c r="Q78" s="843"/>
      <c r="R78" s="844"/>
      <c r="S78" s="368"/>
      <c r="T78" s="76"/>
      <c r="U78" s="28"/>
      <c r="V78" s="78"/>
      <c r="W78" s="368"/>
      <c r="X78" s="368"/>
      <c r="Y78" s="368"/>
      <c r="Z78" s="368"/>
      <c r="AA78" s="368"/>
      <c r="AB78" s="368"/>
      <c r="AC78" s="368"/>
      <c r="AD78" s="368"/>
      <c r="AE78" s="368"/>
      <c r="AF78" s="368"/>
      <c r="AG78" s="368"/>
      <c r="AH78" s="368"/>
      <c r="AI78" s="368"/>
      <c r="AJ78" s="368"/>
    </row>
    <row r="79" spans="2:36" ht="15.75" customHeight="1" thickBot="1" x14ac:dyDescent="0.3">
      <c r="C79" s="845"/>
      <c r="D79" s="846"/>
      <c r="E79" s="846"/>
      <c r="F79" s="846"/>
      <c r="G79" s="846"/>
      <c r="H79" s="846"/>
      <c r="I79" s="846"/>
      <c r="J79" s="846"/>
      <c r="K79" s="846"/>
      <c r="L79" s="846"/>
      <c r="M79" s="846"/>
      <c r="N79" s="846"/>
      <c r="O79" s="846"/>
      <c r="P79" s="846"/>
      <c r="Q79" s="846"/>
      <c r="R79" s="847"/>
      <c r="S79" s="368"/>
      <c r="T79" s="76"/>
      <c r="U79" s="28"/>
      <c r="V79" s="78"/>
      <c r="W79" s="368"/>
      <c r="X79" s="368"/>
      <c r="Y79" s="368"/>
      <c r="Z79" s="368"/>
      <c r="AA79" s="368"/>
      <c r="AB79" s="368"/>
      <c r="AC79" s="368"/>
      <c r="AD79" s="368"/>
      <c r="AE79" s="368"/>
      <c r="AF79" s="368"/>
      <c r="AG79" s="368"/>
      <c r="AH79" s="368"/>
      <c r="AI79" s="368"/>
      <c r="AJ79" s="368"/>
    </row>
    <row r="80" spans="2:36" ht="15.75" thickBot="1" x14ac:dyDescent="0.3">
      <c r="C80" s="821" t="s">
        <v>623</v>
      </c>
      <c r="D80" s="822"/>
      <c r="E80" s="181"/>
      <c r="F80" s="61"/>
      <c r="G80" s="181"/>
      <c r="H80" s="61"/>
      <c r="I80" s="181"/>
      <c r="J80" s="61"/>
      <c r="K80" s="181"/>
      <c r="L80" s="61"/>
      <c r="M80" s="181"/>
      <c r="N80" s="61"/>
      <c r="O80" s="181"/>
      <c r="P80" s="61"/>
      <c r="Q80" s="181"/>
      <c r="R80" s="61"/>
      <c r="S80" s="28"/>
      <c r="T80" s="76"/>
      <c r="U80" s="28"/>
      <c r="V80" s="78"/>
      <c r="W80" s="28"/>
      <c r="X80" s="28"/>
      <c r="Y80" s="28"/>
      <c r="Z80" s="28"/>
      <c r="AA80" s="28"/>
      <c r="AB80" s="28"/>
      <c r="AC80" s="28"/>
      <c r="AD80" s="28"/>
      <c r="AE80" s="28"/>
      <c r="AF80" s="28"/>
      <c r="AG80" s="28"/>
      <c r="AH80" s="28"/>
      <c r="AI80" s="28"/>
    </row>
    <row r="81" spans="2:35" x14ac:dyDescent="0.25">
      <c r="C81" s="727" t="s">
        <v>425</v>
      </c>
      <c r="D81" s="728"/>
      <c r="E81" s="254">
        <f>E101</f>
        <v>0</v>
      </c>
      <c r="F81" s="254">
        <f t="shared" ref="F81:P81" si="19">F101</f>
        <v>0</v>
      </c>
      <c r="G81" s="254">
        <f t="shared" si="19"/>
        <v>0</v>
      </c>
      <c r="H81" s="422">
        <f t="shared" si="19"/>
        <v>0</v>
      </c>
      <c r="I81" s="422">
        <f t="shared" si="19"/>
        <v>0</v>
      </c>
      <c r="J81" s="422">
        <f t="shared" si="19"/>
        <v>0</v>
      </c>
      <c r="K81" s="422">
        <f t="shared" si="19"/>
        <v>0</v>
      </c>
      <c r="L81" s="422">
        <f t="shared" si="19"/>
        <v>0</v>
      </c>
      <c r="M81" s="422">
        <f t="shared" si="19"/>
        <v>0</v>
      </c>
      <c r="N81" s="422">
        <f t="shared" si="19"/>
        <v>0</v>
      </c>
      <c r="O81" s="254">
        <f t="shared" si="19"/>
        <v>0</v>
      </c>
      <c r="P81" s="254">
        <f t="shared" si="19"/>
        <v>0</v>
      </c>
      <c r="Q81" s="374">
        <f>SUM(E81:P81)</f>
        <v>0</v>
      </c>
      <c r="R81" s="425">
        <f>SUM(H81:N81)</f>
        <v>0</v>
      </c>
      <c r="S81" s="28"/>
      <c r="T81" s="76" t="str">
        <f>IF(OR(LOG_ANNUEL!Q81=0,'LOG_ANNUEL_A-1'!Q81=0),"",((LOG_ANNUEL!Q81-'LOG_ANNUEL_A-1'!Q81)/'LOG_ANNUEL_A-1'!Q81)*100)</f>
        <v/>
      </c>
      <c r="U81" s="28" t="str">
        <f t="shared" si="17"/>
        <v/>
      </c>
      <c r="V81" s="78" t="str">
        <f>IF('LOG_ANNUEL_A-1'!R81=0,"",((R81-'LOG_ANNUEL_A-1'!R81)/'LOG_ANNUEL_A-1'!R81)*100)</f>
        <v/>
      </c>
      <c r="W81" s="28"/>
      <c r="X81" s="28"/>
      <c r="Y81" s="28"/>
      <c r="Z81" s="28"/>
      <c r="AA81" s="28"/>
      <c r="AB81" s="28"/>
      <c r="AC81" s="28"/>
      <c r="AD81" s="28"/>
      <c r="AE81" s="28"/>
      <c r="AF81" s="28"/>
      <c r="AG81" s="28"/>
      <c r="AH81" s="28"/>
      <c r="AI81" s="28"/>
    </row>
    <row r="82" spans="2:35" x14ac:dyDescent="0.25">
      <c r="C82" s="727" t="s">
        <v>64</v>
      </c>
      <c r="D82" s="728"/>
      <c r="E82" s="171">
        <f>E117</f>
        <v>0</v>
      </c>
      <c r="F82" s="171">
        <f t="shared" ref="F82:P82" si="20">F117</f>
        <v>0</v>
      </c>
      <c r="G82" s="171">
        <f t="shared" si="20"/>
        <v>0</v>
      </c>
      <c r="H82" s="413">
        <f t="shared" si="20"/>
        <v>0</v>
      </c>
      <c r="I82" s="413">
        <f t="shared" si="20"/>
        <v>0</v>
      </c>
      <c r="J82" s="413">
        <f t="shared" si="20"/>
        <v>0</v>
      </c>
      <c r="K82" s="413">
        <f t="shared" si="20"/>
        <v>0</v>
      </c>
      <c r="L82" s="413">
        <f t="shared" si="20"/>
        <v>0</v>
      </c>
      <c r="M82" s="413">
        <f t="shared" si="20"/>
        <v>0</v>
      </c>
      <c r="N82" s="413">
        <f t="shared" si="20"/>
        <v>0</v>
      </c>
      <c r="O82" s="171">
        <f t="shared" si="20"/>
        <v>0</v>
      </c>
      <c r="P82" s="171">
        <f t="shared" si="20"/>
        <v>0</v>
      </c>
      <c r="Q82" s="371">
        <f t="shared" ref="Q82:Q97" si="21">SUM(E82:P82)</f>
        <v>0</v>
      </c>
      <c r="R82" s="426">
        <f t="shared" ref="R82:R84" si="22">SUM(H82:N82)</f>
        <v>0</v>
      </c>
      <c r="S82" s="28"/>
      <c r="T82" s="76" t="str">
        <f>IF(OR(LOG_ANNUEL!Q82=0,'LOG_ANNUEL_A-1'!Q82=0),"",((LOG_ANNUEL!Q82-'LOG_ANNUEL_A-1'!Q82)/'LOG_ANNUEL_A-1'!Q82)*100)</f>
        <v/>
      </c>
      <c r="U82" s="28" t="str">
        <f t="shared" si="17"/>
        <v/>
      </c>
      <c r="V82" s="78" t="str">
        <f>IF('LOG_ANNUEL_A-1'!R82=0,"",((R82-'LOG_ANNUEL_A-1'!R82)/'LOG_ANNUEL_A-1'!R82)*100)</f>
        <v/>
      </c>
      <c r="W82" s="28"/>
      <c r="X82" s="28"/>
      <c r="Y82" s="28"/>
      <c r="Z82" s="28"/>
      <c r="AA82" s="28"/>
      <c r="AB82" s="28"/>
      <c r="AC82" s="28"/>
      <c r="AD82" s="28"/>
      <c r="AE82" s="28"/>
      <c r="AF82" s="28"/>
      <c r="AG82" s="28"/>
      <c r="AH82" s="28"/>
      <c r="AI82" s="28"/>
    </row>
    <row r="83" spans="2:35" x14ac:dyDescent="0.25">
      <c r="C83" s="763" t="s">
        <v>65</v>
      </c>
      <c r="D83" s="764"/>
      <c r="E83" s="171">
        <f>E133</f>
        <v>0</v>
      </c>
      <c r="F83" s="171">
        <f t="shared" ref="F83:P83" si="23">F133</f>
        <v>0</v>
      </c>
      <c r="G83" s="171">
        <f t="shared" si="23"/>
        <v>0</v>
      </c>
      <c r="H83" s="413">
        <f t="shared" si="23"/>
        <v>0</v>
      </c>
      <c r="I83" s="413">
        <f t="shared" si="23"/>
        <v>0</v>
      </c>
      <c r="J83" s="413">
        <f t="shared" si="23"/>
        <v>0</v>
      </c>
      <c r="K83" s="413">
        <f t="shared" si="23"/>
        <v>0</v>
      </c>
      <c r="L83" s="413">
        <f t="shared" si="23"/>
        <v>0</v>
      </c>
      <c r="M83" s="413">
        <f t="shared" si="23"/>
        <v>0</v>
      </c>
      <c r="N83" s="413">
        <f t="shared" si="23"/>
        <v>0</v>
      </c>
      <c r="O83" s="171">
        <f t="shared" si="23"/>
        <v>0</v>
      </c>
      <c r="P83" s="171">
        <f t="shared" si="23"/>
        <v>0</v>
      </c>
      <c r="Q83" s="371">
        <f t="shared" si="21"/>
        <v>0</v>
      </c>
      <c r="R83" s="426">
        <f t="shared" si="22"/>
        <v>0</v>
      </c>
      <c r="S83" s="28"/>
      <c r="T83" s="76" t="str">
        <f>IF(OR(LOG_ANNUEL!Q83=0,'LOG_ANNUEL_A-1'!Q83=0),"",((LOG_ANNUEL!Q83-'LOG_ANNUEL_A-1'!Q83)/'LOG_ANNUEL_A-1'!Q83)*100)</f>
        <v/>
      </c>
      <c r="U83" s="28" t="str">
        <f t="shared" si="17"/>
        <v/>
      </c>
      <c r="V83" s="78" t="str">
        <f>IF('LOG_ANNUEL_A-1'!R83=0,"",((R83-'LOG_ANNUEL_A-1'!R83)/'LOG_ANNUEL_A-1'!R83)*100)</f>
        <v/>
      </c>
      <c r="W83" s="28"/>
      <c r="X83" s="28"/>
      <c r="Y83" s="28"/>
      <c r="Z83" s="28"/>
      <c r="AA83" s="28"/>
      <c r="AB83" s="28"/>
      <c r="AC83" s="28"/>
      <c r="AD83" s="28"/>
      <c r="AE83" s="28"/>
      <c r="AF83" s="28"/>
      <c r="AG83" s="28"/>
      <c r="AH83" s="28"/>
      <c r="AI83" s="28"/>
    </row>
    <row r="84" spans="2:35" ht="15.75" thickBot="1" x14ac:dyDescent="0.3">
      <c r="C84" s="765" t="s">
        <v>67</v>
      </c>
      <c r="D84" s="766"/>
      <c r="E84" s="171">
        <f>E149</f>
        <v>0</v>
      </c>
      <c r="F84" s="171">
        <f t="shared" ref="F84:P84" si="24">F149</f>
        <v>0</v>
      </c>
      <c r="G84" s="171">
        <f t="shared" si="24"/>
        <v>0</v>
      </c>
      <c r="H84" s="413">
        <f t="shared" si="24"/>
        <v>0</v>
      </c>
      <c r="I84" s="413">
        <f t="shared" si="24"/>
        <v>0</v>
      </c>
      <c r="J84" s="413">
        <f t="shared" si="24"/>
        <v>0</v>
      </c>
      <c r="K84" s="413">
        <f t="shared" si="24"/>
        <v>0</v>
      </c>
      <c r="L84" s="413">
        <f t="shared" si="24"/>
        <v>0</v>
      </c>
      <c r="M84" s="413">
        <f t="shared" si="24"/>
        <v>0</v>
      </c>
      <c r="N84" s="413">
        <f t="shared" si="24"/>
        <v>0</v>
      </c>
      <c r="O84" s="171">
        <f t="shared" si="24"/>
        <v>0</v>
      </c>
      <c r="P84" s="171">
        <f t="shared" si="24"/>
        <v>0</v>
      </c>
      <c r="Q84" s="371">
        <f t="shared" si="21"/>
        <v>0</v>
      </c>
      <c r="R84" s="426">
        <f t="shared" si="22"/>
        <v>0</v>
      </c>
      <c r="S84" s="28"/>
      <c r="T84" s="76" t="str">
        <f>IF(OR(LOG_ANNUEL!Q84=0,'LOG_ANNUEL_A-1'!Q84=0),"",((LOG_ANNUEL!Q84-'LOG_ANNUEL_A-1'!Q84)/'LOG_ANNUEL_A-1'!Q84)*100)</f>
        <v/>
      </c>
      <c r="U84" s="28" t="str">
        <f t="shared" si="17"/>
        <v/>
      </c>
      <c r="V84" s="78" t="str">
        <f>IF('LOG_ANNUEL_A-1'!R84=0,"",((R84-'LOG_ANNUEL_A-1'!R84)/'LOG_ANNUEL_A-1'!R84)*100)</f>
        <v/>
      </c>
      <c r="W84" s="28"/>
      <c r="X84" s="28"/>
      <c r="Y84" s="28"/>
      <c r="Z84" s="28"/>
      <c r="AA84" s="28"/>
      <c r="AB84" s="28"/>
      <c r="AC84" s="28"/>
      <c r="AD84" s="28"/>
      <c r="AE84" s="28"/>
      <c r="AF84" s="28"/>
      <c r="AG84" s="28"/>
      <c r="AH84" s="28"/>
      <c r="AI84" s="28"/>
    </row>
    <row r="85" spans="2:35" ht="15.75" thickBot="1" x14ac:dyDescent="0.3">
      <c r="C85" s="828" t="s">
        <v>624</v>
      </c>
      <c r="D85" s="829"/>
      <c r="E85" s="88"/>
      <c r="F85" s="88"/>
      <c r="G85" s="88"/>
      <c r="H85" s="88"/>
      <c r="I85" s="88"/>
      <c r="J85" s="88"/>
      <c r="K85" s="88"/>
      <c r="L85" s="88"/>
      <c r="M85" s="88"/>
      <c r="N85" s="88"/>
      <c r="O85" s="88"/>
      <c r="P85" s="88"/>
      <c r="Q85" s="307"/>
      <c r="R85" s="251"/>
      <c r="S85" s="28"/>
      <c r="T85" s="76"/>
      <c r="U85" s="28"/>
      <c r="V85" s="78"/>
      <c r="W85" s="28"/>
      <c r="X85" s="28"/>
      <c r="Y85" s="28"/>
      <c r="Z85" s="28"/>
      <c r="AA85" s="28"/>
      <c r="AB85" s="28"/>
      <c r="AC85" s="28"/>
      <c r="AD85" s="28"/>
      <c r="AE85" s="28"/>
      <c r="AF85" s="28"/>
      <c r="AG85" s="28"/>
      <c r="AH85" s="28"/>
      <c r="AI85" s="28"/>
    </row>
    <row r="86" spans="2:35" x14ac:dyDescent="0.25">
      <c r="B86">
        <v>183</v>
      </c>
      <c r="C86" s="102"/>
      <c r="D86" s="628" t="str">
        <f>HDG_1</f>
        <v>AFR</v>
      </c>
      <c r="E86" s="171">
        <f>E103+E119+E135+E151+E196+E211+E181</f>
        <v>0</v>
      </c>
      <c r="F86" s="171">
        <f t="shared" ref="F86:P86" si="25">F103+F119+F135+F151+F196+F211+F181</f>
        <v>0</v>
      </c>
      <c r="G86" s="171">
        <f t="shared" si="25"/>
        <v>0</v>
      </c>
      <c r="H86" s="413">
        <f t="shared" si="25"/>
        <v>0</v>
      </c>
      <c r="I86" s="413">
        <f t="shared" si="25"/>
        <v>0</v>
      </c>
      <c r="J86" s="413">
        <f t="shared" si="25"/>
        <v>0</v>
      </c>
      <c r="K86" s="413">
        <f t="shared" si="25"/>
        <v>0</v>
      </c>
      <c r="L86" s="413">
        <f t="shared" si="25"/>
        <v>0</v>
      </c>
      <c r="M86" s="413">
        <f t="shared" si="25"/>
        <v>0</v>
      </c>
      <c r="N86" s="413">
        <f t="shared" si="25"/>
        <v>0</v>
      </c>
      <c r="O86" s="171">
        <f t="shared" si="25"/>
        <v>0</v>
      </c>
      <c r="P86" s="171">
        <f t="shared" si="25"/>
        <v>0</v>
      </c>
      <c r="Q86" s="371">
        <f t="shared" si="21"/>
        <v>0</v>
      </c>
      <c r="R86" s="426">
        <f>SUM(H86:N86)</f>
        <v>0</v>
      </c>
      <c r="S86" s="28"/>
      <c r="T86" s="76" t="str">
        <f>IF(OR(LOG_ANNUEL!Q86=0,'LOG_ANNUEL_A-1'!Q86=0),"",((LOG_ANNUEL!Q86-'LOG_ANNUEL_A-1'!Q86)/'LOG_ANNUEL_A-1'!Q86)*100)</f>
        <v/>
      </c>
      <c r="U86" s="28" t="str">
        <f t="shared" si="17"/>
        <v/>
      </c>
      <c r="V86" s="78" t="str">
        <f>IF('LOG_ANNUEL_A-1'!R86=0,"",((R86-'LOG_ANNUEL_A-1'!R86)/'LOG_ANNUEL_A-1'!R86)*100)</f>
        <v/>
      </c>
      <c r="W86" s="28"/>
      <c r="X86" s="28"/>
      <c r="Y86" s="28"/>
      <c r="Z86" s="28"/>
      <c r="AA86" s="28"/>
      <c r="AB86" s="28"/>
      <c r="AC86" s="28"/>
      <c r="AD86" s="28"/>
      <c r="AE86" s="28"/>
      <c r="AF86" s="28"/>
      <c r="AG86" s="28"/>
      <c r="AH86" s="28"/>
      <c r="AI86" s="28"/>
    </row>
    <row r="87" spans="2:35" x14ac:dyDescent="0.25">
      <c r="B87">
        <v>184</v>
      </c>
      <c r="C87" s="103"/>
      <c r="D87" s="68" t="str">
        <f>HDG_2</f>
        <v>AVP</v>
      </c>
      <c r="E87" s="171">
        <f t="shared" ref="E87:P96" si="26">E104+E120+E136+E152+E197+E212+E182</f>
        <v>0</v>
      </c>
      <c r="F87" s="171">
        <f t="shared" si="26"/>
        <v>0</v>
      </c>
      <c r="G87" s="171">
        <f t="shared" si="26"/>
        <v>0</v>
      </c>
      <c r="H87" s="413">
        <f t="shared" si="26"/>
        <v>0</v>
      </c>
      <c r="I87" s="413">
        <f t="shared" si="26"/>
        <v>0</v>
      </c>
      <c r="J87" s="413">
        <f t="shared" si="26"/>
        <v>0</v>
      </c>
      <c r="K87" s="413">
        <f t="shared" si="26"/>
        <v>0</v>
      </c>
      <c r="L87" s="413">
        <f t="shared" si="26"/>
        <v>0</v>
      </c>
      <c r="M87" s="413">
        <f t="shared" si="26"/>
        <v>0</v>
      </c>
      <c r="N87" s="413">
        <f t="shared" si="26"/>
        <v>0</v>
      </c>
      <c r="O87" s="171">
        <f t="shared" si="26"/>
        <v>0</v>
      </c>
      <c r="P87" s="171">
        <f t="shared" si="26"/>
        <v>0</v>
      </c>
      <c r="Q87" s="371">
        <f t="shared" si="21"/>
        <v>0</v>
      </c>
      <c r="R87" s="426">
        <f t="shared" ref="R87:R97" si="27">SUM(H87:N87)</f>
        <v>0</v>
      </c>
      <c r="S87" s="28"/>
      <c r="T87" s="76" t="str">
        <f>IF(OR(LOG_ANNUEL!Q87=0,'LOG_ANNUEL_A-1'!Q87=0),"",((LOG_ANNUEL!Q87-'LOG_ANNUEL_A-1'!Q87)/'LOG_ANNUEL_A-1'!Q87)*100)</f>
        <v/>
      </c>
      <c r="U87" s="28" t="str">
        <f t="shared" si="17"/>
        <v/>
      </c>
      <c r="V87" s="78" t="str">
        <f>IF('LOG_ANNUEL_A-1'!R87=0,"",((R87-'LOG_ANNUEL_A-1'!R87)/'LOG_ANNUEL_A-1'!R87)*100)</f>
        <v/>
      </c>
      <c r="W87" s="28"/>
      <c r="X87" s="28"/>
      <c r="Y87" s="28"/>
      <c r="Z87" s="28"/>
      <c r="AA87" s="28"/>
      <c r="AB87" s="28"/>
      <c r="AC87" s="28"/>
      <c r="AD87" s="28"/>
      <c r="AE87" s="28"/>
      <c r="AF87" s="28"/>
      <c r="AG87" s="28"/>
      <c r="AH87" s="28"/>
      <c r="AI87" s="28"/>
    </row>
    <row r="88" spans="2:35" x14ac:dyDescent="0.25">
      <c r="B88">
        <v>185</v>
      </c>
      <c r="C88" s="103"/>
      <c r="D88" s="68" t="str">
        <f>HDG_3</f>
        <v>ALZ</v>
      </c>
      <c r="E88" s="171">
        <f t="shared" si="26"/>
        <v>0</v>
      </c>
      <c r="F88" s="171">
        <f t="shared" si="26"/>
        <v>0</v>
      </c>
      <c r="G88" s="171">
        <f t="shared" si="26"/>
        <v>0</v>
      </c>
      <c r="H88" s="413">
        <f t="shared" si="26"/>
        <v>0</v>
      </c>
      <c r="I88" s="413">
        <f t="shared" si="26"/>
        <v>0</v>
      </c>
      <c r="J88" s="413">
        <f t="shared" si="26"/>
        <v>0</v>
      </c>
      <c r="K88" s="413">
        <f t="shared" si="26"/>
        <v>0</v>
      </c>
      <c r="L88" s="413">
        <f t="shared" si="26"/>
        <v>0</v>
      </c>
      <c r="M88" s="413">
        <f t="shared" si="26"/>
        <v>0</v>
      </c>
      <c r="N88" s="413">
        <f t="shared" si="26"/>
        <v>0</v>
      </c>
      <c r="O88" s="171">
        <f t="shared" si="26"/>
        <v>0</v>
      </c>
      <c r="P88" s="171">
        <f t="shared" si="26"/>
        <v>0</v>
      </c>
      <c r="Q88" s="371">
        <f t="shared" si="21"/>
        <v>0</v>
      </c>
      <c r="R88" s="426">
        <f t="shared" si="27"/>
        <v>0</v>
      </c>
      <c r="S88" s="28"/>
      <c r="T88" s="76" t="str">
        <f>IF(OR(LOG_ANNUEL!Q88=0,'LOG_ANNUEL_A-1'!Q88=0),"",((LOG_ANNUEL!Q88-'LOG_ANNUEL_A-1'!Q88)/'LOG_ANNUEL_A-1'!Q88)*100)</f>
        <v/>
      </c>
      <c r="U88" s="28" t="str">
        <f t="shared" si="17"/>
        <v/>
      </c>
      <c r="V88" s="78" t="str">
        <f>IF('LOG_ANNUEL_A-1'!R88=0,"",((R88-'LOG_ANNUEL_A-1'!R88)/'LOG_ANNUEL_A-1'!R88)*100)</f>
        <v/>
      </c>
      <c r="W88" s="28"/>
      <c r="X88" s="28"/>
      <c r="Y88" s="28"/>
      <c r="Z88" s="28"/>
      <c r="AA88" s="28"/>
      <c r="AB88" s="28"/>
      <c r="AC88" s="28"/>
      <c r="AD88" s="28"/>
      <c r="AE88" s="28"/>
      <c r="AF88" s="28"/>
      <c r="AG88" s="28"/>
      <c r="AH88" s="28"/>
      <c r="AI88" s="28"/>
    </row>
    <row r="89" spans="2:35" x14ac:dyDescent="0.25">
      <c r="B89">
        <v>186</v>
      </c>
      <c r="C89" s="103"/>
      <c r="D89" s="68" t="str">
        <f>HDG_4</f>
        <v>MZS</v>
      </c>
      <c r="E89" s="171">
        <f t="shared" si="26"/>
        <v>0</v>
      </c>
      <c r="F89" s="171">
        <f t="shared" si="26"/>
        <v>0</v>
      </c>
      <c r="G89" s="171">
        <f t="shared" si="26"/>
        <v>0</v>
      </c>
      <c r="H89" s="413">
        <f t="shared" si="26"/>
        <v>0</v>
      </c>
      <c r="I89" s="413">
        <f t="shared" si="26"/>
        <v>0</v>
      </c>
      <c r="J89" s="413">
        <f t="shared" si="26"/>
        <v>0</v>
      </c>
      <c r="K89" s="413">
        <f t="shared" si="26"/>
        <v>0</v>
      </c>
      <c r="L89" s="413">
        <f t="shared" si="26"/>
        <v>0</v>
      </c>
      <c r="M89" s="413">
        <f t="shared" si="26"/>
        <v>0</v>
      </c>
      <c r="N89" s="413">
        <f t="shared" si="26"/>
        <v>0</v>
      </c>
      <c r="O89" s="171">
        <f t="shared" si="26"/>
        <v>0</v>
      </c>
      <c r="P89" s="171">
        <f t="shared" si="26"/>
        <v>0</v>
      </c>
      <c r="Q89" s="371">
        <f t="shared" si="21"/>
        <v>0</v>
      </c>
      <c r="R89" s="426">
        <f t="shared" si="27"/>
        <v>0</v>
      </c>
      <c r="S89" s="28"/>
      <c r="T89" s="76" t="str">
        <f>IF(OR(LOG_ANNUEL!Q89=0,'LOG_ANNUEL_A-1'!Q89=0),"",((LOG_ANNUEL!Q89-'LOG_ANNUEL_A-1'!Q89)/'LOG_ANNUEL_A-1'!Q89)*100)</f>
        <v/>
      </c>
      <c r="U89" s="28" t="str">
        <f t="shared" si="17"/>
        <v/>
      </c>
      <c r="V89" s="78" t="str">
        <f>IF('LOG_ANNUEL_A-1'!R89=0,"",((R89-'LOG_ANNUEL_A-1'!R89)/'LOG_ANNUEL_A-1'!R89)*100)</f>
        <v/>
      </c>
      <c r="W89" s="28"/>
      <c r="X89" s="28"/>
      <c r="Y89" s="28"/>
      <c r="Z89" s="28"/>
      <c r="AA89" s="28"/>
      <c r="AB89" s="28"/>
      <c r="AC89" s="28"/>
      <c r="AD89" s="28"/>
      <c r="AE89" s="28"/>
      <c r="AF89" s="28"/>
      <c r="AG89" s="28"/>
      <c r="AH89" s="28"/>
      <c r="AI89" s="28"/>
    </row>
    <row r="90" spans="2:35" x14ac:dyDescent="0.25">
      <c r="B90">
        <v>187</v>
      </c>
      <c r="C90" s="103"/>
      <c r="D90" s="68" t="str">
        <f>HDG_5</f>
        <v>APR</v>
      </c>
      <c r="E90" s="171">
        <f t="shared" si="26"/>
        <v>0</v>
      </c>
      <c r="F90" s="171">
        <f t="shared" si="26"/>
        <v>0</v>
      </c>
      <c r="G90" s="171">
        <f t="shared" si="26"/>
        <v>0</v>
      </c>
      <c r="H90" s="413">
        <f t="shared" si="26"/>
        <v>0</v>
      </c>
      <c r="I90" s="413">
        <f t="shared" si="26"/>
        <v>0</v>
      </c>
      <c r="J90" s="413">
        <f t="shared" si="26"/>
        <v>0</v>
      </c>
      <c r="K90" s="413">
        <f t="shared" si="26"/>
        <v>0</v>
      </c>
      <c r="L90" s="413">
        <f t="shared" si="26"/>
        <v>0</v>
      </c>
      <c r="M90" s="413">
        <f t="shared" si="26"/>
        <v>0</v>
      </c>
      <c r="N90" s="413">
        <f t="shared" si="26"/>
        <v>0</v>
      </c>
      <c r="O90" s="171">
        <f t="shared" si="26"/>
        <v>0</v>
      </c>
      <c r="P90" s="171">
        <f t="shared" si="26"/>
        <v>0</v>
      </c>
      <c r="Q90" s="371">
        <f t="shared" si="21"/>
        <v>0</v>
      </c>
      <c r="R90" s="426">
        <f t="shared" si="27"/>
        <v>0</v>
      </c>
      <c r="S90" s="28"/>
      <c r="T90" s="76" t="str">
        <f>IF(OR(LOG_ANNUEL!Q90=0,'LOG_ANNUEL_A-1'!Q90=0),"",((LOG_ANNUEL!Q90-'LOG_ANNUEL_A-1'!Q90)/'LOG_ANNUEL_A-1'!Q90)*100)</f>
        <v/>
      </c>
      <c r="U90" s="28" t="str">
        <f t="shared" si="17"/>
        <v/>
      </c>
      <c r="V90" s="78" t="str">
        <f>IF('LOG_ANNUEL_A-1'!R90=0,"",((R90-'LOG_ANNUEL_A-1'!R90)/'LOG_ANNUEL_A-1'!R90)*100)</f>
        <v/>
      </c>
      <c r="W90" s="28"/>
      <c r="X90" s="28"/>
      <c r="Y90" s="28"/>
      <c r="Z90" s="28"/>
      <c r="AA90" s="28"/>
      <c r="AB90" s="28"/>
      <c r="AC90" s="28"/>
      <c r="AD90" s="28"/>
      <c r="AE90" s="28"/>
      <c r="AF90" s="28"/>
      <c r="AG90" s="28"/>
      <c r="AH90" s="28"/>
      <c r="AI90" s="28"/>
    </row>
    <row r="91" spans="2:35" x14ac:dyDescent="0.25">
      <c r="B91">
        <v>188</v>
      </c>
      <c r="C91" s="103"/>
      <c r="D91" s="68" t="str">
        <f>HDG_6</f>
        <v>DCG</v>
      </c>
      <c r="E91" s="171">
        <f t="shared" si="26"/>
        <v>0</v>
      </c>
      <c r="F91" s="171">
        <f t="shared" si="26"/>
        <v>0</v>
      </c>
      <c r="G91" s="171">
        <f t="shared" si="26"/>
        <v>0</v>
      </c>
      <c r="H91" s="413">
        <f t="shared" si="26"/>
        <v>0</v>
      </c>
      <c r="I91" s="413">
        <f t="shared" si="26"/>
        <v>0</v>
      </c>
      <c r="J91" s="413">
        <f t="shared" si="26"/>
        <v>0</v>
      </c>
      <c r="K91" s="413">
        <f t="shared" si="26"/>
        <v>0</v>
      </c>
      <c r="L91" s="413">
        <f t="shared" si="26"/>
        <v>0</v>
      </c>
      <c r="M91" s="413">
        <f t="shared" si="26"/>
        <v>0</v>
      </c>
      <c r="N91" s="413">
        <f t="shared" si="26"/>
        <v>0</v>
      </c>
      <c r="O91" s="171">
        <f t="shared" si="26"/>
        <v>0</v>
      </c>
      <c r="P91" s="171">
        <f t="shared" si="26"/>
        <v>0</v>
      </c>
      <c r="Q91" s="371">
        <f t="shared" si="21"/>
        <v>0</v>
      </c>
      <c r="R91" s="426">
        <f t="shared" si="27"/>
        <v>0</v>
      </c>
      <c r="S91" s="28"/>
      <c r="T91" s="76" t="str">
        <f>IF(OR(LOG_ANNUEL!Q91=0,'LOG_ANNUEL_A-1'!Q91=0),"",((LOG_ANNUEL!Q91-'LOG_ANNUEL_A-1'!Q91)/'LOG_ANNUEL_A-1'!Q91)*100)</f>
        <v/>
      </c>
      <c r="U91" s="28" t="str">
        <f t="shared" si="17"/>
        <v/>
      </c>
      <c r="V91" s="78" t="str">
        <f>IF('LOG_ANNUEL_A-1'!R91=0,"",((R91-'LOG_ANNUEL_A-1'!R91)/'LOG_ANNUEL_A-1'!R91)*100)</f>
        <v/>
      </c>
      <c r="W91" s="28"/>
      <c r="X91" s="28"/>
      <c r="Y91" s="28"/>
      <c r="Z91" s="28"/>
      <c r="AA91" s="28"/>
      <c r="AB91" s="28"/>
      <c r="AC91" s="28"/>
      <c r="AD91" s="28"/>
      <c r="AE91" s="28"/>
      <c r="AF91" s="28"/>
      <c r="AG91" s="28"/>
      <c r="AH91" s="28"/>
      <c r="AI91" s="28"/>
    </row>
    <row r="92" spans="2:35" x14ac:dyDescent="0.25">
      <c r="B92">
        <v>189</v>
      </c>
      <c r="C92" s="103"/>
      <c r="D92" s="68" t="str">
        <f>HDG_7</f>
        <v>SFS</v>
      </c>
      <c r="E92" s="171">
        <f t="shared" si="26"/>
        <v>0</v>
      </c>
      <c r="F92" s="171">
        <f t="shared" si="26"/>
        <v>0</v>
      </c>
      <c r="G92" s="171">
        <f t="shared" si="26"/>
        <v>0</v>
      </c>
      <c r="H92" s="413">
        <f t="shared" si="26"/>
        <v>0</v>
      </c>
      <c r="I92" s="413">
        <f t="shared" si="26"/>
        <v>0</v>
      </c>
      <c r="J92" s="413">
        <f t="shared" si="26"/>
        <v>0</v>
      </c>
      <c r="K92" s="413">
        <f t="shared" si="26"/>
        <v>0</v>
      </c>
      <c r="L92" s="413">
        <f t="shared" si="26"/>
        <v>0</v>
      </c>
      <c r="M92" s="413">
        <f t="shared" si="26"/>
        <v>0</v>
      </c>
      <c r="N92" s="413">
        <f t="shared" si="26"/>
        <v>0</v>
      </c>
      <c r="O92" s="171">
        <f t="shared" si="26"/>
        <v>0</v>
      </c>
      <c r="P92" s="171">
        <f t="shared" si="26"/>
        <v>0</v>
      </c>
      <c r="Q92" s="371">
        <f t="shared" si="21"/>
        <v>0</v>
      </c>
      <c r="R92" s="426">
        <f t="shared" si="27"/>
        <v>0</v>
      </c>
      <c r="S92" s="28"/>
      <c r="T92" s="76" t="str">
        <f>IF(OR(LOG_ANNUEL!Q92=0,'LOG_ANNUEL_A-1'!Q92=0),"",((LOG_ANNUEL!Q92-'LOG_ANNUEL_A-1'!Q92)/'LOG_ANNUEL_A-1'!Q92)*100)</f>
        <v/>
      </c>
      <c r="U92" s="28" t="str">
        <f t="shared" si="17"/>
        <v/>
      </c>
      <c r="V92" s="78" t="str">
        <f>IF('LOG_ANNUEL_A-1'!R92=0,"",((R92-'LOG_ANNUEL_A-1'!R92)/'LOG_ANNUEL_A-1'!R92)*100)</f>
        <v/>
      </c>
      <c r="W92" s="28"/>
      <c r="X92" s="28"/>
      <c r="Y92" s="28"/>
      <c r="Z92" s="28"/>
      <c r="AA92" s="28"/>
      <c r="AB92" s="28"/>
      <c r="AC92" s="28"/>
      <c r="AD92" s="28"/>
      <c r="AE92" s="28"/>
      <c r="AF92" s="28"/>
      <c r="AG92" s="28"/>
      <c r="AH92" s="28"/>
      <c r="AI92" s="28"/>
    </row>
    <row r="93" spans="2:35" x14ac:dyDescent="0.25">
      <c r="B93">
        <v>190</v>
      </c>
      <c r="C93" s="103"/>
      <c r="D93" s="68" t="str">
        <f>HDG_8</f>
        <v>AZH</v>
      </c>
      <c r="E93" s="171">
        <f t="shared" si="26"/>
        <v>0</v>
      </c>
      <c r="F93" s="171">
        <f t="shared" si="26"/>
        <v>0</v>
      </c>
      <c r="G93" s="171">
        <f t="shared" si="26"/>
        <v>0</v>
      </c>
      <c r="H93" s="413">
        <f t="shared" si="26"/>
        <v>0</v>
      </c>
      <c r="I93" s="413">
        <f t="shared" si="26"/>
        <v>0</v>
      </c>
      <c r="J93" s="413">
        <f t="shared" si="26"/>
        <v>0</v>
      </c>
      <c r="K93" s="413">
        <f t="shared" si="26"/>
        <v>0</v>
      </c>
      <c r="L93" s="413">
        <f t="shared" si="26"/>
        <v>0</v>
      </c>
      <c r="M93" s="413">
        <f t="shared" si="26"/>
        <v>0</v>
      </c>
      <c r="N93" s="413">
        <f t="shared" si="26"/>
        <v>0</v>
      </c>
      <c r="O93" s="171">
        <f t="shared" si="26"/>
        <v>0</v>
      </c>
      <c r="P93" s="171">
        <f t="shared" si="26"/>
        <v>0</v>
      </c>
      <c r="Q93" s="371">
        <f t="shared" si="21"/>
        <v>0</v>
      </c>
      <c r="R93" s="426">
        <f t="shared" si="27"/>
        <v>0</v>
      </c>
      <c r="S93" s="28"/>
      <c r="T93" s="76" t="str">
        <f>IF(OR(LOG_ANNUEL!Q93=0,'LOG_ANNUEL_A-1'!Q93=0),"",((LOG_ANNUEL!Q93-'LOG_ANNUEL_A-1'!Q93)/'LOG_ANNUEL_A-1'!Q93)*100)</f>
        <v/>
      </c>
      <c r="U93" s="28" t="str">
        <f t="shared" si="17"/>
        <v/>
      </c>
      <c r="V93" s="78" t="str">
        <f>IF('LOG_ANNUEL_A-1'!R93=0,"",((R93-'LOG_ANNUEL_A-1'!R93)/'LOG_ANNUEL_A-1'!R93)*100)</f>
        <v/>
      </c>
      <c r="W93" s="28"/>
      <c r="X93" s="28"/>
      <c r="Y93" s="28"/>
      <c r="Z93" s="28"/>
      <c r="AA93" s="28"/>
      <c r="AB93" s="28"/>
      <c r="AC93" s="28"/>
      <c r="AD93" s="28"/>
      <c r="AE93" s="28"/>
      <c r="AF93" s="28"/>
      <c r="AG93" s="28"/>
      <c r="AH93" s="28"/>
      <c r="AI93" s="28"/>
    </row>
    <row r="94" spans="2:35" x14ac:dyDescent="0.25">
      <c r="B94">
        <v>191</v>
      </c>
      <c r="C94" s="103"/>
      <c r="D94" s="68" t="str">
        <f>HDG_9</f>
        <v>HLI</v>
      </c>
      <c r="E94" s="171">
        <f t="shared" si="26"/>
        <v>0</v>
      </c>
      <c r="F94" s="171">
        <f t="shared" si="26"/>
        <v>0</v>
      </c>
      <c r="G94" s="171">
        <f t="shared" si="26"/>
        <v>0</v>
      </c>
      <c r="H94" s="413">
        <f t="shared" si="26"/>
        <v>0</v>
      </c>
      <c r="I94" s="413">
        <f t="shared" si="26"/>
        <v>0</v>
      </c>
      <c r="J94" s="413">
        <f t="shared" si="26"/>
        <v>0</v>
      </c>
      <c r="K94" s="413">
        <f t="shared" si="26"/>
        <v>0</v>
      </c>
      <c r="L94" s="413">
        <f t="shared" si="26"/>
        <v>0</v>
      </c>
      <c r="M94" s="413">
        <f t="shared" si="26"/>
        <v>0</v>
      </c>
      <c r="N94" s="413">
        <f t="shared" si="26"/>
        <v>0</v>
      </c>
      <c r="O94" s="171">
        <f t="shared" si="26"/>
        <v>0</v>
      </c>
      <c r="P94" s="171">
        <f t="shared" si="26"/>
        <v>0</v>
      </c>
      <c r="Q94" s="371">
        <f t="shared" si="21"/>
        <v>0</v>
      </c>
      <c r="R94" s="426">
        <f t="shared" si="27"/>
        <v>0</v>
      </c>
      <c r="S94" s="28"/>
      <c r="T94" s="76" t="str">
        <f>IF(OR(LOG_ANNUEL!Q94=0,'LOG_ANNUEL_A-1'!Q94=0),"",((LOG_ANNUEL!Q94-'LOG_ANNUEL_A-1'!Q94)/'LOG_ANNUEL_A-1'!Q94)*100)</f>
        <v/>
      </c>
      <c r="U94" s="28" t="str">
        <f t="shared" si="17"/>
        <v/>
      </c>
      <c r="V94" s="78" t="str">
        <f>IF('LOG_ANNUEL_A-1'!R94=0,"",((R94-'LOG_ANNUEL_A-1'!R94)/'LOG_ANNUEL_A-1'!R94)*100)</f>
        <v/>
      </c>
      <c r="W94" s="28"/>
      <c r="X94" s="28"/>
      <c r="Y94" s="28"/>
      <c r="Z94" s="28"/>
      <c r="AA94" s="28"/>
      <c r="AB94" s="28"/>
      <c r="AC94" s="28"/>
      <c r="AD94" s="28"/>
      <c r="AE94" s="28"/>
      <c r="AF94" s="28"/>
      <c r="AG94" s="28"/>
      <c r="AH94" s="28"/>
      <c r="AI94" s="28"/>
    </row>
    <row r="95" spans="2:35" x14ac:dyDescent="0.25">
      <c r="B95">
        <v>192</v>
      </c>
      <c r="C95" s="103"/>
      <c r="D95" s="68" t="str">
        <f>HDG_10</f>
        <v>MCM</v>
      </c>
      <c r="E95" s="171">
        <f t="shared" si="26"/>
        <v>0</v>
      </c>
      <c r="F95" s="171">
        <f t="shared" si="26"/>
        <v>0</v>
      </c>
      <c r="G95" s="171">
        <f t="shared" si="26"/>
        <v>0</v>
      </c>
      <c r="H95" s="413">
        <f t="shared" si="26"/>
        <v>0</v>
      </c>
      <c r="I95" s="413">
        <f t="shared" si="26"/>
        <v>0</v>
      </c>
      <c r="J95" s="413">
        <f t="shared" si="26"/>
        <v>0</v>
      </c>
      <c r="K95" s="413">
        <f t="shared" si="26"/>
        <v>0</v>
      </c>
      <c r="L95" s="413">
        <f t="shared" si="26"/>
        <v>0</v>
      </c>
      <c r="M95" s="413">
        <f t="shared" si="26"/>
        <v>0</v>
      </c>
      <c r="N95" s="413">
        <f t="shared" si="26"/>
        <v>0</v>
      </c>
      <c r="O95" s="171">
        <f t="shared" si="26"/>
        <v>0</v>
      </c>
      <c r="P95" s="171">
        <f t="shared" si="26"/>
        <v>0</v>
      </c>
      <c r="Q95" s="371">
        <f t="shared" si="21"/>
        <v>0</v>
      </c>
      <c r="R95" s="426">
        <f t="shared" si="27"/>
        <v>0</v>
      </c>
      <c r="S95" s="28"/>
      <c r="T95" s="76" t="str">
        <f>IF(OR(LOG_ANNUEL!Q95=0,'LOG_ANNUEL_A-1'!Q95=0),"",((LOG_ANNUEL!Q95-'LOG_ANNUEL_A-1'!Q95)/'LOG_ANNUEL_A-1'!Q95)*100)</f>
        <v/>
      </c>
      <c r="U95" s="28" t="str">
        <f t="shared" si="17"/>
        <v/>
      </c>
      <c r="V95" s="78" t="str">
        <f>IF('LOG_ANNUEL_A-1'!R95=0,"",((R95-'LOG_ANNUEL_A-1'!R95)/'LOG_ANNUEL_A-1'!R95)*100)</f>
        <v/>
      </c>
      <c r="W95" s="28"/>
      <c r="X95" s="28"/>
      <c r="Y95" s="28"/>
      <c r="Z95" s="28"/>
      <c r="AA95" s="28"/>
      <c r="AB95" s="28"/>
      <c r="AC95" s="28"/>
      <c r="AD95" s="28"/>
      <c r="AE95" s="28"/>
      <c r="AF95" s="28"/>
      <c r="AG95" s="28"/>
      <c r="AH95" s="28"/>
      <c r="AI95" s="28"/>
    </row>
    <row r="96" spans="2:35" x14ac:dyDescent="0.25">
      <c r="B96">
        <v>193</v>
      </c>
      <c r="C96" s="103"/>
      <c r="D96" s="68" t="str">
        <f>HDG_11</f>
        <v>MCR</v>
      </c>
      <c r="E96" s="171">
        <f t="shared" si="26"/>
        <v>0</v>
      </c>
      <c r="F96" s="171">
        <f t="shared" si="26"/>
        <v>0</v>
      </c>
      <c r="G96" s="171">
        <f t="shared" si="26"/>
        <v>0</v>
      </c>
      <c r="H96" s="413">
        <f t="shared" si="26"/>
        <v>0</v>
      </c>
      <c r="I96" s="413">
        <f t="shared" si="26"/>
        <v>0</v>
      </c>
      <c r="J96" s="413">
        <f t="shared" si="26"/>
        <v>0</v>
      </c>
      <c r="K96" s="413">
        <f t="shared" si="26"/>
        <v>0</v>
      </c>
      <c r="L96" s="413">
        <f t="shared" si="26"/>
        <v>0</v>
      </c>
      <c r="M96" s="413">
        <f t="shared" si="26"/>
        <v>0</v>
      </c>
      <c r="N96" s="413">
        <f t="shared" si="26"/>
        <v>0</v>
      </c>
      <c r="O96" s="171">
        <f t="shared" si="26"/>
        <v>0</v>
      </c>
      <c r="P96" s="171">
        <f t="shared" si="26"/>
        <v>0</v>
      </c>
      <c r="Q96" s="371">
        <f t="shared" si="21"/>
        <v>0</v>
      </c>
      <c r="R96" s="426">
        <f t="shared" si="27"/>
        <v>0</v>
      </c>
      <c r="S96" s="28"/>
      <c r="T96" s="76" t="str">
        <f>IF(OR(LOG_ANNUEL!Q96=0,'LOG_ANNUEL_A-1'!Q96=0),"",((LOG_ANNUEL!Q96-'LOG_ANNUEL_A-1'!Q96)/'LOG_ANNUEL_A-1'!Q96)*100)</f>
        <v/>
      </c>
      <c r="U96" s="28" t="str">
        <f t="shared" si="17"/>
        <v/>
      </c>
      <c r="V96" s="78" t="str">
        <f>IF('LOG_ANNUEL_A-1'!R96=0,"",((R96-'LOG_ANNUEL_A-1'!R96)/'LOG_ANNUEL_A-1'!R96)*100)</f>
        <v/>
      </c>
      <c r="W96" s="28"/>
      <c r="X96" s="28"/>
      <c r="Y96" s="28"/>
      <c r="Z96" s="28"/>
      <c r="AA96" s="28"/>
      <c r="AB96" s="28"/>
      <c r="AC96" s="28"/>
      <c r="AD96" s="28"/>
      <c r="AE96" s="28"/>
      <c r="AF96" s="28"/>
      <c r="AG96" s="28"/>
      <c r="AH96" s="28"/>
      <c r="AI96" s="28"/>
    </row>
    <row r="97" spans="2:35" ht="15.75" thickBot="1" x14ac:dyDescent="0.3">
      <c r="B97">
        <v>194</v>
      </c>
      <c r="C97" s="175"/>
      <c r="D97" s="629" t="s">
        <v>406</v>
      </c>
      <c r="E97" s="171">
        <f>E114+E130+E146+E162+E207+E222+E192</f>
        <v>0</v>
      </c>
      <c r="F97" s="171">
        <f t="shared" ref="F97:P97" si="28">F114+F130+F146+F162+F207+F222+F192</f>
        <v>0</v>
      </c>
      <c r="G97" s="171">
        <f t="shared" si="28"/>
        <v>0</v>
      </c>
      <c r="H97" s="413">
        <f t="shared" si="28"/>
        <v>0</v>
      </c>
      <c r="I97" s="413">
        <f t="shared" si="28"/>
        <v>0</v>
      </c>
      <c r="J97" s="413">
        <f t="shared" si="28"/>
        <v>0</v>
      </c>
      <c r="K97" s="413">
        <f t="shared" si="28"/>
        <v>0</v>
      </c>
      <c r="L97" s="413">
        <f t="shared" si="28"/>
        <v>0</v>
      </c>
      <c r="M97" s="413">
        <f t="shared" si="28"/>
        <v>0</v>
      </c>
      <c r="N97" s="413">
        <f t="shared" si="28"/>
        <v>0</v>
      </c>
      <c r="O97" s="171">
        <f t="shared" si="28"/>
        <v>0</v>
      </c>
      <c r="P97" s="171">
        <f t="shared" si="28"/>
        <v>0</v>
      </c>
      <c r="Q97" s="373">
        <f t="shared" si="21"/>
        <v>0</v>
      </c>
      <c r="R97" s="427">
        <f t="shared" si="27"/>
        <v>0</v>
      </c>
      <c r="S97" s="28"/>
      <c r="T97" s="76" t="str">
        <f>IF(OR(LOG_ANNUEL!Q97=0,'LOG_ANNUEL_A-1'!Q97=0),"",((LOG_ANNUEL!Q97-'LOG_ANNUEL_A-1'!Q97)/'LOG_ANNUEL_A-1'!Q97)*100)</f>
        <v/>
      </c>
      <c r="U97" s="28" t="str">
        <f t="shared" si="17"/>
        <v/>
      </c>
      <c r="V97" s="78" t="str">
        <f>IF('LOG_ANNUEL_A-1'!R97=0,"",((R97-'LOG_ANNUEL_A-1'!R97)/'LOG_ANNUEL_A-1'!R97)*100)</f>
        <v/>
      </c>
      <c r="W97" s="28"/>
      <c r="X97" s="28"/>
      <c r="Y97" s="28"/>
      <c r="Z97" s="28"/>
      <c r="AA97" s="28"/>
      <c r="AB97" s="28"/>
      <c r="AC97" s="28"/>
      <c r="AD97" s="28"/>
      <c r="AE97" s="28"/>
      <c r="AF97" s="28"/>
      <c r="AG97" s="28"/>
      <c r="AH97" s="28"/>
      <c r="AI97" s="28"/>
    </row>
    <row r="98" spans="2:35" x14ac:dyDescent="0.25">
      <c r="C98" s="535"/>
      <c r="D98" s="535"/>
      <c r="E98" s="181"/>
      <c r="F98" s="61"/>
      <c r="G98" s="181"/>
      <c r="H98" s="61"/>
      <c r="I98" s="181"/>
      <c r="J98" s="61"/>
      <c r="K98" s="181"/>
      <c r="L98" s="61"/>
      <c r="M98" s="181"/>
      <c r="N98" s="61"/>
      <c r="O98" s="181"/>
      <c r="P98" s="424"/>
      <c r="Q98" s="181"/>
      <c r="R98" s="61"/>
      <c r="S98" s="28"/>
      <c r="T98" s="76"/>
      <c r="U98" s="28"/>
      <c r="V98" s="78"/>
      <c r="W98" s="28"/>
      <c r="X98" s="28"/>
      <c r="Y98" s="28"/>
      <c r="Z98" s="28"/>
      <c r="AA98" s="28"/>
      <c r="AB98" s="28"/>
      <c r="AC98" s="28"/>
      <c r="AD98" s="28"/>
      <c r="AE98" s="28"/>
      <c r="AF98" s="28"/>
      <c r="AG98" s="28"/>
      <c r="AH98" s="28"/>
      <c r="AI98" s="28"/>
    </row>
    <row r="99" spans="2:35" ht="15.75" thickBot="1" x14ac:dyDescent="0.3">
      <c r="C99" s="535"/>
      <c r="D99" s="535"/>
      <c r="E99" s="181"/>
      <c r="F99" s="61"/>
      <c r="G99" s="181"/>
      <c r="H99" s="61"/>
      <c r="I99" s="181"/>
      <c r="J99" s="61"/>
      <c r="K99" s="181"/>
      <c r="L99" s="61"/>
      <c r="M99" s="181"/>
      <c r="N99" s="61"/>
      <c r="O99" s="181"/>
      <c r="P99" s="424"/>
      <c r="Q99" s="181"/>
      <c r="R99" s="61"/>
      <c r="S99" s="28"/>
      <c r="T99" s="76"/>
      <c r="U99" s="28"/>
      <c r="V99" s="78"/>
      <c r="W99" s="28"/>
      <c r="X99" s="28"/>
      <c r="Y99" s="28"/>
      <c r="Z99" s="28"/>
      <c r="AA99" s="28"/>
      <c r="AB99" s="28"/>
      <c r="AC99" s="28"/>
      <c r="AD99" s="28"/>
      <c r="AE99" s="28"/>
      <c r="AF99" s="28"/>
      <c r="AG99" s="28"/>
      <c r="AH99" s="28"/>
      <c r="AI99" s="28"/>
    </row>
    <row r="100" spans="2:35" ht="15.75" thickBot="1" x14ac:dyDescent="0.3">
      <c r="C100" s="830" t="s">
        <v>55</v>
      </c>
      <c r="D100" s="831"/>
      <c r="E100" s="181"/>
      <c r="F100" s="61"/>
      <c r="G100" s="181"/>
      <c r="H100" s="61"/>
      <c r="I100" s="181"/>
      <c r="J100" s="61"/>
      <c r="K100" s="181"/>
      <c r="L100" s="61"/>
      <c r="M100" s="181"/>
      <c r="N100" s="61"/>
      <c r="O100" s="181"/>
      <c r="P100" s="424"/>
      <c r="Q100" s="181"/>
      <c r="R100" s="61"/>
      <c r="S100" s="28"/>
      <c r="T100" s="76"/>
      <c r="U100" s="28"/>
      <c r="V100" s="78"/>
      <c r="W100" s="28"/>
      <c r="X100" s="28"/>
      <c r="Y100" s="28"/>
      <c r="Z100" s="28"/>
      <c r="AA100" s="28"/>
      <c r="AB100" s="28"/>
      <c r="AC100" s="28"/>
      <c r="AD100" s="28"/>
      <c r="AE100" s="28"/>
      <c r="AF100" s="28"/>
      <c r="AG100" s="28"/>
      <c r="AH100" s="28"/>
      <c r="AI100" s="28"/>
    </row>
    <row r="101" spans="2:35" ht="15.75" thickBot="1" x14ac:dyDescent="0.3">
      <c r="B101">
        <v>56</v>
      </c>
      <c r="C101" s="727" t="s">
        <v>425</v>
      </c>
      <c r="D101" s="728"/>
      <c r="E101" s="171"/>
      <c r="F101" s="28"/>
      <c r="G101" s="171"/>
      <c r="H101" s="413"/>
      <c r="I101" s="413"/>
      <c r="J101" s="413"/>
      <c r="K101" s="413"/>
      <c r="L101" s="413"/>
      <c r="M101" s="413"/>
      <c r="N101" s="413"/>
      <c r="O101" s="171"/>
      <c r="P101" s="78"/>
      <c r="Q101" s="374">
        <f>SUM(E101:P101)</f>
        <v>0</v>
      </c>
      <c r="R101" s="417">
        <f>SUM(H101:N101)</f>
        <v>0</v>
      </c>
      <c r="S101" s="28"/>
      <c r="T101" s="76" t="str">
        <f>IF(OR(LOG_ANNUEL!Q101=0,'LOG_ANNUEL_A-1'!Q101=0),"",((LOG_ANNUEL!Q101-'LOG_ANNUEL_A-1'!Q101)/'LOG_ANNUEL_A-1'!Q101)*100)</f>
        <v/>
      </c>
      <c r="U101" s="28" t="str">
        <f t="shared" si="17"/>
        <v/>
      </c>
      <c r="V101" s="78" t="str">
        <f>IF('LOG_ANNUEL_A-1'!R101=0,"",((R101-'LOG_ANNUEL_A-1'!R101)/'LOG_ANNUEL_A-1'!R101)*100)</f>
        <v/>
      </c>
      <c r="W101" s="28"/>
      <c r="X101" s="28"/>
      <c r="Y101" s="28"/>
      <c r="Z101" s="28"/>
      <c r="AA101" s="28"/>
      <c r="AB101" s="28"/>
      <c r="AC101" s="28"/>
      <c r="AD101" s="28"/>
      <c r="AE101" s="28"/>
      <c r="AF101" s="28"/>
      <c r="AG101" s="28"/>
      <c r="AH101" s="28"/>
      <c r="AI101" s="28"/>
    </row>
    <row r="102" spans="2:35" ht="15.75" thickBot="1" x14ac:dyDescent="0.3">
      <c r="C102" s="828" t="s">
        <v>56</v>
      </c>
      <c r="D102" s="829"/>
      <c r="E102" s="181"/>
      <c r="F102" s="61"/>
      <c r="G102" s="181"/>
      <c r="H102" s="61"/>
      <c r="I102" s="181"/>
      <c r="J102" s="61"/>
      <c r="K102" s="181"/>
      <c r="L102" s="61"/>
      <c r="M102" s="181"/>
      <c r="N102" s="61"/>
      <c r="O102" s="181"/>
      <c r="P102" s="424"/>
      <c r="Q102" s="372"/>
      <c r="R102" s="308"/>
      <c r="S102" s="28"/>
      <c r="T102" s="76"/>
      <c r="U102" s="28"/>
      <c r="V102" s="78"/>
      <c r="W102" s="28"/>
      <c r="X102" s="28"/>
      <c r="Y102" s="28"/>
      <c r="Z102" s="28"/>
      <c r="AA102" s="28"/>
      <c r="AB102" s="28"/>
      <c r="AC102" s="28"/>
      <c r="AD102" s="28"/>
      <c r="AE102" s="28"/>
      <c r="AF102" s="28"/>
      <c r="AG102" s="28"/>
      <c r="AH102" s="28"/>
      <c r="AI102" s="28"/>
    </row>
    <row r="103" spans="2:35" x14ac:dyDescent="0.25">
      <c r="B103">
        <v>57</v>
      </c>
      <c r="C103" s="760"/>
      <c r="D103" s="628" t="str">
        <f>HDG_1</f>
        <v>AFR</v>
      </c>
      <c r="E103" s="171"/>
      <c r="F103" s="28"/>
      <c r="G103" s="171"/>
      <c r="H103" s="413"/>
      <c r="I103" s="413"/>
      <c r="J103" s="413"/>
      <c r="K103" s="413"/>
      <c r="L103" s="413"/>
      <c r="M103" s="413"/>
      <c r="N103" s="413"/>
      <c r="O103" s="171"/>
      <c r="P103" s="78"/>
      <c r="Q103" s="371">
        <f>SUM(E103:P103)</f>
        <v>0</v>
      </c>
      <c r="R103" s="375">
        <f>SUM(H103:N103)</f>
        <v>0</v>
      </c>
      <c r="S103" s="28"/>
      <c r="T103" s="76" t="str">
        <f>IF(OR(LOG_ANNUEL!Q103=0,'LOG_ANNUEL_A-1'!Q103=0),"",((LOG_ANNUEL!Q103-'LOG_ANNUEL_A-1'!Q103)/'LOG_ANNUEL_A-1'!Q103)*100)</f>
        <v/>
      </c>
      <c r="U103" s="28" t="str">
        <f t="shared" si="17"/>
        <v/>
      </c>
      <c r="V103" s="78" t="str">
        <f>IF('LOG_ANNUEL_A-1'!R103=0,"",((R103-'LOG_ANNUEL_A-1'!R103)/'LOG_ANNUEL_A-1'!R103)*100)</f>
        <v/>
      </c>
      <c r="W103" s="28"/>
      <c r="X103" s="28"/>
      <c r="Y103" s="28"/>
      <c r="Z103" s="28"/>
      <c r="AA103" s="28"/>
      <c r="AB103" s="28"/>
      <c r="AC103" s="28"/>
      <c r="AD103" s="28"/>
      <c r="AE103" s="28"/>
      <c r="AF103" s="28"/>
      <c r="AG103" s="28"/>
      <c r="AH103" s="28"/>
      <c r="AI103" s="28"/>
    </row>
    <row r="104" spans="2:35" x14ac:dyDescent="0.25">
      <c r="B104">
        <v>58</v>
      </c>
      <c r="C104" s="761"/>
      <c r="D104" s="68" t="str">
        <f>HDG_2</f>
        <v>AVP</v>
      </c>
      <c r="E104" s="171"/>
      <c r="F104" s="28"/>
      <c r="G104" s="171"/>
      <c r="H104" s="413"/>
      <c r="I104" s="413"/>
      <c r="J104" s="413"/>
      <c r="K104" s="413"/>
      <c r="L104" s="413"/>
      <c r="M104" s="413"/>
      <c r="N104" s="413"/>
      <c r="O104" s="171"/>
      <c r="P104" s="78"/>
      <c r="Q104" s="371">
        <f t="shared" ref="Q104:Q114" si="29">SUM(E104:P104)</f>
        <v>0</v>
      </c>
      <c r="R104" s="375">
        <f t="shared" ref="R104:R114" si="30">SUM(H104:N104)</f>
        <v>0</v>
      </c>
      <c r="S104" s="28"/>
      <c r="T104" s="76" t="str">
        <f>IF(OR(LOG_ANNUEL!Q104=0,'LOG_ANNUEL_A-1'!Q104=0),"",((LOG_ANNUEL!Q104-'LOG_ANNUEL_A-1'!Q104)/'LOG_ANNUEL_A-1'!Q104)*100)</f>
        <v/>
      </c>
      <c r="U104" s="28" t="str">
        <f t="shared" si="17"/>
        <v/>
      </c>
      <c r="V104" s="78" t="str">
        <f>IF('LOG_ANNUEL_A-1'!R104=0,"",((R104-'LOG_ANNUEL_A-1'!R104)/'LOG_ANNUEL_A-1'!R104)*100)</f>
        <v/>
      </c>
      <c r="W104" s="28"/>
      <c r="X104" s="28"/>
      <c r="Y104" s="28"/>
      <c r="Z104" s="28"/>
      <c r="AA104" s="28"/>
      <c r="AB104" s="28"/>
      <c r="AC104" s="28"/>
      <c r="AD104" s="28"/>
      <c r="AE104" s="28"/>
      <c r="AF104" s="28"/>
      <c r="AG104" s="28"/>
      <c r="AH104" s="28"/>
      <c r="AI104" s="28"/>
    </row>
    <row r="105" spans="2:35" x14ac:dyDescent="0.25">
      <c r="B105">
        <v>59</v>
      </c>
      <c r="C105" s="761"/>
      <c r="D105" s="68" t="str">
        <f>HDG_3</f>
        <v>ALZ</v>
      </c>
      <c r="E105" s="171"/>
      <c r="F105" s="28"/>
      <c r="G105" s="171"/>
      <c r="H105" s="413"/>
      <c r="I105" s="413"/>
      <c r="J105" s="413"/>
      <c r="K105" s="413"/>
      <c r="L105" s="413"/>
      <c r="M105" s="413"/>
      <c r="N105" s="413"/>
      <c r="O105" s="171"/>
      <c r="P105" s="78"/>
      <c r="Q105" s="371">
        <f t="shared" si="29"/>
        <v>0</v>
      </c>
      <c r="R105" s="375">
        <f t="shared" si="30"/>
        <v>0</v>
      </c>
      <c r="S105" s="28"/>
      <c r="T105" s="76" t="str">
        <f>IF(OR(LOG_ANNUEL!Q105=0,'LOG_ANNUEL_A-1'!Q105=0),"",((LOG_ANNUEL!Q105-'LOG_ANNUEL_A-1'!Q105)/'LOG_ANNUEL_A-1'!Q105)*100)</f>
        <v/>
      </c>
      <c r="U105" s="28" t="str">
        <f t="shared" si="17"/>
        <v/>
      </c>
      <c r="V105" s="78" t="str">
        <f>IF('LOG_ANNUEL_A-1'!R105=0,"",((R105-'LOG_ANNUEL_A-1'!R105)/'LOG_ANNUEL_A-1'!R105)*100)</f>
        <v/>
      </c>
      <c r="W105" s="28"/>
      <c r="X105" s="28"/>
      <c r="Y105" s="28"/>
      <c r="Z105" s="28"/>
      <c r="AA105" s="28"/>
      <c r="AB105" s="28"/>
      <c r="AC105" s="28"/>
      <c r="AD105" s="28"/>
      <c r="AE105" s="28"/>
      <c r="AF105" s="28"/>
      <c r="AG105" s="28"/>
      <c r="AH105" s="28"/>
      <c r="AI105" s="28"/>
    </row>
    <row r="106" spans="2:35" x14ac:dyDescent="0.25">
      <c r="B106">
        <v>60</v>
      </c>
      <c r="C106" s="761"/>
      <c r="D106" s="68" t="str">
        <f>HDG_4</f>
        <v>MZS</v>
      </c>
      <c r="E106" s="171"/>
      <c r="F106" s="28"/>
      <c r="G106" s="171"/>
      <c r="H106" s="413"/>
      <c r="I106" s="413"/>
      <c r="J106" s="413"/>
      <c r="K106" s="413"/>
      <c r="L106" s="413"/>
      <c r="M106" s="413"/>
      <c r="N106" s="413"/>
      <c r="O106" s="171"/>
      <c r="P106" s="78"/>
      <c r="Q106" s="371">
        <f t="shared" si="29"/>
        <v>0</v>
      </c>
      <c r="R106" s="375">
        <f t="shared" si="30"/>
        <v>0</v>
      </c>
      <c r="S106" s="28"/>
      <c r="T106" s="76" t="str">
        <f>IF(OR(LOG_ANNUEL!Q106=0,'LOG_ANNUEL_A-1'!Q106=0),"",((LOG_ANNUEL!Q106-'LOG_ANNUEL_A-1'!Q106)/'LOG_ANNUEL_A-1'!Q106)*100)</f>
        <v/>
      </c>
      <c r="U106" s="28" t="str">
        <f t="shared" si="17"/>
        <v/>
      </c>
      <c r="V106" s="78" t="str">
        <f>IF('LOG_ANNUEL_A-1'!R106=0,"",((R106-'LOG_ANNUEL_A-1'!R106)/'LOG_ANNUEL_A-1'!R106)*100)</f>
        <v/>
      </c>
      <c r="W106" s="28"/>
      <c r="X106" s="28"/>
      <c r="Y106" s="28"/>
      <c r="Z106" s="28"/>
      <c r="AA106" s="28"/>
      <c r="AB106" s="28"/>
      <c r="AC106" s="28"/>
      <c r="AD106" s="28"/>
      <c r="AE106" s="28"/>
      <c r="AF106" s="28"/>
      <c r="AG106" s="28"/>
      <c r="AH106" s="28"/>
      <c r="AI106" s="28"/>
    </row>
    <row r="107" spans="2:35" x14ac:dyDescent="0.25">
      <c r="B107">
        <v>61</v>
      </c>
      <c r="C107" s="761"/>
      <c r="D107" s="68" t="str">
        <f>HDG_5</f>
        <v>APR</v>
      </c>
      <c r="E107" s="171"/>
      <c r="F107" s="28"/>
      <c r="G107" s="171"/>
      <c r="H107" s="413"/>
      <c r="I107" s="413"/>
      <c r="J107" s="413"/>
      <c r="K107" s="413"/>
      <c r="L107" s="413"/>
      <c r="M107" s="413"/>
      <c r="N107" s="413"/>
      <c r="O107" s="171"/>
      <c r="P107" s="78"/>
      <c r="Q107" s="371">
        <f t="shared" si="29"/>
        <v>0</v>
      </c>
      <c r="R107" s="375">
        <f t="shared" si="30"/>
        <v>0</v>
      </c>
      <c r="S107" s="28"/>
      <c r="T107" s="76" t="str">
        <f>IF(OR(LOG_ANNUEL!Q107=0,'LOG_ANNUEL_A-1'!Q107=0),"",((LOG_ANNUEL!Q107-'LOG_ANNUEL_A-1'!Q107)/'LOG_ANNUEL_A-1'!Q107)*100)</f>
        <v/>
      </c>
      <c r="U107" s="28" t="str">
        <f t="shared" si="17"/>
        <v/>
      </c>
      <c r="V107" s="78" t="str">
        <f>IF('LOG_ANNUEL_A-1'!R107=0,"",((R107-'LOG_ANNUEL_A-1'!R107)/'LOG_ANNUEL_A-1'!R107)*100)</f>
        <v/>
      </c>
      <c r="W107" s="28"/>
      <c r="X107" s="28"/>
      <c r="Y107" s="28"/>
      <c r="Z107" s="28"/>
      <c r="AA107" s="28"/>
      <c r="AB107" s="28"/>
      <c r="AC107" s="28"/>
      <c r="AD107" s="28"/>
      <c r="AE107" s="28"/>
      <c r="AF107" s="28"/>
      <c r="AG107" s="28"/>
      <c r="AH107" s="28"/>
      <c r="AI107" s="28"/>
    </row>
    <row r="108" spans="2:35" x14ac:dyDescent="0.25">
      <c r="B108">
        <v>62</v>
      </c>
      <c r="C108" s="761"/>
      <c r="D108" s="68" t="str">
        <f>HDG_6</f>
        <v>DCG</v>
      </c>
      <c r="E108" s="171"/>
      <c r="F108" s="28"/>
      <c r="G108" s="171"/>
      <c r="H108" s="413"/>
      <c r="I108" s="413"/>
      <c r="J108" s="413"/>
      <c r="K108" s="413"/>
      <c r="L108" s="413"/>
      <c r="M108" s="413"/>
      <c r="N108" s="413"/>
      <c r="O108" s="171"/>
      <c r="P108" s="78"/>
      <c r="Q108" s="371">
        <f t="shared" si="29"/>
        <v>0</v>
      </c>
      <c r="R108" s="375">
        <f t="shared" si="30"/>
        <v>0</v>
      </c>
      <c r="S108" s="28"/>
      <c r="T108" s="76" t="str">
        <f>IF(OR(LOG_ANNUEL!Q108=0,'LOG_ANNUEL_A-1'!Q108=0),"",((LOG_ANNUEL!Q108-'LOG_ANNUEL_A-1'!Q108)/'LOG_ANNUEL_A-1'!Q108)*100)</f>
        <v/>
      </c>
      <c r="U108" s="28" t="str">
        <f t="shared" si="17"/>
        <v/>
      </c>
      <c r="V108" s="78" t="str">
        <f>IF('LOG_ANNUEL_A-1'!R108=0,"",((R108-'LOG_ANNUEL_A-1'!R108)/'LOG_ANNUEL_A-1'!R108)*100)</f>
        <v/>
      </c>
      <c r="W108" s="28"/>
      <c r="X108" s="28"/>
      <c r="Y108" s="28"/>
      <c r="Z108" s="28"/>
      <c r="AA108" s="28"/>
      <c r="AB108" s="28"/>
      <c r="AC108" s="28"/>
      <c r="AD108" s="28"/>
      <c r="AE108" s="28"/>
      <c r="AF108" s="28"/>
      <c r="AG108" s="28"/>
      <c r="AH108" s="28"/>
      <c r="AI108" s="28"/>
    </row>
    <row r="109" spans="2:35" x14ac:dyDescent="0.25">
      <c r="B109">
        <v>63</v>
      </c>
      <c r="C109" s="761"/>
      <c r="D109" s="68" t="str">
        <f>HDG_7</f>
        <v>SFS</v>
      </c>
      <c r="E109" s="171"/>
      <c r="F109" s="28"/>
      <c r="G109" s="171"/>
      <c r="H109" s="413"/>
      <c r="I109" s="413"/>
      <c r="J109" s="413"/>
      <c r="K109" s="413"/>
      <c r="L109" s="413"/>
      <c r="M109" s="413"/>
      <c r="N109" s="413"/>
      <c r="O109" s="171"/>
      <c r="P109" s="78"/>
      <c r="Q109" s="371">
        <f t="shared" si="29"/>
        <v>0</v>
      </c>
      <c r="R109" s="375">
        <f t="shared" si="30"/>
        <v>0</v>
      </c>
      <c r="S109" s="28"/>
      <c r="T109" s="76" t="str">
        <f>IF(OR(LOG_ANNUEL!Q109=0,'LOG_ANNUEL_A-1'!Q109=0),"",((LOG_ANNUEL!Q109-'LOG_ANNUEL_A-1'!Q109)/'LOG_ANNUEL_A-1'!Q109)*100)</f>
        <v/>
      </c>
      <c r="U109" s="28" t="str">
        <f t="shared" si="17"/>
        <v/>
      </c>
      <c r="V109" s="78" t="str">
        <f>IF('LOG_ANNUEL_A-1'!R109=0,"",((R109-'LOG_ANNUEL_A-1'!R109)/'LOG_ANNUEL_A-1'!R109)*100)</f>
        <v/>
      </c>
      <c r="W109" s="28"/>
      <c r="X109" s="28"/>
      <c r="Y109" s="28"/>
      <c r="Z109" s="28"/>
      <c r="AA109" s="28"/>
      <c r="AB109" s="28"/>
      <c r="AC109" s="28"/>
      <c r="AD109" s="28"/>
      <c r="AE109" s="28"/>
      <c r="AF109" s="28"/>
      <c r="AG109" s="28"/>
      <c r="AH109" s="28"/>
      <c r="AI109" s="28"/>
    </row>
    <row r="110" spans="2:35" x14ac:dyDescent="0.25">
      <c r="B110">
        <v>64</v>
      </c>
      <c r="C110" s="761"/>
      <c r="D110" s="68" t="str">
        <f>HDG_8</f>
        <v>AZH</v>
      </c>
      <c r="E110" s="171"/>
      <c r="F110" s="28"/>
      <c r="G110" s="171"/>
      <c r="H110" s="413"/>
      <c r="I110" s="413"/>
      <c r="J110" s="413"/>
      <c r="K110" s="413"/>
      <c r="L110" s="413"/>
      <c r="M110" s="413"/>
      <c r="N110" s="413"/>
      <c r="O110" s="171"/>
      <c r="P110" s="78"/>
      <c r="Q110" s="371">
        <f t="shared" si="29"/>
        <v>0</v>
      </c>
      <c r="R110" s="375">
        <f t="shared" si="30"/>
        <v>0</v>
      </c>
      <c r="S110" s="28"/>
      <c r="T110" s="76" t="str">
        <f>IF(OR(LOG_ANNUEL!Q110=0,'LOG_ANNUEL_A-1'!Q110=0),"",((LOG_ANNUEL!Q110-'LOG_ANNUEL_A-1'!Q110)/'LOG_ANNUEL_A-1'!Q110)*100)</f>
        <v/>
      </c>
      <c r="U110" s="28" t="str">
        <f t="shared" si="17"/>
        <v/>
      </c>
      <c r="V110" s="78" t="str">
        <f>IF('LOG_ANNUEL_A-1'!R110=0,"",((R110-'LOG_ANNUEL_A-1'!R110)/'LOG_ANNUEL_A-1'!R110)*100)</f>
        <v/>
      </c>
      <c r="W110" s="28"/>
      <c r="X110" s="28"/>
      <c r="Y110" s="28"/>
      <c r="Z110" s="28"/>
      <c r="AA110" s="28"/>
      <c r="AB110" s="28"/>
      <c r="AC110" s="28"/>
      <c r="AD110" s="28"/>
      <c r="AE110" s="28"/>
      <c r="AF110" s="28"/>
      <c r="AG110" s="28"/>
      <c r="AH110" s="28"/>
      <c r="AI110" s="28"/>
    </row>
    <row r="111" spans="2:35" x14ac:dyDescent="0.25">
      <c r="B111">
        <v>65</v>
      </c>
      <c r="C111" s="761"/>
      <c r="D111" s="68" t="str">
        <f>HDG_9</f>
        <v>HLI</v>
      </c>
      <c r="E111" s="171"/>
      <c r="F111" s="28"/>
      <c r="G111" s="171"/>
      <c r="H111" s="413"/>
      <c r="I111" s="413"/>
      <c r="J111" s="413"/>
      <c r="K111" s="413"/>
      <c r="L111" s="413"/>
      <c r="M111" s="413"/>
      <c r="N111" s="413"/>
      <c r="O111" s="171"/>
      <c r="P111" s="78"/>
      <c r="Q111" s="371">
        <f t="shared" si="29"/>
        <v>0</v>
      </c>
      <c r="R111" s="375">
        <f t="shared" si="30"/>
        <v>0</v>
      </c>
      <c r="S111" s="28"/>
      <c r="T111" s="76" t="str">
        <f>IF(OR(LOG_ANNUEL!Q111=0,'LOG_ANNUEL_A-1'!Q111=0),"",((LOG_ANNUEL!Q111-'LOG_ANNUEL_A-1'!Q111)/'LOG_ANNUEL_A-1'!Q111)*100)</f>
        <v/>
      </c>
      <c r="U111" s="28" t="str">
        <f t="shared" si="17"/>
        <v/>
      </c>
      <c r="V111" s="78" t="str">
        <f>IF('LOG_ANNUEL_A-1'!R111=0,"",((R111-'LOG_ANNUEL_A-1'!R111)/'LOG_ANNUEL_A-1'!R111)*100)</f>
        <v/>
      </c>
      <c r="W111" s="28"/>
      <c r="X111" s="28"/>
      <c r="Y111" s="28"/>
      <c r="Z111" s="28"/>
      <c r="AA111" s="28"/>
      <c r="AB111" s="28"/>
      <c r="AC111" s="28"/>
      <c r="AD111" s="28"/>
      <c r="AE111" s="28"/>
      <c r="AF111" s="28"/>
      <c r="AG111" s="28"/>
      <c r="AH111" s="28"/>
      <c r="AI111" s="28"/>
    </row>
    <row r="112" spans="2:35" x14ac:dyDescent="0.25">
      <c r="B112">
        <v>66</v>
      </c>
      <c r="C112" s="761"/>
      <c r="D112" s="68" t="str">
        <f>HDG_10</f>
        <v>MCM</v>
      </c>
      <c r="E112" s="171"/>
      <c r="F112" s="28"/>
      <c r="G112" s="171"/>
      <c r="H112" s="413"/>
      <c r="I112" s="413"/>
      <c r="J112" s="413"/>
      <c r="K112" s="413"/>
      <c r="L112" s="413"/>
      <c r="M112" s="413"/>
      <c r="N112" s="413"/>
      <c r="O112" s="171"/>
      <c r="P112" s="78"/>
      <c r="Q112" s="371">
        <f t="shared" si="29"/>
        <v>0</v>
      </c>
      <c r="R112" s="375">
        <f t="shared" si="30"/>
        <v>0</v>
      </c>
      <c r="S112" s="28"/>
      <c r="T112" s="76" t="str">
        <f>IF(OR(LOG_ANNUEL!Q112=0,'LOG_ANNUEL_A-1'!Q112=0),"",((LOG_ANNUEL!Q112-'LOG_ANNUEL_A-1'!Q112)/'LOG_ANNUEL_A-1'!Q112)*100)</f>
        <v/>
      </c>
      <c r="U112" s="28" t="str">
        <f t="shared" si="17"/>
        <v/>
      </c>
      <c r="V112" s="78" t="str">
        <f>IF('LOG_ANNUEL_A-1'!R112=0,"",((R112-'LOG_ANNUEL_A-1'!R112)/'LOG_ANNUEL_A-1'!R112)*100)</f>
        <v/>
      </c>
      <c r="W112" s="28"/>
      <c r="X112" s="28"/>
      <c r="Y112" s="28"/>
      <c r="Z112" s="28"/>
      <c r="AA112" s="28"/>
      <c r="AB112" s="28"/>
      <c r="AC112" s="28"/>
      <c r="AD112" s="28"/>
      <c r="AE112" s="28"/>
      <c r="AF112" s="28"/>
      <c r="AG112" s="28"/>
      <c r="AH112" s="28"/>
      <c r="AI112" s="28"/>
    </row>
    <row r="113" spans="2:35" x14ac:dyDescent="0.25">
      <c r="B113">
        <v>67</v>
      </c>
      <c r="C113" s="761"/>
      <c r="D113" s="68" t="str">
        <f>HDG_11</f>
        <v>MCR</v>
      </c>
      <c r="E113" s="171"/>
      <c r="F113" s="28"/>
      <c r="G113" s="171"/>
      <c r="H113" s="413"/>
      <c r="I113" s="413"/>
      <c r="J113" s="413"/>
      <c r="K113" s="413"/>
      <c r="L113" s="413"/>
      <c r="M113" s="413"/>
      <c r="N113" s="413"/>
      <c r="O113" s="171"/>
      <c r="P113" s="78"/>
      <c r="Q113" s="371">
        <f t="shared" si="29"/>
        <v>0</v>
      </c>
      <c r="R113" s="375">
        <f t="shared" si="30"/>
        <v>0</v>
      </c>
      <c r="S113" s="28"/>
      <c r="T113" s="76" t="str">
        <f>IF(OR(LOG_ANNUEL!Q113=0,'LOG_ANNUEL_A-1'!Q113=0),"",((LOG_ANNUEL!Q113-'LOG_ANNUEL_A-1'!Q113)/'LOG_ANNUEL_A-1'!Q113)*100)</f>
        <v/>
      </c>
      <c r="U113" s="28" t="str">
        <f t="shared" si="17"/>
        <v/>
      </c>
      <c r="V113" s="78" t="str">
        <f>IF('LOG_ANNUEL_A-1'!R113=0,"",((R113-'LOG_ANNUEL_A-1'!R113)/'LOG_ANNUEL_A-1'!R113)*100)</f>
        <v/>
      </c>
      <c r="W113" s="28"/>
      <c r="X113" s="28"/>
      <c r="Y113" s="28"/>
      <c r="Z113" s="28"/>
      <c r="AA113" s="28"/>
      <c r="AB113" s="28"/>
      <c r="AC113" s="28"/>
      <c r="AD113" s="28"/>
      <c r="AE113" s="28"/>
      <c r="AF113" s="28"/>
      <c r="AG113" s="28"/>
      <c r="AH113" s="28"/>
      <c r="AI113" s="28"/>
    </row>
    <row r="114" spans="2:35" ht="15.75" thickBot="1" x14ac:dyDescent="0.3">
      <c r="B114">
        <v>68</v>
      </c>
      <c r="C114" s="762"/>
      <c r="D114" s="629" t="s">
        <v>406</v>
      </c>
      <c r="E114" s="171"/>
      <c r="F114" s="28"/>
      <c r="G114" s="171"/>
      <c r="H114" s="413"/>
      <c r="I114" s="413"/>
      <c r="J114" s="413"/>
      <c r="K114" s="413"/>
      <c r="L114" s="413"/>
      <c r="M114" s="413"/>
      <c r="N114" s="413"/>
      <c r="O114" s="171"/>
      <c r="P114" s="78"/>
      <c r="Q114" s="373">
        <f t="shared" si="29"/>
        <v>0</v>
      </c>
      <c r="R114" s="418">
        <f t="shared" si="30"/>
        <v>0</v>
      </c>
      <c r="S114" s="28"/>
      <c r="T114" s="76" t="str">
        <f>IF(OR(LOG_ANNUEL!Q114=0,'LOG_ANNUEL_A-1'!Q114=0),"",((LOG_ANNUEL!Q114-'LOG_ANNUEL_A-1'!Q114)/'LOG_ANNUEL_A-1'!Q114)*100)</f>
        <v/>
      </c>
      <c r="U114" s="28" t="str">
        <f t="shared" si="17"/>
        <v/>
      </c>
      <c r="V114" s="78" t="str">
        <f>IF('LOG_ANNUEL_A-1'!R114=0,"",((R114-'LOG_ANNUEL_A-1'!R114)/'LOG_ANNUEL_A-1'!R114)*100)</f>
        <v/>
      </c>
      <c r="W114" s="28"/>
      <c r="X114" s="28"/>
      <c r="Y114" s="28"/>
      <c r="Z114" s="28"/>
      <c r="AA114" s="28"/>
      <c r="AB114" s="28"/>
      <c r="AC114" s="28"/>
      <c r="AD114" s="28"/>
      <c r="AE114" s="28"/>
      <c r="AF114" s="28"/>
      <c r="AG114" s="28"/>
      <c r="AH114" s="28"/>
      <c r="AI114" s="28"/>
    </row>
    <row r="115" spans="2:35" ht="15.75" thickBot="1" x14ac:dyDescent="0.3">
      <c r="C115" s="535"/>
      <c r="D115" s="535"/>
      <c r="E115" s="181"/>
      <c r="F115" s="61"/>
      <c r="G115" s="181"/>
      <c r="H115" s="61"/>
      <c r="I115" s="181"/>
      <c r="J115" s="61"/>
      <c r="K115" s="181"/>
      <c r="L115" s="61"/>
      <c r="M115" s="181"/>
      <c r="N115" s="61"/>
      <c r="O115" s="181"/>
      <c r="P115" s="424"/>
      <c r="Q115" s="181"/>
      <c r="R115" s="61"/>
      <c r="S115" s="28"/>
      <c r="T115" s="76"/>
      <c r="U115" s="28"/>
      <c r="V115" s="78"/>
      <c r="W115" s="28"/>
      <c r="X115" s="28"/>
      <c r="Y115" s="28"/>
      <c r="Z115" s="28"/>
      <c r="AA115" s="28"/>
      <c r="AB115" s="28"/>
      <c r="AC115" s="28"/>
      <c r="AD115" s="28"/>
      <c r="AE115" s="28"/>
      <c r="AF115" s="28"/>
      <c r="AG115" s="28"/>
      <c r="AH115" s="28"/>
      <c r="AI115" s="28"/>
    </row>
    <row r="116" spans="2:35" ht="15.75" thickBot="1" x14ac:dyDescent="0.3">
      <c r="C116" s="830" t="s">
        <v>55</v>
      </c>
      <c r="D116" s="831"/>
      <c r="E116" s="181"/>
      <c r="F116" s="61"/>
      <c r="G116" s="181"/>
      <c r="H116" s="61"/>
      <c r="I116" s="181"/>
      <c r="J116" s="61"/>
      <c r="K116" s="181"/>
      <c r="L116" s="61"/>
      <c r="M116" s="181"/>
      <c r="N116" s="61"/>
      <c r="O116" s="181"/>
      <c r="P116" s="424"/>
      <c r="Q116" s="181"/>
      <c r="R116" s="61"/>
      <c r="S116" s="28"/>
      <c r="T116" s="76"/>
      <c r="U116" s="28"/>
      <c r="V116" s="78"/>
      <c r="W116" s="28"/>
      <c r="X116" s="28"/>
      <c r="Y116" s="28"/>
      <c r="Z116" s="28"/>
      <c r="AA116" s="28"/>
      <c r="AB116" s="28"/>
      <c r="AC116" s="28"/>
      <c r="AD116" s="28"/>
      <c r="AE116" s="28"/>
      <c r="AF116" s="28"/>
      <c r="AG116" s="28"/>
      <c r="AH116" s="28"/>
      <c r="AI116" s="28"/>
    </row>
    <row r="117" spans="2:35" ht="15.75" thickBot="1" x14ac:dyDescent="0.3">
      <c r="B117">
        <v>69</v>
      </c>
      <c r="C117" s="727" t="s">
        <v>64</v>
      </c>
      <c r="D117" s="728"/>
      <c r="E117" s="171"/>
      <c r="F117" s="28"/>
      <c r="G117" s="171"/>
      <c r="H117" s="413"/>
      <c r="I117" s="413"/>
      <c r="J117" s="413"/>
      <c r="K117" s="413"/>
      <c r="L117" s="413"/>
      <c r="M117" s="413"/>
      <c r="N117" s="413"/>
      <c r="O117" s="171"/>
      <c r="P117" s="78"/>
      <c r="Q117" s="374">
        <f>SUM(E117:P117)</f>
        <v>0</v>
      </c>
      <c r="R117" s="417">
        <f>SUM(H117:N117)</f>
        <v>0</v>
      </c>
      <c r="S117" s="28"/>
      <c r="T117" s="76" t="str">
        <f>IF(OR(LOG_ANNUEL!Q117=0,'LOG_ANNUEL_A-1'!Q117=0),"",((LOG_ANNUEL!Q117-'LOG_ANNUEL_A-1'!Q117)/'LOG_ANNUEL_A-1'!Q117)*100)</f>
        <v/>
      </c>
      <c r="U117" s="28" t="str">
        <f t="shared" si="17"/>
        <v/>
      </c>
      <c r="V117" s="78" t="str">
        <f>IF('LOG_ANNUEL_A-1'!R117=0,"",((R117-'LOG_ANNUEL_A-1'!R117)/'LOG_ANNUEL_A-1'!R117)*100)</f>
        <v/>
      </c>
      <c r="W117" s="28"/>
      <c r="X117" s="28"/>
      <c r="Y117" s="28"/>
      <c r="Z117" s="28"/>
      <c r="AA117" s="28"/>
      <c r="AB117" s="28"/>
      <c r="AC117" s="28"/>
      <c r="AD117" s="28"/>
      <c r="AE117" s="28"/>
      <c r="AF117" s="28"/>
      <c r="AG117" s="28"/>
      <c r="AH117" s="28"/>
      <c r="AI117" s="28"/>
    </row>
    <row r="118" spans="2:35" ht="15.75" thickBot="1" x14ac:dyDescent="0.3">
      <c r="C118" s="828" t="s">
        <v>56</v>
      </c>
      <c r="D118" s="829"/>
      <c r="E118" s="181"/>
      <c r="F118" s="61"/>
      <c r="G118" s="181"/>
      <c r="H118" s="61"/>
      <c r="I118" s="181"/>
      <c r="J118" s="61"/>
      <c r="K118" s="181"/>
      <c r="L118" s="61"/>
      <c r="M118" s="181"/>
      <c r="N118" s="61"/>
      <c r="O118" s="181"/>
      <c r="P118" s="424"/>
      <c r="Q118" s="372"/>
      <c r="R118" s="308"/>
      <c r="S118" s="28"/>
      <c r="T118" s="76"/>
      <c r="U118" s="28"/>
      <c r="V118" s="78"/>
      <c r="W118" s="28"/>
      <c r="X118" s="28"/>
      <c r="Y118" s="28"/>
      <c r="Z118" s="28"/>
      <c r="AA118" s="28"/>
      <c r="AB118" s="28"/>
      <c r="AC118" s="28"/>
      <c r="AD118" s="28"/>
      <c r="AE118" s="28"/>
      <c r="AF118" s="28"/>
      <c r="AG118" s="28"/>
      <c r="AH118" s="28"/>
      <c r="AI118" s="28"/>
    </row>
    <row r="119" spans="2:35" x14ac:dyDescent="0.25">
      <c r="B119">
        <v>70</v>
      </c>
      <c r="C119" s="760"/>
      <c r="D119" s="628" t="str">
        <f>HDG_1</f>
        <v>AFR</v>
      </c>
      <c r="E119" s="171"/>
      <c r="F119" s="28"/>
      <c r="G119" s="171"/>
      <c r="H119" s="413"/>
      <c r="I119" s="413"/>
      <c r="J119" s="413"/>
      <c r="K119" s="413"/>
      <c r="L119" s="413"/>
      <c r="M119" s="413"/>
      <c r="N119" s="413"/>
      <c r="O119" s="171"/>
      <c r="P119" s="78"/>
      <c r="Q119" s="371">
        <f>SUM(E119:P119)</f>
        <v>0</v>
      </c>
      <c r="R119" s="375">
        <f>SUM(H119:N119)</f>
        <v>0</v>
      </c>
      <c r="S119" s="28"/>
      <c r="T119" s="76" t="str">
        <f>IF(OR(LOG_ANNUEL!Q119=0,'LOG_ANNUEL_A-1'!Q119=0),"",((LOG_ANNUEL!Q119-'LOG_ANNUEL_A-1'!Q119)/'LOG_ANNUEL_A-1'!Q119)*100)</f>
        <v/>
      </c>
      <c r="U119" s="28" t="str">
        <f t="shared" si="17"/>
        <v/>
      </c>
      <c r="V119" s="78" t="str">
        <f>IF('LOG_ANNUEL_A-1'!R119=0,"",((R119-'LOG_ANNUEL_A-1'!R119)/'LOG_ANNUEL_A-1'!R119)*100)</f>
        <v/>
      </c>
      <c r="W119" s="28"/>
      <c r="X119" s="28"/>
      <c r="Y119" s="28"/>
      <c r="Z119" s="28"/>
      <c r="AA119" s="28"/>
      <c r="AB119" s="28"/>
      <c r="AC119" s="28"/>
      <c r="AD119" s="28"/>
      <c r="AE119" s="28"/>
      <c r="AF119" s="28"/>
      <c r="AG119" s="28"/>
      <c r="AH119" s="28"/>
      <c r="AI119" s="28"/>
    </row>
    <row r="120" spans="2:35" x14ac:dyDescent="0.25">
      <c r="B120">
        <v>71</v>
      </c>
      <c r="C120" s="761"/>
      <c r="D120" s="68" t="str">
        <f>HDG_2</f>
        <v>AVP</v>
      </c>
      <c r="E120" s="171"/>
      <c r="F120" s="28"/>
      <c r="G120" s="171"/>
      <c r="H120" s="413"/>
      <c r="I120" s="413"/>
      <c r="J120" s="413"/>
      <c r="K120" s="413"/>
      <c r="L120" s="413"/>
      <c r="M120" s="413"/>
      <c r="N120" s="413"/>
      <c r="O120" s="171"/>
      <c r="P120" s="78"/>
      <c r="Q120" s="371">
        <f t="shared" ref="Q120:Q130" si="31">SUM(E120:P120)</f>
        <v>0</v>
      </c>
      <c r="R120" s="375">
        <f t="shared" ref="R120:R130" si="32">SUM(H120:N120)</f>
        <v>0</v>
      </c>
      <c r="S120" s="28"/>
      <c r="T120" s="76" t="str">
        <f>IF(OR(LOG_ANNUEL!Q120=0,'LOG_ANNUEL_A-1'!Q120=0),"",((LOG_ANNUEL!Q120-'LOG_ANNUEL_A-1'!Q120)/'LOG_ANNUEL_A-1'!Q120)*100)</f>
        <v/>
      </c>
      <c r="U120" s="28" t="str">
        <f t="shared" si="17"/>
        <v/>
      </c>
      <c r="V120" s="78" t="str">
        <f>IF('LOG_ANNUEL_A-1'!R120=0,"",((R120-'LOG_ANNUEL_A-1'!R120)/'LOG_ANNUEL_A-1'!R120)*100)</f>
        <v/>
      </c>
      <c r="W120" s="28"/>
      <c r="X120" s="28"/>
      <c r="Y120" s="28"/>
      <c r="Z120" s="28"/>
      <c r="AA120" s="28"/>
      <c r="AB120" s="28"/>
      <c r="AC120" s="28"/>
      <c r="AD120" s="28"/>
      <c r="AE120" s="28"/>
      <c r="AF120" s="28"/>
      <c r="AG120" s="28"/>
      <c r="AH120" s="28"/>
      <c r="AI120" s="28"/>
    </row>
    <row r="121" spans="2:35" x14ac:dyDescent="0.25">
      <c r="B121">
        <v>72</v>
      </c>
      <c r="C121" s="761"/>
      <c r="D121" s="68" t="str">
        <f>HDG_3</f>
        <v>ALZ</v>
      </c>
      <c r="E121" s="171"/>
      <c r="F121" s="28"/>
      <c r="G121" s="171"/>
      <c r="H121" s="413"/>
      <c r="I121" s="413"/>
      <c r="J121" s="413"/>
      <c r="K121" s="413"/>
      <c r="L121" s="413"/>
      <c r="M121" s="413"/>
      <c r="N121" s="413"/>
      <c r="O121" s="171"/>
      <c r="P121" s="78"/>
      <c r="Q121" s="371">
        <f t="shared" si="31"/>
        <v>0</v>
      </c>
      <c r="R121" s="375">
        <f t="shared" si="32"/>
        <v>0</v>
      </c>
      <c r="S121" s="28"/>
      <c r="T121" s="76" t="str">
        <f>IF(OR(LOG_ANNUEL!Q121=0,'LOG_ANNUEL_A-1'!Q121=0),"",((LOG_ANNUEL!Q121-'LOG_ANNUEL_A-1'!Q121)/'LOG_ANNUEL_A-1'!Q121)*100)</f>
        <v/>
      </c>
      <c r="U121" s="28" t="str">
        <f t="shared" si="17"/>
        <v/>
      </c>
      <c r="V121" s="78" t="str">
        <f>IF('LOG_ANNUEL_A-1'!R121=0,"",((R121-'LOG_ANNUEL_A-1'!R121)/'LOG_ANNUEL_A-1'!R121)*100)</f>
        <v/>
      </c>
      <c r="W121" s="28"/>
      <c r="X121" s="28"/>
      <c r="Y121" s="28"/>
      <c r="Z121" s="28"/>
      <c r="AA121" s="28"/>
      <c r="AB121" s="28"/>
      <c r="AC121" s="28"/>
      <c r="AD121" s="28"/>
      <c r="AE121" s="28"/>
      <c r="AF121" s="28"/>
      <c r="AG121" s="28"/>
      <c r="AH121" s="28"/>
      <c r="AI121" s="28"/>
    </row>
    <row r="122" spans="2:35" x14ac:dyDescent="0.25">
      <c r="B122">
        <v>73</v>
      </c>
      <c r="C122" s="761"/>
      <c r="D122" s="68" t="str">
        <f>HDG_4</f>
        <v>MZS</v>
      </c>
      <c r="E122" s="171"/>
      <c r="F122" s="28"/>
      <c r="G122" s="171"/>
      <c r="H122" s="413"/>
      <c r="I122" s="413"/>
      <c r="J122" s="413"/>
      <c r="K122" s="413"/>
      <c r="L122" s="413"/>
      <c r="M122" s="413"/>
      <c r="N122" s="413"/>
      <c r="O122" s="171"/>
      <c r="P122" s="78"/>
      <c r="Q122" s="371">
        <f t="shared" si="31"/>
        <v>0</v>
      </c>
      <c r="R122" s="375">
        <f t="shared" si="32"/>
        <v>0</v>
      </c>
      <c r="S122" s="28"/>
      <c r="T122" s="76" t="str">
        <f>IF(OR(LOG_ANNUEL!Q122=0,'LOG_ANNUEL_A-1'!Q122=0),"",((LOG_ANNUEL!Q122-'LOG_ANNUEL_A-1'!Q122)/'LOG_ANNUEL_A-1'!Q122)*100)</f>
        <v/>
      </c>
      <c r="U122" s="28" t="str">
        <f t="shared" si="17"/>
        <v/>
      </c>
      <c r="V122" s="78" t="str">
        <f>IF('LOG_ANNUEL_A-1'!R122=0,"",((R122-'LOG_ANNUEL_A-1'!R122)/'LOG_ANNUEL_A-1'!R122)*100)</f>
        <v/>
      </c>
      <c r="W122" s="28"/>
      <c r="X122" s="28"/>
      <c r="Y122" s="28"/>
      <c r="Z122" s="28"/>
      <c r="AA122" s="28"/>
      <c r="AB122" s="28"/>
      <c r="AC122" s="28"/>
      <c r="AD122" s="28"/>
      <c r="AE122" s="28"/>
      <c r="AF122" s="28"/>
      <c r="AG122" s="28"/>
      <c r="AH122" s="28"/>
      <c r="AI122" s="28"/>
    </row>
    <row r="123" spans="2:35" x14ac:dyDescent="0.25">
      <c r="B123">
        <v>74</v>
      </c>
      <c r="C123" s="761"/>
      <c r="D123" s="68" t="str">
        <f>HDG_5</f>
        <v>APR</v>
      </c>
      <c r="E123" s="171"/>
      <c r="F123" s="28"/>
      <c r="G123" s="171"/>
      <c r="H123" s="413"/>
      <c r="I123" s="413"/>
      <c r="J123" s="413"/>
      <c r="K123" s="413"/>
      <c r="L123" s="413"/>
      <c r="M123" s="413"/>
      <c r="N123" s="413"/>
      <c r="O123" s="171"/>
      <c r="P123" s="78"/>
      <c r="Q123" s="371">
        <f t="shared" si="31"/>
        <v>0</v>
      </c>
      <c r="R123" s="375">
        <f t="shared" si="32"/>
        <v>0</v>
      </c>
      <c r="S123" s="28"/>
      <c r="T123" s="76" t="str">
        <f>IF(OR(LOG_ANNUEL!Q123=0,'LOG_ANNUEL_A-1'!Q123=0),"",((LOG_ANNUEL!Q123-'LOG_ANNUEL_A-1'!Q123)/'LOG_ANNUEL_A-1'!Q123)*100)</f>
        <v/>
      </c>
      <c r="U123" s="28" t="str">
        <f t="shared" si="17"/>
        <v/>
      </c>
      <c r="V123" s="78" t="str">
        <f>IF('LOG_ANNUEL_A-1'!R123=0,"",((R123-'LOG_ANNUEL_A-1'!R123)/'LOG_ANNUEL_A-1'!R123)*100)</f>
        <v/>
      </c>
      <c r="W123" s="28"/>
      <c r="X123" s="28"/>
      <c r="Y123" s="28"/>
      <c r="Z123" s="28"/>
      <c r="AA123" s="28"/>
      <c r="AB123" s="28"/>
      <c r="AC123" s="28"/>
      <c r="AD123" s="28"/>
      <c r="AE123" s="28"/>
      <c r="AF123" s="28"/>
      <c r="AG123" s="28"/>
      <c r="AH123" s="28"/>
      <c r="AI123" s="28"/>
    </row>
    <row r="124" spans="2:35" x14ac:dyDescent="0.25">
      <c r="B124">
        <v>75</v>
      </c>
      <c r="C124" s="761"/>
      <c r="D124" s="68" t="str">
        <f>HDG_6</f>
        <v>DCG</v>
      </c>
      <c r="E124" s="171"/>
      <c r="F124" s="28"/>
      <c r="G124" s="171"/>
      <c r="H124" s="413"/>
      <c r="I124" s="413"/>
      <c r="J124" s="413"/>
      <c r="K124" s="413"/>
      <c r="L124" s="413"/>
      <c r="M124" s="413"/>
      <c r="N124" s="413"/>
      <c r="O124" s="171"/>
      <c r="P124" s="78"/>
      <c r="Q124" s="371">
        <f t="shared" si="31"/>
        <v>0</v>
      </c>
      <c r="R124" s="375">
        <f t="shared" si="32"/>
        <v>0</v>
      </c>
      <c r="S124" s="28"/>
      <c r="T124" s="76" t="str">
        <f>IF(OR(LOG_ANNUEL!Q124=0,'LOG_ANNUEL_A-1'!Q124=0),"",((LOG_ANNUEL!Q124-'LOG_ANNUEL_A-1'!Q124)/'LOG_ANNUEL_A-1'!Q124)*100)</f>
        <v/>
      </c>
      <c r="U124" s="28" t="str">
        <f t="shared" si="17"/>
        <v/>
      </c>
      <c r="V124" s="78" t="str">
        <f>IF('LOG_ANNUEL_A-1'!R124=0,"",((R124-'LOG_ANNUEL_A-1'!R124)/'LOG_ANNUEL_A-1'!R124)*100)</f>
        <v/>
      </c>
      <c r="W124" s="28"/>
      <c r="X124" s="28"/>
      <c r="Y124" s="28"/>
      <c r="Z124" s="28"/>
      <c r="AA124" s="28"/>
      <c r="AB124" s="28"/>
      <c r="AC124" s="28"/>
      <c r="AD124" s="28"/>
      <c r="AE124" s="28"/>
      <c r="AF124" s="28"/>
      <c r="AG124" s="28"/>
      <c r="AH124" s="28"/>
      <c r="AI124" s="28"/>
    </row>
    <row r="125" spans="2:35" x14ac:dyDescent="0.25">
      <c r="B125">
        <v>76</v>
      </c>
      <c r="C125" s="761"/>
      <c r="D125" s="68" t="str">
        <f>HDG_7</f>
        <v>SFS</v>
      </c>
      <c r="E125" s="171"/>
      <c r="F125" s="28"/>
      <c r="G125" s="171"/>
      <c r="H125" s="413"/>
      <c r="I125" s="413"/>
      <c r="J125" s="413"/>
      <c r="K125" s="413"/>
      <c r="L125" s="413"/>
      <c r="M125" s="413"/>
      <c r="N125" s="413"/>
      <c r="O125" s="171"/>
      <c r="P125" s="78"/>
      <c r="Q125" s="371">
        <f t="shared" si="31"/>
        <v>0</v>
      </c>
      <c r="R125" s="375">
        <f t="shared" si="32"/>
        <v>0</v>
      </c>
      <c r="S125" s="28"/>
      <c r="T125" s="76" t="str">
        <f>IF(OR(LOG_ANNUEL!Q125=0,'LOG_ANNUEL_A-1'!Q125=0),"",((LOG_ANNUEL!Q125-'LOG_ANNUEL_A-1'!Q125)/'LOG_ANNUEL_A-1'!Q125)*100)</f>
        <v/>
      </c>
      <c r="U125" s="28" t="str">
        <f t="shared" si="17"/>
        <v/>
      </c>
      <c r="V125" s="78" t="str">
        <f>IF('LOG_ANNUEL_A-1'!R125=0,"",((R125-'LOG_ANNUEL_A-1'!R125)/'LOG_ANNUEL_A-1'!R125)*100)</f>
        <v/>
      </c>
      <c r="W125" s="28"/>
      <c r="X125" s="28"/>
      <c r="Y125" s="28"/>
      <c r="Z125" s="28"/>
      <c r="AA125" s="28"/>
      <c r="AB125" s="28"/>
      <c r="AC125" s="28"/>
      <c r="AD125" s="28"/>
      <c r="AE125" s="28"/>
      <c r="AF125" s="28"/>
      <c r="AG125" s="28"/>
      <c r="AH125" s="28"/>
      <c r="AI125" s="28"/>
    </row>
    <row r="126" spans="2:35" x14ac:dyDescent="0.25">
      <c r="B126">
        <v>77</v>
      </c>
      <c r="C126" s="761"/>
      <c r="D126" s="68" t="str">
        <f>HDG_8</f>
        <v>AZH</v>
      </c>
      <c r="E126" s="171"/>
      <c r="F126" s="28"/>
      <c r="G126" s="171"/>
      <c r="H126" s="413"/>
      <c r="I126" s="413"/>
      <c r="J126" s="413"/>
      <c r="K126" s="413"/>
      <c r="L126" s="413"/>
      <c r="M126" s="413"/>
      <c r="N126" s="413"/>
      <c r="O126" s="171"/>
      <c r="P126" s="78"/>
      <c r="Q126" s="371">
        <f t="shared" si="31"/>
        <v>0</v>
      </c>
      <c r="R126" s="375">
        <f t="shared" si="32"/>
        <v>0</v>
      </c>
      <c r="S126" s="28"/>
      <c r="T126" s="76" t="str">
        <f>IF(OR(LOG_ANNUEL!Q126=0,'LOG_ANNUEL_A-1'!Q126=0),"",((LOG_ANNUEL!Q126-'LOG_ANNUEL_A-1'!Q126)/'LOG_ANNUEL_A-1'!Q126)*100)</f>
        <v/>
      </c>
      <c r="U126" s="28" t="str">
        <f t="shared" si="17"/>
        <v/>
      </c>
      <c r="V126" s="78" t="str">
        <f>IF('LOG_ANNUEL_A-1'!R126=0,"",((R126-'LOG_ANNUEL_A-1'!R126)/'LOG_ANNUEL_A-1'!R126)*100)</f>
        <v/>
      </c>
      <c r="W126" s="28"/>
      <c r="X126" s="28"/>
      <c r="Y126" s="28"/>
      <c r="Z126" s="28"/>
      <c r="AA126" s="28"/>
      <c r="AB126" s="28"/>
      <c r="AC126" s="28"/>
      <c r="AD126" s="28"/>
      <c r="AE126" s="28"/>
      <c r="AF126" s="28"/>
      <c r="AG126" s="28"/>
      <c r="AH126" s="28"/>
      <c r="AI126" s="28"/>
    </row>
    <row r="127" spans="2:35" x14ac:dyDescent="0.25">
      <c r="B127">
        <v>78</v>
      </c>
      <c r="C127" s="761"/>
      <c r="D127" s="68" t="str">
        <f>HDG_9</f>
        <v>HLI</v>
      </c>
      <c r="E127" s="171"/>
      <c r="F127" s="28"/>
      <c r="G127" s="171"/>
      <c r="H127" s="413"/>
      <c r="I127" s="413"/>
      <c r="J127" s="413"/>
      <c r="K127" s="413"/>
      <c r="L127" s="413"/>
      <c r="M127" s="413"/>
      <c r="N127" s="413"/>
      <c r="O127" s="171"/>
      <c r="P127" s="78"/>
      <c r="Q127" s="371">
        <f t="shared" si="31"/>
        <v>0</v>
      </c>
      <c r="R127" s="375">
        <f t="shared" si="32"/>
        <v>0</v>
      </c>
      <c r="S127" s="28"/>
      <c r="T127" s="76" t="str">
        <f>IF(OR(LOG_ANNUEL!Q127=0,'LOG_ANNUEL_A-1'!Q127=0),"",((LOG_ANNUEL!Q127-'LOG_ANNUEL_A-1'!Q127)/'LOG_ANNUEL_A-1'!Q127)*100)</f>
        <v/>
      </c>
      <c r="U127" s="28" t="str">
        <f t="shared" si="17"/>
        <v/>
      </c>
      <c r="V127" s="78" t="str">
        <f>IF('LOG_ANNUEL_A-1'!R127=0,"",((R127-'LOG_ANNUEL_A-1'!R127)/'LOG_ANNUEL_A-1'!R127)*100)</f>
        <v/>
      </c>
      <c r="W127" s="28"/>
      <c r="X127" s="28"/>
      <c r="Y127" s="28"/>
      <c r="Z127" s="28"/>
      <c r="AA127" s="28"/>
      <c r="AB127" s="28"/>
      <c r="AC127" s="28"/>
      <c r="AD127" s="28"/>
      <c r="AE127" s="28"/>
      <c r="AF127" s="28"/>
      <c r="AG127" s="28"/>
      <c r="AH127" s="28"/>
      <c r="AI127" s="28"/>
    </row>
    <row r="128" spans="2:35" x14ac:dyDescent="0.25">
      <c r="B128">
        <v>79</v>
      </c>
      <c r="C128" s="761"/>
      <c r="D128" s="68" t="str">
        <f>HDG_10</f>
        <v>MCM</v>
      </c>
      <c r="E128" s="171"/>
      <c r="F128" s="28"/>
      <c r="G128" s="171"/>
      <c r="H128" s="413"/>
      <c r="I128" s="413"/>
      <c r="J128" s="413"/>
      <c r="K128" s="413"/>
      <c r="L128" s="413"/>
      <c r="M128" s="413"/>
      <c r="N128" s="413"/>
      <c r="O128" s="171"/>
      <c r="P128" s="78"/>
      <c r="Q128" s="371">
        <f t="shared" si="31"/>
        <v>0</v>
      </c>
      <c r="R128" s="375">
        <f t="shared" si="32"/>
        <v>0</v>
      </c>
      <c r="S128" s="28"/>
      <c r="T128" s="76" t="str">
        <f>IF(OR(LOG_ANNUEL!Q128=0,'LOG_ANNUEL_A-1'!Q128=0),"",((LOG_ANNUEL!Q128-'LOG_ANNUEL_A-1'!Q128)/'LOG_ANNUEL_A-1'!Q128)*100)</f>
        <v/>
      </c>
      <c r="U128" s="28" t="str">
        <f t="shared" si="17"/>
        <v/>
      </c>
      <c r="V128" s="78" t="str">
        <f>IF('LOG_ANNUEL_A-1'!R128=0,"",((R128-'LOG_ANNUEL_A-1'!R128)/'LOG_ANNUEL_A-1'!R128)*100)</f>
        <v/>
      </c>
      <c r="W128" s="28"/>
      <c r="X128" s="28"/>
      <c r="Y128" s="28"/>
      <c r="Z128" s="28"/>
      <c r="AA128" s="28"/>
      <c r="AB128" s="28"/>
      <c r="AC128" s="28"/>
      <c r="AD128" s="28"/>
      <c r="AE128" s="28"/>
      <c r="AF128" s="28"/>
      <c r="AG128" s="28"/>
      <c r="AH128" s="28"/>
      <c r="AI128" s="28"/>
    </row>
    <row r="129" spans="2:35" x14ac:dyDescent="0.25">
      <c r="B129">
        <v>80</v>
      </c>
      <c r="C129" s="761"/>
      <c r="D129" s="68" t="str">
        <f>HDG_11</f>
        <v>MCR</v>
      </c>
      <c r="E129" s="171"/>
      <c r="F129" s="28"/>
      <c r="G129" s="171"/>
      <c r="H129" s="413"/>
      <c r="I129" s="413"/>
      <c r="J129" s="413"/>
      <c r="K129" s="413"/>
      <c r="L129" s="413"/>
      <c r="M129" s="413"/>
      <c r="N129" s="413"/>
      <c r="O129" s="171"/>
      <c r="P129" s="78"/>
      <c r="Q129" s="371">
        <f t="shared" si="31"/>
        <v>0</v>
      </c>
      <c r="R129" s="375">
        <f t="shared" si="32"/>
        <v>0</v>
      </c>
      <c r="S129" s="28"/>
      <c r="T129" s="76" t="str">
        <f>IF(OR(LOG_ANNUEL!Q129=0,'LOG_ANNUEL_A-1'!Q129=0),"",((LOG_ANNUEL!Q129-'LOG_ANNUEL_A-1'!Q129)/'LOG_ANNUEL_A-1'!Q129)*100)</f>
        <v/>
      </c>
      <c r="U129" s="28" t="str">
        <f t="shared" si="17"/>
        <v/>
      </c>
      <c r="V129" s="78" t="str">
        <f>IF('LOG_ANNUEL_A-1'!R129=0,"",((R129-'LOG_ANNUEL_A-1'!R129)/'LOG_ANNUEL_A-1'!R129)*100)</f>
        <v/>
      </c>
      <c r="W129" s="28"/>
      <c r="X129" s="28"/>
      <c r="Y129" s="28"/>
      <c r="Z129" s="28"/>
      <c r="AA129" s="28"/>
      <c r="AB129" s="28"/>
      <c r="AC129" s="28"/>
      <c r="AD129" s="28"/>
      <c r="AE129" s="28"/>
      <c r="AF129" s="28"/>
      <c r="AG129" s="28"/>
      <c r="AH129" s="28"/>
      <c r="AI129" s="28"/>
    </row>
    <row r="130" spans="2:35" ht="15.75" thickBot="1" x14ac:dyDescent="0.3">
      <c r="B130">
        <v>81</v>
      </c>
      <c r="C130" s="762"/>
      <c r="D130" s="629" t="s">
        <v>406</v>
      </c>
      <c r="E130" s="171"/>
      <c r="F130" s="28"/>
      <c r="G130" s="171"/>
      <c r="H130" s="413"/>
      <c r="I130" s="413"/>
      <c r="J130" s="413"/>
      <c r="K130" s="413"/>
      <c r="L130" s="413"/>
      <c r="M130" s="413"/>
      <c r="N130" s="413"/>
      <c r="O130" s="171"/>
      <c r="P130" s="78"/>
      <c r="Q130" s="373">
        <f t="shared" si="31"/>
        <v>0</v>
      </c>
      <c r="R130" s="418">
        <f t="shared" si="32"/>
        <v>0</v>
      </c>
      <c r="S130" s="28"/>
      <c r="T130" s="76" t="str">
        <f>IF(OR(LOG_ANNUEL!Q130=0,'LOG_ANNUEL_A-1'!Q130=0),"",((LOG_ANNUEL!Q130-'LOG_ANNUEL_A-1'!Q130)/'LOG_ANNUEL_A-1'!Q130)*100)</f>
        <v/>
      </c>
      <c r="U130" s="28" t="str">
        <f t="shared" si="17"/>
        <v/>
      </c>
      <c r="V130" s="78" t="str">
        <f>IF('LOG_ANNUEL_A-1'!R130=0,"",((R130-'LOG_ANNUEL_A-1'!R130)/'LOG_ANNUEL_A-1'!R130)*100)</f>
        <v/>
      </c>
      <c r="W130" s="28"/>
      <c r="X130" s="28"/>
      <c r="Y130" s="28"/>
      <c r="Z130" s="28"/>
      <c r="AA130" s="28"/>
      <c r="AB130" s="28"/>
      <c r="AC130" s="28"/>
      <c r="AD130" s="28"/>
      <c r="AE130" s="28"/>
      <c r="AF130" s="28"/>
      <c r="AG130" s="28"/>
      <c r="AH130" s="28"/>
      <c r="AI130" s="28"/>
    </row>
    <row r="131" spans="2:35" ht="15.75" thickBot="1" x14ac:dyDescent="0.3">
      <c r="C131" s="535"/>
      <c r="D131" s="535"/>
      <c r="E131" s="181"/>
      <c r="F131" s="61"/>
      <c r="G131" s="181"/>
      <c r="H131" s="61"/>
      <c r="I131" s="181"/>
      <c r="J131" s="61"/>
      <c r="K131" s="181"/>
      <c r="L131" s="61"/>
      <c r="M131" s="181"/>
      <c r="N131" s="61"/>
      <c r="O131" s="181"/>
      <c r="P131" s="424"/>
      <c r="Q131" s="181"/>
      <c r="R131" s="61"/>
      <c r="S131" s="28"/>
      <c r="T131" s="76"/>
      <c r="U131" s="28"/>
      <c r="V131" s="78"/>
      <c r="W131" s="28"/>
      <c r="X131" s="28"/>
      <c r="Y131" s="28"/>
      <c r="Z131" s="28"/>
      <c r="AA131" s="28"/>
      <c r="AB131" s="28"/>
      <c r="AC131" s="28"/>
      <c r="AD131" s="28"/>
      <c r="AE131" s="28"/>
      <c r="AF131" s="28"/>
      <c r="AG131" s="28"/>
      <c r="AH131" s="28"/>
      <c r="AI131" s="28"/>
    </row>
    <row r="132" spans="2:35" ht="15.75" thickBot="1" x14ac:dyDescent="0.3">
      <c r="C132" s="830" t="s">
        <v>55</v>
      </c>
      <c r="D132" s="831"/>
      <c r="E132" s="181"/>
      <c r="F132" s="61"/>
      <c r="G132" s="181"/>
      <c r="H132" s="61"/>
      <c r="I132" s="181"/>
      <c r="J132" s="61"/>
      <c r="K132" s="181"/>
      <c r="L132" s="61"/>
      <c r="M132" s="181"/>
      <c r="N132" s="61"/>
      <c r="O132" s="181"/>
      <c r="P132" s="424"/>
      <c r="Q132" s="181"/>
      <c r="R132" s="61"/>
      <c r="S132" s="28"/>
      <c r="T132" s="76"/>
      <c r="U132" s="28"/>
      <c r="V132" s="78"/>
      <c r="W132" s="28"/>
      <c r="X132" s="28"/>
      <c r="Y132" s="28"/>
      <c r="Z132" s="28"/>
      <c r="AA132" s="28"/>
      <c r="AB132" s="28"/>
      <c r="AC132" s="28"/>
      <c r="AD132" s="28"/>
      <c r="AE132" s="28"/>
      <c r="AF132" s="28"/>
      <c r="AG132" s="28"/>
      <c r="AH132" s="28"/>
      <c r="AI132" s="28"/>
    </row>
    <row r="133" spans="2:35" ht="15.75" thickBot="1" x14ac:dyDescent="0.3">
      <c r="B133">
        <v>82</v>
      </c>
      <c r="C133" s="763" t="s">
        <v>65</v>
      </c>
      <c r="D133" s="764"/>
      <c r="E133" s="171"/>
      <c r="F133" s="28"/>
      <c r="G133" s="171"/>
      <c r="H133" s="413"/>
      <c r="I133" s="413"/>
      <c r="J133" s="413"/>
      <c r="K133" s="413"/>
      <c r="L133" s="413"/>
      <c r="M133" s="413"/>
      <c r="N133" s="413"/>
      <c r="O133" s="171"/>
      <c r="P133" s="78"/>
      <c r="Q133" s="374">
        <f>SUM(E133:P133)</f>
        <v>0</v>
      </c>
      <c r="R133" s="417">
        <f>SUM(H133:N133)</f>
        <v>0</v>
      </c>
      <c r="S133" s="28"/>
      <c r="T133" s="76" t="str">
        <f>IF(OR(LOG_ANNUEL!Q133=0,'LOG_ANNUEL_A-1'!Q133=0),"",((LOG_ANNUEL!Q133-'LOG_ANNUEL_A-1'!Q133)/'LOG_ANNUEL_A-1'!Q133)*100)</f>
        <v/>
      </c>
      <c r="U133" s="28" t="str">
        <f t="shared" si="17"/>
        <v/>
      </c>
      <c r="V133" s="78" t="str">
        <f>IF('LOG_ANNUEL_A-1'!R133=0,"",((R133-'LOG_ANNUEL_A-1'!R133)/'LOG_ANNUEL_A-1'!R133)*100)</f>
        <v/>
      </c>
      <c r="W133" s="28"/>
      <c r="X133" s="28"/>
      <c r="Y133" s="28"/>
      <c r="Z133" s="28"/>
      <c r="AA133" s="28"/>
      <c r="AB133" s="28"/>
      <c r="AC133" s="28"/>
      <c r="AD133" s="28"/>
      <c r="AE133" s="28"/>
      <c r="AF133" s="28"/>
      <c r="AG133" s="28"/>
      <c r="AH133" s="28"/>
      <c r="AI133" s="28"/>
    </row>
    <row r="134" spans="2:35" ht="15.75" thickBot="1" x14ac:dyDescent="0.3">
      <c r="C134" s="828" t="s">
        <v>56</v>
      </c>
      <c r="D134" s="829"/>
      <c r="E134" s="181"/>
      <c r="F134" s="61"/>
      <c r="G134" s="181"/>
      <c r="H134" s="61"/>
      <c r="I134" s="181"/>
      <c r="J134" s="61"/>
      <c r="K134" s="181"/>
      <c r="L134" s="61"/>
      <c r="M134" s="181"/>
      <c r="N134" s="61"/>
      <c r="O134" s="181"/>
      <c r="P134" s="424"/>
      <c r="Q134" s="372"/>
      <c r="R134" s="308"/>
      <c r="S134" s="28"/>
      <c r="T134" s="76"/>
      <c r="U134" s="28"/>
      <c r="V134" s="78"/>
      <c r="W134" s="28"/>
      <c r="X134" s="28"/>
      <c r="Y134" s="28"/>
      <c r="Z134" s="28"/>
      <c r="AA134" s="28"/>
      <c r="AB134" s="28"/>
      <c r="AC134" s="28"/>
      <c r="AD134" s="28"/>
      <c r="AE134" s="28"/>
      <c r="AF134" s="28"/>
      <c r="AG134" s="28"/>
      <c r="AH134" s="28"/>
      <c r="AI134" s="28"/>
    </row>
    <row r="135" spans="2:35" x14ac:dyDescent="0.25">
      <c r="B135">
        <v>83</v>
      </c>
      <c r="C135" s="760"/>
      <c r="D135" s="628" t="str">
        <f>HDG_1</f>
        <v>AFR</v>
      </c>
      <c r="E135" s="171"/>
      <c r="F135" s="28"/>
      <c r="G135" s="171"/>
      <c r="H135" s="413"/>
      <c r="I135" s="413"/>
      <c r="J135" s="413"/>
      <c r="K135" s="413"/>
      <c r="L135" s="413"/>
      <c r="M135" s="413"/>
      <c r="N135" s="413"/>
      <c r="O135" s="171"/>
      <c r="P135" s="78"/>
      <c r="Q135" s="371">
        <f>SUM(E135:P135)</f>
        <v>0</v>
      </c>
      <c r="R135" s="375">
        <f>SUM(H135:N135)</f>
        <v>0</v>
      </c>
      <c r="S135" s="28"/>
      <c r="T135" s="76" t="str">
        <f>IF(OR(LOG_ANNUEL!Q135=0,'LOG_ANNUEL_A-1'!Q135=0),"",((LOG_ANNUEL!Q135-'LOG_ANNUEL_A-1'!Q135)/'LOG_ANNUEL_A-1'!Q135)*100)</f>
        <v/>
      </c>
      <c r="U135" s="28" t="str">
        <f t="shared" si="17"/>
        <v/>
      </c>
      <c r="V135" s="78" t="str">
        <f>IF('LOG_ANNUEL_A-1'!R135=0,"",((R135-'LOG_ANNUEL_A-1'!R135)/'LOG_ANNUEL_A-1'!R135)*100)</f>
        <v/>
      </c>
      <c r="W135" s="28"/>
      <c r="X135" s="28"/>
      <c r="Y135" s="28"/>
      <c r="Z135" s="28"/>
      <c r="AA135" s="28"/>
      <c r="AB135" s="28"/>
      <c r="AC135" s="28"/>
      <c r="AD135" s="28"/>
      <c r="AE135" s="28"/>
      <c r="AF135" s="28"/>
      <c r="AG135" s="28"/>
      <c r="AH135" s="28"/>
      <c r="AI135" s="28"/>
    </row>
    <row r="136" spans="2:35" x14ac:dyDescent="0.25">
      <c r="B136">
        <v>84</v>
      </c>
      <c r="C136" s="761"/>
      <c r="D136" s="68" t="str">
        <f>HDG_2</f>
        <v>AVP</v>
      </c>
      <c r="E136" s="171"/>
      <c r="F136" s="28"/>
      <c r="G136" s="171"/>
      <c r="H136" s="413"/>
      <c r="I136" s="413"/>
      <c r="J136" s="413"/>
      <c r="K136" s="413"/>
      <c r="L136" s="413"/>
      <c r="M136" s="413"/>
      <c r="N136" s="413"/>
      <c r="O136" s="171"/>
      <c r="P136" s="78"/>
      <c r="Q136" s="371">
        <f t="shared" ref="Q136:Q146" si="33">SUM(E136:P136)</f>
        <v>0</v>
      </c>
      <c r="R136" s="375">
        <f t="shared" ref="R136:R146" si="34">SUM(H136:N136)</f>
        <v>0</v>
      </c>
      <c r="S136" s="28"/>
      <c r="T136" s="76" t="str">
        <f>IF(OR(LOG_ANNUEL!Q136=0,'LOG_ANNUEL_A-1'!Q136=0),"",((LOG_ANNUEL!Q136-'LOG_ANNUEL_A-1'!Q136)/'LOG_ANNUEL_A-1'!Q136)*100)</f>
        <v/>
      </c>
      <c r="U136" s="28" t="str">
        <f t="shared" si="17"/>
        <v/>
      </c>
      <c r="V136" s="78" t="str">
        <f>IF('LOG_ANNUEL_A-1'!R136=0,"",((R136-'LOG_ANNUEL_A-1'!R136)/'LOG_ANNUEL_A-1'!R136)*100)</f>
        <v/>
      </c>
      <c r="W136" s="28"/>
      <c r="X136" s="28"/>
      <c r="Y136" s="28"/>
      <c r="Z136" s="28"/>
      <c r="AA136" s="28"/>
      <c r="AB136" s="28"/>
      <c r="AC136" s="28"/>
      <c r="AD136" s="28"/>
      <c r="AE136" s="28"/>
      <c r="AF136" s="28"/>
      <c r="AG136" s="28"/>
      <c r="AH136" s="28"/>
      <c r="AI136" s="28"/>
    </row>
    <row r="137" spans="2:35" x14ac:dyDescent="0.25">
      <c r="B137">
        <v>85</v>
      </c>
      <c r="C137" s="761"/>
      <c r="D137" s="68" t="str">
        <f>HDG_3</f>
        <v>ALZ</v>
      </c>
      <c r="E137" s="171"/>
      <c r="F137" s="28"/>
      <c r="G137" s="171"/>
      <c r="H137" s="413"/>
      <c r="I137" s="413"/>
      <c r="J137" s="413"/>
      <c r="K137" s="413"/>
      <c r="L137" s="413"/>
      <c r="M137" s="413"/>
      <c r="N137" s="413"/>
      <c r="O137" s="171"/>
      <c r="P137" s="78"/>
      <c r="Q137" s="371">
        <f t="shared" si="33"/>
        <v>0</v>
      </c>
      <c r="R137" s="375">
        <f t="shared" si="34"/>
        <v>0</v>
      </c>
      <c r="S137" s="28"/>
      <c r="T137" s="76" t="str">
        <f>IF(OR(LOG_ANNUEL!Q137=0,'LOG_ANNUEL_A-1'!Q137=0),"",((LOG_ANNUEL!Q137-'LOG_ANNUEL_A-1'!Q137)/'LOG_ANNUEL_A-1'!Q137)*100)</f>
        <v/>
      </c>
      <c r="U137" s="28" t="str">
        <f t="shared" ref="U137:U200" si="35">IF(Q137=0,"",(R137*100)/Q137)</f>
        <v/>
      </c>
      <c r="V137" s="78" t="str">
        <f>IF('LOG_ANNUEL_A-1'!R137=0,"",((R137-'LOG_ANNUEL_A-1'!R137)/'LOG_ANNUEL_A-1'!R137)*100)</f>
        <v/>
      </c>
      <c r="W137" s="28"/>
      <c r="X137" s="28"/>
      <c r="Y137" s="28"/>
      <c r="Z137" s="28"/>
      <c r="AA137" s="28"/>
      <c r="AB137" s="28"/>
      <c r="AC137" s="28"/>
      <c r="AD137" s="28"/>
      <c r="AE137" s="28"/>
      <c r="AF137" s="28"/>
      <c r="AG137" s="28"/>
      <c r="AH137" s="28"/>
      <c r="AI137" s="28"/>
    </row>
    <row r="138" spans="2:35" x14ac:dyDescent="0.25">
      <c r="B138">
        <v>86</v>
      </c>
      <c r="C138" s="761"/>
      <c r="D138" s="68" t="str">
        <f>HDG_4</f>
        <v>MZS</v>
      </c>
      <c r="E138" s="171"/>
      <c r="F138" s="28"/>
      <c r="G138" s="171"/>
      <c r="H138" s="413"/>
      <c r="I138" s="413"/>
      <c r="J138" s="413"/>
      <c r="K138" s="413"/>
      <c r="L138" s="413"/>
      <c r="M138" s="413"/>
      <c r="N138" s="413"/>
      <c r="O138" s="171"/>
      <c r="P138" s="78"/>
      <c r="Q138" s="371">
        <f t="shared" si="33"/>
        <v>0</v>
      </c>
      <c r="R138" s="375">
        <f t="shared" si="34"/>
        <v>0</v>
      </c>
      <c r="S138" s="28"/>
      <c r="T138" s="76" t="str">
        <f>IF(OR(LOG_ANNUEL!Q138=0,'LOG_ANNUEL_A-1'!Q138=0),"",((LOG_ANNUEL!Q138-'LOG_ANNUEL_A-1'!Q138)/'LOG_ANNUEL_A-1'!Q138)*100)</f>
        <v/>
      </c>
      <c r="U138" s="28" t="str">
        <f t="shared" si="35"/>
        <v/>
      </c>
      <c r="V138" s="78" t="str">
        <f>IF('LOG_ANNUEL_A-1'!R138=0,"",((R138-'LOG_ANNUEL_A-1'!R138)/'LOG_ANNUEL_A-1'!R138)*100)</f>
        <v/>
      </c>
      <c r="W138" s="28"/>
      <c r="X138" s="28"/>
      <c r="Y138" s="28"/>
      <c r="Z138" s="28"/>
      <c r="AA138" s="28"/>
      <c r="AB138" s="28"/>
      <c r="AC138" s="28"/>
      <c r="AD138" s="28"/>
      <c r="AE138" s="28"/>
      <c r="AF138" s="28"/>
      <c r="AG138" s="28"/>
      <c r="AH138" s="28"/>
      <c r="AI138" s="28"/>
    </row>
    <row r="139" spans="2:35" x14ac:dyDescent="0.25">
      <c r="B139">
        <v>87</v>
      </c>
      <c r="C139" s="761"/>
      <c r="D139" s="68" t="str">
        <f>HDG_5</f>
        <v>APR</v>
      </c>
      <c r="E139" s="171"/>
      <c r="F139" s="28"/>
      <c r="G139" s="171"/>
      <c r="H139" s="413"/>
      <c r="I139" s="413"/>
      <c r="J139" s="413"/>
      <c r="K139" s="413"/>
      <c r="L139" s="413"/>
      <c r="M139" s="413"/>
      <c r="N139" s="413"/>
      <c r="O139" s="171"/>
      <c r="P139" s="78"/>
      <c r="Q139" s="371">
        <f t="shared" si="33"/>
        <v>0</v>
      </c>
      <c r="R139" s="375">
        <f t="shared" si="34"/>
        <v>0</v>
      </c>
      <c r="S139" s="28"/>
      <c r="T139" s="76" t="str">
        <f>IF(OR(LOG_ANNUEL!Q139=0,'LOG_ANNUEL_A-1'!Q139=0),"",((LOG_ANNUEL!Q139-'LOG_ANNUEL_A-1'!Q139)/'LOG_ANNUEL_A-1'!Q139)*100)</f>
        <v/>
      </c>
      <c r="U139" s="28" t="str">
        <f t="shared" si="35"/>
        <v/>
      </c>
      <c r="V139" s="78" t="str">
        <f>IF('LOG_ANNUEL_A-1'!R139=0,"",((R139-'LOG_ANNUEL_A-1'!R139)/'LOG_ANNUEL_A-1'!R139)*100)</f>
        <v/>
      </c>
      <c r="W139" s="28"/>
      <c r="X139" s="28"/>
      <c r="Y139" s="28"/>
      <c r="Z139" s="28"/>
      <c r="AA139" s="28"/>
      <c r="AB139" s="28"/>
      <c r="AC139" s="28"/>
      <c r="AD139" s="28"/>
      <c r="AE139" s="28"/>
      <c r="AF139" s="28"/>
      <c r="AG139" s="28"/>
      <c r="AH139" s="28"/>
      <c r="AI139" s="28"/>
    </row>
    <row r="140" spans="2:35" x14ac:dyDescent="0.25">
      <c r="B140">
        <v>88</v>
      </c>
      <c r="C140" s="761"/>
      <c r="D140" s="68" t="str">
        <f>HDG_6</f>
        <v>DCG</v>
      </c>
      <c r="E140" s="171"/>
      <c r="F140" s="28"/>
      <c r="G140" s="171"/>
      <c r="H140" s="413"/>
      <c r="I140" s="413"/>
      <c r="J140" s="413"/>
      <c r="K140" s="413"/>
      <c r="L140" s="413"/>
      <c r="M140" s="413"/>
      <c r="N140" s="413"/>
      <c r="O140" s="171"/>
      <c r="P140" s="78"/>
      <c r="Q140" s="371">
        <f t="shared" si="33"/>
        <v>0</v>
      </c>
      <c r="R140" s="375">
        <f t="shared" si="34"/>
        <v>0</v>
      </c>
      <c r="S140" s="28"/>
      <c r="T140" s="76" t="str">
        <f>IF(OR(LOG_ANNUEL!Q140=0,'LOG_ANNUEL_A-1'!Q140=0),"",((LOG_ANNUEL!Q140-'LOG_ANNUEL_A-1'!Q140)/'LOG_ANNUEL_A-1'!Q140)*100)</f>
        <v/>
      </c>
      <c r="U140" s="28" t="str">
        <f t="shared" si="35"/>
        <v/>
      </c>
      <c r="V140" s="78" t="str">
        <f>IF('LOG_ANNUEL_A-1'!R140=0,"",((R140-'LOG_ANNUEL_A-1'!R140)/'LOG_ANNUEL_A-1'!R140)*100)</f>
        <v/>
      </c>
      <c r="W140" s="28"/>
      <c r="X140" s="28"/>
      <c r="Y140" s="28"/>
      <c r="Z140" s="28"/>
      <c r="AA140" s="28"/>
      <c r="AB140" s="28"/>
      <c r="AC140" s="28"/>
      <c r="AD140" s="28"/>
      <c r="AE140" s="28"/>
      <c r="AF140" s="28"/>
      <c r="AG140" s="28"/>
      <c r="AH140" s="28"/>
      <c r="AI140" s="28"/>
    </row>
    <row r="141" spans="2:35" x14ac:dyDescent="0.25">
      <c r="B141">
        <v>89</v>
      </c>
      <c r="C141" s="761"/>
      <c r="D141" s="68" t="str">
        <f>HDG_7</f>
        <v>SFS</v>
      </c>
      <c r="E141" s="171"/>
      <c r="F141" s="28"/>
      <c r="G141" s="171"/>
      <c r="H141" s="413"/>
      <c r="I141" s="413"/>
      <c r="J141" s="413"/>
      <c r="K141" s="413"/>
      <c r="L141" s="413"/>
      <c r="M141" s="413"/>
      <c r="N141" s="413"/>
      <c r="O141" s="171"/>
      <c r="P141" s="78"/>
      <c r="Q141" s="371">
        <f t="shared" si="33"/>
        <v>0</v>
      </c>
      <c r="R141" s="375">
        <f t="shared" si="34"/>
        <v>0</v>
      </c>
      <c r="S141" s="28"/>
      <c r="T141" s="76" t="str">
        <f>IF(OR(LOG_ANNUEL!Q141=0,'LOG_ANNUEL_A-1'!Q141=0),"",((LOG_ANNUEL!Q141-'LOG_ANNUEL_A-1'!Q141)/'LOG_ANNUEL_A-1'!Q141)*100)</f>
        <v/>
      </c>
      <c r="U141" s="28" t="str">
        <f t="shared" si="35"/>
        <v/>
      </c>
      <c r="V141" s="78" t="str">
        <f>IF('LOG_ANNUEL_A-1'!R141=0,"",((R141-'LOG_ANNUEL_A-1'!R141)/'LOG_ANNUEL_A-1'!R141)*100)</f>
        <v/>
      </c>
      <c r="W141" s="28"/>
      <c r="X141" s="28"/>
      <c r="Y141" s="28"/>
      <c r="Z141" s="28"/>
      <c r="AA141" s="28"/>
      <c r="AB141" s="28"/>
      <c r="AC141" s="28"/>
      <c r="AD141" s="28"/>
      <c r="AE141" s="28"/>
      <c r="AF141" s="28"/>
      <c r="AG141" s="28"/>
      <c r="AH141" s="28"/>
      <c r="AI141" s="28"/>
    </row>
    <row r="142" spans="2:35" x14ac:dyDescent="0.25">
      <c r="B142">
        <v>90</v>
      </c>
      <c r="C142" s="761"/>
      <c r="D142" s="68" t="str">
        <f>HDG_8</f>
        <v>AZH</v>
      </c>
      <c r="E142" s="171"/>
      <c r="F142" s="28"/>
      <c r="G142" s="171"/>
      <c r="H142" s="413"/>
      <c r="I142" s="413"/>
      <c r="J142" s="413"/>
      <c r="K142" s="413"/>
      <c r="L142" s="413"/>
      <c r="M142" s="413"/>
      <c r="N142" s="413"/>
      <c r="O142" s="171"/>
      <c r="P142" s="78"/>
      <c r="Q142" s="371">
        <f t="shared" si="33"/>
        <v>0</v>
      </c>
      <c r="R142" s="375">
        <f t="shared" si="34"/>
        <v>0</v>
      </c>
      <c r="S142" s="28"/>
      <c r="T142" s="76" t="str">
        <f>IF(OR(LOG_ANNUEL!Q142=0,'LOG_ANNUEL_A-1'!Q142=0),"",((LOG_ANNUEL!Q142-'LOG_ANNUEL_A-1'!Q142)/'LOG_ANNUEL_A-1'!Q142)*100)</f>
        <v/>
      </c>
      <c r="U142" s="28" t="str">
        <f t="shared" si="35"/>
        <v/>
      </c>
      <c r="V142" s="78" t="str">
        <f>IF('LOG_ANNUEL_A-1'!R142=0,"",((R142-'LOG_ANNUEL_A-1'!R142)/'LOG_ANNUEL_A-1'!R142)*100)</f>
        <v/>
      </c>
      <c r="W142" s="28"/>
      <c r="X142" s="28"/>
      <c r="Y142" s="28"/>
      <c r="Z142" s="28"/>
      <c r="AA142" s="28"/>
      <c r="AB142" s="28"/>
      <c r="AC142" s="28"/>
      <c r="AD142" s="28"/>
      <c r="AE142" s="28"/>
      <c r="AF142" s="28"/>
      <c r="AG142" s="28"/>
      <c r="AH142" s="28"/>
      <c r="AI142" s="28"/>
    </row>
    <row r="143" spans="2:35" x14ac:dyDescent="0.25">
      <c r="B143">
        <v>91</v>
      </c>
      <c r="C143" s="761"/>
      <c r="D143" s="68" t="str">
        <f>HDG_9</f>
        <v>HLI</v>
      </c>
      <c r="E143" s="171"/>
      <c r="F143" s="28"/>
      <c r="G143" s="171"/>
      <c r="H143" s="413"/>
      <c r="I143" s="413"/>
      <c r="J143" s="413"/>
      <c r="K143" s="413"/>
      <c r="L143" s="413"/>
      <c r="M143" s="413"/>
      <c r="N143" s="413"/>
      <c r="O143" s="171"/>
      <c r="P143" s="78"/>
      <c r="Q143" s="371">
        <f t="shared" si="33"/>
        <v>0</v>
      </c>
      <c r="R143" s="375">
        <f t="shared" si="34"/>
        <v>0</v>
      </c>
      <c r="S143" s="28"/>
      <c r="T143" s="76" t="str">
        <f>IF(OR(LOG_ANNUEL!Q143=0,'LOG_ANNUEL_A-1'!Q143=0),"",((LOG_ANNUEL!Q143-'LOG_ANNUEL_A-1'!Q143)/'LOG_ANNUEL_A-1'!Q143)*100)</f>
        <v/>
      </c>
      <c r="U143" s="28" t="str">
        <f t="shared" si="35"/>
        <v/>
      </c>
      <c r="V143" s="78" t="str">
        <f>IF('LOG_ANNUEL_A-1'!R143=0,"",((R143-'LOG_ANNUEL_A-1'!R143)/'LOG_ANNUEL_A-1'!R143)*100)</f>
        <v/>
      </c>
      <c r="W143" s="28"/>
      <c r="X143" s="28"/>
      <c r="Y143" s="28"/>
      <c r="Z143" s="28"/>
      <c r="AA143" s="28"/>
      <c r="AB143" s="28"/>
      <c r="AC143" s="28"/>
      <c r="AD143" s="28"/>
      <c r="AE143" s="28"/>
      <c r="AF143" s="28"/>
      <c r="AG143" s="28"/>
      <c r="AH143" s="28"/>
      <c r="AI143" s="28"/>
    </row>
    <row r="144" spans="2:35" x14ac:dyDescent="0.25">
      <c r="B144">
        <v>92</v>
      </c>
      <c r="C144" s="761"/>
      <c r="D144" s="68" t="str">
        <f>HDG_10</f>
        <v>MCM</v>
      </c>
      <c r="E144" s="171"/>
      <c r="F144" s="28"/>
      <c r="G144" s="171"/>
      <c r="H144" s="413"/>
      <c r="I144" s="413"/>
      <c r="J144" s="413"/>
      <c r="K144" s="413"/>
      <c r="L144" s="413"/>
      <c r="M144" s="413"/>
      <c r="N144" s="413"/>
      <c r="O144" s="171"/>
      <c r="P144" s="78"/>
      <c r="Q144" s="371">
        <f t="shared" si="33"/>
        <v>0</v>
      </c>
      <c r="R144" s="375">
        <f t="shared" si="34"/>
        <v>0</v>
      </c>
      <c r="S144" s="28"/>
      <c r="T144" s="76" t="str">
        <f>IF(OR(LOG_ANNUEL!Q144=0,'LOG_ANNUEL_A-1'!Q144=0),"",((LOG_ANNUEL!Q144-'LOG_ANNUEL_A-1'!Q144)/'LOG_ANNUEL_A-1'!Q144)*100)</f>
        <v/>
      </c>
      <c r="U144" s="28" t="str">
        <f t="shared" si="35"/>
        <v/>
      </c>
      <c r="V144" s="78" t="str">
        <f>IF('LOG_ANNUEL_A-1'!R144=0,"",((R144-'LOG_ANNUEL_A-1'!R144)/'LOG_ANNUEL_A-1'!R144)*100)</f>
        <v/>
      </c>
      <c r="W144" s="28"/>
      <c r="X144" s="28"/>
      <c r="Y144" s="28"/>
      <c r="Z144" s="28"/>
      <c r="AA144" s="28"/>
      <c r="AB144" s="28"/>
      <c r="AC144" s="28"/>
      <c r="AD144" s="28"/>
      <c r="AE144" s="28"/>
      <c r="AF144" s="28"/>
      <c r="AG144" s="28"/>
      <c r="AH144" s="28"/>
      <c r="AI144" s="28"/>
    </row>
    <row r="145" spans="2:35" x14ac:dyDescent="0.25">
      <c r="B145">
        <v>93</v>
      </c>
      <c r="C145" s="761"/>
      <c r="D145" s="68" t="str">
        <f>HDG_11</f>
        <v>MCR</v>
      </c>
      <c r="E145" s="171"/>
      <c r="F145" s="28"/>
      <c r="G145" s="171"/>
      <c r="H145" s="413"/>
      <c r="I145" s="413"/>
      <c r="J145" s="413"/>
      <c r="K145" s="413"/>
      <c r="L145" s="413"/>
      <c r="M145" s="413"/>
      <c r="N145" s="413"/>
      <c r="O145" s="171"/>
      <c r="P145" s="78"/>
      <c r="Q145" s="371">
        <f t="shared" si="33"/>
        <v>0</v>
      </c>
      <c r="R145" s="375">
        <f t="shared" si="34"/>
        <v>0</v>
      </c>
      <c r="S145" s="28"/>
      <c r="T145" s="76" t="str">
        <f>IF(OR(LOG_ANNUEL!Q145=0,'LOG_ANNUEL_A-1'!Q145=0),"",((LOG_ANNUEL!Q145-'LOG_ANNUEL_A-1'!Q145)/'LOG_ANNUEL_A-1'!Q145)*100)</f>
        <v/>
      </c>
      <c r="U145" s="28" t="str">
        <f t="shared" si="35"/>
        <v/>
      </c>
      <c r="V145" s="78" t="str">
        <f>IF('LOG_ANNUEL_A-1'!R145=0,"",((R145-'LOG_ANNUEL_A-1'!R145)/'LOG_ANNUEL_A-1'!R145)*100)</f>
        <v/>
      </c>
      <c r="W145" s="28"/>
      <c r="X145" s="28"/>
      <c r="Y145" s="28"/>
      <c r="Z145" s="28"/>
      <c r="AA145" s="28"/>
      <c r="AB145" s="28"/>
      <c r="AC145" s="28"/>
      <c r="AD145" s="28"/>
      <c r="AE145" s="28"/>
      <c r="AF145" s="28"/>
      <c r="AG145" s="28"/>
      <c r="AH145" s="28"/>
      <c r="AI145" s="28"/>
    </row>
    <row r="146" spans="2:35" ht="15.75" thickBot="1" x14ac:dyDescent="0.3">
      <c r="B146">
        <v>94</v>
      </c>
      <c r="C146" s="762"/>
      <c r="D146" s="629" t="s">
        <v>406</v>
      </c>
      <c r="E146" s="171"/>
      <c r="F146" s="28"/>
      <c r="G146" s="171"/>
      <c r="H146" s="413"/>
      <c r="I146" s="413"/>
      <c r="J146" s="413"/>
      <c r="K146" s="413"/>
      <c r="L146" s="413"/>
      <c r="M146" s="413"/>
      <c r="N146" s="413"/>
      <c r="O146" s="171"/>
      <c r="P146" s="78"/>
      <c r="Q146" s="373">
        <f t="shared" si="33"/>
        <v>0</v>
      </c>
      <c r="R146" s="418">
        <f t="shared" si="34"/>
        <v>0</v>
      </c>
      <c r="S146" s="28"/>
      <c r="T146" s="76" t="str">
        <f>IF(OR(LOG_ANNUEL!Q146=0,'LOG_ANNUEL_A-1'!Q146=0),"",((LOG_ANNUEL!Q146-'LOG_ANNUEL_A-1'!Q146)/'LOG_ANNUEL_A-1'!Q146)*100)</f>
        <v/>
      </c>
      <c r="U146" s="28" t="str">
        <f t="shared" si="35"/>
        <v/>
      </c>
      <c r="V146" s="78" t="str">
        <f>IF('LOG_ANNUEL_A-1'!R146=0,"",((R146-'LOG_ANNUEL_A-1'!R146)/'LOG_ANNUEL_A-1'!R146)*100)</f>
        <v/>
      </c>
      <c r="W146" s="28"/>
      <c r="X146" s="28"/>
      <c r="Y146" s="28"/>
      <c r="Z146" s="28"/>
      <c r="AA146" s="28"/>
      <c r="AB146" s="28"/>
      <c r="AC146" s="28"/>
      <c r="AD146" s="28"/>
      <c r="AE146" s="28"/>
      <c r="AF146" s="28"/>
      <c r="AG146" s="28"/>
      <c r="AH146" s="28"/>
      <c r="AI146" s="28"/>
    </row>
    <row r="147" spans="2:35" ht="15.75" thickBot="1" x14ac:dyDescent="0.3">
      <c r="C147" s="535"/>
      <c r="D147" s="535"/>
      <c r="E147" s="181"/>
      <c r="F147" s="61"/>
      <c r="G147" s="181"/>
      <c r="H147" s="61"/>
      <c r="I147" s="181"/>
      <c r="J147" s="61"/>
      <c r="K147" s="181"/>
      <c r="L147" s="61"/>
      <c r="M147" s="181"/>
      <c r="N147" s="61"/>
      <c r="O147" s="181"/>
      <c r="P147" s="424"/>
      <c r="Q147" s="181"/>
      <c r="R147" s="61"/>
      <c r="S147" s="28"/>
      <c r="T147" s="76"/>
      <c r="U147" s="28"/>
      <c r="V147" s="78"/>
      <c r="W147" s="28"/>
      <c r="X147" s="28"/>
      <c r="Y147" s="28"/>
      <c r="Z147" s="28"/>
      <c r="AA147" s="28"/>
      <c r="AB147" s="28"/>
      <c r="AC147" s="28"/>
      <c r="AD147" s="28"/>
      <c r="AE147" s="28"/>
      <c r="AF147" s="28"/>
      <c r="AG147" s="28"/>
      <c r="AH147" s="28"/>
      <c r="AI147" s="28"/>
    </row>
    <row r="148" spans="2:35" ht="15.75" thickBot="1" x14ac:dyDescent="0.3">
      <c r="C148" s="830" t="s">
        <v>55</v>
      </c>
      <c r="D148" s="831"/>
      <c r="E148" s="181"/>
      <c r="F148" s="61"/>
      <c r="G148" s="181"/>
      <c r="H148" s="61"/>
      <c r="I148" s="181"/>
      <c r="J148" s="61"/>
      <c r="K148" s="181"/>
      <c r="L148" s="61"/>
      <c r="M148" s="181"/>
      <c r="N148" s="61"/>
      <c r="O148" s="181"/>
      <c r="P148" s="424"/>
      <c r="Q148" s="181"/>
      <c r="R148" s="61"/>
      <c r="S148" s="28"/>
      <c r="T148" s="76"/>
      <c r="U148" s="28"/>
      <c r="V148" s="78"/>
      <c r="W148" s="28"/>
      <c r="X148" s="28"/>
      <c r="Y148" s="28"/>
      <c r="Z148" s="28"/>
      <c r="AA148" s="28"/>
      <c r="AB148" s="28"/>
      <c r="AC148" s="28"/>
      <c r="AD148" s="28"/>
      <c r="AE148" s="28"/>
      <c r="AF148" s="28"/>
      <c r="AG148" s="28"/>
      <c r="AH148" s="28"/>
      <c r="AI148" s="28"/>
    </row>
    <row r="149" spans="2:35" ht="15.75" thickBot="1" x14ac:dyDescent="0.3">
      <c r="B149">
        <v>95</v>
      </c>
      <c r="C149" s="765" t="s">
        <v>67</v>
      </c>
      <c r="D149" s="766"/>
      <c r="E149" s="171"/>
      <c r="F149" s="28"/>
      <c r="G149" s="171"/>
      <c r="H149" s="413"/>
      <c r="I149" s="413"/>
      <c r="J149" s="413"/>
      <c r="K149" s="413"/>
      <c r="L149" s="413"/>
      <c r="M149" s="413"/>
      <c r="N149" s="413"/>
      <c r="O149" s="171"/>
      <c r="P149" s="78"/>
      <c r="Q149" s="374">
        <f>SUM(E149:P149)</f>
        <v>0</v>
      </c>
      <c r="R149" s="417">
        <f>SUM(H149:N149)</f>
        <v>0</v>
      </c>
      <c r="S149" s="28"/>
      <c r="T149" s="76" t="str">
        <f>IF(OR(LOG_ANNUEL!Q149=0,'LOG_ANNUEL_A-1'!Q149=0),"",((LOG_ANNUEL!Q149-'LOG_ANNUEL_A-1'!Q149)/'LOG_ANNUEL_A-1'!Q149)*100)</f>
        <v/>
      </c>
      <c r="U149" s="28" t="str">
        <f t="shared" si="35"/>
        <v/>
      </c>
      <c r="V149" s="78" t="str">
        <f>IF('LOG_ANNUEL_A-1'!R149=0,"",((R149-'LOG_ANNUEL_A-1'!R149)/'LOG_ANNUEL_A-1'!R149)*100)</f>
        <v/>
      </c>
      <c r="W149" s="28"/>
      <c r="X149" s="28"/>
      <c r="Y149" s="28"/>
      <c r="Z149" s="28"/>
      <c r="AA149" s="28"/>
      <c r="AB149" s="28"/>
      <c r="AC149" s="28"/>
      <c r="AD149" s="28"/>
      <c r="AE149" s="28"/>
      <c r="AF149" s="28"/>
      <c r="AG149" s="28"/>
      <c r="AH149" s="28"/>
      <c r="AI149" s="28"/>
    </row>
    <row r="150" spans="2:35" ht="15.75" thickBot="1" x14ac:dyDescent="0.3">
      <c r="C150" s="828" t="s">
        <v>56</v>
      </c>
      <c r="D150" s="829"/>
      <c r="E150" s="181"/>
      <c r="F150" s="61"/>
      <c r="G150" s="181"/>
      <c r="H150" s="61"/>
      <c r="I150" s="181"/>
      <c r="J150" s="61"/>
      <c r="K150" s="181"/>
      <c r="L150" s="61"/>
      <c r="M150" s="181"/>
      <c r="N150" s="61"/>
      <c r="O150" s="181"/>
      <c r="P150" s="424"/>
      <c r="Q150" s="372"/>
      <c r="R150" s="308"/>
      <c r="S150" s="28"/>
      <c r="T150" s="76"/>
      <c r="U150" s="28"/>
      <c r="V150" s="78"/>
      <c r="W150" s="28"/>
      <c r="X150" s="28"/>
      <c r="Y150" s="28"/>
      <c r="Z150" s="28"/>
      <c r="AA150" s="28"/>
      <c r="AB150" s="28"/>
      <c r="AC150" s="28"/>
      <c r="AD150" s="28"/>
      <c r="AE150" s="28"/>
      <c r="AF150" s="28"/>
      <c r="AG150" s="28"/>
      <c r="AH150" s="28"/>
      <c r="AI150" s="28"/>
    </row>
    <row r="151" spans="2:35" x14ac:dyDescent="0.25">
      <c r="B151">
        <v>96</v>
      </c>
      <c r="C151" s="760"/>
      <c r="D151" s="628" t="str">
        <f>HDG_1</f>
        <v>AFR</v>
      </c>
      <c r="E151" s="171"/>
      <c r="F151" s="28"/>
      <c r="G151" s="171"/>
      <c r="H151" s="413"/>
      <c r="I151" s="413"/>
      <c r="J151" s="413"/>
      <c r="K151" s="413"/>
      <c r="L151" s="413"/>
      <c r="M151" s="413"/>
      <c r="N151" s="413"/>
      <c r="O151" s="171"/>
      <c r="P151" s="78"/>
      <c r="Q151" s="371">
        <f>SUM(E151:P151)</f>
        <v>0</v>
      </c>
      <c r="R151" s="375">
        <f>SUM(H151:N151)</f>
        <v>0</v>
      </c>
      <c r="S151" s="28"/>
      <c r="T151" s="76" t="str">
        <f>IF(OR(LOG_ANNUEL!Q151=0,'LOG_ANNUEL_A-1'!Q151=0),"",((LOG_ANNUEL!Q151-'LOG_ANNUEL_A-1'!Q151)/'LOG_ANNUEL_A-1'!Q151)*100)</f>
        <v/>
      </c>
      <c r="U151" s="28" t="str">
        <f t="shared" si="35"/>
        <v/>
      </c>
      <c r="V151" s="78" t="str">
        <f>IF('LOG_ANNUEL_A-1'!R151=0,"",((R151-'LOG_ANNUEL_A-1'!R151)/'LOG_ANNUEL_A-1'!R151)*100)</f>
        <v/>
      </c>
      <c r="W151" s="28"/>
      <c r="X151" s="28"/>
      <c r="Y151" s="28"/>
      <c r="Z151" s="28"/>
      <c r="AA151" s="28"/>
      <c r="AB151" s="28"/>
      <c r="AC151" s="28"/>
      <c r="AD151" s="28"/>
      <c r="AE151" s="28"/>
      <c r="AF151" s="28"/>
      <c r="AG151" s="28"/>
      <c r="AH151" s="28"/>
      <c r="AI151" s="28"/>
    </row>
    <row r="152" spans="2:35" x14ac:dyDescent="0.25">
      <c r="B152">
        <v>97</v>
      </c>
      <c r="C152" s="761"/>
      <c r="D152" s="68" t="str">
        <f>HDG_2</f>
        <v>AVP</v>
      </c>
      <c r="E152" s="171"/>
      <c r="F152" s="28"/>
      <c r="G152" s="171"/>
      <c r="H152" s="413"/>
      <c r="I152" s="413"/>
      <c r="J152" s="413"/>
      <c r="K152" s="413"/>
      <c r="L152" s="413"/>
      <c r="M152" s="413"/>
      <c r="N152" s="413"/>
      <c r="O152" s="171"/>
      <c r="P152" s="78"/>
      <c r="Q152" s="371">
        <f t="shared" ref="Q152:Q162" si="36">SUM(E152:P152)</f>
        <v>0</v>
      </c>
      <c r="R152" s="375">
        <f t="shared" ref="R152:R162" si="37">SUM(H152:N152)</f>
        <v>0</v>
      </c>
      <c r="S152" s="28"/>
      <c r="T152" s="76" t="str">
        <f>IF(OR(LOG_ANNUEL!Q152=0,'LOG_ANNUEL_A-1'!Q152=0),"",((LOG_ANNUEL!Q152-'LOG_ANNUEL_A-1'!Q152)/'LOG_ANNUEL_A-1'!Q152)*100)</f>
        <v/>
      </c>
      <c r="U152" s="28" t="str">
        <f t="shared" si="35"/>
        <v/>
      </c>
      <c r="V152" s="78" t="str">
        <f>IF('LOG_ANNUEL_A-1'!R152=0,"",((R152-'LOG_ANNUEL_A-1'!R152)/'LOG_ANNUEL_A-1'!R152)*100)</f>
        <v/>
      </c>
      <c r="W152" s="28"/>
      <c r="X152" s="28"/>
      <c r="Y152" s="28"/>
      <c r="Z152" s="28"/>
      <c r="AA152" s="28"/>
      <c r="AB152" s="28"/>
      <c r="AC152" s="28"/>
      <c r="AD152" s="28"/>
      <c r="AE152" s="28"/>
      <c r="AF152" s="28"/>
      <c r="AG152" s="28"/>
      <c r="AH152" s="28"/>
      <c r="AI152" s="28"/>
    </row>
    <row r="153" spans="2:35" x14ac:dyDescent="0.25">
      <c r="B153">
        <v>98</v>
      </c>
      <c r="C153" s="761"/>
      <c r="D153" s="68" t="str">
        <f>HDG_3</f>
        <v>ALZ</v>
      </c>
      <c r="E153" s="171"/>
      <c r="F153" s="28"/>
      <c r="G153" s="171"/>
      <c r="H153" s="413"/>
      <c r="I153" s="413"/>
      <c r="J153" s="413"/>
      <c r="K153" s="413"/>
      <c r="L153" s="413"/>
      <c r="M153" s="413"/>
      <c r="N153" s="413"/>
      <c r="O153" s="171"/>
      <c r="P153" s="78"/>
      <c r="Q153" s="371">
        <f t="shared" si="36"/>
        <v>0</v>
      </c>
      <c r="R153" s="375">
        <f t="shared" si="37"/>
        <v>0</v>
      </c>
      <c r="S153" s="28"/>
      <c r="T153" s="76" t="str">
        <f>IF(OR(LOG_ANNUEL!Q153=0,'LOG_ANNUEL_A-1'!Q153=0),"",((LOG_ANNUEL!Q153-'LOG_ANNUEL_A-1'!Q153)/'LOG_ANNUEL_A-1'!Q153)*100)</f>
        <v/>
      </c>
      <c r="U153" s="28" t="str">
        <f t="shared" si="35"/>
        <v/>
      </c>
      <c r="V153" s="78" t="str">
        <f>IF('LOG_ANNUEL_A-1'!R153=0,"",((R153-'LOG_ANNUEL_A-1'!R153)/'LOG_ANNUEL_A-1'!R153)*100)</f>
        <v/>
      </c>
      <c r="W153" s="28"/>
      <c r="X153" s="28"/>
      <c r="Y153" s="28"/>
      <c r="Z153" s="28"/>
      <c r="AA153" s="28"/>
      <c r="AB153" s="28"/>
      <c r="AC153" s="28"/>
      <c r="AD153" s="28"/>
      <c r="AE153" s="28"/>
      <c r="AF153" s="28"/>
      <c r="AG153" s="28"/>
      <c r="AH153" s="28"/>
      <c r="AI153" s="28"/>
    </row>
    <row r="154" spans="2:35" x14ac:dyDescent="0.25">
      <c r="B154">
        <v>99</v>
      </c>
      <c r="C154" s="761"/>
      <c r="D154" s="68" t="str">
        <f>HDG_4</f>
        <v>MZS</v>
      </c>
      <c r="E154" s="171"/>
      <c r="F154" s="28"/>
      <c r="G154" s="171"/>
      <c r="H154" s="413"/>
      <c r="I154" s="413"/>
      <c r="J154" s="413"/>
      <c r="K154" s="413"/>
      <c r="L154" s="413"/>
      <c r="M154" s="413"/>
      <c r="N154" s="413"/>
      <c r="O154" s="171"/>
      <c r="P154" s="78"/>
      <c r="Q154" s="371">
        <f t="shared" si="36"/>
        <v>0</v>
      </c>
      <c r="R154" s="375">
        <f t="shared" si="37"/>
        <v>0</v>
      </c>
      <c r="S154" s="28"/>
      <c r="T154" s="76" t="str">
        <f>IF(OR(LOG_ANNUEL!Q154=0,'LOG_ANNUEL_A-1'!Q154=0),"",((LOG_ANNUEL!Q154-'LOG_ANNUEL_A-1'!Q154)/'LOG_ANNUEL_A-1'!Q154)*100)</f>
        <v/>
      </c>
      <c r="U154" s="28" t="str">
        <f t="shared" si="35"/>
        <v/>
      </c>
      <c r="V154" s="78" t="str">
        <f>IF('LOG_ANNUEL_A-1'!R154=0,"",((R154-'LOG_ANNUEL_A-1'!R154)/'LOG_ANNUEL_A-1'!R154)*100)</f>
        <v/>
      </c>
      <c r="W154" s="28"/>
      <c r="X154" s="28"/>
      <c r="Y154" s="28"/>
      <c r="Z154" s="28"/>
      <c r="AA154" s="28"/>
      <c r="AB154" s="28"/>
      <c r="AC154" s="28"/>
      <c r="AD154" s="28"/>
      <c r="AE154" s="28"/>
      <c r="AF154" s="28"/>
      <c r="AG154" s="28"/>
      <c r="AH154" s="28"/>
      <c r="AI154" s="28"/>
    </row>
    <row r="155" spans="2:35" x14ac:dyDescent="0.25">
      <c r="B155">
        <v>100</v>
      </c>
      <c r="C155" s="761"/>
      <c r="D155" s="68" t="str">
        <f>HDG_5</f>
        <v>APR</v>
      </c>
      <c r="E155" s="171"/>
      <c r="F155" s="28"/>
      <c r="G155" s="171"/>
      <c r="H155" s="413"/>
      <c r="I155" s="413"/>
      <c r="J155" s="413"/>
      <c r="K155" s="413"/>
      <c r="L155" s="413"/>
      <c r="M155" s="413"/>
      <c r="N155" s="413"/>
      <c r="O155" s="171"/>
      <c r="P155" s="78"/>
      <c r="Q155" s="371">
        <f t="shared" si="36"/>
        <v>0</v>
      </c>
      <c r="R155" s="375">
        <f t="shared" si="37"/>
        <v>0</v>
      </c>
      <c r="S155" s="28"/>
      <c r="T155" s="76" t="str">
        <f>IF(OR(LOG_ANNUEL!Q155=0,'LOG_ANNUEL_A-1'!Q155=0),"",((LOG_ANNUEL!Q155-'LOG_ANNUEL_A-1'!Q155)/'LOG_ANNUEL_A-1'!Q155)*100)</f>
        <v/>
      </c>
      <c r="U155" s="28" t="str">
        <f t="shared" si="35"/>
        <v/>
      </c>
      <c r="V155" s="78" t="str">
        <f>IF('LOG_ANNUEL_A-1'!R155=0,"",((R155-'LOG_ANNUEL_A-1'!R155)/'LOG_ANNUEL_A-1'!R155)*100)</f>
        <v/>
      </c>
      <c r="W155" s="28"/>
      <c r="X155" s="28"/>
      <c r="Y155" s="28"/>
      <c r="Z155" s="28"/>
      <c r="AA155" s="28"/>
      <c r="AB155" s="28"/>
      <c r="AC155" s="28"/>
      <c r="AD155" s="28"/>
      <c r="AE155" s="28"/>
      <c r="AF155" s="28"/>
      <c r="AG155" s="28"/>
      <c r="AH155" s="28"/>
      <c r="AI155" s="28"/>
    </row>
    <row r="156" spans="2:35" x14ac:dyDescent="0.25">
      <c r="B156">
        <v>101</v>
      </c>
      <c r="C156" s="761"/>
      <c r="D156" s="68" t="str">
        <f>HDG_6</f>
        <v>DCG</v>
      </c>
      <c r="E156" s="171"/>
      <c r="F156" s="28"/>
      <c r="G156" s="171"/>
      <c r="H156" s="413"/>
      <c r="I156" s="413"/>
      <c r="J156" s="413"/>
      <c r="K156" s="413"/>
      <c r="L156" s="413"/>
      <c r="M156" s="413"/>
      <c r="N156" s="413"/>
      <c r="O156" s="171"/>
      <c r="P156" s="78"/>
      <c r="Q156" s="371">
        <f t="shared" si="36"/>
        <v>0</v>
      </c>
      <c r="R156" s="375">
        <f t="shared" si="37"/>
        <v>0</v>
      </c>
      <c r="S156" s="28"/>
      <c r="T156" s="76" t="str">
        <f>IF(OR(LOG_ANNUEL!Q156=0,'LOG_ANNUEL_A-1'!Q156=0),"",((LOG_ANNUEL!Q156-'LOG_ANNUEL_A-1'!Q156)/'LOG_ANNUEL_A-1'!Q156)*100)</f>
        <v/>
      </c>
      <c r="U156" s="28" t="str">
        <f t="shared" si="35"/>
        <v/>
      </c>
      <c r="V156" s="78" t="str">
        <f>IF('LOG_ANNUEL_A-1'!R156=0,"",((R156-'LOG_ANNUEL_A-1'!R156)/'LOG_ANNUEL_A-1'!R156)*100)</f>
        <v/>
      </c>
      <c r="W156" s="28"/>
      <c r="X156" s="28"/>
      <c r="Y156" s="28"/>
      <c r="Z156" s="28"/>
      <c r="AA156" s="28"/>
      <c r="AB156" s="28"/>
      <c r="AC156" s="28"/>
      <c r="AD156" s="28"/>
      <c r="AE156" s="28"/>
      <c r="AF156" s="28"/>
      <c r="AG156" s="28"/>
      <c r="AH156" s="28"/>
      <c r="AI156" s="28"/>
    </row>
    <row r="157" spans="2:35" x14ac:dyDescent="0.25">
      <c r="B157">
        <v>102</v>
      </c>
      <c r="C157" s="761"/>
      <c r="D157" s="68" t="str">
        <f>HDG_7</f>
        <v>SFS</v>
      </c>
      <c r="E157" s="171"/>
      <c r="F157" s="28"/>
      <c r="G157" s="171"/>
      <c r="H157" s="413"/>
      <c r="I157" s="413"/>
      <c r="J157" s="413"/>
      <c r="K157" s="413"/>
      <c r="L157" s="413"/>
      <c r="M157" s="413"/>
      <c r="N157" s="413"/>
      <c r="O157" s="171"/>
      <c r="P157" s="78"/>
      <c r="Q157" s="371">
        <f t="shared" si="36"/>
        <v>0</v>
      </c>
      <c r="R157" s="375">
        <f t="shared" si="37"/>
        <v>0</v>
      </c>
      <c r="S157" s="28"/>
      <c r="T157" s="76" t="str">
        <f>IF(OR(LOG_ANNUEL!Q157=0,'LOG_ANNUEL_A-1'!Q157=0),"",((LOG_ANNUEL!Q157-'LOG_ANNUEL_A-1'!Q157)/'LOG_ANNUEL_A-1'!Q157)*100)</f>
        <v/>
      </c>
      <c r="U157" s="28" t="str">
        <f t="shared" si="35"/>
        <v/>
      </c>
      <c r="V157" s="78" t="str">
        <f>IF('LOG_ANNUEL_A-1'!R157=0,"",((R157-'LOG_ANNUEL_A-1'!R157)/'LOG_ANNUEL_A-1'!R157)*100)</f>
        <v/>
      </c>
      <c r="W157" s="28"/>
      <c r="X157" s="28"/>
      <c r="Y157" s="28"/>
      <c r="Z157" s="28"/>
      <c r="AA157" s="28"/>
      <c r="AB157" s="28"/>
      <c r="AC157" s="28"/>
      <c r="AD157" s="28"/>
      <c r="AE157" s="28"/>
      <c r="AF157" s="28"/>
      <c r="AG157" s="28"/>
      <c r="AH157" s="28"/>
      <c r="AI157" s="28"/>
    </row>
    <row r="158" spans="2:35" x14ac:dyDescent="0.25">
      <c r="B158">
        <v>103</v>
      </c>
      <c r="C158" s="761"/>
      <c r="D158" s="68" t="str">
        <f>HDG_8</f>
        <v>AZH</v>
      </c>
      <c r="E158" s="171"/>
      <c r="F158" s="28"/>
      <c r="G158" s="171"/>
      <c r="H158" s="413"/>
      <c r="I158" s="413"/>
      <c r="J158" s="413"/>
      <c r="K158" s="413"/>
      <c r="L158" s="413"/>
      <c r="M158" s="413"/>
      <c r="N158" s="413"/>
      <c r="O158" s="171"/>
      <c r="P158" s="78"/>
      <c r="Q158" s="371">
        <f t="shared" si="36"/>
        <v>0</v>
      </c>
      <c r="R158" s="375">
        <f t="shared" si="37"/>
        <v>0</v>
      </c>
      <c r="S158" s="28"/>
      <c r="T158" s="76" t="str">
        <f>IF(OR(LOG_ANNUEL!Q158=0,'LOG_ANNUEL_A-1'!Q158=0),"",((LOG_ANNUEL!Q158-'LOG_ANNUEL_A-1'!Q158)/'LOG_ANNUEL_A-1'!Q158)*100)</f>
        <v/>
      </c>
      <c r="U158" s="28" t="str">
        <f t="shared" si="35"/>
        <v/>
      </c>
      <c r="V158" s="78" t="str">
        <f>IF('LOG_ANNUEL_A-1'!R158=0,"",((R158-'LOG_ANNUEL_A-1'!R158)/'LOG_ANNUEL_A-1'!R158)*100)</f>
        <v/>
      </c>
      <c r="W158" s="28"/>
      <c r="X158" s="28"/>
      <c r="Y158" s="28"/>
      <c r="Z158" s="28"/>
      <c r="AA158" s="28"/>
      <c r="AB158" s="28"/>
      <c r="AC158" s="28"/>
      <c r="AD158" s="28"/>
      <c r="AE158" s="28"/>
      <c r="AF158" s="28"/>
      <c r="AG158" s="28"/>
      <c r="AH158" s="28"/>
      <c r="AI158" s="28"/>
    </row>
    <row r="159" spans="2:35" x14ac:dyDescent="0.25">
      <c r="B159">
        <v>104</v>
      </c>
      <c r="C159" s="761"/>
      <c r="D159" s="68" t="str">
        <f>HDG_9</f>
        <v>HLI</v>
      </c>
      <c r="E159" s="171"/>
      <c r="F159" s="28"/>
      <c r="G159" s="171"/>
      <c r="H159" s="413"/>
      <c r="I159" s="413"/>
      <c r="J159" s="413"/>
      <c r="K159" s="413"/>
      <c r="L159" s="413"/>
      <c r="M159" s="413"/>
      <c r="N159" s="413"/>
      <c r="O159" s="171"/>
      <c r="P159" s="78"/>
      <c r="Q159" s="371">
        <f t="shared" si="36"/>
        <v>0</v>
      </c>
      <c r="R159" s="375">
        <f t="shared" si="37"/>
        <v>0</v>
      </c>
      <c r="S159" s="28"/>
      <c r="T159" s="76" t="str">
        <f>IF(OR(LOG_ANNUEL!Q159=0,'LOG_ANNUEL_A-1'!Q159=0),"",((LOG_ANNUEL!Q159-'LOG_ANNUEL_A-1'!Q159)/'LOG_ANNUEL_A-1'!Q159)*100)</f>
        <v/>
      </c>
      <c r="U159" s="28" t="str">
        <f t="shared" si="35"/>
        <v/>
      </c>
      <c r="V159" s="78" t="str">
        <f>IF('LOG_ANNUEL_A-1'!R159=0,"",((R159-'LOG_ANNUEL_A-1'!R159)/'LOG_ANNUEL_A-1'!R159)*100)</f>
        <v/>
      </c>
      <c r="W159" s="28"/>
      <c r="X159" s="28"/>
      <c r="Y159" s="28"/>
      <c r="Z159" s="28"/>
      <c r="AA159" s="28"/>
      <c r="AB159" s="28"/>
      <c r="AC159" s="28"/>
      <c r="AD159" s="28"/>
      <c r="AE159" s="28"/>
      <c r="AF159" s="28"/>
      <c r="AG159" s="28"/>
      <c r="AH159" s="28"/>
      <c r="AI159" s="28"/>
    </row>
    <row r="160" spans="2:35" x14ac:dyDescent="0.25">
      <c r="B160">
        <v>105</v>
      </c>
      <c r="C160" s="761"/>
      <c r="D160" s="68" t="str">
        <f>HDG_10</f>
        <v>MCM</v>
      </c>
      <c r="E160" s="171"/>
      <c r="F160" s="28"/>
      <c r="G160" s="171"/>
      <c r="H160" s="413"/>
      <c r="I160" s="413"/>
      <c r="J160" s="413"/>
      <c r="K160" s="413"/>
      <c r="L160" s="413"/>
      <c r="M160" s="413"/>
      <c r="N160" s="413"/>
      <c r="O160" s="171"/>
      <c r="P160" s="78"/>
      <c r="Q160" s="371">
        <f t="shared" si="36"/>
        <v>0</v>
      </c>
      <c r="R160" s="375">
        <f t="shared" si="37"/>
        <v>0</v>
      </c>
      <c r="S160" s="28"/>
      <c r="T160" s="76" t="str">
        <f>IF(OR(LOG_ANNUEL!Q160=0,'LOG_ANNUEL_A-1'!Q160=0),"",((LOG_ANNUEL!Q160-'LOG_ANNUEL_A-1'!Q160)/'LOG_ANNUEL_A-1'!Q160)*100)</f>
        <v/>
      </c>
      <c r="U160" s="28" t="str">
        <f t="shared" si="35"/>
        <v/>
      </c>
      <c r="V160" s="78" t="str">
        <f>IF('LOG_ANNUEL_A-1'!R160=0,"",((R160-'LOG_ANNUEL_A-1'!R160)/'LOG_ANNUEL_A-1'!R160)*100)</f>
        <v/>
      </c>
      <c r="W160" s="28"/>
      <c r="X160" s="28"/>
      <c r="Y160" s="28"/>
      <c r="Z160" s="28"/>
      <c r="AA160" s="28"/>
      <c r="AB160" s="28"/>
      <c r="AC160" s="28"/>
      <c r="AD160" s="28"/>
      <c r="AE160" s="28"/>
      <c r="AF160" s="28"/>
      <c r="AG160" s="28"/>
      <c r="AH160" s="28"/>
      <c r="AI160" s="28"/>
    </row>
    <row r="161" spans="2:36" x14ac:dyDescent="0.25">
      <c r="B161">
        <v>106</v>
      </c>
      <c r="C161" s="761"/>
      <c r="D161" s="68" t="str">
        <f>HDG_11</f>
        <v>MCR</v>
      </c>
      <c r="E161" s="171"/>
      <c r="F161" s="28"/>
      <c r="G161" s="171"/>
      <c r="H161" s="413"/>
      <c r="I161" s="413"/>
      <c r="J161" s="413"/>
      <c r="K161" s="413"/>
      <c r="L161" s="413"/>
      <c r="M161" s="413"/>
      <c r="N161" s="413"/>
      <c r="O161" s="171"/>
      <c r="P161" s="78"/>
      <c r="Q161" s="371">
        <f t="shared" si="36"/>
        <v>0</v>
      </c>
      <c r="R161" s="375">
        <f t="shared" si="37"/>
        <v>0</v>
      </c>
      <c r="S161" s="28"/>
      <c r="T161" s="76" t="str">
        <f>IF(OR(LOG_ANNUEL!Q161=0,'LOG_ANNUEL_A-1'!Q161=0),"",((LOG_ANNUEL!Q161-'LOG_ANNUEL_A-1'!Q161)/'LOG_ANNUEL_A-1'!Q161)*100)</f>
        <v/>
      </c>
      <c r="U161" s="28" t="str">
        <f t="shared" si="35"/>
        <v/>
      </c>
      <c r="V161" s="78" t="str">
        <f>IF('LOG_ANNUEL_A-1'!R161=0,"",((R161-'LOG_ANNUEL_A-1'!R161)/'LOG_ANNUEL_A-1'!R161)*100)</f>
        <v/>
      </c>
      <c r="W161" s="28"/>
      <c r="X161" s="28"/>
      <c r="Y161" s="28"/>
      <c r="Z161" s="28"/>
      <c r="AA161" s="28"/>
      <c r="AB161" s="28"/>
      <c r="AC161" s="28"/>
      <c r="AD161" s="28"/>
      <c r="AE161" s="28"/>
      <c r="AF161" s="28"/>
      <c r="AG161" s="28"/>
      <c r="AH161" s="28"/>
      <c r="AI161" s="28"/>
    </row>
    <row r="162" spans="2:36" ht="15.75" thickBot="1" x14ac:dyDescent="0.3">
      <c r="B162">
        <v>107</v>
      </c>
      <c r="C162" s="761"/>
      <c r="D162" s="68" t="s">
        <v>406</v>
      </c>
      <c r="E162" s="605"/>
      <c r="F162" s="632"/>
      <c r="G162" s="605"/>
      <c r="H162" s="641"/>
      <c r="I162" s="641"/>
      <c r="J162" s="641"/>
      <c r="K162" s="641"/>
      <c r="L162" s="641"/>
      <c r="M162" s="641"/>
      <c r="N162" s="641"/>
      <c r="O162" s="605"/>
      <c r="P162" s="627"/>
      <c r="Q162" s="371">
        <f t="shared" si="36"/>
        <v>0</v>
      </c>
      <c r="R162" s="375">
        <f t="shared" si="37"/>
        <v>0</v>
      </c>
      <c r="S162" s="28"/>
      <c r="T162" s="76" t="str">
        <f>IF(OR(LOG_ANNUEL!Q162=0,'LOG_ANNUEL_A-1'!Q162=0),"",((LOG_ANNUEL!Q162-'LOG_ANNUEL_A-1'!Q162)/'LOG_ANNUEL_A-1'!Q162)*100)</f>
        <v/>
      </c>
      <c r="U162" s="28" t="str">
        <f t="shared" si="35"/>
        <v/>
      </c>
      <c r="V162" s="78" t="str">
        <f>IF('LOG_ANNUEL_A-1'!R162=0,"",((R162-'LOG_ANNUEL_A-1'!R162)/'LOG_ANNUEL_A-1'!R162)*100)</f>
        <v/>
      </c>
      <c r="W162" s="28"/>
      <c r="X162" s="28"/>
      <c r="Y162" s="28"/>
      <c r="Z162" s="28"/>
      <c r="AA162" s="28"/>
      <c r="AB162" s="28"/>
      <c r="AC162" s="28"/>
      <c r="AD162" s="28"/>
      <c r="AE162" s="28"/>
      <c r="AF162" s="28"/>
      <c r="AG162" s="28"/>
      <c r="AH162" s="28"/>
      <c r="AI162" s="28"/>
    </row>
    <row r="163" spans="2:36" ht="15" customHeight="1" x14ac:dyDescent="0.25">
      <c r="C163" s="842" t="s">
        <v>622</v>
      </c>
      <c r="D163" s="843"/>
      <c r="E163" s="843"/>
      <c r="F163" s="843"/>
      <c r="G163" s="843"/>
      <c r="H163" s="843"/>
      <c r="I163" s="843"/>
      <c r="J163" s="843"/>
      <c r="K163" s="843"/>
      <c r="L163" s="843"/>
      <c r="M163" s="843"/>
      <c r="N163" s="843"/>
      <c r="O163" s="843"/>
      <c r="P163" s="843"/>
      <c r="Q163" s="843"/>
      <c r="R163" s="844"/>
      <c r="S163" s="367"/>
      <c r="T163" s="76"/>
      <c r="U163" s="28"/>
      <c r="V163" s="78"/>
      <c r="W163" s="367"/>
      <c r="X163" s="367"/>
      <c r="Y163" s="367"/>
      <c r="Z163" s="367"/>
      <c r="AA163" s="367"/>
      <c r="AB163" s="367"/>
      <c r="AC163" s="367"/>
      <c r="AD163" s="367"/>
      <c r="AE163" s="367"/>
      <c r="AF163" s="367"/>
      <c r="AG163" s="367"/>
      <c r="AH163" s="367"/>
      <c r="AI163" s="367"/>
      <c r="AJ163" s="367"/>
    </row>
    <row r="164" spans="2:36" ht="15.75" customHeight="1" thickBot="1" x14ac:dyDescent="0.3">
      <c r="C164" s="845"/>
      <c r="D164" s="846"/>
      <c r="E164" s="846"/>
      <c r="F164" s="846"/>
      <c r="G164" s="846"/>
      <c r="H164" s="846"/>
      <c r="I164" s="846"/>
      <c r="J164" s="846"/>
      <c r="K164" s="846"/>
      <c r="L164" s="846"/>
      <c r="M164" s="846"/>
      <c r="N164" s="846"/>
      <c r="O164" s="846"/>
      <c r="P164" s="846"/>
      <c r="Q164" s="846"/>
      <c r="R164" s="847"/>
      <c r="S164" s="367"/>
      <c r="T164" s="76"/>
      <c r="U164" s="28"/>
      <c r="V164" s="78"/>
      <c r="W164" s="367"/>
      <c r="X164" s="367"/>
      <c r="Y164" s="367"/>
      <c r="Z164" s="367"/>
      <c r="AA164" s="367"/>
      <c r="AB164" s="367"/>
      <c r="AC164" s="367"/>
      <c r="AD164" s="367"/>
      <c r="AE164" s="367"/>
      <c r="AF164" s="367"/>
      <c r="AG164" s="367"/>
      <c r="AH164" s="367"/>
      <c r="AI164" s="367"/>
      <c r="AJ164" s="367"/>
    </row>
    <row r="165" spans="2:36" x14ac:dyDescent="0.25">
      <c r="B165">
        <v>108</v>
      </c>
      <c r="C165" s="737" t="s">
        <v>604</v>
      </c>
      <c r="D165" s="738"/>
      <c r="E165" s="254"/>
      <c r="F165" s="60"/>
      <c r="G165" s="254"/>
      <c r="H165" s="422"/>
      <c r="I165" s="422"/>
      <c r="J165" s="422"/>
      <c r="K165" s="422"/>
      <c r="L165" s="422"/>
      <c r="M165" s="422"/>
      <c r="N165" s="422"/>
      <c r="O165" s="254"/>
      <c r="P165" s="60"/>
      <c r="Q165" s="374">
        <f>SUM(E165:P165)</f>
        <v>0</v>
      </c>
      <c r="R165" s="425">
        <f t="shared" ref="R165:R170" si="38">SUM(H165:N165)</f>
        <v>0</v>
      </c>
      <c r="S165" s="28"/>
      <c r="T165" s="76" t="str">
        <f>IF(OR(LOG_ANNUEL!Q165=0,'LOG_ANNUEL_A-1'!Q165=0),"",((LOG_ANNUEL!Q165-'LOG_ANNUEL_A-1'!Q165)/'LOG_ANNUEL_A-1'!Q165)*100)</f>
        <v/>
      </c>
      <c r="U165" s="28" t="str">
        <f t="shared" si="35"/>
        <v/>
      </c>
      <c r="V165" s="78" t="str">
        <f>IF('LOG_ANNUEL_A-1'!R165=0,"",((R165-'LOG_ANNUEL_A-1'!R165)/'LOG_ANNUEL_A-1'!R165)*100)</f>
        <v/>
      </c>
      <c r="W165" s="28"/>
      <c r="X165" s="28"/>
      <c r="Y165" s="28"/>
      <c r="Z165" s="28"/>
      <c r="AA165" s="28"/>
      <c r="AB165" s="28"/>
      <c r="AC165" s="28"/>
      <c r="AD165" s="28"/>
      <c r="AE165" s="28"/>
      <c r="AF165" s="28"/>
      <c r="AG165" s="28"/>
      <c r="AH165" s="28"/>
      <c r="AI165" s="28"/>
    </row>
    <row r="166" spans="2:36" x14ac:dyDescent="0.25">
      <c r="C166" s="727" t="s">
        <v>63</v>
      </c>
      <c r="D166" s="728"/>
      <c r="E166" s="171">
        <f>E194</f>
        <v>0</v>
      </c>
      <c r="F166" s="171">
        <f t="shared" ref="F166:P166" si="39">F194</f>
        <v>0</v>
      </c>
      <c r="G166" s="171">
        <f t="shared" si="39"/>
        <v>0</v>
      </c>
      <c r="H166" s="413">
        <f t="shared" si="39"/>
        <v>0</v>
      </c>
      <c r="I166" s="413">
        <f t="shared" si="39"/>
        <v>0</v>
      </c>
      <c r="J166" s="413">
        <f t="shared" si="39"/>
        <v>0</v>
      </c>
      <c r="K166" s="413">
        <f t="shared" si="39"/>
        <v>0</v>
      </c>
      <c r="L166" s="413">
        <f t="shared" si="39"/>
        <v>0</v>
      </c>
      <c r="M166" s="413">
        <f t="shared" si="39"/>
        <v>0</v>
      </c>
      <c r="N166" s="413">
        <f t="shared" si="39"/>
        <v>0</v>
      </c>
      <c r="O166" s="171">
        <f t="shared" si="39"/>
        <v>0</v>
      </c>
      <c r="P166" s="171">
        <f t="shared" si="39"/>
        <v>0</v>
      </c>
      <c r="Q166" s="371">
        <f t="shared" ref="Q166:Q170" si="40">SUM(E166:P166)</f>
        <v>0</v>
      </c>
      <c r="R166" s="426">
        <f t="shared" si="38"/>
        <v>0</v>
      </c>
      <c r="S166" s="28"/>
      <c r="T166" s="76" t="str">
        <f>IF(OR(LOG_ANNUEL!Q166=0,'LOG_ANNUEL_A-1'!Q166=0),"",((LOG_ANNUEL!Q166-'LOG_ANNUEL_A-1'!Q166)/'LOG_ANNUEL_A-1'!Q166)*100)</f>
        <v/>
      </c>
      <c r="U166" s="28" t="str">
        <f t="shared" si="35"/>
        <v/>
      </c>
      <c r="V166" s="78">
        <f>IF('LOG_ANNUEL_A-1'!R166=0,"",((R166-'LOG_ANNUEL_A-1'!R166)/'LOG_ANNUEL_A-1'!R166)*100)</f>
        <v>-100</v>
      </c>
      <c r="W166" s="28"/>
      <c r="X166" s="28"/>
      <c r="Y166" s="28"/>
      <c r="Z166" s="28"/>
      <c r="AA166" s="28"/>
      <c r="AB166" s="28"/>
      <c r="AC166" s="28"/>
      <c r="AD166" s="28"/>
      <c r="AE166" s="28"/>
      <c r="AF166" s="28"/>
      <c r="AG166" s="28"/>
      <c r="AH166" s="28"/>
      <c r="AI166" s="28"/>
    </row>
    <row r="167" spans="2:36" x14ac:dyDescent="0.25">
      <c r="C167" s="727" t="s">
        <v>179</v>
      </c>
      <c r="D167" s="728"/>
      <c r="E167" s="171">
        <f>E179</f>
        <v>0</v>
      </c>
      <c r="F167" s="171">
        <f t="shared" ref="F167:P167" si="41">F179</f>
        <v>0</v>
      </c>
      <c r="G167" s="171">
        <f t="shared" si="41"/>
        <v>0</v>
      </c>
      <c r="H167" s="413">
        <f t="shared" si="41"/>
        <v>0</v>
      </c>
      <c r="I167" s="413">
        <f t="shared" si="41"/>
        <v>0</v>
      </c>
      <c r="J167" s="413">
        <f t="shared" si="41"/>
        <v>0</v>
      </c>
      <c r="K167" s="413">
        <f t="shared" si="41"/>
        <v>0</v>
      </c>
      <c r="L167" s="413">
        <f t="shared" si="41"/>
        <v>0</v>
      </c>
      <c r="M167" s="413">
        <f t="shared" si="41"/>
        <v>0</v>
      </c>
      <c r="N167" s="413">
        <f t="shared" si="41"/>
        <v>0</v>
      </c>
      <c r="O167" s="171">
        <f t="shared" si="41"/>
        <v>0</v>
      </c>
      <c r="P167" s="171">
        <f t="shared" si="41"/>
        <v>0</v>
      </c>
      <c r="Q167" s="371">
        <f t="shared" si="40"/>
        <v>0</v>
      </c>
      <c r="R167" s="426">
        <f t="shared" si="38"/>
        <v>0</v>
      </c>
      <c r="S167" s="28"/>
      <c r="T167" s="76" t="str">
        <f>IF(OR(LOG_ANNUEL!Q167=0,'LOG_ANNUEL_A-1'!Q167=0),"",((LOG_ANNUEL!Q167-'LOG_ANNUEL_A-1'!Q167)/'LOG_ANNUEL_A-1'!Q167)*100)</f>
        <v/>
      </c>
      <c r="U167" s="28" t="str">
        <f t="shared" si="35"/>
        <v/>
      </c>
      <c r="V167" s="78">
        <f>IF('LOG_ANNUEL_A-1'!R167=0,"",((R167-'LOG_ANNUEL_A-1'!R167)/'LOG_ANNUEL_A-1'!R167)*100)</f>
        <v>-100</v>
      </c>
      <c r="W167" s="28"/>
      <c r="X167" s="28"/>
      <c r="Y167" s="28"/>
      <c r="Z167" s="28"/>
      <c r="AA167" s="28"/>
      <c r="AB167" s="28"/>
      <c r="AC167" s="28"/>
      <c r="AD167" s="28"/>
      <c r="AE167" s="28"/>
      <c r="AF167" s="28"/>
      <c r="AG167" s="28"/>
      <c r="AH167" s="28"/>
      <c r="AI167" s="28"/>
    </row>
    <row r="168" spans="2:36" x14ac:dyDescent="0.25">
      <c r="B168">
        <v>110</v>
      </c>
      <c r="C168" s="727" t="s">
        <v>607</v>
      </c>
      <c r="D168" s="728"/>
      <c r="E168" s="171"/>
      <c r="F168" s="28"/>
      <c r="G168" s="171"/>
      <c r="H168" s="413"/>
      <c r="I168" s="413"/>
      <c r="J168" s="413"/>
      <c r="K168" s="413"/>
      <c r="L168" s="413"/>
      <c r="M168" s="413"/>
      <c r="N168" s="413"/>
      <c r="O168" s="171"/>
      <c r="P168" s="28"/>
      <c r="Q168" s="371">
        <f t="shared" si="40"/>
        <v>0</v>
      </c>
      <c r="R168" s="426">
        <f t="shared" si="38"/>
        <v>0</v>
      </c>
      <c r="S168" s="28"/>
      <c r="T168" s="76" t="str">
        <f>IF(OR(LOG_ANNUEL!Q168=0,'LOG_ANNUEL_A-1'!Q168=0),"",((LOG_ANNUEL!Q168-'LOG_ANNUEL_A-1'!Q168)/'LOG_ANNUEL_A-1'!Q168)*100)</f>
        <v/>
      </c>
      <c r="U168" s="28" t="str">
        <f t="shared" si="35"/>
        <v/>
      </c>
      <c r="V168" s="78" t="str">
        <f>IF('LOG_ANNUEL_A-1'!R168=0,"",((R168-'LOG_ANNUEL_A-1'!R168)/'LOG_ANNUEL_A-1'!R168)*100)</f>
        <v/>
      </c>
      <c r="W168" s="28"/>
      <c r="X168" s="28"/>
      <c r="Y168" s="28"/>
      <c r="Z168" s="28"/>
      <c r="AA168" s="28"/>
      <c r="AB168" s="28"/>
      <c r="AC168" s="28"/>
      <c r="AD168" s="28"/>
      <c r="AE168" s="28"/>
      <c r="AF168" s="28"/>
      <c r="AG168" s="28"/>
      <c r="AH168" s="28"/>
      <c r="AI168" s="28"/>
    </row>
    <row r="169" spans="2:36" x14ac:dyDescent="0.25">
      <c r="C169" s="727" t="s">
        <v>605</v>
      </c>
      <c r="D169" s="728"/>
      <c r="E169" s="171">
        <f>E209</f>
        <v>0</v>
      </c>
      <c r="F169" s="171">
        <f t="shared" ref="F169:P169" si="42">F209</f>
        <v>0</v>
      </c>
      <c r="G169" s="171">
        <f t="shared" si="42"/>
        <v>0</v>
      </c>
      <c r="H169" s="413">
        <f t="shared" si="42"/>
        <v>0</v>
      </c>
      <c r="I169" s="413">
        <f t="shared" si="42"/>
        <v>0</v>
      </c>
      <c r="J169" s="413">
        <f t="shared" si="42"/>
        <v>0</v>
      </c>
      <c r="K169" s="413">
        <f t="shared" si="42"/>
        <v>0</v>
      </c>
      <c r="L169" s="413">
        <f t="shared" si="42"/>
        <v>0</v>
      </c>
      <c r="M169" s="413">
        <f t="shared" si="42"/>
        <v>0</v>
      </c>
      <c r="N169" s="413">
        <f t="shared" si="42"/>
        <v>0</v>
      </c>
      <c r="O169" s="171">
        <f t="shared" si="42"/>
        <v>0</v>
      </c>
      <c r="P169" s="171">
        <f t="shared" si="42"/>
        <v>0</v>
      </c>
      <c r="Q169" s="371">
        <f t="shared" si="40"/>
        <v>0</v>
      </c>
      <c r="R169" s="426">
        <f t="shared" si="38"/>
        <v>0</v>
      </c>
      <c r="S169" s="28"/>
      <c r="T169" s="76" t="str">
        <f>IF(OR(LOG_ANNUEL!Q169=0,'LOG_ANNUEL_A-1'!Q169=0),"",((LOG_ANNUEL!Q169-'LOG_ANNUEL_A-1'!Q169)/'LOG_ANNUEL_A-1'!Q169)*100)</f>
        <v/>
      </c>
      <c r="U169" s="28" t="str">
        <f t="shared" si="35"/>
        <v/>
      </c>
      <c r="V169" s="78">
        <f>IF('LOG_ANNUEL_A-1'!R169=0,"",((R169-'LOG_ANNUEL_A-1'!R169)/'LOG_ANNUEL_A-1'!R169)*100)</f>
        <v>-100</v>
      </c>
      <c r="W169" s="28"/>
      <c r="X169" s="28"/>
      <c r="Y169" s="28"/>
      <c r="Z169" s="28"/>
      <c r="AA169" s="28"/>
      <c r="AB169" s="28"/>
      <c r="AC169" s="28"/>
      <c r="AD169" s="28"/>
      <c r="AE169" s="28"/>
      <c r="AF169" s="28"/>
      <c r="AG169" s="28"/>
      <c r="AH169" s="28"/>
      <c r="AI169" s="28"/>
    </row>
    <row r="170" spans="2:36" ht="15.75" thickBot="1" x14ac:dyDescent="0.3">
      <c r="B170">
        <v>111</v>
      </c>
      <c r="C170" s="743" t="s">
        <v>17</v>
      </c>
      <c r="D170" s="744"/>
      <c r="E170" s="253">
        <v>7</v>
      </c>
      <c r="F170" s="63"/>
      <c r="G170" s="253"/>
      <c r="H170" s="423"/>
      <c r="I170" s="423"/>
      <c r="J170" s="423"/>
      <c r="K170" s="423"/>
      <c r="L170" s="423"/>
      <c r="M170" s="423"/>
      <c r="N170" s="423"/>
      <c r="O170" s="253"/>
      <c r="P170" s="63"/>
      <c r="Q170" s="373">
        <f t="shared" si="40"/>
        <v>7</v>
      </c>
      <c r="R170" s="427">
        <f t="shared" si="38"/>
        <v>0</v>
      </c>
      <c r="S170" s="28"/>
      <c r="T170" s="76">
        <f>IF(OR(LOG_ANNUEL!Q170=0,'LOG_ANNUEL_A-1'!Q170=0),"",((LOG_ANNUEL!Q170-'LOG_ANNUEL_A-1'!Q170)/'LOG_ANNUEL_A-1'!Q170)*100)</f>
        <v>-93.577981651376149</v>
      </c>
      <c r="U170" s="28">
        <f t="shared" si="35"/>
        <v>0</v>
      </c>
      <c r="V170" s="78">
        <f>IF('LOG_ANNUEL_A-1'!R170=0,"",((R170-'LOG_ANNUEL_A-1'!R170)/'LOG_ANNUEL_A-1'!R170)*100)</f>
        <v>-100</v>
      </c>
      <c r="W170" s="28"/>
      <c r="X170" s="28"/>
      <c r="Y170" s="28"/>
      <c r="Z170" s="28"/>
      <c r="AA170" s="28"/>
      <c r="AB170" s="28"/>
      <c r="AC170" s="28"/>
      <c r="AD170" s="28"/>
      <c r="AE170" s="28"/>
      <c r="AF170" s="28"/>
      <c r="AG170" s="28"/>
      <c r="AH170" s="28"/>
      <c r="AI170" s="28"/>
    </row>
    <row r="171" spans="2:36" ht="15.75" thickBot="1" x14ac:dyDescent="0.3">
      <c r="C171" s="181"/>
      <c r="D171" s="181"/>
      <c r="E171" s="791" t="s">
        <v>961</v>
      </c>
      <c r="F171" s="792"/>
      <c r="G171" s="792"/>
      <c r="H171" s="792"/>
      <c r="I171" s="792"/>
      <c r="J171" s="792"/>
      <c r="K171" s="792"/>
      <c r="L171" s="792"/>
      <c r="M171" s="792"/>
      <c r="N171" s="792"/>
      <c r="O171" s="792"/>
      <c r="P171" s="793"/>
      <c r="Q171" s="181"/>
      <c r="R171" s="181"/>
      <c r="S171" s="28"/>
      <c r="T171" s="76"/>
      <c r="U171" s="28"/>
      <c r="V171" s="78"/>
      <c r="W171" s="28"/>
      <c r="X171" s="28"/>
      <c r="Y171" s="28"/>
      <c r="Z171" s="28"/>
      <c r="AA171" s="28"/>
      <c r="AB171" s="28"/>
      <c r="AC171" s="28"/>
      <c r="AD171" s="28"/>
      <c r="AE171" s="28"/>
      <c r="AF171" s="28"/>
      <c r="AG171" s="28"/>
      <c r="AH171" s="28"/>
      <c r="AI171" s="28"/>
    </row>
    <row r="172" spans="2:36" x14ac:dyDescent="0.25">
      <c r="B172">
        <v>301</v>
      </c>
      <c r="C172" s="737" t="s">
        <v>604</v>
      </c>
      <c r="D172" s="738"/>
      <c r="E172" s="461">
        <f t="shared" ref="E172:P172" si="43">E165*PRIX_CGP</f>
        <v>0</v>
      </c>
      <c r="F172" s="461">
        <f t="shared" si="43"/>
        <v>0</v>
      </c>
      <c r="G172" s="461">
        <f t="shared" si="43"/>
        <v>0</v>
      </c>
      <c r="H172" s="462">
        <f t="shared" si="43"/>
        <v>0</v>
      </c>
      <c r="I172" s="462">
        <f t="shared" si="43"/>
        <v>0</v>
      </c>
      <c r="J172" s="462">
        <f t="shared" si="43"/>
        <v>0</v>
      </c>
      <c r="K172" s="462">
        <f t="shared" si="43"/>
        <v>0</v>
      </c>
      <c r="L172" s="462">
        <f t="shared" si="43"/>
        <v>0</v>
      </c>
      <c r="M172" s="462">
        <f t="shared" si="43"/>
        <v>0</v>
      </c>
      <c r="N172" s="462">
        <f t="shared" si="43"/>
        <v>0</v>
      </c>
      <c r="O172" s="461">
        <f t="shared" si="43"/>
        <v>0</v>
      </c>
      <c r="P172" s="461">
        <f t="shared" si="43"/>
        <v>0</v>
      </c>
      <c r="Q172" s="463">
        <f>SUM(E172:P172)</f>
        <v>0</v>
      </c>
      <c r="R172" s="464">
        <f>SUM(H172:N172)</f>
        <v>0</v>
      </c>
      <c r="S172" s="28"/>
      <c r="T172" s="76" t="str">
        <f>IF(OR(LOG_ANNUEL!Q172=0,'LOG_ANNUEL_A-1'!Q172=0),"",((LOG_ANNUEL!Q172-'LOG_ANNUEL_A-1'!Q172)/'LOG_ANNUEL_A-1'!Q172)*100)</f>
        <v/>
      </c>
      <c r="U172" s="28" t="str">
        <f t="shared" si="35"/>
        <v/>
      </c>
      <c r="V172" s="78" t="str">
        <f>IF('LOG_ANNUEL_A-1'!R172=0,"",((R172-'LOG_ANNUEL_A-1'!R172)/'LOG_ANNUEL_A-1'!R172)*100)</f>
        <v/>
      </c>
      <c r="W172" s="28"/>
      <c r="X172" s="28"/>
      <c r="Y172" s="28"/>
      <c r="Z172" s="28"/>
      <c r="AA172" s="28"/>
      <c r="AB172" s="28"/>
      <c r="AC172" s="28"/>
      <c r="AD172" s="28"/>
      <c r="AE172" s="28"/>
      <c r="AF172" s="28"/>
      <c r="AG172" s="28"/>
      <c r="AH172" s="28"/>
      <c r="AI172" s="28"/>
    </row>
    <row r="173" spans="2:36" x14ac:dyDescent="0.25">
      <c r="B173">
        <v>302</v>
      </c>
      <c r="C173" s="727" t="s">
        <v>63</v>
      </c>
      <c r="D173" s="728"/>
      <c r="E173" s="461">
        <f t="shared" ref="E173:P173" si="44">E166*PRIX_PBS</f>
        <v>0</v>
      </c>
      <c r="F173" s="461">
        <f t="shared" si="44"/>
        <v>0</v>
      </c>
      <c r="G173" s="461">
        <f t="shared" si="44"/>
        <v>0</v>
      </c>
      <c r="H173" s="462">
        <f t="shared" si="44"/>
        <v>0</v>
      </c>
      <c r="I173" s="462">
        <f t="shared" si="44"/>
        <v>0</v>
      </c>
      <c r="J173" s="462">
        <f t="shared" si="44"/>
        <v>0</v>
      </c>
      <c r="K173" s="462">
        <f t="shared" si="44"/>
        <v>0</v>
      </c>
      <c r="L173" s="462">
        <f t="shared" si="44"/>
        <v>0</v>
      </c>
      <c r="M173" s="462">
        <f t="shared" si="44"/>
        <v>0</v>
      </c>
      <c r="N173" s="462">
        <f t="shared" si="44"/>
        <v>0</v>
      </c>
      <c r="O173" s="461">
        <f t="shared" si="44"/>
        <v>0</v>
      </c>
      <c r="P173" s="461">
        <f t="shared" si="44"/>
        <v>0</v>
      </c>
      <c r="Q173" s="453">
        <f t="shared" ref="Q173:Q177" si="45">SUM(E173:P173)</f>
        <v>0</v>
      </c>
      <c r="R173" s="465">
        <f t="shared" ref="R173:R177" si="46">SUM(H173:N173)</f>
        <v>0</v>
      </c>
      <c r="S173" s="28"/>
      <c r="T173" s="76" t="str">
        <f>IF(OR(LOG_ANNUEL!Q173=0,'LOG_ANNUEL_A-1'!Q173=0),"",((LOG_ANNUEL!Q173-'LOG_ANNUEL_A-1'!Q173)/'LOG_ANNUEL_A-1'!Q173)*100)</f>
        <v/>
      </c>
      <c r="U173" s="28" t="str">
        <f t="shared" si="35"/>
        <v/>
      </c>
      <c r="V173" s="78">
        <f>IF('LOG_ANNUEL_A-1'!R173=0,"",((R173-'LOG_ANNUEL_A-1'!R173)/'LOG_ANNUEL_A-1'!R173)*100)</f>
        <v>-100</v>
      </c>
      <c r="W173" s="28"/>
      <c r="X173" s="28"/>
      <c r="Y173" s="28"/>
      <c r="Z173" s="28"/>
      <c r="AA173" s="28"/>
      <c r="AB173" s="28"/>
      <c r="AC173" s="28"/>
      <c r="AD173" s="28"/>
      <c r="AE173" s="28"/>
      <c r="AF173" s="28"/>
      <c r="AG173" s="28"/>
      <c r="AH173" s="28"/>
      <c r="AI173" s="28"/>
    </row>
    <row r="174" spans="2:36" x14ac:dyDescent="0.25">
      <c r="B174">
        <v>303</v>
      </c>
      <c r="C174" s="727" t="s">
        <v>179</v>
      </c>
      <c r="D174" s="728"/>
      <c r="E174" s="461">
        <f t="shared" ref="E174:P174" si="47">E167*PRIX_MSH</f>
        <v>0</v>
      </c>
      <c r="F174" s="461">
        <f t="shared" si="47"/>
        <v>0</v>
      </c>
      <c r="G174" s="461">
        <f t="shared" si="47"/>
        <v>0</v>
      </c>
      <c r="H174" s="462">
        <f t="shared" si="47"/>
        <v>0</v>
      </c>
      <c r="I174" s="462">
        <f t="shared" si="47"/>
        <v>0</v>
      </c>
      <c r="J174" s="462">
        <f t="shared" si="47"/>
        <v>0</v>
      </c>
      <c r="K174" s="462">
        <f t="shared" si="47"/>
        <v>0</v>
      </c>
      <c r="L174" s="462">
        <f t="shared" si="47"/>
        <v>0</v>
      </c>
      <c r="M174" s="462">
        <f t="shared" si="47"/>
        <v>0</v>
      </c>
      <c r="N174" s="462">
        <f t="shared" si="47"/>
        <v>0</v>
      </c>
      <c r="O174" s="461">
        <f t="shared" si="47"/>
        <v>0</v>
      </c>
      <c r="P174" s="461">
        <f t="shared" si="47"/>
        <v>0</v>
      </c>
      <c r="Q174" s="453">
        <f t="shared" si="45"/>
        <v>0</v>
      </c>
      <c r="R174" s="465">
        <f t="shared" si="46"/>
        <v>0</v>
      </c>
      <c r="S174" s="28"/>
      <c r="T174" s="76" t="str">
        <f>IF(OR(LOG_ANNUEL!Q174=0,'LOG_ANNUEL_A-1'!Q174=0),"",((LOG_ANNUEL!Q174-'LOG_ANNUEL_A-1'!Q174)/'LOG_ANNUEL_A-1'!Q174)*100)</f>
        <v/>
      </c>
      <c r="U174" s="28" t="str">
        <f t="shared" si="35"/>
        <v/>
      </c>
      <c r="V174" s="78">
        <f>IF('LOG_ANNUEL_A-1'!R174=0,"",((R174-'LOG_ANNUEL_A-1'!R174)/'LOG_ANNUEL_A-1'!R174)*100)</f>
        <v>-100</v>
      </c>
      <c r="W174" s="28"/>
      <c r="X174" s="28"/>
      <c r="Y174" s="28"/>
      <c r="Z174" s="28"/>
      <c r="AA174" s="28"/>
      <c r="AB174" s="28"/>
      <c r="AC174" s="28"/>
      <c r="AD174" s="28"/>
      <c r="AE174" s="28"/>
      <c r="AF174" s="28"/>
      <c r="AG174" s="28"/>
      <c r="AH174" s="28"/>
      <c r="AI174" s="28"/>
    </row>
    <row r="175" spans="2:36" x14ac:dyDescent="0.25">
      <c r="B175">
        <v>304</v>
      </c>
      <c r="C175" s="727" t="s">
        <v>607</v>
      </c>
      <c r="D175" s="728"/>
      <c r="E175" s="461">
        <f t="shared" ref="E175:P175" si="48">E168*PRIX_SAT</f>
        <v>0</v>
      </c>
      <c r="F175" s="461">
        <f t="shared" si="48"/>
        <v>0</v>
      </c>
      <c r="G175" s="461">
        <f t="shared" si="48"/>
        <v>0</v>
      </c>
      <c r="H175" s="462">
        <f t="shared" si="48"/>
        <v>0</v>
      </c>
      <c r="I175" s="462">
        <f t="shared" si="48"/>
        <v>0</v>
      </c>
      <c r="J175" s="462">
        <f t="shared" si="48"/>
        <v>0</v>
      </c>
      <c r="K175" s="462">
        <f t="shared" si="48"/>
        <v>0</v>
      </c>
      <c r="L175" s="462">
        <f t="shared" si="48"/>
        <v>0</v>
      </c>
      <c r="M175" s="462">
        <f t="shared" si="48"/>
        <v>0</v>
      </c>
      <c r="N175" s="462">
        <f t="shared" si="48"/>
        <v>0</v>
      </c>
      <c r="O175" s="461">
        <f t="shared" si="48"/>
        <v>0</v>
      </c>
      <c r="P175" s="461">
        <f t="shared" si="48"/>
        <v>0</v>
      </c>
      <c r="Q175" s="453">
        <f t="shared" si="45"/>
        <v>0</v>
      </c>
      <c r="R175" s="465">
        <f t="shared" si="46"/>
        <v>0</v>
      </c>
      <c r="S175" s="28"/>
      <c r="T175" s="76" t="str">
        <f>IF(OR(LOG_ANNUEL!Q175=0,'LOG_ANNUEL_A-1'!Q175=0),"",((LOG_ANNUEL!Q175-'LOG_ANNUEL_A-1'!Q175)/'LOG_ANNUEL_A-1'!Q175)*100)</f>
        <v/>
      </c>
      <c r="U175" s="28" t="str">
        <f t="shared" si="35"/>
        <v/>
      </c>
      <c r="V175" s="78" t="str">
        <f>IF('LOG_ANNUEL_A-1'!R175=0,"",((R175-'LOG_ANNUEL_A-1'!R175)/'LOG_ANNUEL_A-1'!R175)*100)</f>
        <v/>
      </c>
      <c r="W175" s="28"/>
      <c r="X175" s="28"/>
      <c r="Y175" s="28"/>
      <c r="Z175" s="28"/>
      <c r="AA175" s="28"/>
      <c r="AB175" s="28"/>
      <c r="AC175" s="28"/>
      <c r="AD175" s="28"/>
      <c r="AE175" s="28"/>
      <c r="AF175" s="28"/>
      <c r="AG175" s="28"/>
      <c r="AH175" s="28"/>
      <c r="AI175" s="28"/>
    </row>
    <row r="176" spans="2:36" x14ac:dyDescent="0.25">
      <c r="B176">
        <v>305</v>
      </c>
      <c r="C176" s="727" t="s">
        <v>605</v>
      </c>
      <c r="D176" s="728"/>
      <c r="E176" s="461">
        <f t="shared" ref="E176:P176" si="49">E169*PRIX_JET</f>
        <v>0</v>
      </c>
      <c r="F176" s="461">
        <f t="shared" si="49"/>
        <v>0</v>
      </c>
      <c r="G176" s="461">
        <f t="shared" si="49"/>
        <v>0</v>
      </c>
      <c r="H176" s="462">
        <f t="shared" si="49"/>
        <v>0</v>
      </c>
      <c r="I176" s="462">
        <f t="shared" si="49"/>
        <v>0</v>
      </c>
      <c r="J176" s="462">
        <f t="shared" si="49"/>
        <v>0</v>
      </c>
      <c r="K176" s="462">
        <f t="shared" si="49"/>
        <v>0</v>
      </c>
      <c r="L176" s="462">
        <f t="shared" si="49"/>
        <v>0</v>
      </c>
      <c r="M176" s="462">
        <f t="shared" si="49"/>
        <v>0</v>
      </c>
      <c r="N176" s="462">
        <f t="shared" si="49"/>
        <v>0</v>
      </c>
      <c r="O176" s="461">
        <f t="shared" si="49"/>
        <v>0</v>
      </c>
      <c r="P176" s="461">
        <f t="shared" si="49"/>
        <v>0</v>
      </c>
      <c r="Q176" s="453">
        <f t="shared" si="45"/>
        <v>0</v>
      </c>
      <c r="R176" s="465">
        <f t="shared" si="46"/>
        <v>0</v>
      </c>
      <c r="S176" s="28"/>
      <c r="T176" s="76" t="str">
        <f>IF(OR(LOG_ANNUEL!Q176=0,'LOG_ANNUEL_A-1'!Q176=0),"",((LOG_ANNUEL!Q176-'LOG_ANNUEL_A-1'!Q176)/'LOG_ANNUEL_A-1'!Q176)*100)</f>
        <v/>
      </c>
      <c r="U176" s="28" t="str">
        <f t="shared" si="35"/>
        <v/>
      </c>
      <c r="V176" s="78">
        <f>IF('LOG_ANNUEL_A-1'!R176=0,"",((R176-'LOG_ANNUEL_A-1'!R176)/'LOG_ANNUEL_A-1'!R176)*100)</f>
        <v>-100</v>
      </c>
      <c r="W176" s="28"/>
      <c r="X176" s="28"/>
      <c r="Y176" s="28"/>
      <c r="Z176" s="28"/>
      <c r="AA176" s="28"/>
      <c r="AB176" s="28"/>
      <c r="AC176" s="28"/>
      <c r="AD176" s="28"/>
      <c r="AE176" s="28"/>
      <c r="AF176" s="28"/>
      <c r="AG176" s="28"/>
      <c r="AH176" s="28"/>
      <c r="AI176" s="28"/>
    </row>
    <row r="177" spans="2:35" ht="15.75" thickBot="1" x14ac:dyDescent="0.3">
      <c r="B177">
        <v>306</v>
      </c>
      <c r="C177" s="743" t="s">
        <v>17</v>
      </c>
      <c r="D177" s="744"/>
      <c r="E177" s="461">
        <f t="shared" ref="E177:P177" si="50">E170*PRIX_EMT</f>
        <v>1603</v>
      </c>
      <c r="F177" s="461">
        <f t="shared" si="50"/>
        <v>0</v>
      </c>
      <c r="G177" s="461">
        <f t="shared" si="50"/>
        <v>0</v>
      </c>
      <c r="H177" s="462">
        <f t="shared" si="50"/>
        <v>0</v>
      </c>
      <c r="I177" s="462">
        <f t="shared" si="50"/>
        <v>0</v>
      </c>
      <c r="J177" s="462">
        <f t="shared" si="50"/>
        <v>0</v>
      </c>
      <c r="K177" s="462">
        <f t="shared" si="50"/>
        <v>0</v>
      </c>
      <c r="L177" s="462">
        <f t="shared" si="50"/>
        <v>0</v>
      </c>
      <c r="M177" s="462">
        <f t="shared" si="50"/>
        <v>0</v>
      </c>
      <c r="N177" s="462">
        <f t="shared" si="50"/>
        <v>0</v>
      </c>
      <c r="O177" s="461">
        <f t="shared" si="50"/>
        <v>0</v>
      </c>
      <c r="P177" s="461">
        <f t="shared" si="50"/>
        <v>0</v>
      </c>
      <c r="Q177" s="466">
        <f t="shared" si="45"/>
        <v>1603</v>
      </c>
      <c r="R177" s="467">
        <f t="shared" si="46"/>
        <v>0</v>
      </c>
      <c r="S177" s="28"/>
      <c r="T177" s="76">
        <f>IF(OR(LOG_ANNUEL!Q177=0,'LOG_ANNUEL_A-1'!Q177=0),"",((LOG_ANNUEL!Q177-'LOG_ANNUEL_A-1'!Q177)/'LOG_ANNUEL_A-1'!Q177)*100)</f>
        <v>-93.577981651376149</v>
      </c>
      <c r="U177" s="28">
        <f t="shared" si="35"/>
        <v>0</v>
      </c>
      <c r="V177" s="78">
        <f>IF('LOG_ANNUEL_A-1'!R177=0,"",((R177-'LOG_ANNUEL_A-1'!R177)/'LOG_ANNUEL_A-1'!R177)*100)</f>
        <v>-100</v>
      </c>
      <c r="W177" s="28"/>
      <c r="X177" s="28"/>
      <c r="Y177" s="28"/>
      <c r="Z177" s="28"/>
      <c r="AA177" s="28"/>
      <c r="AB177" s="28"/>
      <c r="AC177" s="28"/>
      <c r="AD177" s="28"/>
      <c r="AE177" s="28"/>
      <c r="AF177" s="28"/>
      <c r="AG177" s="28"/>
      <c r="AH177" s="28"/>
      <c r="AI177" s="28"/>
    </row>
    <row r="178" spans="2:35" ht="15.75" thickBot="1" x14ac:dyDescent="0.3">
      <c r="C178" s="12"/>
      <c r="D178" s="13"/>
      <c r="E178" s="181"/>
      <c r="F178" s="61"/>
      <c r="G178" s="181"/>
      <c r="H178" s="61"/>
      <c r="I178" s="181"/>
      <c r="J178" s="61"/>
      <c r="K178" s="181"/>
      <c r="L178" s="61"/>
      <c r="M178" s="181"/>
      <c r="N178" s="61"/>
      <c r="O178" s="181"/>
      <c r="P178" s="61"/>
      <c r="Q178" s="181"/>
      <c r="R178" s="61"/>
      <c r="S178" s="28"/>
      <c r="T178" s="76"/>
      <c r="U178" s="28"/>
      <c r="V178" s="78"/>
      <c r="W178" s="28"/>
      <c r="X178" s="28"/>
      <c r="Y178" s="28"/>
      <c r="Z178" s="28"/>
      <c r="AA178" s="28"/>
      <c r="AB178" s="28"/>
      <c r="AC178" s="28"/>
      <c r="AD178" s="28"/>
      <c r="AE178" s="28"/>
      <c r="AF178" s="28"/>
      <c r="AG178" s="28"/>
      <c r="AH178" s="28"/>
      <c r="AI178" s="28"/>
    </row>
    <row r="179" spans="2:35" ht="15.75" thickBot="1" x14ac:dyDescent="0.3">
      <c r="B179">
        <v>109</v>
      </c>
      <c r="C179" s="737" t="s">
        <v>179</v>
      </c>
      <c r="D179" s="738"/>
      <c r="E179" s="254"/>
      <c r="F179" s="60"/>
      <c r="G179" s="254"/>
      <c r="H179" s="422"/>
      <c r="I179" s="422"/>
      <c r="J179" s="422"/>
      <c r="K179" s="422"/>
      <c r="L179" s="422"/>
      <c r="M179" s="422"/>
      <c r="N179" s="422"/>
      <c r="O179" s="254"/>
      <c r="P179" s="59"/>
      <c r="Q179" s="374">
        <f>SUM(E179:P179)</f>
        <v>0</v>
      </c>
      <c r="R179" s="417">
        <f>SUM(H179:N179)</f>
        <v>0</v>
      </c>
      <c r="S179" s="28"/>
      <c r="T179" s="76" t="str">
        <f>IF(OR(LOG_ANNUEL!Q179=0,'LOG_ANNUEL_A-1'!Q179=0),"",((LOG_ANNUEL!Q179-'LOG_ANNUEL_A-1'!Q179)/'LOG_ANNUEL_A-1'!Q179)*100)</f>
        <v/>
      </c>
      <c r="U179" s="28" t="str">
        <f t="shared" si="35"/>
        <v/>
      </c>
      <c r="V179" s="78">
        <f>IF('LOG_ANNUEL_A-1'!R179=0,"",((R179-'LOG_ANNUEL_A-1'!R179)/'LOG_ANNUEL_A-1'!R179)*100)</f>
        <v>-100</v>
      </c>
      <c r="W179" s="28"/>
      <c r="X179" s="28"/>
      <c r="Y179" s="28"/>
      <c r="Z179" s="28"/>
      <c r="AA179" s="28"/>
      <c r="AB179" s="28"/>
      <c r="AC179" s="28"/>
      <c r="AD179" s="28"/>
      <c r="AE179" s="28"/>
      <c r="AF179" s="28"/>
      <c r="AG179" s="28"/>
      <c r="AH179" s="28"/>
      <c r="AI179" s="28"/>
    </row>
    <row r="180" spans="2:35" ht="15.75" thickBot="1" x14ac:dyDescent="0.3">
      <c r="C180" s="828" t="s">
        <v>56</v>
      </c>
      <c r="D180" s="829"/>
      <c r="E180" s="181"/>
      <c r="F180" s="61"/>
      <c r="G180" s="181"/>
      <c r="H180" s="61"/>
      <c r="I180" s="181"/>
      <c r="J180" s="61"/>
      <c r="K180" s="181"/>
      <c r="L180" s="61"/>
      <c r="M180" s="181"/>
      <c r="N180" s="61"/>
      <c r="O180" s="181"/>
      <c r="P180" s="424"/>
      <c r="Q180" s="372"/>
      <c r="R180" s="308"/>
      <c r="S180" s="28"/>
      <c r="T180" s="76"/>
      <c r="U180" s="28"/>
      <c r="V180" s="78"/>
      <c r="W180" s="28"/>
      <c r="X180" s="28"/>
      <c r="Y180" s="28"/>
      <c r="Z180" s="28"/>
      <c r="AA180" s="28"/>
      <c r="AB180" s="28"/>
      <c r="AC180" s="28"/>
      <c r="AD180" s="28"/>
      <c r="AE180" s="28"/>
      <c r="AF180" s="28"/>
      <c r="AG180" s="28"/>
      <c r="AH180" s="28"/>
      <c r="AI180" s="28"/>
    </row>
    <row r="181" spans="2:35" x14ac:dyDescent="0.25">
      <c r="B181">
        <v>195</v>
      </c>
      <c r="C181" s="760"/>
      <c r="D181" s="628" t="str">
        <f>HDG_1</f>
        <v>AFR</v>
      </c>
      <c r="E181" s="171"/>
      <c r="F181" s="28"/>
      <c r="G181" s="171"/>
      <c r="H181" s="413"/>
      <c r="I181" s="413"/>
      <c r="J181" s="413"/>
      <c r="K181" s="413"/>
      <c r="L181" s="413"/>
      <c r="M181" s="413"/>
      <c r="N181" s="413"/>
      <c r="O181" s="171"/>
      <c r="P181" s="78"/>
      <c r="Q181" s="371">
        <f>SUM(E181:P181)</f>
        <v>0</v>
      </c>
      <c r="R181" s="375">
        <f>SUM(H181:N181)</f>
        <v>0</v>
      </c>
      <c r="S181" s="28"/>
      <c r="T181" s="76" t="str">
        <f>IF(OR(LOG_ANNUEL!Q181=0,'LOG_ANNUEL_A-1'!Q181=0),"",((LOG_ANNUEL!Q181-'LOG_ANNUEL_A-1'!Q181)/'LOG_ANNUEL_A-1'!Q181)*100)</f>
        <v/>
      </c>
      <c r="U181" s="28" t="str">
        <f t="shared" si="35"/>
        <v/>
      </c>
      <c r="V181" s="78" t="str">
        <f>IF('LOG_ANNUEL_A-1'!R181=0,"",((R181-'LOG_ANNUEL_A-1'!R181)/'LOG_ANNUEL_A-1'!R181)*100)</f>
        <v/>
      </c>
      <c r="W181" s="28"/>
      <c r="X181" s="28"/>
      <c r="Y181" s="28"/>
      <c r="Z181" s="28"/>
      <c r="AA181" s="28"/>
      <c r="AB181" s="28"/>
      <c r="AC181" s="28"/>
      <c r="AD181" s="28"/>
      <c r="AE181" s="28"/>
      <c r="AF181" s="28"/>
      <c r="AG181" s="28"/>
      <c r="AH181" s="28"/>
      <c r="AI181" s="28"/>
    </row>
    <row r="182" spans="2:35" x14ac:dyDescent="0.25">
      <c r="B182">
        <v>196</v>
      </c>
      <c r="C182" s="761"/>
      <c r="D182" s="68" t="str">
        <f>HDG_2</f>
        <v>AVP</v>
      </c>
      <c r="E182" s="171"/>
      <c r="F182" s="28"/>
      <c r="G182" s="171"/>
      <c r="H182" s="413"/>
      <c r="I182" s="413"/>
      <c r="J182" s="413"/>
      <c r="K182" s="413"/>
      <c r="L182" s="413"/>
      <c r="M182" s="413"/>
      <c r="N182" s="413"/>
      <c r="O182" s="171"/>
      <c r="P182" s="78"/>
      <c r="Q182" s="371">
        <f t="shared" ref="Q182:Q192" si="51">SUM(E182:P182)</f>
        <v>0</v>
      </c>
      <c r="R182" s="375">
        <f t="shared" ref="R182:R192" si="52">SUM(H182:N182)</f>
        <v>0</v>
      </c>
      <c r="S182" s="28"/>
      <c r="T182" s="76" t="str">
        <f>IF(OR(LOG_ANNUEL!Q182=0,'LOG_ANNUEL_A-1'!Q182=0),"",((LOG_ANNUEL!Q182-'LOG_ANNUEL_A-1'!Q182)/'LOG_ANNUEL_A-1'!Q182)*100)</f>
        <v/>
      </c>
      <c r="U182" s="28" t="str">
        <f t="shared" si="35"/>
        <v/>
      </c>
      <c r="V182" s="78" t="str">
        <f>IF('LOG_ANNUEL_A-1'!R182=0,"",((R182-'LOG_ANNUEL_A-1'!R182)/'LOG_ANNUEL_A-1'!R182)*100)</f>
        <v/>
      </c>
      <c r="W182" s="28"/>
      <c r="X182" s="28"/>
      <c r="Y182" s="28"/>
      <c r="Z182" s="28"/>
      <c r="AA182" s="28"/>
      <c r="AB182" s="28"/>
      <c r="AC182" s="28"/>
      <c r="AD182" s="28"/>
      <c r="AE182" s="28"/>
      <c r="AF182" s="28"/>
      <c r="AG182" s="28"/>
      <c r="AH182" s="28"/>
      <c r="AI182" s="28"/>
    </row>
    <row r="183" spans="2:35" x14ac:dyDescent="0.25">
      <c r="B183">
        <v>197</v>
      </c>
      <c r="C183" s="761"/>
      <c r="D183" s="68" t="str">
        <f>HDG_3</f>
        <v>ALZ</v>
      </c>
      <c r="E183" s="171"/>
      <c r="F183" s="28"/>
      <c r="G183" s="171"/>
      <c r="H183" s="413"/>
      <c r="I183" s="413"/>
      <c r="J183" s="413"/>
      <c r="K183" s="413"/>
      <c r="L183" s="413"/>
      <c r="M183" s="413"/>
      <c r="N183" s="413"/>
      <c r="O183" s="171"/>
      <c r="P183" s="78"/>
      <c r="Q183" s="371">
        <f t="shared" si="51"/>
        <v>0</v>
      </c>
      <c r="R183" s="375">
        <f t="shared" si="52"/>
        <v>0</v>
      </c>
      <c r="S183" s="28"/>
      <c r="T183" s="76" t="str">
        <f>IF(OR(LOG_ANNUEL!Q183=0,'LOG_ANNUEL_A-1'!Q183=0),"",((LOG_ANNUEL!Q183-'LOG_ANNUEL_A-1'!Q183)/'LOG_ANNUEL_A-1'!Q183)*100)</f>
        <v/>
      </c>
      <c r="U183" s="28" t="str">
        <f t="shared" si="35"/>
        <v/>
      </c>
      <c r="V183" s="78" t="str">
        <f>IF('LOG_ANNUEL_A-1'!R183=0,"",((R183-'LOG_ANNUEL_A-1'!R183)/'LOG_ANNUEL_A-1'!R183)*100)</f>
        <v/>
      </c>
      <c r="W183" s="28"/>
      <c r="X183" s="28"/>
      <c r="Y183" s="28"/>
      <c r="Z183" s="28"/>
      <c r="AA183" s="28"/>
      <c r="AB183" s="28"/>
      <c r="AC183" s="28"/>
      <c r="AD183" s="28"/>
      <c r="AE183" s="28"/>
      <c r="AF183" s="28"/>
      <c r="AG183" s="28"/>
      <c r="AH183" s="28"/>
      <c r="AI183" s="28"/>
    </row>
    <row r="184" spans="2:35" x14ac:dyDescent="0.25">
      <c r="B184">
        <v>198</v>
      </c>
      <c r="C184" s="761"/>
      <c r="D184" s="68" t="str">
        <f>HDG_4</f>
        <v>MZS</v>
      </c>
      <c r="E184" s="171"/>
      <c r="F184" s="28"/>
      <c r="G184" s="171"/>
      <c r="H184" s="413"/>
      <c r="I184" s="413"/>
      <c r="J184" s="413"/>
      <c r="K184" s="413"/>
      <c r="L184" s="413"/>
      <c r="M184" s="413"/>
      <c r="N184" s="413"/>
      <c r="O184" s="171"/>
      <c r="P184" s="78"/>
      <c r="Q184" s="371">
        <f t="shared" si="51"/>
        <v>0</v>
      </c>
      <c r="R184" s="375">
        <f t="shared" si="52"/>
        <v>0</v>
      </c>
      <c r="S184" s="28"/>
      <c r="T184" s="76" t="str">
        <f>IF(OR(LOG_ANNUEL!Q184=0,'LOG_ANNUEL_A-1'!Q184=0),"",((LOG_ANNUEL!Q184-'LOG_ANNUEL_A-1'!Q184)/'LOG_ANNUEL_A-1'!Q184)*100)</f>
        <v/>
      </c>
      <c r="U184" s="28" t="str">
        <f t="shared" si="35"/>
        <v/>
      </c>
      <c r="V184" s="78" t="str">
        <f>IF('LOG_ANNUEL_A-1'!R184=0,"",((R184-'LOG_ANNUEL_A-1'!R184)/'LOG_ANNUEL_A-1'!R184)*100)</f>
        <v/>
      </c>
      <c r="W184" s="28"/>
      <c r="X184" s="28"/>
      <c r="Y184" s="28"/>
      <c r="Z184" s="28"/>
      <c r="AA184" s="28"/>
      <c r="AB184" s="28"/>
      <c r="AC184" s="28"/>
      <c r="AD184" s="28"/>
      <c r="AE184" s="28"/>
      <c r="AF184" s="28"/>
      <c r="AG184" s="28"/>
      <c r="AH184" s="28"/>
      <c r="AI184" s="28"/>
    </row>
    <row r="185" spans="2:35" x14ac:dyDescent="0.25">
      <c r="B185">
        <v>199</v>
      </c>
      <c r="C185" s="761"/>
      <c r="D185" s="68" t="str">
        <f>HDG_5</f>
        <v>APR</v>
      </c>
      <c r="E185" s="171"/>
      <c r="F185" s="28"/>
      <c r="G185" s="171"/>
      <c r="H185" s="413"/>
      <c r="I185" s="413"/>
      <c r="J185" s="413"/>
      <c r="K185" s="413"/>
      <c r="L185" s="413"/>
      <c r="M185" s="413"/>
      <c r="N185" s="413"/>
      <c r="O185" s="171"/>
      <c r="P185" s="78"/>
      <c r="Q185" s="371">
        <f t="shared" si="51"/>
        <v>0</v>
      </c>
      <c r="R185" s="375">
        <f t="shared" si="52"/>
        <v>0</v>
      </c>
      <c r="S185" s="28"/>
      <c r="T185" s="76" t="str">
        <f>IF(OR(LOG_ANNUEL!Q185=0,'LOG_ANNUEL_A-1'!Q185=0),"",((LOG_ANNUEL!Q185-'LOG_ANNUEL_A-1'!Q185)/'LOG_ANNUEL_A-1'!Q185)*100)</f>
        <v/>
      </c>
      <c r="U185" s="28" t="str">
        <f t="shared" si="35"/>
        <v/>
      </c>
      <c r="V185" s="78" t="str">
        <f>IF('LOG_ANNUEL_A-1'!R185=0,"",((R185-'LOG_ANNUEL_A-1'!R185)/'LOG_ANNUEL_A-1'!R185)*100)</f>
        <v/>
      </c>
      <c r="W185" s="28"/>
      <c r="X185" s="28"/>
      <c r="Y185" s="28"/>
      <c r="Z185" s="28"/>
      <c r="AA185" s="28"/>
      <c r="AB185" s="28"/>
      <c r="AC185" s="28"/>
      <c r="AD185" s="28"/>
      <c r="AE185" s="28"/>
      <c r="AF185" s="28"/>
      <c r="AG185" s="28"/>
      <c r="AH185" s="28"/>
      <c r="AI185" s="28"/>
    </row>
    <row r="186" spans="2:35" x14ac:dyDescent="0.25">
      <c r="B186">
        <v>200</v>
      </c>
      <c r="C186" s="761"/>
      <c r="D186" s="68" t="str">
        <f>HDG_6</f>
        <v>DCG</v>
      </c>
      <c r="E186" s="171"/>
      <c r="F186" s="28"/>
      <c r="G186" s="171"/>
      <c r="H186" s="413"/>
      <c r="I186" s="413"/>
      <c r="J186" s="413"/>
      <c r="K186" s="413"/>
      <c r="L186" s="413"/>
      <c r="M186" s="413"/>
      <c r="N186" s="413"/>
      <c r="O186" s="171"/>
      <c r="P186" s="78"/>
      <c r="Q186" s="371">
        <f t="shared" si="51"/>
        <v>0</v>
      </c>
      <c r="R186" s="375">
        <f t="shared" si="52"/>
        <v>0</v>
      </c>
      <c r="S186" s="28"/>
      <c r="T186" s="76" t="str">
        <f>IF(OR(LOG_ANNUEL!Q186=0,'LOG_ANNUEL_A-1'!Q186=0),"",((LOG_ANNUEL!Q186-'LOG_ANNUEL_A-1'!Q186)/'LOG_ANNUEL_A-1'!Q186)*100)</f>
        <v/>
      </c>
      <c r="U186" s="28" t="str">
        <f t="shared" si="35"/>
        <v/>
      </c>
      <c r="V186" s="78" t="str">
        <f>IF('LOG_ANNUEL_A-1'!R186=0,"",((R186-'LOG_ANNUEL_A-1'!R186)/'LOG_ANNUEL_A-1'!R186)*100)</f>
        <v/>
      </c>
      <c r="W186" s="28"/>
      <c r="X186" s="28"/>
      <c r="Y186" s="28"/>
      <c r="Z186" s="28"/>
      <c r="AA186" s="28"/>
      <c r="AB186" s="28"/>
      <c r="AC186" s="28"/>
      <c r="AD186" s="28"/>
      <c r="AE186" s="28"/>
      <c r="AF186" s="28"/>
      <c r="AG186" s="28"/>
      <c r="AH186" s="28"/>
      <c r="AI186" s="28"/>
    </row>
    <row r="187" spans="2:35" x14ac:dyDescent="0.25">
      <c r="B187">
        <v>201</v>
      </c>
      <c r="C187" s="761"/>
      <c r="D187" s="68" t="str">
        <f>HDG_7</f>
        <v>SFS</v>
      </c>
      <c r="E187" s="171"/>
      <c r="F187" s="28"/>
      <c r="G187" s="171"/>
      <c r="H187" s="413"/>
      <c r="I187" s="413"/>
      <c r="J187" s="413"/>
      <c r="K187" s="413"/>
      <c r="L187" s="413"/>
      <c r="M187" s="413"/>
      <c r="N187" s="413"/>
      <c r="O187" s="171"/>
      <c r="P187" s="78"/>
      <c r="Q187" s="371">
        <f t="shared" si="51"/>
        <v>0</v>
      </c>
      <c r="R187" s="375">
        <f t="shared" si="52"/>
        <v>0</v>
      </c>
      <c r="S187" s="28"/>
      <c r="T187" s="76" t="str">
        <f>IF(OR(LOG_ANNUEL!Q187=0,'LOG_ANNUEL_A-1'!Q187=0),"",((LOG_ANNUEL!Q187-'LOG_ANNUEL_A-1'!Q187)/'LOG_ANNUEL_A-1'!Q187)*100)</f>
        <v/>
      </c>
      <c r="U187" s="28" t="str">
        <f t="shared" si="35"/>
        <v/>
      </c>
      <c r="V187" s="78" t="str">
        <f>IF('LOG_ANNUEL_A-1'!R187=0,"",((R187-'LOG_ANNUEL_A-1'!R187)/'LOG_ANNUEL_A-1'!R187)*100)</f>
        <v/>
      </c>
      <c r="W187" s="28"/>
      <c r="X187" s="28"/>
      <c r="Y187" s="28"/>
      <c r="Z187" s="28"/>
      <c r="AA187" s="28"/>
      <c r="AB187" s="28"/>
      <c r="AC187" s="28"/>
      <c r="AD187" s="28"/>
      <c r="AE187" s="28"/>
      <c r="AF187" s="28"/>
      <c r="AG187" s="28"/>
      <c r="AH187" s="28"/>
      <c r="AI187" s="28"/>
    </row>
    <row r="188" spans="2:35" x14ac:dyDescent="0.25">
      <c r="B188">
        <v>202</v>
      </c>
      <c r="C188" s="761"/>
      <c r="D188" s="68" t="str">
        <f>HDG_8</f>
        <v>AZH</v>
      </c>
      <c r="E188" s="171"/>
      <c r="F188" s="28"/>
      <c r="G188" s="171"/>
      <c r="H188" s="413"/>
      <c r="I188" s="413"/>
      <c r="J188" s="413"/>
      <c r="K188" s="413"/>
      <c r="L188" s="413"/>
      <c r="M188" s="413"/>
      <c r="N188" s="413"/>
      <c r="O188" s="171"/>
      <c r="P188" s="78"/>
      <c r="Q188" s="371">
        <f t="shared" si="51"/>
        <v>0</v>
      </c>
      <c r="R188" s="375">
        <f t="shared" si="52"/>
        <v>0</v>
      </c>
      <c r="S188" s="28"/>
      <c r="T188" s="76" t="str">
        <f>IF(OR(LOG_ANNUEL!Q188=0,'LOG_ANNUEL_A-1'!Q188=0),"",((LOG_ANNUEL!Q188-'LOG_ANNUEL_A-1'!Q188)/'LOG_ANNUEL_A-1'!Q188)*100)</f>
        <v/>
      </c>
      <c r="U188" s="28" t="str">
        <f t="shared" si="35"/>
        <v/>
      </c>
      <c r="V188" s="78" t="str">
        <f>IF('LOG_ANNUEL_A-1'!R188=0,"",((R188-'LOG_ANNUEL_A-1'!R188)/'LOG_ANNUEL_A-1'!R188)*100)</f>
        <v/>
      </c>
      <c r="W188" s="28"/>
      <c r="X188" s="28"/>
      <c r="Y188" s="28"/>
      <c r="Z188" s="28"/>
      <c r="AA188" s="28"/>
      <c r="AB188" s="28"/>
      <c r="AC188" s="28"/>
      <c r="AD188" s="28"/>
      <c r="AE188" s="28"/>
      <c r="AF188" s="28"/>
      <c r="AG188" s="28"/>
      <c r="AH188" s="28"/>
      <c r="AI188" s="28"/>
    </row>
    <row r="189" spans="2:35" x14ac:dyDescent="0.25">
      <c r="B189">
        <v>203</v>
      </c>
      <c r="C189" s="761"/>
      <c r="D189" s="68" t="str">
        <f>HDG_9</f>
        <v>HLI</v>
      </c>
      <c r="E189" s="171"/>
      <c r="F189" s="28"/>
      <c r="G189" s="171"/>
      <c r="H189" s="413"/>
      <c r="I189" s="413"/>
      <c r="J189" s="413"/>
      <c r="K189" s="413"/>
      <c r="L189" s="413"/>
      <c r="M189" s="413"/>
      <c r="N189" s="413"/>
      <c r="O189" s="171"/>
      <c r="P189" s="78"/>
      <c r="Q189" s="371">
        <f t="shared" si="51"/>
        <v>0</v>
      </c>
      <c r="R189" s="375">
        <f t="shared" si="52"/>
        <v>0</v>
      </c>
      <c r="S189" s="28"/>
      <c r="T189" s="76" t="str">
        <f>IF(OR(LOG_ANNUEL!Q189=0,'LOG_ANNUEL_A-1'!Q189=0),"",((LOG_ANNUEL!Q189-'LOG_ANNUEL_A-1'!Q189)/'LOG_ANNUEL_A-1'!Q189)*100)</f>
        <v/>
      </c>
      <c r="U189" s="28" t="str">
        <f t="shared" si="35"/>
        <v/>
      </c>
      <c r="V189" s="78" t="str">
        <f>IF('LOG_ANNUEL_A-1'!R189=0,"",((R189-'LOG_ANNUEL_A-1'!R189)/'LOG_ANNUEL_A-1'!R189)*100)</f>
        <v/>
      </c>
      <c r="W189" s="28"/>
      <c r="X189" s="28"/>
      <c r="Y189" s="28"/>
      <c r="Z189" s="28"/>
      <c r="AA189" s="28"/>
      <c r="AB189" s="28"/>
      <c r="AC189" s="28"/>
      <c r="AD189" s="28"/>
      <c r="AE189" s="28"/>
      <c r="AF189" s="28"/>
      <c r="AG189" s="28"/>
      <c r="AH189" s="28"/>
      <c r="AI189" s="28"/>
    </row>
    <row r="190" spans="2:35" x14ac:dyDescent="0.25">
      <c r="B190">
        <v>204</v>
      </c>
      <c r="C190" s="761"/>
      <c r="D190" s="68" t="str">
        <f>HDG_10</f>
        <v>MCM</v>
      </c>
      <c r="E190" s="171"/>
      <c r="F190" s="28"/>
      <c r="G190" s="171"/>
      <c r="H190" s="413"/>
      <c r="I190" s="413"/>
      <c r="J190" s="413"/>
      <c r="K190" s="413"/>
      <c r="L190" s="413"/>
      <c r="M190" s="413"/>
      <c r="N190" s="413"/>
      <c r="O190" s="171"/>
      <c r="P190" s="78"/>
      <c r="Q190" s="371">
        <f t="shared" si="51"/>
        <v>0</v>
      </c>
      <c r="R190" s="375">
        <f t="shared" si="52"/>
        <v>0</v>
      </c>
      <c r="S190" s="28"/>
      <c r="T190" s="76" t="str">
        <f>IF(OR(LOG_ANNUEL!Q190=0,'LOG_ANNUEL_A-1'!Q190=0),"",((LOG_ANNUEL!Q190-'LOG_ANNUEL_A-1'!Q190)/'LOG_ANNUEL_A-1'!Q190)*100)</f>
        <v/>
      </c>
      <c r="U190" s="28" t="str">
        <f t="shared" si="35"/>
        <v/>
      </c>
      <c r="V190" s="78" t="str">
        <f>IF('LOG_ANNUEL_A-1'!R190=0,"",((R190-'LOG_ANNUEL_A-1'!R190)/'LOG_ANNUEL_A-1'!R190)*100)</f>
        <v/>
      </c>
      <c r="W190" s="28"/>
      <c r="X190" s="28"/>
      <c r="Y190" s="28"/>
      <c r="Z190" s="28"/>
      <c r="AA190" s="28"/>
      <c r="AB190" s="28"/>
      <c r="AC190" s="28"/>
      <c r="AD190" s="28"/>
      <c r="AE190" s="28"/>
      <c r="AF190" s="28"/>
      <c r="AG190" s="28"/>
      <c r="AH190" s="28"/>
      <c r="AI190" s="28"/>
    </row>
    <row r="191" spans="2:35" x14ac:dyDescent="0.25">
      <c r="B191">
        <v>205</v>
      </c>
      <c r="C191" s="761"/>
      <c r="D191" s="68" t="str">
        <f>HDG_11</f>
        <v>MCR</v>
      </c>
      <c r="E191" s="171"/>
      <c r="F191" s="28"/>
      <c r="G191" s="171"/>
      <c r="H191" s="413"/>
      <c r="I191" s="413"/>
      <c r="J191" s="413"/>
      <c r="K191" s="413"/>
      <c r="L191" s="413"/>
      <c r="M191" s="413"/>
      <c r="N191" s="413"/>
      <c r="O191" s="171"/>
      <c r="P191" s="78"/>
      <c r="Q191" s="371">
        <f t="shared" si="51"/>
        <v>0</v>
      </c>
      <c r="R191" s="375">
        <f t="shared" si="52"/>
        <v>0</v>
      </c>
      <c r="S191" s="28"/>
      <c r="T191" s="76" t="str">
        <f>IF(OR(LOG_ANNUEL!Q191=0,'LOG_ANNUEL_A-1'!Q191=0),"",((LOG_ANNUEL!Q191-'LOG_ANNUEL_A-1'!Q191)/'LOG_ANNUEL_A-1'!Q191)*100)</f>
        <v/>
      </c>
      <c r="U191" s="28" t="str">
        <f t="shared" si="35"/>
        <v/>
      </c>
      <c r="V191" s="78" t="str">
        <f>IF('LOG_ANNUEL_A-1'!R191=0,"",((R191-'LOG_ANNUEL_A-1'!R191)/'LOG_ANNUEL_A-1'!R191)*100)</f>
        <v/>
      </c>
      <c r="W191" s="28"/>
      <c r="X191" s="28"/>
      <c r="Y191" s="28"/>
      <c r="Z191" s="28"/>
      <c r="AA191" s="28"/>
      <c r="AB191" s="28"/>
      <c r="AC191" s="28"/>
      <c r="AD191" s="28"/>
      <c r="AE191" s="28"/>
      <c r="AF191" s="28"/>
      <c r="AG191" s="28"/>
      <c r="AH191" s="28"/>
      <c r="AI191" s="28"/>
    </row>
    <row r="192" spans="2:35" ht="15.75" thickBot="1" x14ac:dyDescent="0.3">
      <c r="B192">
        <v>206</v>
      </c>
      <c r="C192" s="762"/>
      <c r="D192" s="629" t="s">
        <v>406</v>
      </c>
      <c r="E192" s="253"/>
      <c r="F192" s="63"/>
      <c r="G192" s="253"/>
      <c r="H192" s="423"/>
      <c r="I192" s="423"/>
      <c r="J192" s="423"/>
      <c r="K192" s="423"/>
      <c r="L192" s="423"/>
      <c r="M192" s="423"/>
      <c r="N192" s="423"/>
      <c r="O192" s="253"/>
      <c r="P192" s="64"/>
      <c r="Q192" s="373">
        <f t="shared" si="51"/>
        <v>0</v>
      </c>
      <c r="R192" s="418">
        <f t="shared" si="52"/>
        <v>0</v>
      </c>
      <c r="S192" s="28"/>
      <c r="T192" s="76" t="str">
        <f>IF(OR(LOG_ANNUEL!Q192=0,'LOG_ANNUEL_A-1'!Q192=0),"",((LOG_ANNUEL!Q192-'LOG_ANNUEL_A-1'!Q192)/'LOG_ANNUEL_A-1'!Q192)*100)</f>
        <v/>
      </c>
      <c r="U192" s="28" t="str">
        <f t="shared" si="35"/>
        <v/>
      </c>
      <c r="V192" s="78" t="str">
        <f>IF('LOG_ANNUEL_A-1'!R192=0,"",((R192-'LOG_ANNUEL_A-1'!R192)/'LOG_ANNUEL_A-1'!R192)*100)</f>
        <v/>
      </c>
      <c r="W192" s="28"/>
      <c r="X192" s="28"/>
      <c r="Y192" s="28"/>
      <c r="Z192" s="28"/>
      <c r="AA192" s="28"/>
      <c r="AB192" s="28"/>
      <c r="AC192" s="28"/>
      <c r="AD192" s="28"/>
      <c r="AE192" s="28"/>
      <c r="AF192" s="28"/>
      <c r="AG192" s="28"/>
      <c r="AH192" s="28"/>
      <c r="AI192" s="28"/>
    </row>
    <row r="193" spans="2:36" ht="15.75" thickBot="1" x14ac:dyDescent="0.3">
      <c r="C193" s="630"/>
      <c r="D193" s="630"/>
      <c r="E193" s="181"/>
      <c r="F193" s="61"/>
      <c r="G193" s="181"/>
      <c r="H193" s="61"/>
      <c r="I193" s="181"/>
      <c r="J193" s="61"/>
      <c r="K193" s="181"/>
      <c r="L193" s="61"/>
      <c r="M193" s="181"/>
      <c r="N193" s="61"/>
      <c r="O193" s="181"/>
      <c r="P193" s="61"/>
      <c r="Q193" s="181"/>
      <c r="R193" s="61"/>
      <c r="S193" s="28"/>
      <c r="T193" s="76" t="str">
        <f>IF(OR(LOG_ANNUEL!Q193=0,'LOG_ANNUEL_A-1'!Q193=0),"",((LOG_ANNUEL!Q193-'LOG_ANNUEL_A-1'!Q193)/'LOG_ANNUEL_A-1'!Q193)*100)</f>
        <v/>
      </c>
      <c r="U193" s="28"/>
      <c r="V193" s="78"/>
      <c r="W193" s="28"/>
      <c r="X193" s="28"/>
      <c r="Y193" s="28"/>
      <c r="Z193" s="28"/>
      <c r="AA193" s="28"/>
      <c r="AB193" s="28"/>
      <c r="AC193" s="28"/>
      <c r="AD193" s="28"/>
      <c r="AE193" s="28"/>
      <c r="AF193" s="28"/>
      <c r="AG193" s="28"/>
      <c r="AH193" s="28"/>
      <c r="AI193" s="28"/>
    </row>
    <row r="194" spans="2:36" ht="15.75" thickBot="1" x14ac:dyDescent="0.3">
      <c r="B194">
        <v>112</v>
      </c>
      <c r="C194" s="749" t="s">
        <v>63</v>
      </c>
      <c r="D194" s="750"/>
      <c r="E194" s="254"/>
      <c r="F194" s="60"/>
      <c r="G194" s="254"/>
      <c r="H194" s="422"/>
      <c r="I194" s="422"/>
      <c r="J194" s="422"/>
      <c r="K194" s="422"/>
      <c r="L194" s="422"/>
      <c r="M194" s="422"/>
      <c r="N194" s="422"/>
      <c r="O194" s="254"/>
      <c r="P194" s="59"/>
      <c r="Q194" s="374">
        <f>SUM(E194:P194)</f>
        <v>0</v>
      </c>
      <c r="R194" s="417">
        <f>SUM(H194:N194)</f>
        <v>0</v>
      </c>
      <c r="S194" s="28"/>
      <c r="T194" s="76" t="str">
        <f>IF(OR(LOG_ANNUEL!Q194=0,'LOG_ANNUEL_A-1'!Q194=0),"",((LOG_ANNUEL!Q194-'LOG_ANNUEL_A-1'!Q194)/'LOG_ANNUEL_A-1'!Q194)*100)</f>
        <v/>
      </c>
      <c r="U194" s="28" t="str">
        <f t="shared" si="35"/>
        <v/>
      </c>
      <c r="V194" s="78">
        <f>IF('LOG_ANNUEL_A-1'!R194=0,"",((R194-'LOG_ANNUEL_A-1'!R194)/'LOG_ANNUEL_A-1'!R194)*100)</f>
        <v>-100</v>
      </c>
      <c r="W194" s="28"/>
      <c r="X194" s="28"/>
      <c r="Y194" s="28"/>
      <c r="Z194" s="28"/>
      <c r="AA194" s="28"/>
      <c r="AB194" s="28"/>
      <c r="AC194" s="28"/>
      <c r="AD194" s="28"/>
      <c r="AE194" s="28"/>
      <c r="AF194" s="28"/>
      <c r="AG194" s="28"/>
      <c r="AH194" s="28"/>
      <c r="AI194" s="28"/>
    </row>
    <row r="195" spans="2:36" ht="15.75" thickBot="1" x14ac:dyDescent="0.3">
      <c r="C195" s="828" t="s">
        <v>56</v>
      </c>
      <c r="D195" s="829"/>
      <c r="E195" s="181"/>
      <c r="F195" s="61"/>
      <c r="G195" s="181"/>
      <c r="H195" s="61"/>
      <c r="I195" s="181"/>
      <c r="J195" s="61"/>
      <c r="K195" s="181"/>
      <c r="L195" s="61"/>
      <c r="M195" s="181"/>
      <c r="N195" s="61"/>
      <c r="O195" s="181"/>
      <c r="P195" s="424"/>
      <c r="Q195" s="372"/>
      <c r="R195" s="308"/>
      <c r="S195" s="28"/>
      <c r="T195" s="76"/>
      <c r="U195" s="28"/>
      <c r="V195" s="78"/>
      <c r="W195" s="28"/>
      <c r="X195" s="28"/>
      <c r="Y195" s="28"/>
      <c r="Z195" s="28"/>
      <c r="AA195" s="28"/>
      <c r="AB195" s="28"/>
      <c r="AC195" s="28"/>
      <c r="AD195" s="28"/>
      <c r="AE195" s="28"/>
      <c r="AF195" s="28"/>
      <c r="AG195" s="28"/>
      <c r="AH195" s="28"/>
      <c r="AI195" s="28"/>
    </row>
    <row r="196" spans="2:36" x14ac:dyDescent="0.25">
      <c r="B196">
        <v>113</v>
      </c>
      <c r="C196" s="760"/>
      <c r="D196" s="628" t="str">
        <f>HDG_1</f>
        <v>AFR</v>
      </c>
      <c r="E196" s="171"/>
      <c r="F196" s="28"/>
      <c r="G196" s="171"/>
      <c r="H196" s="413"/>
      <c r="I196" s="413"/>
      <c r="J196" s="413"/>
      <c r="K196" s="413"/>
      <c r="L196" s="413"/>
      <c r="M196" s="413"/>
      <c r="N196" s="413"/>
      <c r="O196" s="171"/>
      <c r="P196" s="78"/>
      <c r="Q196" s="371">
        <f>SUM(E196:P196)</f>
        <v>0</v>
      </c>
      <c r="R196" s="375">
        <f>SUM(H196:N196)</f>
        <v>0</v>
      </c>
      <c r="S196" s="28"/>
      <c r="T196" s="76" t="str">
        <f>IF(OR(LOG_ANNUEL!Q196=0,'LOG_ANNUEL_A-1'!Q196=0),"",((LOG_ANNUEL!Q196-'LOG_ANNUEL_A-1'!Q196)/'LOG_ANNUEL_A-1'!Q196)*100)</f>
        <v/>
      </c>
      <c r="U196" s="28" t="str">
        <f t="shared" si="35"/>
        <v/>
      </c>
      <c r="V196" s="78" t="str">
        <f>IF('LOG_ANNUEL_A-1'!R196=0,"",((R196-'LOG_ANNUEL_A-1'!R196)/'LOG_ANNUEL_A-1'!R196)*100)</f>
        <v/>
      </c>
      <c r="W196" s="28"/>
      <c r="X196" s="28"/>
      <c r="Y196" s="28"/>
      <c r="Z196" s="28"/>
      <c r="AA196" s="28"/>
      <c r="AB196" s="28"/>
      <c r="AC196" s="28"/>
      <c r="AD196" s="28"/>
      <c r="AE196" s="28"/>
      <c r="AF196" s="28"/>
      <c r="AG196" s="28"/>
      <c r="AH196" s="28"/>
      <c r="AI196" s="28"/>
    </row>
    <row r="197" spans="2:36" x14ac:dyDescent="0.25">
      <c r="B197">
        <v>114</v>
      </c>
      <c r="C197" s="761"/>
      <c r="D197" s="68" t="str">
        <f>HDG_2</f>
        <v>AVP</v>
      </c>
      <c r="E197" s="171"/>
      <c r="F197" s="28"/>
      <c r="G197" s="171"/>
      <c r="H197" s="413"/>
      <c r="I197" s="413"/>
      <c r="J197" s="413"/>
      <c r="K197" s="413"/>
      <c r="L197" s="413"/>
      <c r="M197" s="413"/>
      <c r="N197" s="413"/>
      <c r="O197" s="171"/>
      <c r="P197" s="78"/>
      <c r="Q197" s="371">
        <f t="shared" ref="Q197:Q207" si="53">SUM(E197:P197)</f>
        <v>0</v>
      </c>
      <c r="R197" s="375">
        <f t="shared" ref="R197:R207" si="54">SUM(H197:N197)</f>
        <v>0</v>
      </c>
      <c r="S197" s="28"/>
      <c r="T197" s="76" t="str">
        <f>IF(OR(LOG_ANNUEL!Q197=0,'LOG_ANNUEL_A-1'!Q197=0),"",((LOG_ANNUEL!Q197-'LOG_ANNUEL_A-1'!Q197)/'LOG_ANNUEL_A-1'!Q197)*100)</f>
        <v/>
      </c>
      <c r="U197" s="28" t="str">
        <f t="shared" si="35"/>
        <v/>
      </c>
      <c r="V197" s="78" t="str">
        <f>IF('LOG_ANNUEL_A-1'!R197=0,"",((R197-'LOG_ANNUEL_A-1'!R197)/'LOG_ANNUEL_A-1'!R197)*100)</f>
        <v/>
      </c>
      <c r="W197" s="28"/>
      <c r="X197" s="28"/>
      <c r="Y197" s="28"/>
      <c r="Z197" s="28"/>
      <c r="AA197" s="28"/>
      <c r="AB197" s="28"/>
      <c r="AC197" s="28"/>
      <c r="AD197" s="28"/>
      <c r="AE197" s="28"/>
      <c r="AF197" s="28"/>
      <c r="AG197" s="28"/>
      <c r="AH197" s="28"/>
      <c r="AI197" s="28"/>
    </row>
    <row r="198" spans="2:36" x14ac:dyDescent="0.25">
      <c r="B198">
        <v>115</v>
      </c>
      <c r="C198" s="761"/>
      <c r="D198" s="68" t="str">
        <f>HDG_3</f>
        <v>ALZ</v>
      </c>
      <c r="E198" s="171"/>
      <c r="F198" s="28"/>
      <c r="G198" s="171"/>
      <c r="H198" s="413"/>
      <c r="I198" s="413"/>
      <c r="J198" s="413"/>
      <c r="K198" s="413"/>
      <c r="L198" s="413"/>
      <c r="M198" s="413"/>
      <c r="N198" s="413"/>
      <c r="O198" s="171"/>
      <c r="P198" s="78"/>
      <c r="Q198" s="371">
        <f t="shared" si="53"/>
        <v>0</v>
      </c>
      <c r="R198" s="375">
        <f t="shared" si="54"/>
        <v>0</v>
      </c>
      <c r="S198" s="28"/>
      <c r="T198" s="76" t="str">
        <f>IF(OR(LOG_ANNUEL!Q198=0,'LOG_ANNUEL_A-1'!Q198=0),"",((LOG_ANNUEL!Q198-'LOG_ANNUEL_A-1'!Q198)/'LOG_ANNUEL_A-1'!Q198)*100)</f>
        <v/>
      </c>
      <c r="U198" s="28" t="str">
        <f t="shared" si="35"/>
        <v/>
      </c>
      <c r="V198" s="78" t="str">
        <f>IF('LOG_ANNUEL_A-1'!R198=0,"",((R198-'LOG_ANNUEL_A-1'!R198)/'LOG_ANNUEL_A-1'!R198)*100)</f>
        <v/>
      </c>
      <c r="W198" s="28"/>
      <c r="X198" s="28"/>
      <c r="Y198" s="28"/>
      <c r="Z198" s="28"/>
      <c r="AA198" s="28"/>
      <c r="AB198" s="28"/>
      <c r="AC198" s="28"/>
      <c r="AD198" s="28"/>
      <c r="AE198" s="28"/>
      <c r="AF198" s="28"/>
      <c r="AG198" s="28"/>
      <c r="AH198" s="28"/>
      <c r="AI198" s="28"/>
    </row>
    <row r="199" spans="2:36" x14ac:dyDescent="0.25">
      <c r="B199">
        <v>116</v>
      </c>
      <c r="C199" s="761"/>
      <c r="D199" s="68" t="str">
        <f>HDG_4</f>
        <v>MZS</v>
      </c>
      <c r="E199" s="171"/>
      <c r="F199" s="28"/>
      <c r="G199" s="171"/>
      <c r="H199" s="413"/>
      <c r="I199" s="413"/>
      <c r="J199" s="413"/>
      <c r="K199" s="413"/>
      <c r="L199" s="413"/>
      <c r="M199" s="413"/>
      <c r="N199" s="413"/>
      <c r="O199" s="171"/>
      <c r="P199" s="78"/>
      <c r="Q199" s="371">
        <f t="shared" si="53"/>
        <v>0</v>
      </c>
      <c r="R199" s="375">
        <f t="shared" si="54"/>
        <v>0</v>
      </c>
      <c r="S199" s="28"/>
      <c r="T199" s="76" t="str">
        <f>IF(OR(LOG_ANNUEL!Q199=0,'LOG_ANNUEL_A-1'!Q199=0),"",((LOG_ANNUEL!Q199-'LOG_ANNUEL_A-1'!Q199)/'LOG_ANNUEL_A-1'!Q199)*100)</f>
        <v/>
      </c>
      <c r="U199" s="28" t="str">
        <f t="shared" si="35"/>
        <v/>
      </c>
      <c r="V199" s="78" t="str">
        <f>IF('LOG_ANNUEL_A-1'!R199=0,"",((R199-'LOG_ANNUEL_A-1'!R199)/'LOG_ANNUEL_A-1'!R199)*100)</f>
        <v/>
      </c>
      <c r="W199" s="28"/>
      <c r="X199" s="28"/>
      <c r="Y199" s="28"/>
      <c r="Z199" s="28"/>
      <c r="AA199" s="28"/>
      <c r="AB199" s="28"/>
      <c r="AC199" s="28"/>
      <c r="AD199" s="28"/>
      <c r="AE199" s="28"/>
      <c r="AF199" s="28"/>
      <c r="AG199" s="28"/>
      <c r="AH199" s="28"/>
      <c r="AI199" s="28"/>
    </row>
    <row r="200" spans="2:36" x14ac:dyDescent="0.25">
      <c r="B200">
        <v>117</v>
      </c>
      <c r="C200" s="761"/>
      <c r="D200" s="68" t="str">
        <f>HDG_5</f>
        <v>APR</v>
      </c>
      <c r="E200" s="171"/>
      <c r="F200" s="28"/>
      <c r="G200" s="171"/>
      <c r="H200" s="413"/>
      <c r="I200" s="413"/>
      <c r="J200" s="413"/>
      <c r="K200" s="413"/>
      <c r="L200" s="413"/>
      <c r="M200" s="413"/>
      <c r="N200" s="413"/>
      <c r="O200" s="171"/>
      <c r="P200" s="78"/>
      <c r="Q200" s="371">
        <f t="shared" si="53"/>
        <v>0</v>
      </c>
      <c r="R200" s="375">
        <f t="shared" si="54"/>
        <v>0</v>
      </c>
      <c r="S200" s="28"/>
      <c r="T200" s="76" t="str">
        <f>IF(OR(LOG_ANNUEL!Q200=0,'LOG_ANNUEL_A-1'!Q200=0),"",((LOG_ANNUEL!Q200-'LOG_ANNUEL_A-1'!Q200)/'LOG_ANNUEL_A-1'!Q200)*100)</f>
        <v/>
      </c>
      <c r="U200" s="28" t="str">
        <f t="shared" si="35"/>
        <v/>
      </c>
      <c r="V200" s="78" t="str">
        <f>IF('LOG_ANNUEL_A-1'!R200=0,"",((R200-'LOG_ANNUEL_A-1'!R200)/'LOG_ANNUEL_A-1'!R200)*100)</f>
        <v/>
      </c>
      <c r="W200" s="28"/>
      <c r="X200" s="28"/>
      <c r="Y200" s="28"/>
      <c r="Z200" s="28"/>
      <c r="AA200" s="28"/>
      <c r="AB200" s="28"/>
      <c r="AC200" s="28"/>
      <c r="AD200" s="28"/>
      <c r="AE200" s="28"/>
      <c r="AF200" s="28"/>
      <c r="AG200" s="28"/>
      <c r="AH200" s="28"/>
      <c r="AI200" s="28"/>
    </row>
    <row r="201" spans="2:36" x14ac:dyDescent="0.25">
      <c r="B201">
        <v>118</v>
      </c>
      <c r="C201" s="761"/>
      <c r="D201" s="68" t="str">
        <f>HDG_6</f>
        <v>DCG</v>
      </c>
      <c r="E201" s="171"/>
      <c r="F201" s="28"/>
      <c r="G201" s="171"/>
      <c r="H201" s="413"/>
      <c r="I201" s="413"/>
      <c r="J201" s="413"/>
      <c r="K201" s="413"/>
      <c r="L201" s="413"/>
      <c r="M201" s="413"/>
      <c r="N201" s="413"/>
      <c r="O201" s="171"/>
      <c r="P201" s="78"/>
      <c r="Q201" s="371">
        <f t="shared" si="53"/>
        <v>0</v>
      </c>
      <c r="R201" s="375">
        <f t="shared" si="54"/>
        <v>0</v>
      </c>
      <c r="S201" s="28"/>
      <c r="T201" s="76" t="str">
        <f>IF(OR(LOG_ANNUEL!Q201=0,'LOG_ANNUEL_A-1'!Q201=0),"",((LOG_ANNUEL!Q201-'LOG_ANNUEL_A-1'!Q201)/'LOG_ANNUEL_A-1'!Q201)*100)</f>
        <v/>
      </c>
      <c r="U201" s="28" t="str">
        <f t="shared" ref="U201:U264" si="55">IF(Q201=0,"",(R201*100)/Q201)</f>
        <v/>
      </c>
      <c r="V201" s="78" t="str">
        <f>IF('LOG_ANNUEL_A-1'!R201=0,"",((R201-'LOG_ANNUEL_A-1'!R201)/'LOG_ANNUEL_A-1'!R201)*100)</f>
        <v/>
      </c>
      <c r="W201" s="28"/>
      <c r="X201" s="28"/>
      <c r="Y201" s="28"/>
      <c r="Z201" s="28"/>
      <c r="AA201" s="28"/>
      <c r="AB201" s="28"/>
      <c r="AC201" s="28"/>
      <c r="AD201" s="28"/>
      <c r="AE201" s="28"/>
      <c r="AF201" s="28"/>
      <c r="AG201" s="28"/>
      <c r="AH201" s="28"/>
      <c r="AI201" s="28"/>
    </row>
    <row r="202" spans="2:36" x14ac:dyDescent="0.25">
      <c r="B202">
        <v>119</v>
      </c>
      <c r="C202" s="761"/>
      <c r="D202" s="68" t="str">
        <f>HDG_7</f>
        <v>SFS</v>
      </c>
      <c r="E202" s="171"/>
      <c r="F202" s="28"/>
      <c r="G202" s="171"/>
      <c r="H202" s="413"/>
      <c r="I202" s="413"/>
      <c r="J202" s="413"/>
      <c r="K202" s="413"/>
      <c r="L202" s="413"/>
      <c r="M202" s="413"/>
      <c r="N202" s="413"/>
      <c r="O202" s="171"/>
      <c r="P202" s="78"/>
      <c r="Q202" s="371">
        <f t="shared" si="53"/>
        <v>0</v>
      </c>
      <c r="R202" s="375">
        <f t="shared" si="54"/>
        <v>0</v>
      </c>
      <c r="S202" s="28"/>
      <c r="T202" s="76" t="str">
        <f>IF(OR(LOG_ANNUEL!Q202=0,'LOG_ANNUEL_A-1'!Q202=0),"",((LOG_ANNUEL!Q202-'LOG_ANNUEL_A-1'!Q202)/'LOG_ANNUEL_A-1'!Q202)*100)</f>
        <v/>
      </c>
      <c r="U202" s="28" t="str">
        <f t="shared" si="55"/>
        <v/>
      </c>
      <c r="V202" s="78" t="str">
        <f>IF('LOG_ANNUEL_A-1'!R202=0,"",((R202-'LOG_ANNUEL_A-1'!R202)/'LOG_ANNUEL_A-1'!R202)*100)</f>
        <v/>
      </c>
      <c r="W202" s="28"/>
      <c r="X202" s="28"/>
      <c r="Y202" s="28"/>
      <c r="Z202" s="28"/>
      <c r="AA202" s="28"/>
      <c r="AB202" s="28"/>
      <c r="AC202" s="28"/>
      <c r="AD202" s="28"/>
      <c r="AE202" s="28"/>
      <c r="AF202" s="28"/>
      <c r="AG202" s="28"/>
      <c r="AH202" s="28"/>
      <c r="AI202" s="28"/>
    </row>
    <row r="203" spans="2:36" x14ac:dyDescent="0.25">
      <c r="B203">
        <v>120</v>
      </c>
      <c r="C203" s="761"/>
      <c r="D203" s="68" t="str">
        <f>HDG_8</f>
        <v>AZH</v>
      </c>
      <c r="E203" s="171"/>
      <c r="F203" s="28"/>
      <c r="G203" s="171"/>
      <c r="H203" s="413"/>
      <c r="I203" s="413"/>
      <c r="J203" s="413"/>
      <c r="K203" s="413"/>
      <c r="L203" s="413"/>
      <c r="M203" s="413"/>
      <c r="N203" s="413"/>
      <c r="O203" s="171"/>
      <c r="P203" s="78"/>
      <c r="Q203" s="371">
        <f t="shared" si="53"/>
        <v>0</v>
      </c>
      <c r="R203" s="375">
        <f t="shared" si="54"/>
        <v>0</v>
      </c>
      <c r="S203" s="28"/>
      <c r="T203" s="76" t="str">
        <f>IF(OR(LOG_ANNUEL!Q203=0,'LOG_ANNUEL_A-1'!Q203=0),"",((LOG_ANNUEL!Q203-'LOG_ANNUEL_A-1'!Q203)/'LOG_ANNUEL_A-1'!Q203)*100)</f>
        <v/>
      </c>
      <c r="U203" s="28" t="str">
        <f t="shared" si="55"/>
        <v/>
      </c>
      <c r="V203" s="78" t="str">
        <f>IF('LOG_ANNUEL_A-1'!R203=0,"",((R203-'LOG_ANNUEL_A-1'!R203)/'LOG_ANNUEL_A-1'!R203)*100)</f>
        <v/>
      </c>
      <c r="W203" s="28"/>
      <c r="X203" s="28"/>
      <c r="Y203" s="28"/>
      <c r="Z203" s="28"/>
      <c r="AA203" s="28"/>
      <c r="AB203" s="28"/>
      <c r="AC203" s="28"/>
      <c r="AD203" s="28"/>
      <c r="AE203" s="28"/>
      <c r="AF203" s="28"/>
      <c r="AG203" s="28"/>
      <c r="AH203" s="28"/>
      <c r="AI203" s="28"/>
    </row>
    <row r="204" spans="2:36" x14ac:dyDescent="0.25">
      <c r="B204">
        <v>121</v>
      </c>
      <c r="C204" s="761"/>
      <c r="D204" s="68" t="str">
        <f>HDG_9</f>
        <v>HLI</v>
      </c>
      <c r="E204" s="171"/>
      <c r="F204" s="28"/>
      <c r="G204" s="171"/>
      <c r="H204" s="413"/>
      <c r="I204" s="413"/>
      <c r="J204" s="413"/>
      <c r="K204" s="413"/>
      <c r="L204" s="413"/>
      <c r="M204" s="413"/>
      <c r="N204" s="413"/>
      <c r="O204" s="171"/>
      <c r="P204" s="78"/>
      <c r="Q204" s="371">
        <f t="shared" si="53"/>
        <v>0</v>
      </c>
      <c r="R204" s="375">
        <f t="shared" si="54"/>
        <v>0</v>
      </c>
      <c r="S204" s="28"/>
      <c r="T204" s="76" t="str">
        <f>IF(OR(LOG_ANNUEL!Q204=0,'LOG_ANNUEL_A-1'!Q204=0),"",((LOG_ANNUEL!Q204-'LOG_ANNUEL_A-1'!Q204)/'LOG_ANNUEL_A-1'!Q204)*100)</f>
        <v/>
      </c>
      <c r="U204" s="28" t="str">
        <f t="shared" si="55"/>
        <v/>
      </c>
      <c r="V204" s="78" t="str">
        <f>IF('LOG_ANNUEL_A-1'!R204=0,"",((R204-'LOG_ANNUEL_A-1'!R204)/'LOG_ANNUEL_A-1'!R204)*100)</f>
        <v/>
      </c>
      <c r="W204" s="28"/>
      <c r="X204" s="28"/>
      <c r="Y204" s="28"/>
      <c r="Z204" s="28"/>
      <c r="AA204" s="28"/>
      <c r="AB204" s="28"/>
      <c r="AC204" s="28"/>
      <c r="AD204" s="28"/>
      <c r="AE204" s="28"/>
      <c r="AF204" s="28"/>
      <c r="AG204" s="28"/>
      <c r="AH204" s="28"/>
      <c r="AI204" s="28"/>
    </row>
    <row r="205" spans="2:36" x14ac:dyDescent="0.25">
      <c r="B205">
        <v>122</v>
      </c>
      <c r="C205" s="761"/>
      <c r="D205" s="68" t="str">
        <f>HDG_10</f>
        <v>MCM</v>
      </c>
      <c r="E205" s="171"/>
      <c r="F205" s="28"/>
      <c r="G205" s="171"/>
      <c r="H205" s="413"/>
      <c r="I205" s="413"/>
      <c r="J205" s="413"/>
      <c r="K205" s="413"/>
      <c r="L205" s="413"/>
      <c r="M205" s="413"/>
      <c r="N205" s="413"/>
      <c r="O205" s="171"/>
      <c r="P205" s="78"/>
      <c r="Q205" s="371">
        <f t="shared" si="53"/>
        <v>0</v>
      </c>
      <c r="R205" s="375">
        <f t="shared" si="54"/>
        <v>0</v>
      </c>
      <c r="S205" s="28"/>
      <c r="T205" s="76" t="str">
        <f>IF(OR(LOG_ANNUEL!Q205=0,'LOG_ANNUEL_A-1'!Q205=0),"",((LOG_ANNUEL!Q205-'LOG_ANNUEL_A-1'!Q205)/'LOG_ANNUEL_A-1'!Q205)*100)</f>
        <v/>
      </c>
      <c r="U205" s="28" t="str">
        <f t="shared" si="55"/>
        <v/>
      </c>
      <c r="V205" s="78" t="str">
        <f>IF('LOG_ANNUEL_A-1'!R205=0,"",((R205-'LOG_ANNUEL_A-1'!R205)/'LOG_ANNUEL_A-1'!R205)*100)</f>
        <v/>
      </c>
      <c r="W205" s="28"/>
      <c r="X205" s="28"/>
      <c r="Y205" s="28"/>
      <c r="Z205" s="28"/>
      <c r="AA205" s="28"/>
      <c r="AB205" s="28"/>
      <c r="AC205" s="28"/>
      <c r="AD205" s="28"/>
      <c r="AE205" s="28"/>
      <c r="AF205" s="28"/>
      <c r="AG205" s="28"/>
      <c r="AH205" s="28"/>
      <c r="AI205" s="28"/>
    </row>
    <row r="206" spans="2:36" x14ac:dyDescent="0.25">
      <c r="B206">
        <v>123</v>
      </c>
      <c r="C206" s="761"/>
      <c r="D206" s="68" t="str">
        <f>HDG_11</f>
        <v>MCR</v>
      </c>
      <c r="E206" s="171"/>
      <c r="F206" s="28"/>
      <c r="G206" s="171"/>
      <c r="H206" s="413"/>
      <c r="I206" s="413"/>
      <c r="J206" s="413"/>
      <c r="K206" s="413"/>
      <c r="L206" s="413"/>
      <c r="M206" s="413"/>
      <c r="N206" s="413"/>
      <c r="O206" s="171"/>
      <c r="P206" s="78"/>
      <c r="Q206" s="371">
        <f t="shared" si="53"/>
        <v>0</v>
      </c>
      <c r="R206" s="375">
        <f t="shared" si="54"/>
        <v>0</v>
      </c>
      <c r="S206" s="28"/>
      <c r="T206" s="76" t="str">
        <f>IF(OR(LOG_ANNUEL!Q206=0,'LOG_ANNUEL_A-1'!Q206=0),"",((LOG_ANNUEL!Q206-'LOG_ANNUEL_A-1'!Q206)/'LOG_ANNUEL_A-1'!Q206)*100)</f>
        <v/>
      </c>
      <c r="U206" s="28" t="str">
        <f t="shared" si="55"/>
        <v/>
      </c>
      <c r="V206" s="78" t="str">
        <f>IF('LOG_ANNUEL_A-1'!R206=0,"",((R206-'LOG_ANNUEL_A-1'!R206)/'LOG_ANNUEL_A-1'!R206)*100)</f>
        <v/>
      </c>
      <c r="W206" s="28"/>
      <c r="X206" s="28"/>
      <c r="Y206" s="28"/>
      <c r="Z206" s="28"/>
      <c r="AA206" s="28"/>
      <c r="AB206" s="28"/>
      <c r="AC206" s="28"/>
      <c r="AD206" s="28"/>
      <c r="AE206" s="28"/>
      <c r="AF206" s="28"/>
      <c r="AG206" s="28"/>
      <c r="AH206" s="28"/>
      <c r="AI206" s="28"/>
    </row>
    <row r="207" spans="2:36" ht="15.75" thickBot="1" x14ac:dyDescent="0.3">
      <c r="B207">
        <v>124</v>
      </c>
      <c r="C207" s="762"/>
      <c r="D207" s="629" t="s">
        <v>406</v>
      </c>
      <c r="E207" s="253"/>
      <c r="F207" s="63"/>
      <c r="G207" s="253"/>
      <c r="H207" s="423"/>
      <c r="I207" s="423"/>
      <c r="J207" s="423"/>
      <c r="K207" s="423"/>
      <c r="L207" s="423"/>
      <c r="M207" s="423"/>
      <c r="N207" s="423"/>
      <c r="O207" s="253"/>
      <c r="P207" s="64"/>
      <c r="Q207" s="373">
        <f t="shared" si="53"/>
        <v>0</v>
      </c>
      <c r="R207" s="418">
        <f t="shared" si="54"/>
        <v>0</v>
      </c>
      <c r="S207" s="28"/>
      <c r="T207" s="76" t="str">
        <f>IF(OR(LOG_ANNUEL!Q207=0,'LOG_ANNUEL_A-1'!Q207=0),"",((LOG_ANNUEL!Q207-'LOG_ANNUEL_A-1'!Q207)/'LOG_ANNUEL_A-1'!Q207)*100)</f>
        <v/>
      </c>
      <c r="U207" s="28" t="str">
        <f t="shared" si="55"/>
        <v/>
      </c>
      <c r="V207" s="78" t="str">
        <f>IF('LOG_ANNUEL_A-1'!R207=0,"",((R207-'LOG_ANNUEL_A-1'!R207)/'LOG_ANNUEL_A-1'!R207)*100)</f>
        <v/>
      </c>
      <c r="W207" s="28"/>
      <c r="X207" s="28"/>
      <c r="Y207" s="28"/>
      <c r="Z207" s="28"/>
      <c r="AA207" s="28"/>
      <c r="AB207" s="28"/>
      <c r="AC207" s="28"/>
      <c r="AD207" s="28"/>
      <c r="AE207" s="28"/>
      <c r="AF207" s="28"/>
      <c r="AG207" s="28"/>
      <c r="AH207" s="28"/>
      <c r="AI207" s="28"/>
    </row>
    <row r="208" spans="2:36" ht="15.75" thickBot="1" x14ac:dyDescent="0.3">
      <c r="C208" s="630"/>
      <c r="D208" s="630"/>
      <c r="E208" s="366"/>
      <c r="F208" s="366"/>
      <c r="G208" s="366"/>
      <c r="H208" s="366"/>
      <c r="I208" s="366"/>
      <c r="J208" s="366"/>
      <c r="K208" s="366"/>
      <c r="L208" s="366"/>
      <c r="M208" s="366"/>
      <c r="N208" s="366"/>
      <c r="O208" s="366"/>
      <c r="P208" s="366"/>
      <c r="Q208" s="366"/>
      <c r="R208" s="366"/>
      <c r="S208" s="369"/>
      <c r="T208" s="76"/>
      <c r="U208" s="28"/>
      <c r="V208" s="78"/>
      <c r="W208" s="369"/>
      <c r="X208" s="369"/>
      <c r="Y208" s="369"/>
      <c r="Z208" s="369"/>
      <c r="AA208" s="369"/>
      <c r="AB208" s="369"/>
      <c r="AC208" s="369"/>
      <c r="AD208" s="369"/>
      <c r="AE208" s="369"/>
      <c r="AF208" s="369"/>
      <c r="AG208" s="369"/>
      <c r="AH208" s="369"/>
      <c r="AI208" s="369"/>
      <c r="AJ208" s="369"/>
    </row>
    <row r="209" spans="2:36" ht="15.75" thickBot="1" x14ac:dyDescent="0.3">
      <c r="B209">
        <v>125</v>
      </c>
      <c r="C209" s="749" t="s">
        <v>66</v>
      </c>
      <c r="D209" s="750"/>
      <c r="E209" s="254"/>
      <c r="F209" s="60"/>
      <c r="G209" s="254"/>
      <c r="H209" s="422"/>
      <c r="I209" s="422"/>
      <c r="J209" s="422"/>
      <c r="K209" s="422"/>
      <c r="L209" s="422"/>
      <c r="M209" s="422"/>
      <c r="N209" s="422"/>
      <c r="O209" s="254"/>
      <c r="P209" s="59"/>
      <c r="Q209" s="374">
        <f>SUM(E209:P209)</f>
        <v>0</v>
      </c>
      <c r="R209" s="417">
        <f>SUM(H209:N209)</f>
        <v>0</v>
      </c>
      <c r="S209" s="28"/>
      <c r="T209" s="76" t="str">
        <f>IF(OR(LOG_ANNUEL!Q209=0,'LOG_ANNUEL_A-1'!Q209=0),"",((LOG_ANNUEL!Q209-'LOG_ANNUEL_A-1'!Q209)/'LOG_ANNUEL_A-1'!Q209)*100)</f>
        <v/>
      </c>
      <c r="U209" s="28" t="str">
        <f t="shared" si="55"/>
        <v/>
      </c>
      <c r="V209" s="78">
        <f>IF('LOG_ANNUEL_A-1'!R209=0,"",((R209-'LOG_ANNUEL_A-1'!R209)/'LOG_ANNUEL_A-1'!R209)*100)</f>
        <v>-100</v>
      </c>
      <c r="W209" s="28"/>
      <c r="X209" s="28"/>
      <c r="Y209" s="28"/>
      <c r="Z209" s="28"/>
      <c r="AA209" s="28"/>
      <c r="AB209" s="28"/>
      <c r="AC209" s="28"/>
      <c r="AD209" s="28"/>
      <c r="AE209" s="28"/>
      <c r="AF209" s="28"/>
      <c r="AG209" s="28"/>
      <c r="AH209" s="28"/>
      <c r="AI209" s="28"/>
    </row>
    <row r="210" spans="2:36" ht="15.75" thickBot="1" x14ac:dyDescent="0.3">
      <c r="C210" s="828" t="s">
        <v>56</v>
      </c>
      <c r="D210" s="829"/>
      <c r="E210" s="181"/>
      <c r="F210" s="61"/>
      <c r="G210" s="181"/>
      <c r="H210" s="61"/>
      <c r="I210" s="181"/>
      <c r="J210" s="61"/>
      <c r="K210" s="181"/>
      <c r="L210" s="61"/>
      <c r="M210" s="181"/>
      <c r="N210" s="61"/>
      <c r="O210" s="181"/>
      <c r="P210" s="424"/>
      <c r="Q210" s="372"/>
      <c r="R210" s="308"/>
      <c r="S210" s="28"/>
      <c r="T210" s="76"/>
      <c r="U210" s="28"/>
      <c r="V210" s="78"/>
      <c r="W210" s="28"/>
      <c r="X210" s="28"/>
      <c r="Y210" s="28"/>
      <c r="Z210" s="28"/>
      <c r="AA210" s="28"/>
      <c r="AB210" s="28"/>
      <c r="AC210" s="28"/>
      <c r="AD210" s="28"/>
      <c r="AE210" s="28"/>
      <c r="AF210" s="28"/>
      <c r="AG210" s="28"/>
      <c r="AH210" s="28"/>
      <c r="AI210" s="28"/>
    </row>
    <row r="211" spans="2:36" x14ac:dyDescent="0.25">
      <c r="B211">
        <v>126</v>
      </c>
      <c r="C211" s="832"/>
      <c r="D211" s="628" t="str">
        <f>HDG_1</f>
        <v>AFR</v>
      </c>
      <c r="E211" s="171"/>
      <c r="F211" s="28"/>
      <c r="G211" s="171"/>
      <c r="H211" s="413"/>
      <c r="I211" s="413"/>
      <c r="J211" s="413"/>
      <c r="K211" s="413"/>
      <c r="L211" s="413"/>
      <c r="M211" s="413"/>
      <c r="N211" s="413"/>
      <c r="O211" s="171"/>
      <c r="P211" s="78"/>
      <c r="Q211" s="371">
        <f>SUM(E211:P211)</f>
        <v>0</v>
      </c>
      <c r="R211" s="375">
        <f>SUM(H211:N211)</f>
        <v>0</v>
      </c>
      <c r="S211" s="28"/>
      <c r="T211" s="76" t="str">
        <f>IF(OR(LOG_ANNUEL!Q211=0,'LOG_ANNUEL_A-1'!Q211=0),"",((LOG_ANNUEL!Q211-'LOG_ANNUEL_A-1'!Q211)/'LOG_ANNUEL_A-1'!Q211)*100)</f>
        <v/>
      </c>
      <c r="U211" s="28" t="str">
        <f t="shared" si="55"/>
        <v/>
      </c>
      <c r="V211" s="78" t="str">
        <f>IF('LOG_ANNUEL_A-1'!R211=0,"",((R211-'LOG_ANNUEL_A-1'!R211)/'LOG_ANNUEL_A-1'!R211)*100)</f>
        <v/>
      </c>
      <c r="W211" s="28"/>
      <c r="X211" s="28"/>
      <c r="Y211" s="28"/>
      <c r="Z211" s="28"/>
      <c r="AA211" s="28"/>
      <c r="AB211" s="28"/>
      <c r="AC211" s="28"/>
      <c r="AD211" s="28"/>
      <c r="AE211" s="28"/>
      <c r="AF211" s="28"/>
      <c r="AG211" s="28"/>
      <c r="AH211" s="28"/>
      <c r="AI211" s="28"/>
    </row>
    <row r="212" spans="2:36" x14ac:dyDescent="0.25">
      <c r="B212">
        <v>127</v>
      </c>
      <c r="C212" s="833"/>
      <c r="D212" s="68" t="str">
        <f>HDG_2</f>
        <v>AVP</v>
      </c>
      <c r="E212" s="171"/>
      <c r="F212" s="28"/>
      <c r="G212" s="171"/>
      <c r="H212" s="413"/>
      <c r="I212" s="413"/>
      <c r="J212" s="413"/>
      <c r="K212" s="413"/>
      <c r="L212" s="413"/>
      <c r="M212" s="413"/>
      <c r="N212" s="413"/>
      <c r="O212" s="171"/>
      <c r="P212" s="78"/>
      <c r="Q212" s="371">
        <f t="shared" ref="Q212:Q222" si="56">SUM(E212:P212)</f>
        <v>0</v>
      </c>
      <c r="R212" s="375">
        <f t="shared" ref="R212:R222" si="57">SUM(H212:N212)</f>
        <v>0</v>
      </c>
      <c r="S212" s="28"/>
      <c r="T212" s="76" t="str">
        <f>IF(OR(LOG_ANNUEL!Q212=0,'LOG_ANNUEL_A-1'!Q212=0),"",((LOG_ANNUEL!Q212-'LOG_ANNUEL_A-1'!Q212)/'LOG_ANNUEL_A-1'!Q212)*100)</f>
        <v/>
      </c>
      <c r="U212" s="28" t="str">
        <f t="shared" si="55"/>
        <v/>
      </c>
      <c r="V212" s="78" t="str">
        <f>IF('LOG_ANNUEL_A-1'!R212=0,"",((R212-'LOG_ANNUEL_A-1'!R212)/'LOG_ANNUEL_A-1'!R212)*100)</f>
        <v/>
      </c>
      <c r="W212" s="28"/>
      <c r="X212" s="28"/>
      <c r="Y212" s="28"/>
      <c r="Z212" s="28"/>
      <c r="AA212" s="28"/>
      <c r="AB212" s="28"/>
      <c r="AC212" s="28"/>
      <c r="AD212" s="28"/>
      <c r="AE212" s="28"/>
      <c r="AF212" s="28"/>
      <c r="AG212" s="28"/>
      <c r="AH212" s="28"/>
      <c r="AI212" s="28"/>
    </row>
    <row r="213" spans="2:36" x14ac:dyDescent="0.25">
      <c r="B213">
        <v>128</v>
      </c>
      <c r="C213" s="833"/>
      <c r="D213" s="68" t="str">
        <f>HDG_3</f>
        <v>ALZ</v>
      </c>
      <c r="E213" s="171"/>
      <c r="F213" s="28"/>
      <c r="G213" s="171"/>
      <c r="H213" s="413"/>
      <c r="I213" s="413"/>
      <c r="J213" s="413"/>
      <c r="K213" s="413"/>
      <c r="L213" s="413"/>
      <c r="M213" s="413"/>
      <c r="N213" s="413"/>
      <c r="O213" s="171"/>
      <c r="P213" s="78"/>
      <c r="Q213" s="371">
        <f t="shared" si="56"/>
        <v>0</v>
      </c>
      <c r="R213" s="375">
        <f t="shared" si="57"/>
        <v>0</v>
      </c>
      <c r="S213" s="28"/>
      <c r="T213" s="76" t="str">
        <f>IF(OR(LOG_ANNUEL!Q213=0,'LOG_ANNUEL_A-1'!Q213=0),"",((LOG_ANNUEL!Q213-'LOG_ANNUEL_A-1'!Q213)/'LOG_ANNUEL_A-1'!Q213)*100)</f>
        <v/>
      </c>
      <c r="U213" s="28" t="str">
        <f t="shared" si="55"/>
        <v/>
      </c>
      <c r="V213" s="78" t="str">
        <f>IF('LOG_ANNUEL_A-1'!R213=0,"",((R213-'LOG_ANNUEL_A-1'!R213)/'LOG_ANNUEL_A-1'!R213)*100)</f>
        <v/>
      </c>
      <c r="W213" s="28"/>
      <c r="X213" s="28"/>
      <c r="Y213" s="28"/>
      <c r="Z213" s="28"/>
      <c r="AA213" s="28"/>
      <c r="AB213" s="28"/>
      <c r="AC213" s="28"/>
      <c r="AD213" s="28"/>
      <c r="AE213" s="28"/>
      <c r="AF213" s="28"/>
      <c r="AG213" s="28"/>
      <c r="AH213" s="28"/>
      <c r="AI213" s="28"/>
    </row>
    <row r="214" spans="2:36" x14ac:dyDescent="0.25">
      <c r="B214">
        <v>129</v>
      </c>
      <c r="C214" s="833"/>
      <c r="D214" s="68" t="str">
        <f>HDG_4</f>
        <v>MZS</v>
      </c>
      <c r="E214" s="171"/>
      <c r="F214" s="28"/>
      <c r="G214" s="171"/>
      <c r="H214" s="413"/>
      <c r="I214" s="413"/>
      <c r="J214" s="413"/>
      <c r="K214" s="413"/>
      <c r="L214" s="413"/>
      <c r="M214" s="413"/>
      <c r="N214" s="413"/>
      <c r="O214" s="171"/>
      <c r="P214" s="78"/>
      <c r="Q214" s="371">
        <f t="shared" si="56"/>
        <v>0</v>
      </c>
      <c r="R214" s="375">
        <f t="shared" si="57"/>
        <v>0</v>
      </c>
      <c r="S214" s="28"/>
      <c r="T214" s="76" t="str">
        <f>IF(OR(LOG_ANNUEL!Q214=0,'LOG_ANNUEL_A-1'!Q214=0),"",((LOG_ANNUEL!Q214-'LOG_ANNUEL_A-1'!Q214)/'LOG_ANNUEL_A-1'!Q214)*100)</f>
        <v/>
      </c>
      <c r="U214" s="28" t="str">
        <f t="shared" si="55"/>
        <v/>
      </c>
      <c r="V214" s="78" t="str">
        <f>IF('LOG_ANNUEL_A-1'!R214=0,"",((R214-'LOG_ANNUEL_A-1'!R214)/'LOG_ANNUEL_A-1'!R214)*100)</f>
        <v/>
      </c>
      <c r="W214" s="28"/>
      <c r="X214" s="28"/>
      <c r="Y214" s="28"/>
      <c r="Z214" s="28"/>
      <c r="AA214" s="28"/>
      <c r="AB214" s="28"/>
      <c r="AC214" s="28"/>
      <c r="AD214" s="28"/>
      <c r="AE214" s="28"/>
      <c r="AF214" s="28"/>
      <c r="AG214" s="28"/>
      <c r="AH214" s="28"/>
      <c r="AI214" s="28"/>
    </row>
    <row r="215" spans="2:36" x14ac:dyDescent="0.25">
      <c r="B215">
        <v>130</v>
      </c>
      <c r="C215" s="833"/>
      <c r="D215" s="68" t="str">
        <f>HDG_5</f>
        <v>APR</v>
      </c>
      <c r="E215" s="171"/>
      <c r="F215" s="28"/>
      <c r="G215" s="171"/>
      <c r="H215" s="413"/>
      <c r="I215" s="413"/>
      <c r="J215" s="413"/>
      <c r="K215" s="413"/>
      <c r="L215" s="413"/>
      <c r="M215" s="413"/>
      <c r="N215" s="413"/>
      <c r="O215" s="171"/>
      <c r="P215" s="78"/>
      <c r="Q215" s="371">
        <f t="shared" si="56"/>
        <v>0</v>
      </c>
      <c r="R215" s="375">
        <f t="shared" si="57"/>
        <v>0</v>
      </c>
      <c r="S215" s="28"/>
      <c r="T215" s="76" t="str">
        <f>IF(OR(LOG_ANNUEL!Q215=0,'LOG_ANNUEL_A-1'!Q215=0),"",((LOG_ANNUEL!Q215-'LOG_ANNUEL_A-1'!Q215)/'LOG_ANNUEL_A-1'!Q215)*100)</f>
        <v/>
      </c>
      <c r="U215" s="28" t="str">
        <f t="shared" si="55"/>
        <v/>
      </c>
      <c r="V215" s="78" t="str">
        <f>IF('LOG_ANNUEL_A-1'!R215=0,"",((R215-'LOG_ANNUEL_A-1'!R215)/'LOG_ANNUEL_A-1'!R215)*100)</f>
        <v/>
      </c>
      <c r="W215" s="28"/>
      <c r="X215" s="28"/>
      <c r="Y215" s="28"/>
      <c r="Z215" s="28"/>
      <c r="AA215" s="28"/>
      <c r="AB215" s="28"/>
      <c r="AC215" s="28"/>
      <c r="AD215" s="28"/>
      <c r="AE215" s="28"/>
      <c r="AF215" s="28"/>
      <c r="AG215" s="28"/>
      <c r="AH215" s="28"/>
      <c r="AI215" s="28"/>
    </row>
    <row r="216" spans="2:36" x14ac:dyDescent="0.25">
      <c r="B216">
        <v>131</v>
      </c>
      <c r="C216" s="833"/>
      <c r="D216" s="68" t="str">
        <f>HDG_6</f>
        <v>DCG</v>
      </c>
      <c r="E216" s="171"/>
      <c r="F216" s="28"/>
      <c r="G216" s="171"/>
      <c r="H216" s="413"/>
      <c r="I216" s="413"/>
      <c r="J216" s="413"/>
      <c r="K216" s="413"/>
      <c r="L216" s="413"/>
      <c r="M216" s="413"/>
      <c r="N216" s="413"/>
      <c r="O216" s="171"/>
      <c r="P216" s="78"/>
      <c r="Q216" s="371">
        <f t="shared" si="56"/>
        <v>0</v>
      </c>
      <c r="R216" s="375">
        <f t="shared" si="57"/>
        <v>0</v>
      </c>
      <c r="S216" s="28"/>
      <c r="T216" s="76" t="str">
        <f>IF(OR(LOG_ANNUEL!Q216=0,'LOG_ANNUEL_A-1'!Q216=0),"",((LOG_ANNUEL!Q216-'LOG_ANNUEL_A-1'!Q216)/'LOG_ANNUEL_A-1'!Q216)*100)</f>
        <v/>
      </c>
      <c r="U216" s="28" t="str">
        <f t="shared" si="55"/>
        <v/>
      </c>
      <c r="V216" s="78" t="str">
        <f>IF('LOG_ANNUEL_A-1'!R216=0,"",((R216-'LOG_ANNUEL_A-1'!R216)/'LOG_ANNUEL_A-1'!R216)*100)</f>
        <v/>
      </c>
      <c r="W216" s="28"/>
      <c r="X216" s="28"/>
      <c r="Y216" s="28"/>
      <c r="Z216" s="28"/>
      <c r="AA216" s="28"/>
      <c r="AB216" s="28"/>
      <c r="AC216" s="28"/>
      <c r="AD216" s="28"/>
      <c r="AE216" s="28"/>
      <c r="AF216" s="28"/>
      <c r="AG216" s="28"/>
      <c r="AH216" s="28"/>
      <c r="AI216" s="28"/>
    </row>
    <row r="217" spans="2:36" x14ac:dyDescent="0.25">
      <c r="B217">
        <v>132</v>
      </c>
      <c r="C217" s="833"/>
      <c r="D217" s="68" t="str">
        <f>HDG_7</f>
        <v>SFS</v>
      </c>
      <c r="E217" s="171"/>
      <c r="F217" s="28"/>
      <c r="G217" s="171"/>
      <c r="H217" s="413"/>
      <c r="I217" s="413"/>
      <c r="J217" s="413"/>
      <c r="K217" s="413"/>
      <c r="L217" s="413"/>
      <c r="M217" s="413"/>
      <c r="N217" s="413"/>
      <c r="O217" s="171"/>
      <c r="P217" s="78"/>
      <c r="Q217" s="371">
        <f t="shared" si="56"/>
        <v>0</v>
      </c>
      <c r="R217" s="375">
        <f t="shared" si="57"/>
        <v>0</v>
      </c>
      <c r="S217" s="28"/>
      <c r="T217" s="76" t="str">
        <f>IF(OR(LOG_ANNUEL!Q217=0,'LOG_ANNUEL_A-1'!Q217=0),"",((LOG_ANNUEL!Q217-'LOG_ANNUEL_A-1'!Q217)/'LOG_ANNUEL_A-1'!Q217)*100)</f>
        <v/>
      </c>
      <c r="U217" s="28" t="str">
        <f t="shared" si="55"/>
        <v/>
      </c>
      <c r="V217" s="78" t="str">
        <f>IF('LOG_ANNUEL_A-1'!R217=0,"",((R217-'LOG_ANNUEL_A-1'!R217)/'LOG_ANNUEL_A-1'!R217)*100)</f>
        <v/>
      </c>
      <c r="W217" s="28"/>
      <c r="X217" s="28"/>
      <c r="Y217" s="28"/>
      <c r="Z217" s="28"/>
      <c r="AA217" s="28"/>
      <c r="AB217" s="28"/>
      <c r="AC217" s="28"/>
      <c r="AD217" s="28"/>
      <c r="AE217" s="28"/>
      <c r="AF217" s="28"/>
      <c r="AG217" s="28"/>
      <c r="AH217" s="28"/>
      <c r="AI217" s="28"/>
    </row>
    <row r="218" spans="2:36" x14ac:dyDescent="0.25">
      <c r="B218">
        <v>133</v>
      </c>
      <c r="C218" s="833"/>
      <c r="D218" s="68" t="str">
        <f>HDG_8</f>
        <v>AZH</v>
      </c>
      <c r="E218" s="171"/>
      <c r="F218" s="28"/>
      <c r="G218" s="171"/>
      <c r="H218" s="413"/>
      <c r="I218" s="413"/>
      <c r="J218" s="413"/>
      <c r="K218" s="413"/>
      <c r="L218" s="413"/>
      <c r="M218" s="413"/>
      <c r="N218" s="413"/>
      <c r="O218" s="171"/>
      <c r="P218" s="78"/>
      <c r="Q218" s="371">
        <f t="shared" si="56"/>
        <v>0</v>
      </c>
      <c r="R218" s="375">
        <f t="shared" si="57"/>
        <v>0</v>
      </c>
      <c r="S218" s="28"/>
      <c r="T218" s="76" t="str">
        <f>IF(OR(LOG_ANNUEL!Q218=0,'LOG_ANNUEL_A-1'!Q218=0),"",((LOG_ANNUEL!Q218-'LOG_ANNUEL_A-1'!Q218)/'LOG_ANNUEL_A-1'!Q218)*100)</f>
        <v/>
      </c>
      <c r="U218" s="28" t="str">
        <f t="shared" si="55"/>
        <v/>
      </c>
      <c r="V218" s="78" t="str">
        <f>IF('LOG_ANNUEL_A-1'!R218=0,"",((R218-'LOG_ANNUEL_A-1'!R218)/'LOG_ANNUEL_A-1'!R218)*100)</f>
        <v/>
      </c>
      <c r="W218" s="28"/>
      <c r="X218" s="28"/>
      <c r="Y218" s="28"/>
      <c r="Z218" s="28"/>
      <c r="AA218" s="28"/>
      <c r="AB218" s="28"/>
      <c r="AC218" s="28"/>
      <c r="AD218" s="28"/>
      <c r="AE218" s="28"/>
      <c r="AF218" s="28"/>
      <c r="AG218" s="28"/>
      <c r="AH218" s="28"/>
      <c r="AI218" s="28"/>
    </row>
    <row r="219" spans="2:36" x14ac:dyDescent="0.25">
      <c r="B219">
        <v>134</v>
      </c>
      <c r="C219" s="833"/>
      <c r="D219" s="68" t="str">
        <f>HDG_9</f>
        <v>HLI</v>
      </c>
      <c r="E219" s="171"/>
      <c r="F219" s="28"/>
      <c r="G219" s="171"/>
      <c r="H219" s="413"/>
      <c r="I219" s="413"/>
      <c r="J219" s="413"/>
      <c r="K219" s="413"/>
      <c r="L219" s="413"/>
      <c r="M219" s="413"/>
      <c r="N219" s="413"/>
      <c r="O219" s="171"/>
      <c r="P219" s="78"/>
      <c r="Q219" s="371">
        <f t="shared" si="56"/>
        <v>0</v>
      </c>
      <c r="R219" s="375">
        <f t="shared" si="57"/>
        <v>0</v>
      </c>
      <c r="S219" s="28"/>
      <c r="T219" s="76" t="str">
        <f>IF(OR(LOG_ANNUEL!Q219=0,'LOG_ANNUEL_A-1'!Q219=0),"",((LOG_ANNUEL!Q219-'LOG_ANNUEL_A-1'!Q219)/'LOG_ANNUEL_A-1'!Q219)*100)</f>
        <v/>
      </c>
      <c r="U219" s="28" t="str">
        <f t="shared" si="55"/>
        <v/>
      </c>
      <c r="V219" s="78" t="str">
        <f>IF('LOG_ANNUEL_A-1'!R219=0,"",((R219-'LOG_ANNUEL_A-1'!R219)/'LOG_ANNUEL_A-1'!R219)*100)</f>
        <v/>
      </c>
      <c r="W219" s="28"/>
      <c r="X219" s="28"/>
      <c r="Y219" s="28"/>
      <c r="Z219" s="28"/>
      <c r="AA219" s="28"/>
      <c r="AB219" s="28"/>
      <c r="AC219" s="28"/>
      <c r="AD219" s="28"/>
      <c r="AE219" s="28"/>
      <c r="AF219" s="28"/>
      <c r="AG219" s="28"/>
      <c r="AH219" s="28"/>
      <c r="AI219" s="28"/>
    </row>
    <row r="220" spans="2:36" x14ac:dyDescent="0.25">
      <c r="B220">
        <v>135</v>
      </c>
      <c r="C220" s="833"/>
      <c r="D220" s="68" t="str">
        <f>HDG_10</f>
        <v>MCM</v>
      </c>
      <c r="E220" s="171"/>
      <c r="F220" s="28"/>
      <c r="G220" s="171"/>
      <c r="H220" s="413"/>
      <c r="I220" s="413"/>
      <c r="J220" s="413"/>
      <c r="K220" s="413"/>
      <c r="L220" s="413"/>
      <c r="M220" s="413"/>
      <c r="N220" s="413"/>
      <c r="O220" s="171"/>
      <c r="P220" s="78"/>
      <c r="Q220" s="371">
        <f t="shared" si="56"/>
        <v>0</v>
      </c>
      <c r="R220" s="375">
        <f t="shared" si="57"/>
        <v>0</v>
      </c>
      <c r="S220" s="28"/>
      <c r="T220" s="76" t="str">
        <f>IF(OR(LOG_ANNUEL!Q220=0,'LOG_ANNUEL_A-1'!Q220=0),"",((LOG_ANNUEL!Q220-'LOG_ANNUEL_A-1'!Q220)/'LOG_ANNUEL_A-1'!Q220)*100)</f>
        <v/>
      </c>
      <c r="U220" s="28" t="str">
        <f t="shared" si="55"/>
        <v/>
      </c>
      <c r="V220" s="78" t="str">
        <f>IF('LOG_ANNUEL_A-1'!R220=0,"",((R220-'LOG_ANNUEL_A-1'!R220)/'LOG_ANNUEL_A-1'!R220)*100)</f>
        <v/>
      </c>
      <c r="W220" s="28"/>
      <c r="X220" s="28"/>
      <c r="Y220" s="28"/>
      <c r="Z220" s="28"/>
      <c r="AA220" s="28"/>
      <c r="AB220" s="28"/>
      <c r="AC220" s="28"/>
      <c r="AD220" s="28"/>
      <c r="AE220" s="28"/>
      <c r="AF220" s="28"/>
      <c r="AG220" s="28"/>
      <c r="AH220" s="28"/>
      <c r="AI220" s="28"/>
    </row>
    <row r="221" spans="2:36" x14ac:dyDescent="0.25">
      <c r="B221">
        <v>136</v>
      </c>
      <c r="C221" s="833"/>
      <c r="D221" s="68" t="str">
        <f>HDG_11</f>
        <v>MCR</v>
      </c>
      <c r="E221" s="171"/>
      <c r="F221" s="28"/>
      <c r="G221" s="171"/>
      <c r="H221" s="413"/>
      <c r="I221" s="413"/>
      <c r="J221" s="413"/>
      <c r="K221" s="413"/>
      <c r="L221" s="413"/>
      <c r="M221" s="413"/>
      <c r="N221" s="413"/>
      <c r="O221" s="171"/>
      <c r="P221" s="78"/>
      <c r="Q221" s="371">
        <f t="shared" si="56"/>
        <v>0</v>
      </c>
      <c r="R221" s="375">
        <f t="shared" si="57"/>
        <v>0</v>
      </c>
      <c r="S221" s="28"/>
      <c r="T221" s="76" t="str">
        <f>IF(OR(LOG_ANNUEL!Q221=0,'LOG_ANNUEL_A-1'!Q221=0),"",((LOG_ANNUEL!Q221-'LOG_ANNUEL_A-1'!Q221)/'LOG_ANNUEL_A-1'!Q221)*100)</f>
        <v/>
      </c>
      <c r="U221" s="28" t="str">
        <f t="shared" si="55"/>
        <v/>
      </c>
      <c r="V221" s="78" t="str">
        <f>IF('LOG_ANNUEL_A-1'!R221=0,"",((R221-'LOG_ANNUEL_A-1'!R221)/'LOG_ANNUEL_A-1'!R221)*100)</f>
        <v/>
      </c>
      <c r="W221" s="28"/>
      <c r="X221" s="28"/>
      <c r="Y221" s="28"/>
      <c r="Z221" s="28"/>
      <c r="AA221" s="28"/>
      <c r="AB221" s="28"/>
      <c r="AC221" s="28"/>
      <c r="AD221" s="28"/>
      <c r="AE221" s="28"/>
      <c r="AF221" s="28"/>
      <c r="AG221" s="28"/>
      <c r="AH221" s="28"/>
      <c r="AI221" s="28"/>
    </row>
    <row r="222" spans="2:36" ht="15.75" thickBot="1" x14ac:dyDescent="0.3">
      <c r="B222">
        <v>137</v>
      </c>
      <c r="C222" s="833"/>
      <c r="D222" s="68" t="s">
        <v>406</v>
      </c>
      <c r="E222" s="605"/>
      <c r="F222" s="632"/>
      <c r="G222" s="605"/>
      <c r="H222" s="641"/>
      <c r="I222" s="641"/>
      <c r="J222" s="641"/>
      <c r="K222" s="641"/>
      <c r="L222" s="641"/>
      <c r="M222" s="641"/>
      <c r="N222" s="641"/>
      <c r="O222" s="605"/>
      <c r="P222" s="627"/>
      <c r="Q222" s="371">
        <f t="shared" si="56"/>
        <v>0</v>
      </c>
      <c r="R222" s="375">
        <f t="shared" si="57"/>
        <v>0</v>
      </c>
      <c r="S222" s="28"/>
      <c r="T222" s="76" t="str">
        <f>IF(OR(LOG_ANNUEL!Q222=0,'LOG_ANNUEL_A-1'!Q222=0),"",((LOG_ANNUEL!Q222-'LOG_ANNUEL_A-1'!Q222)/'LOG_ANNUEL_A-1'!Q222)*100)</f>
        <v/>
      </c>
      <c r="U222" s="28" t="str">
        <f t="shared" si="55"/>
        <v/>
      </c>
      <c r="V222" s="78" t="str">
        <f>IF('LOG_ANNUEL_A-1'!R222=0,"",((R222-'LOG_ANNUEL_A-1'!R222)/'LOG_ANNUEL_A-1'!R222)*100)</f>
        <v/>
      </c>
      <c r="W222" s="28"/>
      <c r="X222" s="28"/>
      <c r="Y222" s="28"/>
      <c r="Z222" s="28"/>
      <c r="AA222" s="28"/>
      <c r="AB222" s="28"/>
      <c r="AC222" s="28"/>
      <c r="AD222" s="28"/>
      <c r="AE222" s="28"/>
      <c r="AF222" s="28"/>
      <c r="AG222" s="28"/>
      <c r="AH222" s="28"/>
      <c r="AI222" s="28"/>
    </row>
    <row r="223" spans="2:36" ht="15" customHeight="1" x14ac:dyDescent="0.25">
      <c r="C223" s="842" t="s">
        <v>175</v>
      </c>
      <c r="D223" s="843"/>
      <c r="E223" s="843"/>
      <c r="F223" s="843"/>
      <c r="G223" s="843"/>
      <c r="H223" s="843"/>
      <c r="I223" s="843"/>
      <c r="J223" s="843"/>
      <c r="K223" s="843"/>
      <c r="L223" s="843"/>
      <c r="M223" s="843"/>
      <c r="N223" s="843"/>
      <c r="O223" s="843"/>
      <c r="P223" s="843"/>
      <c r="Q223" s="843"/>
      <c r="R223" s="844"/>
      <c r="S223"/>
      <c r="T223" s="76"/>
      <c r="U223" s="28"/>
      <c r="V223" s="78"/>
      <c r="W223" s="367"/>
      <c r="X223" s="367"/>
      <c r="Y223" s="367"/>
      <c r="Z223" s="367"/>
      <c r="AA223" s="367"/>
      <c r="AB223" s="367"/>
      <c r="AC223" s="367"/>
      <c r="AD223" s="367"/>
      <c r="AE223" s="367"/>
      <c r="AF223" s="367"/>
      <c r="AG223" s="367"/>
      <c r="AH223" s="367"/>
      <c r="AI223" s="367"/>
      <c r="AJ223" s="367"/>
    </row>
    <row r="224" spans="2:36" ht="15.75" customHeight="1" thickBot="1" x14ac:dyDescent="0.3">
      <c r="C224" s="845"/>
      <c r="D224" s="846"/>
      <c r="E224" s="846"/>
      <c r="F224" s="846"/>
      <c r="G224" s="846"/>
      <c r="H224" s="846"/>
      <c r="I224" s="846"/>
      <c r="J224" s="846"/>
      <c r="K224" s="846"/>
      <c r="L224" s="846"/>
      <c r="M224" s="846"/>
      <c r="N224" s="846"/>
      <c r="O224" s="846"/>
      <c r="P224" s="846"/>
      <c r="Q224" s="846"/>
      <c r="R224" s="847"/>
      <c r="S224" s="367"/>
      <c r="T224" s="76"/>
      <c r="U224" s="28"/>
      <c r="V224" s="78"/>
      <c r="W224" s="367"/>
      <c r="X224" s="367"/>
      <c r="Y224" s="367"/>
      <c r="Z224" s="367"/>
      <c r="AA224" s="367"/>
      <c r="AB224" s="367"/>
      <c r="AC224" s="367"/>
      <c r="AD224" s="367"/>
      <c r="AE224" s="367"/>
      <c r="AF224" s="367"/>
      <c r="AG224" s="367"/>
      <c r="AH224" s="367"/>
      <c r="AI224" s="367"/>
      <c r="AJ224" s="367"/>
    </row>
    <row r="225" spans="2:36" x14ac:dyDescent="0.25">
      <c r="B225">
        <v>138</v>
      </c>
      <c r="C225" s="834" t="s">
        <v>75</v>
      </c>
      <c r="D225" s="835"/>
      <c r="E225">
        <v>15</v>
      </c>
      <c r="G225"/>
      <c r="H225" s="420"/>
      <c r="I225" s="420"/>
      <c r="J225" s="420"/>
      <c r="K225" s="420"/>
      <c r="L225" s="420"/>
      <c r="M225" s="420"/>
      <c r="N225" s="420"/>
      <c r="O225"/>
      <c r="P225" s="3"/>
      <c r="Q225" s="631">
        <f>SUM(E225:P225)</f>
        <v>15</v>
      </c>
      <c r="R225" s="375">
        <f t="shared" ref="R225:R231" si="58">SUM(H225:N225)</f>
        <v>0</v>
      </c>
      <c r="S225"/>
      <c r="T225" s="76">
        <f>IF(OR(LOG_ANNUEL!Q225=0,'LOG_ANNUEL_A-1'!Q225=0),"",((LOG_ANNUEL!Q225-'LOG_ANNUEL_A-1'!Q225)/'LOG_ANNUEL_A-1'!Q225)*100)</f>
        <v>-91.017964071856284</v>
      </c>
      <c r="U225" s="28">
        <f t="shared" si="55"/>
        <v>0</v>
      </c>
      <c r="V225" s="78">
        <f>IF('LOG_ANNUEL_A-1'!R225=0,"",((R225-'LOG_ANNUEL_A-1'!R225)/'LOG_ANNUEL_A-1'!R225)*100)</f>
        <v>-100</v>
      </c>
      <c r="W225"/>
      <c r="Y225"/>
      <c r="AA225"/>
      <c r="AC225"/>
      <c r="AE225"/>
      <c r="AG225"/>
      <c r="AI225"/>
    </row>
    <row r="226" spans="2:36" x14ac:dyDescent="0.25">
      <c r="B226">
        <v>139</v>
      </c>
      <c r="C226" s="834" t="s">
        <v>76</v>
      </c>
      <c r="D226" s="835"/>
      <c r="E226">
        <v>31</v>
      </c>
      <c r="G226"/>
      <c r="H226" s="420"/>
      <c r="I226" s="420"/>
      <c r="J226" s="420"/>
      <c r="K226" s="420"/>
      <c r="L226" s="420"/>
      <c r="M226" s="420"/>
      <c r="N226" s="420"/>
      <c r="O226"/>
      <c r="P226" s="3"/>
      <c r="Q226" s="66">
        <f t="shared" ref="Q226:Q231" si="59">SUM(E226:P226)</f>
        <v>31</v>
      </c>
      <c r="R226" s="375">
        <f t="shared" si="58"/>
        <v>0</v>
      </c>
      <c r="S226"/>
      <c r="T226" s="76">
        <f>IF(OR(LOG_ANNUEL!Q226=0,'LOG_ANNUEL_A-1'!Q226=0),"",((LOG_ANNUEL!Q226-'LOG_ANNUEL_A-1'!Q226)/'LOG_ANNUEL_A-1'!Q226)*100)</f>
        <v>-91.014492753623188</v>
      </c>
      <c r="U226" s="28">
        <f t="shared" si="55"/>
        <v>0</v>
      </c>
      <c r="V226" s="78">
        <f>IF('LOG_ANNUEL_A-1'!R226=0,"",((R226-'LOG_ANNUEL_A-1'!R226)/'LOG_ANNUEL_A-1'!R226)*100)</f>
        <v>-100</v>
      </c>
      <c r="W226"/>
      <c r="Y226"/>
      <c r="AA226"/>
      <c r="AC226"/>
      <c r="AE226"/>
      <c r="AG226"/>
      <c r="AI226"/>
    </row>
    <row r="227" spans="2:36" x14ac:dyDescent="0.25">
      <c r="B227">
        <v>140</v>
      </c>
      <c r="C227" s="834" t="s">
        <v>77</v>
      </c>
      <c r="D227" s="835"/>
      <c r="E227">
        <v>5</v>
      </c>
      <c r="G227"/>
      <c r="H227" s="420"/>
      <c r="I227" s="420"/>
      <c r="J227" s="420"/>
      <c r="K227" s="420"/>
      <c r="L227" s="420"/>
      <c r="M227" s="420"/>
      <c r="N227" s="420"/>
      <c r="O227"/>
      <c r="P227" s="3"/>
      <c r="Q227" s="66">
        <f t="shared" si="59"/>
        <v>5</v>
      </c>
      <c r="R227" s="375">
        <f t="shared" si="58"/>
        <v>0</v>
      </c>
      <c r="S227"/>
      <c r="T227" s="76" t="str">
        <f>IF(OR(LOG_ANNUEL!Q227=0,'LOG_ANNUEL_A-1'!Q227=0),"",((LOG_ANNUEL!Q227-'LOG_ANNUEL_A-1'!Q227)/'LOG_ANNUEL_A-1'!Q227)*100)</f>
        <v/>
      </c>
      <c r="U227" s="28"/>
      <c r="V227" s="78"/>
      <c r="W227"/>
      <c r="Y227"/>
      <c r="AA227"/>
      <c r="AC227"/>
      <c r="AE227"/>
      <c r="AG227"/>
      <c r="AI227"/>
    </row>
    <row r="228" spans="2:36" x14ac:dyDescent="0.25">
      <c r="B228">
        <v>141</v>
      </c>
      <c r="C228" s="834" t="s">
        <v>78</v>
      </c>
      <c r="D228" s="835"/>
      <c r="E228">
        <v>0</v>
      </c>
      <c r="G228"/>
      <c r="H228" s="420"/>
      <c r="I228" s="420"/>
      <c r="J228" s="420"/>
      <c r="K228" s="420"/>
      <c r="L228" s="420"/>
      <c r="M228" s="420"/>
      <c r="N228" s="420"/>
      <c r="O228"/>
      <c r="P228" s="3"/>
      <c r="Q228" s="66">
        <f t="shared" si="59"/>
        <v>0</v>
      </c>
      <c r="R228" s="375">
        <f t="shared" si="58"/>
        <v>0</v>
      </c>
      <c r="S228"/>
      <c r="T228" s="76" t="str">
        <f>IF(OR(LOG_ANNUEL!Q228=0,'LOG_ANNUEL_A-1'!Q228=0),"",((LOG_ANNUEL!Q228-'LOG_ANNUEL_A-1'!Q228)/'LOG_ANNUEL_A-1'!Q228)*100)</f>
        <v/>
      </c>
      <c r="U228" s="28"/>
      <c r="V228" s="78"/>
      <c r="W228"/>
      <c r="Y228"/>
      <c r="AA228"/>
      <c r="AC228"/>
      <c r="AE228"/>
      <c r="AG228"/>
      <c r="AI228"/>
    </row>
    <row r="229" spans="2:36" x14ac:dyDescent="0.25">
      <c r="B229">
        <v>142</v>
      </c>
      <c r="C229" s="834" t="s">
        <v>669</v>
      </c>
      <c r="D229" s="835"/>
      <c r="E229">
        <v>5</v>
      </c>
      <c r="G229"/>
      <c r="H229" s="420"/>
      <c r="I229" s="420"/>
      <c r="J229" s="420"/>
      <c r="K229" s="420"/>
      <c r="L229" s="420"/>
      <c r="M229" s="420"/>
      <c r="N229" s="420"/>
      <c r="O229"/>
      <c r="P229" s="3"/>
      <c r="Q229" s="66">
        <f t="shared" si="59"/>
        <v>5</v>
      </c>
      <c r="R229" s="375">
        <f t="shared" si="58"/>
        <v>0</v>
      </c>
      <c r="S229"/>
      <c r="T229" s="76">
        <f>IF(OR(LOG_ANNUEL!Q229=0,'LOG_ANNUEL_A-1'!Q229=0),"",((LOG_ANNUEL!Q229-'LOG_ANNUEL_A-1'!Q229)/'LOG_ANNUEL_A-1'!Q229)*100)</f>
        <v>-88.372093023255815</v>
      </c>
      <c r="U229" s="28">
        <f t="shared" si="55"/>
        <v>0</v>
      </c>
      <c r="V229" s="78">
        <f>IF('LOG_ANNUEL_A-1'!R229=0,"",((R229-'LOG_ANNUEL_A-1'!R229)/'LOG_ANNUEL_A-1'!R229)*100)</f>
        <v>-100</v>
      </c>
      <c r="W229"/>
      <c r="Y229"/>
      <c r="AA229"/>
      <c r="AC229"/>
      <c r="AE229"/>
      <c r="AG229"/>
      <c r="AI229"/>
    </row>
    <row r="230" spans="2:36" x14ac:dyDescent="0.25">
      <c r="B230">
        <v>143</v>
      </c>
      <c r="C230" s="834" t="s">
        <v>670</v>
      </c>
      <c r="D230" s="835"/>
      <c r="E230">
        <v>22</v>
      </c>
      <c r="G230"/>
      <c r="H230" s="420"/>
      <c r="I230" s="420"/>
      <c r="J230" s="420"/>
      <c r="K230" s="420"/>
      <c r="L230" s="420"/>
      <c r="M230" s="420"/>
      <c r="N230" s="420"/>
      <c r="O230"/>
      <c r="P230" s="3"/>
      <c r="Q230" s="66">
        <f t="shared" si="59"/>
        <v>22</v>
      </c>
      <c r="R230" s="375">
        <f t="shared" si="58"/>
        <v>0</v>
      </c>
      <c r="S230"/>
      <c r="T230" s="76">
        <f>IF(OR(LOG_ANNUEL!Q230=0,'LOG_ANNUEL_A-1'!Q230=0),"",((LOG_ANNUEL!Q230-'LOG_ANNUEL_A-1'!Q230)/'LOG_ANNUEL_A-1'!Q230)*100)</f>
        <v>-90.677966101694921</v>
      </c>
      <c r="U230" s="28">
        <f t="shared" si="55"/>
        <v>0</v>
      </c>
      <c r="V230" s="78">
        <f>IF('LOG_ANNUEL_A-1'!R230=0,"",((R230-'LOG_ANNUEL_A-1'!R230)/'LOG_ANNUEL_A-1'!R230)*100)</f>
        <v>-100</v>
      </c>
      <c r="W230"/>
      <c r="Y230"/>
      <c r="AA230"/>
      <c r="AC230"/>
      <c r="AE230"/>
      <c r="AG230"/>
      <c r="AI230"/>
    </row>
    <row r="231" spans="2:36" ht="15.75" thickBot="1" x14ac:dyDescent="0.3">
      <c r="B231">
        <v>144</v>
      </c>
      <c r="C231" s="838" t="s">
        <v>187</v>
      </c>
      <c r="D231" s="839"/>
      <c r="E231" s="253">
        <v>20</v>
      </c>
      <c r="F231" s="63"/>
      <c r="G231" s="253"/>
      <c r="H231" s="423"/>
      <c r="I231" s="423"/>
      <c r="J231" s="423"/>
      <c r="K231" s="423"/>
      <c r="L231" s="423"/>
      <c r="M231" s="423"/>
      <c r="N231" s="423"/>
      <c r="O231" s="253"/>
      <c r="P231" s="64"/>
      <c r="Q231" s="67">
        <f t="shared" si="59"/>
        <v>20</v>
      </c>
      <c r="R231" s="418">
        <f t="shared" si="58"/>
        <v>0</v>
      </c>
      <c r="S231" s="28"/>
      <c r="T231" s="76">
        <f>IF(OR(LOG_ANNUEL!Q231=0,'LOG_ANNUEL_A-1'!Q231=0),"",((LOG_ANNUEL!Q231-'LOG_ANNUEL_A-1'!Q231)/'LOG_ANNUEL_A-1'!Q231)*100)</f>
        <v>-87.878787878787875</v>
      </c>
      <c r="U231" s="28">
        <f t="shared" si="55"/>
        <v>0</v>
      </c>
      <c r="V231" s="78">
        <f>IF('LOG_ANNUEL_A-1'!R231=0,"",((R231-'LOG_ANNUEL_A-1'!R231)/'LOG_ANNUEL_A-1'!R231)*100)</f>
        <v>-100</v>
      </c>
      <c r="W231" s="28"/>
      <c r="X231" s="28"/>
      <c r="Y231" s="28"/>
      <c r="Z231" s="28"/>
      <c r="AA231" s="28"/>
      <c r="AB231" s="28"/>
      <c r="AC231" s="28"/>
      <c r="AD231" s="28"/>
      <c r="AE231" s="28"/>
      <c r="AF231" s="28"/>
      <c r="AG231" s="28"/>
      <c r="AH231" s="28"/>
      <c r="AI231" s="28"/>
    </row>
    <row r="232" spans="2:36" ht="15" customHeight="1" x14ac:dyDescent="0.25">
      <c r="C232" s="842" t="s">
        <v>71</v>
      </c>
      <c r="D232" s="843"/>
      <c r="E232" s="843"/>
      <c r="F232" s="843"/>
      <c r="G232" s="843"/>
      <c r="H232" s="843"/>
      <c r="I232" s="843"/>
      <c r="J232" s="843"/>
      <c r="K232" s="843"/>
      <c r="L232" s="843"/>
      <c r="M232" s="843"/>
      <c r="N232" s="843"/>
      <c r="O232" s="843"/>
      <c r="P232" s="843"/>
      <c r="Q232" s="843"/>
      <c r="R232" s="844"/>
      <c r="S232" s="367"/>
      <c r="T232" s="76"/>
      <c r="U232" s="28"/>
      <c r="V232" s="78"/>
      <c r="W232" s="367"/>
      <c r="X232" s="367"/>
      <c r="Y232" s="367"/>
      <c r="Z232" s="367"/>
      <c r="AA232" s="367"/>
      <c r="AB232" s="367"/>
      <c r="AC232" s="367"/>
      <c r="AD232" s="367"/>
      <c r="AE232" s="367"/>
      <c r="AF232" s="367"/>
      <c r="AG232" s="367"/>
      <c r="AH232" s="367"/>
      <c r="AI232" s="367"/>
      <c r="AJ232" s="367"/>
    </row>
    <row r="233" spans="2:36" ht="15.75" customHeight="1" thickBot="1" x14ac:dyDescent="0.3">
      <c r="C233" s="845"/>
      <c r="D233" s="846"/>
      <c r="E233" s="846"/>
      <c r="F233" s="846"/>
      <c r="G233" s="846"/>
      <c r="H233" s="846"/>
      <c r="I233" s="846"/>
      <c r="J233" s="846"/>
      <c r="K233" s="846"/>
      <c r="L233" s="846"/>
      <c r="M233" s="846"/>
      <c r="N233" s="846"/>
      <c r="O233" s="846"/>
      <c r="P233" s="846"/>
      <c r="Q233" s="846"/>
      <c r="R233" s="847"/>
      <c r="S233" s="367"/>
      <c r="T233" s="76"/>
      <c r="U233" s="28"/>
      <c r="V233" s="78"/>
      <c r="W233" s="367"/>
      <c r="X233" s="367"/>
      <c r="Y233" s="367"/>
      <c r="Z233" s="367"/>
      <c r="AA233" s="367"/>
      <c r="AB233" s="367"/>
      <c r="AC233" s="367"/>
      <c r="AD233" s="367"/>
      <c r="AE233" s="367"/>
      <c r="AF233" s="367"/>
      <c r="AG233" s="367"/>
      <c r="AH233" s="367"/>
      <c r="AI233" s="367"/>
      <c r="AJ233" s="367"/>
    </row>
    <row r="234" spans="2:36" x14ac:dyDescent="0.25">
      <c r="B234">
        <v>145</v>
      </c>
      <c r="C234" s="737" t="s">
        <v>72</v>
      </c>
      <c r="D234" s="738"/>
      <c r="E234" s="254">
        <v>1</v>
      </c>
      <c r="F234" s="60"/>
      <c r="G234" s="254"/>
      <c r="H234" s="422"/>
      <c r="I234" s="422"/>
      <c r="J234" s="422"/>
      <c r="K234" s="422"/>
      <c r="L234" s="422"/>
      <c r="M234" s="422"/>
      <c r="N234" s="422"/>
      <c r="O234" s="254"/>
      <c r="P234" s="60"/>
      <c r="Q234" s="374">
        <f>SUM(E234:P234)</f>
        <v>1</v>
      </c>
      <c r="R234" s="425">
        <f>SUM(H234:N234)</f>
        <v>0</v>
      </c>
      <c r="S234" s="28"/>
      <c r="T234" s="76">
        <f>IF(OR(LOG_ANNUEL!Q234=0,'LOG_ANNUEL_A-1'!Q234=0),"",((LOG_ANNUEL!Q234-'LOG_ANNUEL_A-1'!Q234)/'LOG_ANNUEL_A-1'!Q234)*100)</f>
        <v>-98.245614035087712</v>
      </c>
      <c r="U234" s="28">
        <f t="shared" si="55"/>
        <v>0</v>
      </c>
      <c r="V234" s="78">
        <f>IF('LOG_ANNUEL_A-1'!R234=0,"",((R234-'LOG_ANNUEL_A-1'!R234)/'LOG_ANNUEL_A-1'!R234)*100)</f>
        <v>-100</v>
      </c>
      <c r="W234" s="28"/>
      <c r="X234" s="28"/>
      <c r="Y234" s="28"/>
      <c r="Z234" s="28"/>
      <c r="AA234" s="28"/>
      <c r="AB234" s="28"/>
      <c r="AC234" s="28"/>
      <c r="AD234" s="28"/>
      <c r="AE234" s="28"/>
      <c r="AF234" s="28"/>
      <c r="AG234" s="28"/>
      <c r="AH234" s="28"/>
      <c r="AI234" s="28"/>
    </row>
    <row r="235" spans="2:36" x14ac:dyDescent="0.25">
      <c r="B235">
        <v>146</v>
      </c>
      <c r="C235" s="727" t="s">
        <v>73</v>
      </c>
      <c r="D235" s="728"/>
      <c r="E235" s="171">
        <v>8</v>
      </c>
      <c r="F235" s="28"/>
      <c r="G235" s="171"/>
      <c r="H235" s="413"/>
      <c r="I235" s="413"/>
      <c r="J235" s="413"/>
      <c r="K235" s="413"/>
      <c r="L235" s="413"/>
      <c r="M235" s="413"/>
      <c r="N235" s="413"/>
      <c r="O235" s="171"/>
      <c r="P235" s="28"/>
      <c r="Q235" s="371">
        <f t="shared" ref="Q235:Q240" si="60">SUM(E235:P235)</f>
        <v>8</v>
      </c>
      <c r="R235" s="426">
        <f t="shared" ref="R235:R240" si="61">SUM(H235:N235)</f>
        <v>0</v>
      </c>
      <c r="S235" s="28"/>
      <c r="T235" s="76">
        <f>IF(OR(LOG_ANNUEL!Q235=0,'LOG_ANNUEL_A-1'!Q235=0),"",((LOG_ANNUEL!Q235-'LOG_ANNUEL_A-1'!Q235)/'LOG_ANNUEL_A-1'!Q235)*100)</f>
        <v>-85.964912280701753</v>
      </c>
      <c r="U235" s="28">
        <f t="shared" si="55"/>
        <v>0</v>
      </c>
      <c r="V235" s="78">
        <f>IF('LOG_ANNUEL_A-1'!R235=0,"",((R235-'LOG_ANNUEL_A-1'!R235)/'LOG_ANNUEL_A-1'!R235)*100)</f>
        <v>-100</v>
      </c>
      <c r="W235" s="28"/>
      <c r="X235" s="28"/>
      <c r="Y235" s="28"/>
      <c r="Z235" s="28"/>
      <c r="AA235" s="28"/>
      <c r="AB235" s="28"/>
      <c r="AC235" s="28"/>
      <c r="AD235" s="28"/>
      <c r="AE235" s="28"/>
      <c r="AF235" s="28"/>
      <c r="AG235" s="28"/>
      <c r="AH235" s="28"/>
      <c r="AI235" s="28"/>
    </row>
    <row r="236" spans="2:36" x14ac:dyDescent="0.25">
      <c r="B236">
        <v>147</v>
      </c>
      <c r="C236" s="727" t="s">
        <v>180</v>
      </c>
      <c r="D236" s="728"/>
      <c r="E236" s="171">
        <v>0</v>
      </c>
      <c r="F236" s="28"/>
      <c r="G236" s="171"/>
      <c r="H236" s="413"/>
      <c r="I236" s="413"/>
      <c r="J236" s="413"/>
      <c r="K236" s="413"/>
      <c r="L236" s="413"/>
      <c r="M236" s="413"/>
      <c r="N236" s="413"/>
      <c r="O236" s="171"/>
      <c r="P236" s="28"/>
      <c r="Q236" s="371">
        <f t="shared" si="60"/>
        <v>0</v>
      </c>
      <c r="R236" s="426">
        <f t="shared" si="61"/>
        <v>0</v>
      </c>
      <c r="S236" s="28"/>
      <c r="T236" s="76" t="str">
        <f>IF(OR(LOG_ANNUEL!Q236=0,'LOG_ANNUEL_A-1'!Q236=0),"",((LOG_ANNUEL!Q236-'LOG_ANNUEL_A-1'!Q236)/'LOG_ANNUEL_A-1'!Q236)*100)</f>
        <v/>
      </c>
      <c r="U236" s="28" t="str">
        <f t="shared" si="55"/>
        <v/>
      </c>
      <c r="V236" s="78">
        <f>IF('LOG_ANNUEL_A-1'!R236=0,"",((R236-'LOG_ANNUEL_A-1'!R236)/'LOG_ANNUEL_A-1'!R236)*100)</f>
        <v>-100</v>
      </c>
      <c r="W236" s="28"/>
      <c r="X236" s="28"/>
      <c r="Y236" s="28"/>
      <c r="Z236" s="28"/>
      <c r="AA236" s="28"/>
      <c r="AB236" s="28"/>
      <c r="AC236" s="28"/>
      <c r="AD236" s="28"/>
      <c r="AE236" s="28"/>
      <c r="AF236" s="28"/>
      <c r="AG236" s="28"/>
      <c r="AH236" s="28"/>
      <c r="AI236" s="28"/>
    </row>
    <row r="237" spans="2:36" ht="15.75" thickBot="1" x14ac:dyDescent="0.3">
      <c r="B237">
        <v>148</v>
      </c>
      <c r="C237" s="727" t="s">
        <v>74</v>
      </c>
      <c r="D237" s="728"/>
      <c r="E237" s="171">
        <v>0</v>
      </c>
      <c r="F237" s="28"/>
      <c r="G237" s="171"/>
      <c r="H237" s="413"/>
      <c r="I237" s="413"/>
      <c r="J237" s="413"/>
      <c r="K237" s="413"/>
      <c r="L237" s="413"/>
      <c r="M237" s="413"/>
      <c r="N237" s="413"/>
      <c r="O237" s="171"/>
      <c r="P237" s="28"/>
      <c r="Q237" s="371">
        <f t="shared" si="60"/>
        <v>0</v>
      </c>
      <c r="R237" s="426">
        <f t="shared" si="61"/>
        <v>0</v>
      </c>
      <c r="S237" s="28"/>
      <c r="T237" s="76" t="str">
        <f>IF(OR(LOG_ANNUEL!Q237=0,'LOG_ANNUEL_A-1'!Q237=0),"",((LOG_ANNUEL!Q237-'LOG_ANNUEL_A-1'!Q237)/'LOG_ANNUEL_A-1'!Q237)*100)</f>
        <v/>
      </c>
      <c r="U237" s="28" t="str">
        <f t="shared" si="55"/>
        <v/>
      </c>
      <c r="V237" s="78">
        <f>IF('LOG_ANNUEL_A-1'!R237=0,"",((R237-'LOG_ANNUEL_A-1'!R237)/'LOG_ANNUEL_A-1'!R237)*100)</f>
        <v>-100</v>
      </c>
      <c r="W237" s="28"/>
      <c r="X237" s="28"/>
      <c r="Y237" s="28"/>
      <c r="Z237" s="28"/>
      <c r="AA237" s="28"/>
      <c r="AB237" s="28"/>
      <c r="AC237" s="28"/>
      <c r="AD237" s="28"/>
      <c r="AE237" s="28"/>
      <c r="AF237" s="28"/>
      <c r="AG237" s="28"/>
      <c r="AH237" s="28"/>
      <c r="AI237" s="28"/>
    </row>
    <row r="238" spans="2:36" ht="15.75" thickBot="1" x14ac:dyDescent="0.3">
      <c r="B238">
        <v>149</v>
      </c>
      <c r="C238" s="749" t="s">
        <v>181</v>
      </c>
      <c r="D238" s="750"/>
      <c r="E238" s="171">
        <v>2</v>
      </c>
      <c r="F238" s="28"/>
      <c r="G238" s="171"/>
      <c r="H238" s="413"/>
      <c r="I238" s="413"/>
      <c r="J238" s="413"/>
      <c r="K238" s="413"/>
      <c r="L238" s="413"/>
      <c r="M238" s="413"/>
      <c r="N238" s="413"/>
      <c r="O238" s="171"/>
      <c r="P238" s="28"/>
      <c r="Q238" s="371">
        <f t="shared" si="60"/>
        <v>2</v>
      </c>
      <c r="R238" s="426">
        <f t="shared" si="61"/>
        <v>0</v>
      </c>
      <c r="S238" s="28"/>
      <c r="T238" s="76">
        <f>IF(OR(LOG_ANNUEL!Q238=0,'LOG_ANNUEL_A-1'!Q238=0),"",((LOG_ANNUEL!Q238-'LOG_ANNUEL_A-1'!Q238)/'LOG_ANNUEL_A-1'!Q238)*100)</f>
        <v>-75</v>
      </c>
      <c r="U238" s="28">
        <f t="shared" si="55"/>
        <v>0</v>
      </c>
      <c r="V238" s="78">
        <f>IF('LOG_ANNUEL_A-1'!R238=0,"",((R238-'LOG_ANNUEL_A-1'!R238)/'LOG_ANNUEL_A-1'!R238)*100)</f>
        <v>-100</v>
      </c>
      <c r="W238" s="28"/>
      <c r="X238" s="28"/>
      <c r="Y238" s="28"/>
      <c r="Z238" s="28"/>
      <c r="AA238" s="28"/>
      <c r="AB238" s="28"/>
      <c r="AC238" s="28"/>
      <c r="AD238" s="28"/>
      <c r="AE238" s="28"/>
      <c r="AF238" s="28"/>
      <c r="AG238" s="28"/>
      <c r="AH238" s="28"/>
      <c r="AI238" s="28"/>
    </row>
    <row r="239" spans="2:36" ht="15.75" thickBot="1" x14ac:dyDescent="0.3">
      <c r="B239">
        <v>150</v>
      </c>
      <c r="C239" s="102"/>
      <c r="D239" s="57" t="s">
        <v>620</v>
      </c>
      <c r="E239" s="171">
        <v>0</v>
      </c>
      <c r="F239" s="28"/>
      <c r="G239" s="171"/>
      <c r="H239" s="413"/>
      <c r="I239" s="413"/>
      <c r="J239" s="413"/>
      <c r="K239" s="413"/>
      <c r="L239" s="413"/>
      <c r="M239" s="413"/>
      <c r="N239" s="413"/>
      <c r="O239" s="171"/>
      <c r="P239" s="28"/>
      <c r="Q239" s="371">
        <f t="shared" si="60"/>
        <v>0</v>
      </c>
      <c r="R239" s="426">
        <f t="shared" si="61"/>
        <v>0</v>
      </c>
      <c r="S239" s="28"/>
      <c r="T239" s="76" t="str">
        <f>IF(OR(LOG_ANNUEL!Q239=0,'LOG_ANNUEL_A-1'!Q239=0),"",((LOG_ANNUEL!Q239-'LOG_ANNUEL_A-1'!Q239)/'LOG_ANNUEL_A-1'!Q239)*100)</f>
        <v/>
      </c>
      <c r="U239" s="28"/>
      <c r="V239" s="78"/>
      <c r="W239" s="28"/>
      <c r="X239" s="28"/>
      <c r="Y239" s="28"/>
      <c r="Z239" s="28"/>
      <c r="AA239" s="28"/>
      <c r="AB239" s="28"/>
      <c r="AC239" s="28"/>
      <c r="AD239" s="28"/>
      <c r="AE239" s="28"/>
      <c r="AF239" s="28"/>
      <c r="AG239" s="28"/>
      <c r="AH239" s="28"/>
      <c r="AI239" s="28"/>
    </row>
    <row r="240" spans="2:36" ht="15.75" thickBot="1" x14ac:dyDescent="0.3">
      <c r="B240">
        <v>151</v>
      </c>
      <c r="C240" s="175"/>
      <c r="D240" s="42" t="s">
        <v>621</v>
      </c>
      <c r="E240" s="253">
        <v>20</v>
      </c>
      <c r="F240" s="63"/>
      <c r="G240" s="253"/>
      <c r="H240" s="423"/>
      <c r="I240" s="423"/>
      <c r="J240" s="423"/>
      <c r="K240" s="423"/>
      <c r="L240" s="423"/>
      <c r="M240" s="423"/>
      <c r="N240" s="423"/>
      <c r="O240" s="253"/>
      <c r="P240" s="63"/>
      <c r="Q240" s="373">
        <f t="shared" si="60"/>
        <v>20</v>
      </c>
      <c r="R240" s="427">
        <f t="shared" si="61"/>
        <v>0</v>
      </c>
      <c r="S240" s="28"/>
      <c r="T240" s="76">
        <f>IF(OR(LOG_ANNUEL!Q240=0,'LOG_ANNUEL_A-1'!Q240=0),"",((LOG_ANNUEL!Q240-'LOG_ANNUEL_A-1'!Q240)/'LOG_ANNUEL_A-1'!Q240)*100)</f>
        <v>-80.952380952380949</v>
      </c>
      <c r="U240" s="28">
        <f t="shared" si="55"/>
        <v>0</v>
      </c>
      <c r="V240" s="78">
        <f>IF('LOG_ANNUEL_A-1'!R240=0,"",((R240-'LOG_ANNUEL_A-1'!R240)/'LOG_ANNUEL_A-1'!R240)*100)</f>
        <v>-100</v>
      </c>
      <c r="W240" s="28"/>
      <c r="X240" s="28"/>
      <c r="Y240" s="28"/>
      <c r="Z240" s="28"/>
      <c r="AA240" s="28"/>
      <c r="AB240" s="28"/>
      <c r="AC240" s="28"/>
      <c r="AD240" s="28"/>
      <c r="AE240" s="28"/>
      <c r="AF240" s="28"/>
      <c r="AG240" s="28"/>
      <c r="AH240" s="28"/>
      <c r="AI240" s="28"/>
    </row>
    <row r="241" spans="2:36" ht="15" customHeight="1" x14ac:dyDescent="0.25">
      <c r="C241" s="842" t="s">
        <v>953</v>
      </c>
      <c r="D241" s="843"/>
      <c r="E241" s="843"/>
      <c r="F241" s="843"/>
      <c r="G241" s="843"/>
      <c r="H241" s="843"/>
      <c r="I241" s="843"/>
      <c r="J241" s="843"/>
      <c r="K241" s="843"/>
      <c r="L241" s="843"/>
      <c r="M241" s="843"/>
      <c r="N241" s="843"/>
      <c r="O241" s="843"/>
      <c r="P241" s="843"/>
      <c r="Q241" s="843"/>
      <c r="R241" s="844"/>
      <c r="S241" s="367"/>
      <c r="T241" s="76"/>
      <c r="U241" s="28"/>
      <c r="V241" s="78"/>
      <c r="W241" s="367"/>
      <c r="X241" s="367"/>
      <c r="Y241" s="367"/>
      <c r="Z241" s="367"/>
      <c r="AA241" s="367"/>
      <c r="AB241" s="367"/>
      <c r="AC241" s="367"/>
      <c r="AD241" s="367"/>
      <c r="AE241" s="367"/>
      <c r="AF241" s="367"/>
      <c r="AG241" s="367"/>
      <c r="AH241" s="367"/>
      <c r="AI241" s="367"/>
      <c r="AJ241" s="367"/>
    </row>
    <row r="242" spans="2:36" ht="15.75" customHeight="1" thickBot="1" x14ac:dyDescent="0.3">
      <c r="C242" s="845"/>
      <c r="D242" s="846"/>
      <c r="E242" s="846"/>
      <c r="F242" s="846"/>
      <c r="G242" s="846"/>
      <c r="H242" s="846"/>
      <c r="I242" s="846"/>
      <c r="J242" s="846"/>
      <c r="K242" s="846"/>
      <c r="L242" s="846"/>
      <c r="M242" s="846"/>
      <c r="N242" s="846"/>
      <c r="O242" s="846"/>
      <c r="P242" s="846"/>
      <c r="Q242" s="846"/>
      <c r="R242" s="847"/>
      <c r="S242" s="367"/>
      <c r="T242" s="76"/>
      <c r="U242" s="28"/>
      <c r="V242" s="78"/>
      <c r="W242" s="367"/>
      <c r="X242" s="367"/>
      <c r="Y242" s="367"/>
      <c r="Z242" s="367"/>
      <c r="AA242" s="367"/>
      <c r="AB242" s="367"/>
      <c r="AC242" s="367"/>
      <c r="AD242" s="367"/>
      <c r="AE242" s="367"/>
      <c r="AF242" s="367"/>
      <c r="AG242" s="367"/>
      <c r="AH242" s="367"/>
      <c r="AI242" s="367"/>
      <c r="AJ242" s="367"/>
    </row>
    <row r="243" spans="2:36" ht="15.75" thickBot="1" x14ac:dyDescent="0.3">
      <c r="C243" s="836" t="s">
        <v>79</v>
      </c>
      <c r="D243" s="837"/>
      <c r="E243" s="182"/>
      <c r="F243" s="182"/>
      <c r="G243" s="182"/>
      <c r="H243" s="182"/>
      <c r="I243" s="182"/>
      <c r="J243" s="182"/>
      <c r="K243" s="182"/>
      <c r="L243" s="182"/>
      <c r="M243" s="182"/>
      <c r="N243" s="182"/>
      <c r="O243" s="182"/>
      <c r="P243" s="182"/>
      <c r="Q243" s="182"/>
      <c r="R243" s="182"/>
      <c r="S243"/>
      <c r="T243" s="76" t="str">
        <f>IF(OR(LOG_ANNUEL!Q243=0,'LOG_ANNUEL_A-1'!Q243=0),"",((LOG_ANNUEL!Q243-'LOG_ANNUEL_A-1'!Q243)/'LOG_ANNUEL_A-1'!Q243)*100)</f>
        <v/>
      </c>
      <c r="U243" s="28"/>
      <c r="V243" s="78"/>
      <c r="W243"/>
      <c r="Y243"/>
      <c r="AA243"/>
      <c r="AC243"/>
      <c r="AE243"/>
      <c r="AG243"/>
      <c r="AI243"/>
    </row>
    <row r="244" spans="2:36" x14ac:dyDescent="0.25">
      <c r="B244">
        <v>152</v>
      </c>
      <c r="C244" s="727" t="s">
        <v>80</v>
      </c>
      <c r="D244" s="728"/>
      <c r="E244" s="343">
        <v>21198.400000000001</v>
      </c>
      <c r="F244" s="343"/>
      <c r="G244" s="343"/>
      <c r="H244" s="649"/>
      <c r="I244" s="649"/>
      <c r="J244" s="649"/>
      <c r="K244" s="649"/>
      <c r="L244" s="649"/>
      <c r="M244" s="649"/>
      <c r="N244" s="649"/>
      <c r="O244" s="343"/>
      <c r="P244" s="343"/>
      <c r="Q244" s="653">
        <f>SUM(E244:P244)</f>
        <v>21198.400000000001</v>
      </c>
      <c r="R244" s="417">
        <f t="shared" ref="R244:R254" si="62">SUM(H244:N244)</f>
        <v>0</v>
      </c>
      <c r="S244"/>
      <c r="T244" s="76">
        <f>IF(OR(LOG_ANNUEL!Q244=0,'LOG_ANNUEL_A-1'!Q244=0),"",((LOG_ANNUEL!Q244-'LOG_ANNUEL_A-1'!Q244)/'LOG_ANNUEL_A-1'!Q244)*100)</f>
        <v>-94.7120939398567</v>
      </c>
      <c r="U244" s="28">
        <f t="shared" si="55"/>
        <v>0</v>
      </c>
      <c r="V244" s="78">
        <f>IF('LOG_ANNUEL_A-1'!R244=0,"",((R244-'LOG_ANNUEL_A-1'!R244)/'LOG_ANNUEL_A-1'!R244)*100)</f>
        <v>-100</v>
      </c>
      <c r="W244"/>
      <c r="Y244"/>
      <c r="AA244"/>
      <c r="AC244"/>
      <c r="AE244"/>
      <c r="AG244"/>
      <c r="AI244"/>
    </row>
    <row r="245" spans="2:36" x14ac:dyDescent="0.25">
      <c r="B245">
        <v>153</v>
      </c>
      <c r="C245" s="727" t="s">
        <v>81</v>
      </c>
      <c r="D245" s="728"/>
      <c r="E245" s="343">
        <v>23208.21</v>
      </c>
      <c r="F245" s="343"/>
      <c r="G245" s="343"/>
      <c r="H245" s="649"/>
      <c r="I245" s="649"/>
      <c r="J245" s="649"/>
      <c r="K245" s="649"/>
      <c r="L245" s="649"/>
      <c r="M245" s="649"/>
      <c r="N245" s="649"/>
      <c r="O245" s="343"/>
      <c r="P245" s="343"/>
      <c r="Q245" s="654">
        <f t="shared" ref="Q245:Q254" si="63">SUM(E245:P245)</f>
        <v>23208.21</v>
      </c>
      <c r="R245" s="375">
        <f t="shared" si="62"/>
        <v>0</v>
      </c>
      <c r="S245"/>
      <c r="T245" s="76">
        <f>IF(OR(LOG_ANNUEL!Q245=0,'LOG_ANNUEL_A-1'!Q245=0),"",((LOG_ANNUEL!Q245-'LOG_ANNUEL_A-1'!Q245)/'LOG_ANNUEL_A-1'!Q245)*100)</f>
        <v>-94.566501690343969</v>
      </c>
      <c r="U245" s="28">
        <f t="shared" si="55"/>
        <v>0</v>
      </c>
      <c r="V245" s="78">
        <f>IF('LOG_ANNUEL_A-1'!R245=0,"",((R245-'LOG_ANNUEL_A-1'!R245)/'LOG_ANNUEL_A-1'!R245)*100)</f>
        <v>-100</v>
      </c>
      <c r="W245"/>
      <c r="Y245"/>
      <c r="AA245"/>
      <c r="AC245"/>
      <c r="AE245"/>
      <c r="AG245"/>
      <c r="AI245"/>
    </row>
    <row r="246" spans="2:36" x14ac:dyDescent="0.25">
      <c r="B246">
        <v>154</v>
      </c>
      <c r="C246" s="727" t="s">
        <v>82</v>
      </c>
      <c r="D246" s="728"/>
      <c r="E246" s="343">
        <v>5934.02</v>
      </c>
      <c r="F246" s="343"/>
      <c r="G246" s="343"/>
      <c r="H246" s="649"/>
      <c r="I246" s="649"/>
      <c r="J246" s="649"/>
      <c r="K246" s="649"/>
      <c r="L246" s="649"/>
      <c r="M246" s="649"/>
      <c r="N246" s="649"/>
      <c r="O246" s="343"/>
      <c r="P246" s="343"/>
      <c r="Q246" s="654">
        <f t="shared" si="63"/>
        <v>5934.02</v>
      </c>
      <c r="R246" s="375">
        <f t="shared" si="62"/>
        <v>0</v>
      </c>
      <c r="S246"/>
      <c r="T246" s="76">
        <f>IF(OR(LOG_ANNUEL!Q246=0,'LOG_ANNUEL_A-1'!Q246=0),"",((LOG_ANNUEL!Q246-'LOG_ANNUEL_A-1'!Q246)/'LOG_ANNUEL_A-1'!Q246)*100)</f>
        <v>-97.055442983390904</v>
      </c>
      <c r="U246" s="28">
        <f t="shared" si="55"/>
        <v>0</v>
      </c>
      <c r="V246" s="78">
        <f>IF('LOG_ANNUEL_A-1'!R246=0,"",((R246-'LOG_ANNUEL_A-1'!R246)/'LOG_ANNUEL_A-1'!R246)*100)</f>
        <v>-100</v>
      </c>
      <c r="W246"/>
      <c r="Y246"/>
      <c r="AA246"/>
      <c r="AC246"/>
      <c r="AE246"/>
      <c r="AG246"/>
      <c r="AI246"/>
    </row>
    <row r="247" spans="2:36" x14ac:dyDescent="0.25">
      <c r="B247">
        <v>155</v>
      </c>
      <c r="C247" s="727" t="s">
        <v>83</v>
      </c>
      <c r="D247" s="728"/>
      <c r="E247" s="343">
        <v>11033.04</v>
      </c>
      <c r="F247" s="343"/>
      <c r="G247" s="343"/>
      <c r="H247" s="649"/>
      <c r="I247" s="649"/>
      <c r="J247" s="649"/>
      <c r="K247" s="649"/>
      <c r="L247" s="649"/>
      <c r="M247" s="649"/>
      <c r="N247" s="649"/>
      <c r="O247" s="343"/>
      <c r="P247" s="343"/>
      <c r="Q247" s="654">
        <f t="shared" si="63"/>
        <v>11033.04</v>
      </c>
      <c r="R247" s="375">
        <f t="shared" si="62"/>
        <v>0</v>
      </c>
      <c r="S247"/>
      <c r="T247" s="76">
        <f>IF(OR(LOG_ANNUEL!Q247=0,'LOG_ANNUEL_A-1'!Q247=0),"",((LOG_ANNUEL!Q247-'LOG_ANNUEL_A-1'!Q247)/'LOG_ANNUEL_A-1'!Q247)*100)</f>
        <v>-96.94751425696299</v>
      </c>
      <c r="U247" s="28">
        <f t="shared" si="55"/>
        <v>0</v>
      </c>
      <c r="V247" s="78">
        <f>IF('LOG_ANNUEL_A-1'!R247=0,"",((R247-'LOG_ANNUEL_A-1'!R247)/'LOG_ANNUEL_A-1'!R247)*100)</f>
        <v>-100</v>
      </c>
      <c r="W247"/>
      <c r="Y247"/>
      <c r="AA247"/>
      <c r="AC247"/>
      <c r="AE247"/>
      <c r="AG247"/>
      <c r="AI247"/>
    </row>
    <row r="248" spans="2:36" x14ac:dyDescent="0.25">
      <c r="B248">
        <v>156</v>
      </c>
      <c r="C248" s="727" t="s">
        <v>84</v>
      </c>
      <c r="D248" s="728"/>
      <c r="E248" s="343">
        <v>842.49</v>
      </c>
      <c r="F248" s="343"/>
      <c r="G248" s="343"/>
      <c r="H248" s="649"/>
      <c r="I248" s="649"/>
      <c r="J248" s="649"/>
      <c r="K248" s="649"/>
      <c r="L248" s="649"/>
      <c r="M248" s="649"/>
      <c r="N248" s="649"/>
      <c r="O248" s="343"/>
      <c r="P248" s="343"/>
      <c r="Q248" s="654">
        <f t="shared" si="63"/>
        <v>842.49</v>
      </c>
      <c r="R248" s="375">
        <f t="shared" si="62"/>
        <v>0</v>
      </c>
      <c r="S248"/>
      <c r="T248" s="76">
        <f>IF(OR(LOG_ANNUEL!Q248=0,'LOG_ANNUEL_A-1'!Q248=0),"",((LOG_ANNUEL!Q248-'LOG_ANNUEL_A-1'!Q248)/'LOG_ANNUEL_A-1'!Q248)*100)</f>
        <v>-92.020968291851347</v>
      </c>
      <c r="U248" s="28">
        <f t="shared" si="55"/>
        <v>0</v>
      </c>
      <c r="V248" s="78">
        <f>IF('LOG_ANNUEL_A-1'!R248=0,"",((R248-'LOG_ANNUEL_A-1'!R248)/'LOG_ANNUEL_A-1'!R248)*100)</f>
        <v>-100</v>
      </c>
      <c r="W248"/>
      <c r="Y248"/>
      <c r="AA248"/>
      <c r="AC248"/>
      <c r="AE248"/>
      <c r="AG248"/>
      <c r="AI248"/>
    </row>
    <row r="249" spans="2:36" ht="15.75" thickBot="1" x14ac:dyDescent="0.3">
      <c r="B249">
        <v>157</v>
      </c>
      <c r="C249" s="727" t="s">
        <v>85</v>
      </c>
      <c r="D249" s="728"/>
      <c r="E249" s="343">
        <v>1610.79</v>
      </c>
      <c r="F249" s="343"/>
      <c r="G249" s="343"/>
      <c r="H249" s="649"/>
      <c r="I249" s="649"/>
      <c r="J249" s="649"/>
      <c r="K249" s="649"/>
      <c r="L249" s="649"/>
      <c r="M249" s="649"/>
      <c r="N249" s="649"/>
      <c r="O249" s="343"/>
      <c r="P249" s="343"/>
      <c r="Q249" s="655">
        <f t="shared" si="63"/>
        <v>1610.79</v>
      </c>
      <c r="R249" s="418">
        <f t="shared" si="62"/>
        <v>0</v>
      </c>
      <c r="S249"/>
      <c r="T249" s="76">
        <f>IF(OR(LOG_ANNUEL!Q249=0,'LOG_ANNUEL_A-1'!Q249=0),"",((LOG_ANNUEL!Q249-'LOG_ANNUEL_A-1'!Q249)/'LOG_ANNUEL_A-1'!Q249)*100)</f>
        <v>-91.945329106955072</v>
      </c>
      <c r="U249" s="28">
        <f t="shared" si="55"/>
        <v>0</v>
      </c>
      <c r="V249" s="78">
        <f>IF('LOG_ANNUEL_A-1'!R249=0,"",((R249-'LOG_ANNUEL_A-1'!R249)/'LOG_ANNUEL_A-1'!R249)*100)</f>
        <v>-100</v>
      </c>
      <c r="W249"/>
      <c r="Y249"/>
      <c r="AA249"/>
      <c r="AC249"/>
      <c r="AE249"/>
      <c r="AG249"/>
      <c r="AI249"/>
    </row>
    <row r="250" spans="2:36" ht="15.75" thickBot="1" x14ac:dyDescent="0.3">
      <c r="C250" s="806" t="s">
        <v>86</v>
      </c>
      <c r="D250" s="807"/>
      <c r="E250" s="650"/>
      <c r="F250" s="650"/>
      <c r="G250" s="650"/>
      <c r="H250" s="650"/>
      <c r="I250" s="650"/>
      <c r="J250" s="650"/>
      <c r="K250" s="650"/>
      <c r="L250" s="650"/>
      <c r="M250" s="650"/>
      <c r="N250" s="650"/>
      <c r="O250" s="650"/>
      <c r="P250" s="650"/>
      <c r="Q250" s="650"/>
      <c r="R250" s="182"/>
      <c r="S250"/>
      <c r="T250" s="76"/>
      <c r="U250" s="28"/>
      <c r="V250" s="78"/>
      <c r="W250"/>
      <c r="Y250"/>
      <c r="AA250"/>
      <c r="AC250"/>
      <c r="AE250"/>
      <c r="AG250"/>
      <c r="AI250"/>
    </row>
    <row r="251" spans="2:36" x14ac:dyDescent="0.25">
      <c r="B251">
        <v>158</v>
      </c>
      <c r="C251" s="727" t="s">
        <v>87</v>
      </c>
      <c r="D251" s="728"/>
      <c r="E251" s="343">
        <v>25</v>
      </c>
      <c r="F251" s="343"/>
      <c r="G251" s="343"/>
      <c r="H251" s="649"/>
      <c r="I251" s="649"/>
      <c r="J251" s="649"/>
      <c r="K251" s="649"/>
      <c r="L251" s="649"/>
      <c r="M251" s="649"/>
      <c r="N251" s="649"/>
      <c r="O251" s="343"/>
      <c r="P251" s="343"/>
      <c r="Q251" s="653">
        <f t="shared" si="63"/>
        <v>25</v>
      </c>
      <c r="R251" s="417">
        <f t="shared" si="62"/>
        <v>0</v>
      </c>
      <c r="S251"/>
      <c r="T251" s="76">
        <f>IF(OR(LOG_ANNUEL!Q251=0,'LOG_ANNUEL_A-1'!Q251=0),"",((LOG_ANNUEL!Q251-'LOG_ANNUEL_A-1'!Q251)/'LOG_ANNUEL_A-1'!Q251)*100)</f>
        <v>-93.55670103092784</v>
      </c>
      <c r="U251" s="28">
        <f t="shared" si="55"/>
        <v>0</v>
      </c>
      <c r="V251" s="78">
        <f>IF('LOG_ANNUEL_A-1'!R251=0,"",((R251-'LOG_ANNUEL_A-1'!R251)/'LOG_ANNUEL_A-1'!R251)*100)</f>
        <v>-100</v>
      </c>
      <c r="W251"/>
      <c r="Y251"/>
      <c r="AA251"/>
      <c r="AC251"/>
      <c r="AE251"/>
      <c r="AG251"/>
      <c r="AI251"/>
    </row>
    <row r="252" spans="2:36" x14ac:dyDescent="0.25">
      <c r="B252">
        <v>159</v>
      </c>
      <c r="C252" s="727" t="s">
        <v>88</v>
      </c>
      <c r="D252" s="728"/>
      <c r="E252" s="343">
        <v>57.5</v>
      </c>
      <c r="F252" s="343"/>
      <c r="G252" s="343"/>
      <c r="H252" s="649"/>
      <c r="I252" s="649"/>
      <c r="J252" s="649"/>
      <c r="K252" s="649"/>
      <c r="L252" s="649"/>
      <c r="M252" s="649"/>
      <c r="N252" s="649"/>
      <c r="O252" s="343"/>
      <c r="P252" s="343"/>
      <c r="Q252" s="654">
        <f t="shared" si="63"/>
        <v>57.5</v>
      </c>
      <c r="R252" s="375">
        <f t="shared" si="62"/>
        <v>0</v>
      </c>
      <c r="S252"/>
      <c r="T252" s="76">
        <f>IF(OR(LOG_ANNUEL!Q252=0,'LOG_ANNUEL_A-1'!Q252=0),"",((LOG_ANNUEL!Q252-'LOG_ANNUEL_A-1'!Q252)/'LOG_ANNUEL_A-1'!Q252)*100)</f>
        <v>-93.263823805060923</v>
      </c>
      <c r="U252" s="28">
        <f t="shared" si="55"/>
        <v>0</v>
      </c>
      <c r="V252" s="78">
        <f>IF('LOG_ANNUEL_A-1'!R252=0,"",((R252-'LOG_ANNUEL_A-1'!R252)/'LOG_ANNUEL_A-1'!R252)*100)</f>
        <v>-100</v>
      </c>
      <c r="W252"/>
      <c r="Y252"/>
      <c r="AA252"/>
      <c r="AC252"/>
      <c r="AE252"/>
      <c r="AG252"/>
      <c r="AI252"/>
    </row>
    <row r="253" spans="2:36" x14ac:dyDescent="0.25">
      <c r="B253">
        <v>160</v>
      </c>
      <c r="C253" s="727" t="s">
        <v>89</v>
      </c>
      <c r="D253" s="728"/>
      <c r="E253" s="343">
        <v>146</v>
      </c>
      <c r="F253" s="343"/>
      <c r="G253" s="343"/>
      <c r="H253" s="649"/>
      <c r="I253" s="649"/>
      <c r="J253" s="649"/>
      <c r="K253" s="649"/>
      <c r="L253" s="649"/>
      <c r="M253" s="649"/>
      <c r="N253" s="649"/>
      <c r="O253" s="343"/>
      <c r="P253" s="343"/>
      <c r="Q253" s="654">
        <f t="shared" si="63"/>
        <v>146</v>
      </c>
      <c r="R253" s="375">
        <f t="shared" si="62"/>
        <v>0</v>
      </c>
      <c r="S253"/>
      <c r="T253" s="76">
        <f>IF(OR(LOG_ANNUEL!Q253=0,'LOG_ANNUEL_A-1'!Q253=0),"",((LOG_ANNUEL!Q253-'LOG_ANNUEL_A-1'!Q253)/'LOG_ANNUEL_A-1'!Q253)*100)</f>
        <v>-94.671532846715337</v>
      </c>
      <c r="U253" s="28">
        <f t="shared" si="55"/>
        <v>0</v>
      </c>
      <c r="V253" s="78">
        <f>IF('LOG_ANNUEL_A-1'!R253=0,"",((R253-'LOG_ANNUEL_A-1'!R253)/'LOG_ANNUEL_A-1'!R253)*100)</f>
        <v>-100</v>
      </c>
      <c r="W253"/>
      <c r="Y253"/>
      <c r="AA253"/>
      <c r="AC253"/>
      <c r="AE253"/>
      <c r="AG253"/>
      <c r="AI253"/>
    </row>
    <row r="254" spans="2:36" ht="15.75" thickBot="1" x14ac:dyDescent="0.3">
      <c r="B254">
        <v>161</v>
      </c>
      <c r="C254" s="727" t="s">
        <v>90</v>
      </c>
      <c r="D254" s="728"/>
      <c r="E254" s="651">
        <v>671.6</v>
      </c>
      <c r="F254" s="651"/>
      <c r="G254" s="651"/>
      <c r="H254" s="652"/>
      <c r="I254" s="652"/>
      <c r="J254" s="652"/>
      <c r="K254" s="652"/>
      <c r="L254" s="652"/>
      <c r="M254" s="652"/>
      <c r="N254" s="652"/>
      <c r="O254" s="651"/>
      <c r="P254" s="651"/>
      <c r="Q254" s="655">
        <f t="shared" si="63"/>
        <v>671.6</v>
      </c>
      <c r="R254" s="418">
        <f t="shared" si="62"/>
        <v>0</v>
      </c>
      <c r="S254"/>
      <c r="T254" s="76">
        <f>IF(OR(LOG_ANNUEL!Q254=0,'LOG_ANNUEL_A-1'!Q254=0),"",((LOG_ANNUEL!Q254-'LOG_ANNUEL_A-1'!Q254)/'LOG_ANNUEL_A-1'!Q254)*100)</f>
        <v>-94.429329794293295</v>
      </c>
      <c r="U254" s="28">
        <f t="shared" si="55"/>
        <v>0</v>
      </c>
      <c r="V254" s="78">
        <f>IF('LOG_ANNUEL_A-1'!R254=0,"",((R254-'LOG_ANNUEL_A-1'!R254)/'LOG_ANNUEL_A-1'!R254)*100)</f>
        <v>-100</v>
      </c>
      <c r="W254"/>
      <c r="Y254"/>
      <c r="AA254"/>
      <c r="AC254"/>
      <c r="AE254"/>
      <c r="AG254"/>
      <c r="AI254"/>
    </row>
    <row r="255" spans="2:36" ht="15" customHeight="1" x14ac:dyDescent="0.25">
      <c r="C255" s="842" t="s">
        <v>742</v>
      </c>
      <c r="D255" s="843"/>
      <c r="E255" s="843"/>
      <c r="F255" s="843"/>
      <c r="G255" s="843"/>
      <c r="H255" s="843"/>
      <c r="I255" s="843"/>
      <c r="J255" s="843"/>
      <c r="K255" s="843"/>
      <c r="L255" s="843"/>
      <c r="M255" s="843"/>
      <c r="N255" s="843"/>
      <c r="O255" s="843"/>
      <c r="P255" s="843"/>
      <c r="Q255" s="843"/>
      <c r="R255" s="844"/>
      <c r="S255" s="367"/>
      <c r="T255" s="76" t="str">
        <f>IF(OR(LOG_ANNUEL!Q255=0,'LOG_ANNUEL_A-1'!Q255=0),"",((LOG_ANNUEL!Q255-'LOG_ANNUEL_A-1'!Q255)/'LOG_ANNUEL_A-1'!Q255)*100)</f>
        <v/>
      </c>
      <c r="U255" s="28" t="str">
        <f t="shared" si="55"/>
        <v/>
      </c>
      <c r="V255" s="78" t="str">
        <f>IF('LOG_ANNUEL_A-1'!R255=0,"",((R255-'LOG_ANNUEL_A-1'!R255)/'LOG_ANNUEL_A-1'!R255)*100)</f>
        <v/>
      </c>
      <c r="W255" s="367"/>
      <c r="X255" s="367"/>
      <c r="Y255" s="367"/>
      <c r="Z255" s="367"/>
      <c r="AA255" s="367"/>
      <c r="AB255" s="367"/>
      <c r="AC255" s="367"/>
      <c r="AD255" s="367"/>
      <c r="AE255" s="367"/>
      <c r="AF255" s="367"/>
      <c r="AG255" s="367"/>
      <c r="AH255" s="367"/>
      <c r="AI255" s="367"/>
      <c r="AJ255" s="367"/>
    </row>
    <row r="256" spans="2:36" ht="15.75" customHeight="1" thickBot="1" x14ac:dyDescent="0.3">
      <c r="C256" s="845"/>
      <c r="D256" s="846"/>
      <c r="E256" s="846"/>
      <c r="F256" s="846"/>
      <c r="G256" s="846"/>
      <c r="H256" s="846"/>
      <c r="I256" s="846"/>
      <c r="J256" s="846"/>
      <c r="K256" s="846"/>
      <c r="L256" s="846"/>
      <c r="M256" s="846"/>
      <c r="N256" s="846"/>
      <c r="O256" s="846"/>
      <c r="P256" s="846"/>
      <c r="Q256" s="846"/>
      <c r="R256" s="847"/>
      <c r="S256" s="367"/>
      <c r="T256" s="76"/>
      <c r="U256" s="28" t="str">
        <f t="shared" si="55"/>
        <v/>
      </c>
      <c r="V256" s="78" t="str">
        <f>IF('LOG_ANNUEL_A-1'!R256=0,"",((R256-'LOG_ANNUEL_A-1'!R256)/'LOG_ANNUEL_A-1'!R256)*100)</f>
        <v/>
      </c>
      <c r="W256" s="367"/>
      <c r="X256" s="367"/>
      <c r="Y256" s="367"/>
      <c r="Z256" s="367"/>
      <c r="AA256" s="367"/>
      <c r="AB256" s="367"/>
      <c r="AC256" s="367"/>
      <c r="AD256" s="367"/>
      <c r="AE256" s="367"/>
      <c r="AF256" s="367"/>
      <c r="AG256" s="367"/>
      <c r="AH256" s="367"/>
      <c r="AI256" s="367"/>
      <c r="AJ256" s="367"/>
    </row>
    <row r="257" spans="2:35" x14ac:dyDescent="0.25">
      <c r="B257">
        <v>162</v>
      </c>
      <c r="C257" s="854" t="s">
        <v>646</v>
      </c>
      <c r="D257" s="855"/>
      <c r="E257" s="558">
        <v>65</v>
      </c>
      <c r="F257" s="558"/>
      <c r="G257" s="558"/>
      <c r="H257" s="640"/>
      <c r="I257" s="640"/>
      <c r="J257" s="640"/>
      <c r="K257" s="640"/>
      <c r="L257" s="640"/>
      <c r="M257" s="640"/>
      <c r="N257" s="640"/>
      <c r="O257" s="558"/>
      <c r="P257" s="558"/>
      <c r="Q257" s="74">
        <f>SUM(E257:P257)</f>
        <v>65</v>
      </c>
      <c r="R257" s="426">
        <f>SUM(H257:N257)</f>
        <v>0</v>
      </c>
      <c r="S257"/>
      <c r="T257" s="76">
        <f>IF(OR(LOG_ANNUEL!Q257=0,'LOG_ANNUEL_A-1'!Q257=0),"",((LOG_ANNUEL!Q257-'LOG_ANNUEL_A-1'!Q257)/'LOG_ANNUEL_A-1'!Q257)*100)</f>
        <v>-93.486973947895791</v>
      </c>
      <c r="U257" s="28">
        <f t="shared" si="55"/>
        <v>0</v>
      </c>
      <c r="V257" s="78">
        <f>IF('LOG_ANNUEL_A-1'!R257=0,"",((R257-'LOG_ANNUEL_A-1'!R257)/'LOG_ANNUEL_A-1'!R257)*100)</f>
        <v>-100</v>
      </c>
      <c r="W257"/>
      <c r="Y257"/>
      <c r="AA257"/>
      <c r="AC257"/>
      <c r="AE257"/>
      <c r="AG257"/>
      <c r="AI257"/>
    </row>
    <row r="258" spans="2:35" x14ac:dyDescent="0.25">
      <c r="B258">
        <v>163</v>
      </c>
      <c r="C258" s="854" t="s">
        <v>647</v>
      </c>
      <c r="D258" s="855"/>
      <c r="E258">
        <v>1</v>
      </c>
      <c r="G258"/>
      <c r="H258" s="420"/>
      <c r="I258" s="420"/>
      <c r="J258" s="420"/>
      <c r="K258" s="420"/>
      <c r="L258" s="420"/>
      <c r="M258" s="420"/>
      <c r="N258" s="420"/>
      <c r="O258"/>
      <c r="Q258" s="74">
        <f t="shared" ref="Q258:Q269" si="64">SUM(E258:P258)</f>
        <v>1</v>
      </c>
      <c r="R258" s="426">
        <f t="shared" ref="R258:R269" si="65">SUM(H258:N258)</f>
        <v>0</v>
      </c>
      <c r="S258"/>
      <c r="T258" s="76">
        <f>IF(OR(LOG_ANNUEL!Q258=0,'LOG_ANNUEL_A-1'!Q258=0),"",((LOG_ANNUEL!Q258-'LOG_ANNUEL_A-1'!Q258)/'LOG_ANNUEL_A-1'!Q258)*100)</f>
        <v>-98.780487804878049</v>
      </c>
      <c r="U258" s="28">
        <f t="shared" si="55"/>
        <v>0</v>
      </c>
      <c r="V258" s="78">
        <f>IF('LOG_ANNUEL_A-1'!R258=0,"",((R258-'LOG_ANNUEL_A-1'!R258)/'LOG_ANNUEL_A-1'!R258)*100)</f>
        <v>-100</v>
      </c>
      <c r="W258"/>
      <c r="Y258"/>
      <c r="AA258"/>
      <c r="AC258"/>
      <c r="AE258"/>
      <c r="AG258"/>
      <c r="AI258"/>
    </row>
    <row r="259" spans="2:35" x14ac:dyDescent="0.25">
      <c r="B259">
        <v>164</v>
      </c>
      <c r="C259" s="854" t="s">
        <v>648</v>
      </c>
      <c r="D259" s="855"/>
      <c r="E259">
        <v>10</v>
      </c>
      <c r="G259"/>
      <c r="H259" s="420"/>
      <c r="I259" s="420"/>
      <c r="J259" s="420"/>
      <c r="K259" s="420"/>
      <c r="L259" s="420"/>
      <c r="M259" s="420"/>
      <c r="N259" s="420"/>
      <c r="O259"/>
      <c r="Q259" s="74">
        <f t="shared" si="64"/>
        <v>10</v>
      </c>
      <c r="R259" s="426">
        <f t="shared" si="65"/>
        <v>0</v>
      </c>
      <c r="S259"/>
      <c r="T259" s="76">
        <f>IF(OR(LOG_ANNUEL!Q259=0,'LOG_ANNUEL_A-1'!Q259=0),"",((LOG_ANNUEL!Q259-'LOG_ANNUEL_A-1'!Q259)/'LOG_ANNUEL_A-1'!Q259)*100)</f>
        <v>-95.967741935483872</v>
      </c>
      <c r="U259" s="28">
        <f t="shared" si="55"/>
        <v>0</v>
      </c>
      <c r="V259" s="78">
        <f>IF('LOG_ANNUEL_A-1'!R259=0,"",((R259-'LOG_ANNUEL_A-1'!R259)/'LOG_ANNUEL_A-1'!R259)*100)</f>
        <v>-100</v>
      </c>
      <c r="W259"/>
      <c r="Y259"/>
      <c r="AA259"/>
      <c r="AC259"/>
      <c r="AE259"/>
      <c r="AG259"/>
      <c r="AI259"/>
    </row>
    <row r="260" spans="2:35" x14ac:dyDescent="0.25">
      <c r="B260">
        <v>165</v>
      </c>
      <c r="C260" s="854" t="s">
        <v>814</v>
      </c>
      <c r="D260" s="855"/>
      <c r="E260">
        <v>108</v>
      </c>
      <c r="G260"/>
      <c r="H260" s="420"/>
      <c r="I260" s="420"/>
      <c r="J260" s="420"/>
      <c r="K260" s="420"/>
      <c r="L260" s="420"/>
      <c r="M260" s="420"/>
      <c r="N260" s="420"/>
      <c r="O260"/>
      <c r="Q260" s="74">
        <f t="shared" si="64"/>
        <v>108</v>
      </c>
      <c r="R260" s="426">
        <f t="shared" si="65"/>
        <v>0</v>
      </c>
      <c r="S260"/>
      <c r="T260" s="76">
        <f>IF(OR(LOG_ANNUEL!Q260=0,'LOG_ANNUEL_A-1'!Q260=0),"",((LOG_ANNUEL!Q260-'LOG_ANNUEL_A-1'!Q260)/'LOG_ANNUEL_A-1'!Q260)*100)</f>
        <v>-55.186721991701248</v>
      </c>
      <c r="U260" s="28">
        <f t="shared" si="55"/>
        <v>0</v>
      </c>
      <c r="V260" s="78">
        <f>IF('LOG_ANNUEL_A-1'!R260=0,"",((R260-'LOG_ANNUEL_A-1'!R260)/'LOG_ANNUEL_A-1'!R260)*100)</f>
        <v>-100</v>
      </c>
      <c r="W260"/>
      <c r="Y260"/>
      <c r="AA260"/>
      <c r="AC260"/>
      <c r="AE260"/>
      <c r="AG260"/>
      <c r="AI260"/>
    </row>
    <row r="261" spans="2:35" ht="15.75" thickBot="1" x14ac:dyDescent="0.3">
      <c r="B261">
        <v>166</v>
      </c>
      <c r="C261" s="856" t="s">
        <v>649</v>
      </c>
      <c r="D261" s="857"/>
      <c r="E261">
        <v>2</v>
      </c>
      <c r="G261"/>
      <c r="H261" s="420"/>
      <c r="I261" s="420"/>
      <c r="J261" s="420"/>
      <c r="K261" s="420"/>
      <c r="L261" s="420"/>
      <c r="M261" s="420"/>
      <c r="N261" s="420"/>
      <c r="O261"/>
      <c r="Q261" s="74">
        <f t="shared" si="64"/>
        <v>2</v>
      </c>
      <c r="R261" s="426">
        <f t="shared" si="65"/>
        <v>0</v>
      </c>
      <c r="S261"/>
      <c r="T261" s="76">
        <f>IF(OR(LOG_ANNUEL!Q261=0,'LOG_ANNUEL_A-1'!Q261=0),"",((LOG_ANNUEL!Q261-'LOG_ANNUEL_A-1'!Q261)/'LOG_ANNUEL_A-1'!Q261)*100)</f>
        <v>-94.117647058823522</v>
      </c>
      <c r="U261" s="28">
        <f t="shared" si="55"/>
        <v>0</v>
      </c>
      <c r="V261" s="78">
        <f>IF('LOG_ANNUEL_A-1'!R261=0,"",((R261-'LOG_ANNUEL_A-1'!R261)/'LOG_ANNUEL_A-1'!R261)*100)</f>
        <v>-100</v>
      </c>
      <c r="W261"/>
      <c r="Y261"/>
      <c r="AA261"/>
      <c r="AC261"/>
      <c r="AE261"/>
      <c r="AG261"/>
      <c r="AI261"/>
    </row>
    <row r="262" spans="2:35" ht="15.75" thickBot="1" x14ac:dyDescent="0.3">
      <c r="C262" s="858" t="s">
        <v>662</v>
      </c>
      <c r="D262" s="859"/>
      <c r="E262" s="33">
        <f>SUM(E257:E261)</f>
        <v>186</v>
      </c>
      <c r="F262" s="33">
        <f t="shared" ref="F262:P262" si="66">SUM(F257:F261)</f>
        <v>0</v>
      </c>
      <c r="G262" s="33">
        <f t="shared" si="66"/>
        <v>0</v>
      </c>
      <c r="H262" s="434">
        <f t="shared" si="66"/>
        <v>0</v>
      </c>
      <c r="I262" s="434">
        <f t="shared" si="66"/>
        <v>0</v>
      </c>
      <c r="J262" s="434">
        <f t="shared" si="66"/>
        <v>0</v>
      </c>
      <c r="K262" s="434">
        <f t="shared" si="66"/>
        <v>0</v>
      </c>
      <c r="L262" s="434">
        <f t="shared" si="66"/>
        <v>0</v>
      </c>
      <c r="M262" s="434">
        <f t="shared" si="66"/>
        <v>0</v>
      </c>
      <c r="N262" s="434">
        <f t="shared" si="66"/>
        <v>0</v>
      </c>
      <c r="O262" s="33">
        <f t="shared" si="66"/>
        <v>0</v>
      </c>
      <c r="P262" s="33">
        <f t="shared" si="66"/>
        <v>0</v>
      </c>
      <c r="Q262" s="74">
        <f t="shared" si="64"/>
        <v>186</v>
      </c>
      <c r="R262" s="426">
        <f t="shared" si="65"/>
        <v>0</v>
      </c>
      <c r="S262"/>
      <c r="T262" s="76">
        <f>IF(OR(LOG_ANNUEL!Q262=0,'LOG_ANNUEL_A-1'!Q262=0),"",((LOG_ANNUEL!Q262-'LOG_ANNUEL_A-1'!Q262)/'LOG_ANNUEL_A-1'!Q262)*100)</f>
        <v>-88.396756082345604</v>
      </c>
      <c r="U262" s="28">
        <f t="shared" si="55"/>
        <v>0</v>
      </c>
      <c r="V262" s="78">
        <f>IF('LOG_ANNUEL_A-1'!R262=0,"",((R262-'LOG_ANNUEL_A-1'!R262)/'LOG_ANNUEL_A-1'!R262)*100)</f>
        <v>-100</v>
      </c>
      <c r="W262"/>
      <c r="Y262"/>
      <c r="AA262"/>
      <c r="AC262"/>
      <c r="AE262"/>
      <c r="AG262"/>
      <c r="AI262"/>
    </row>
    <row r="263" spans="2:35" x14ac:dyDescent="0.25">
      <c r="B263">
        <v>167</v>
      </c>
      <c r="C263" s="852" t="s">
        <v>650</v>
      </c>
      <c r="D263" s="853"/>
      <c r="E263">
        <v>3762</v>
      </c>
      <c r="G263"/>
      <c r="H263" s="420"/>
      <c r="I263" s="420"/>
      <c r="J263" s="420"/>
      <c r="K263" s="420"/>
      <c r="L263" s="420"/>
      <c r="M263" s="420"/>
      <c r="N263" s="420"/>
      <c r="O263"/>
      <c r="Q263" s="74">
        <f t="shared" si="64"/>
        <v>3762</v>
      </c>
      <c r="R263" s="426">
        <f t="shared" si="65"/>
        <v>0</v>
      </c>
      <c r="S263"/>
      <c r="T263" s="76">
        <f>IF(OR(LOG_ANNUEL!Q263=0,'LOG_ANNUEL_A-1'!Q263=0),"",((LOG_ANNUEL!Q263-'LOG_ANNUEL_A-1'!Q263)/'LOG_ANNUEL_A-1'!Q263)*100)</f>
        <v>-95.916417910447763</v>
      </c>
      <c r="U263" s="28">
        <f t="shared" si="55"/>
        <v>0</v>
      </c>
      <c r="V263" s="78">
        <f>IF('LOG_ANNUEL_A-1'!R263=0,"",((R263-'LOG_ANNUEL_A-1'!R263)/'LOG_ANNUEL_A-1'!R263)*100)</f>
        <v>-100</v>
      </c>
      <c r="W263"/>
      <c r="Y263"/>
      <c r="AA263"/>
      <c r="AC263"/>
      <c r="AE263"/>
      <c r="AG263"/>
      <c r="AI263"/>
    </row>
    <row r="264" spans="2:35" x14ac:dyDescent="0.25">
      <c r="B264">
        <v>168</v>
      </c>
      <c r="C264" s="854" t="s">
        <v>651</v>
      </c>
      <c r="D264" s="855"/>
      <c r="E264">
        <v>1382</v>
      </c>
      <c r="G264"/>
      <c r="H264" s="420"/>
      <c r="I264" s="420"/>
      <c r="J264" s="420"/>
      <c r="K264" s="420"/>
      <c r="L264" s="420"/>
      <c r="M264" s="420"/>
      <c r="N264" s="420"/>
      <c r="O264"/>
      <c r="Q264" s="74">
        <f t="shared" si="64"/>
        <v>1382</v>
      </c>
      <c r="R264" s="426">
        <f t="shared" si="65"/>
        <v>0</v>
      </c>
      <c r="S264"/>
      <c r="T264" s="76">
        <f>IF(OR(LOG_ANNUEL!Q264=0,'LOG_ANNUEL_A-1'!Q264=0),"",((LOG_ANNUEL!Q264-'LOG_ANNUEL_A-1'!Q264)/'LOG_ANNUEL_A-1'!Q264)*100)</f>
        <v>-87.156133828996289</v>
      </c>
      <c r="U264" s="28">
        <f t="shared" si="55"/>
        <v>0</v>
      </c>
      <c r="V264" s="78">
        <f>IF('LOG_ANNUEL_A-1'!R264=0,"",((R264-'LOG_ANNUEL_A-1'!R264)/'LOG_ANNUEL_A-1'!R264)*100)</f>
        <v>-100</v>
      </c>
      <c r="W264"/>
      <c r="Y264"/>
      <c r="AA264"/>
      <c r="AC264"/>
      <c r="AE264"/>
      <c r="AG264"/>
      <c r="AI264"/>
    </row>
    <row r="265" spans="2:35" x14ac:dyDescent="0.25">
      <c r="B265">
        <v>169</v>
      </c>
      <c r="C265" s="854" t="s">
        <v>652</v>
      </c>
      <c r="D265" s="855"/>
      <c r="E265">
        <v>410</v>
      </c>
      <c r="G265"/>
      <c r="H265" s="420"/>
      <c r="I265" s="420"/>
      <c r="J265" s="420"/>
      <c r="K265" s="420"/>
      <c r="L265" s="420"/>
      <c r="M265" s="420"/>
      <c r="N265" s="420"/>
      <c r="O265"/>
      <c r="Q265" s="74">
        <f t="shared" si="64"/>
        <v>410</v>
      </c>
      <c r="R265" s="426">
        <f t="shared" si="65"/>
        <v>0</v>
      </c>
      <c r="S265"/>
      <c r="T265" s="76">
        <f>IF(OR(LOG_ANNUEL!Q265=0,'LOG_ANNUEL_A-1'!Q265=0),"",((LOG_ANNUEL!Q265-'LOG_ANNUEL_A-1'!Q265)/'LOG_ANNUEL_A-1'!Q265)*100)</f>
        <v>-95.760959470636891</v>
      </c>
      <c r="U265" s="28">
        <f t="shared" ref="U265:U280" si="67">IF(Q265=0,"",(R265*100)/Q265)</f>
        <v>0</v>
      </c>
      <c r="V265" s="78">
        <f>IF('LOG_ANNUEL_A-1'!R265=0,"",((R265-'LOG_ANNUEL_A-1'!R265)/'LOG_ANNUEL_A-1'!R265)*100)</f>
        <v>-100</v>
      </c>
      <c r="W265"/>
      <c r="Y265"/>
      <c r="AA265"/>
      <c r="AC265"/>
      <c r="AE265"/>
      <c r="AG265"/>
      <c r="AI265"/>
    </row>
    <row r="266" spans="2:35" x14ac:dyDescent="0.25">
      <c r="B266">
        <v>170</v>
      </c>
      <c r="C266" s="854" t="s">
        <v>815</v>
      </c>
      <c r="D266" s="855"/>
      <c r="E266">
        <v>0</v>
      </c>
      <c r="G266"/>
      <c r="H266" s="420"/>
      <c r="I266" s="420"/>
      <c r="J266" s="420"/>
      <c r="K266" s="420"/>
      <c r="L266" s="420"/>
      <c r="M266" s="420"/>
      <c r="N266" s="420"/>
      <c r="O266"/>
      <c r="Q266" s="74">
        <f t="shared" si="64"/>
        <v>0</v>
      </c>
      <c r="R266" s="426">
        <f t="shared" si="65"/>
        <v>0</v>
      </c>
      <c r="S266"/>
      <c r="T266" s="76" t="str">
        <f>IF(OR(LOG_ANNUEL!Q266=0,'LOG_ANNUEL_A-1'!Q266=0),"",((LOG_ANNUEL!Q266-'LOG_ANNUEL_A-1'!Q266)/'LOG_ANNUEL_A-1'!Q266)*100)</f>
        <v/>
      </c>
      <c r="U266" s="28"/>
      <c r="V266" s="78"/>
      <c r="W266"/>
      <c r="Y266"/>
      <c r="AA266"/>
      <c r="AC266"/>
      <c r="AE266"/>
      <c r="AG266"/>
      <c r="AI266"/>
    </row>
    <row r="267" spans="2:35" ht="15.75" thickBot="1" x14ac:dyDescent="0.3">
      <c r="B267">
        <v>171</v>
      </c>
      <c r="C267" s="856" t="s">
        <v>649</v>
      </c>
      <c r="D267" s="857"/>
      <c r="E267">
        <v>648</v>
      </c>
      <c r="G267"/>
      <c r="H267" s="420"/>
      <c r="I267" s="420"/>
      <c r="J267" s="420"/>
      <c r="K267" s="420"/>
      <c r="L267" s="420"/>
      <c r="M267" s="420"/>
      <c r="N267" s="420"/>
      <c r="O267"/>
      <c r="Q267" s="74">
        <f t="shared" si="64"/>
        <v>648</v>
      </c>
      <c r="R267" s="426">
        <f t="shared" si="65"/>
        <v>0</v>
      </c>
      <c r="S267"/>
      <c r="T267" s="76">
        <f>IF(OR(LOG_ANNUEL!Q267=0,'LOG_ANNUEL_A-1'!Q267=0),"",((LOG_ANNUEL!Q267-'LOG_ANNUEL_A-1'!Q267)/'LOG_ANNUEL_A-1'!Q267)*100)</f>
        <v>-86.977491961414785</v>
      </c>
      <c r="U267" s="28">
        <f t="shared" si="67"/>
        <v>0</v>
      </c>
      <c r="V267" s="78">
        <f>IF('LOG_ANNUEL_A-1'!R267=0,"",((R267-'LOG_ANNUEL_A-1'!R267)/'LOG_ANNUEL_A-1'!R267)*100)</f>
        <v>-100</v>
      </c>
      <c r="W267"/>
      <c r="Y267"/>
      <c r="AA267"/>
      <c r="AC267"/>
      <c r="AE267"/>
      <c r="AG267"/>
      <c r="AI267"/>
    </row>
    <row r="268" spans="2:35" ht="15.75" thickBot="1" x14ac:dyDescent="0.3">
      <c r="B268">
        <v>195</v>
      </c>
      <c r="C268" s="858" t="s">
        <v>662</v>
      </c>
      <c r="D268" s="859"/>
      <c r="E268" s="33">
        <f>SUM(E263:E267)</f>
        <v>6202</v>
      </c>
      <c r="F268" s="33">
        <f t="shared" ref="F268:P268" si="68">SUM(F263:F267)</f>
        <v>0</v>
      </c>
      <c r="G268" s="33">
        <f t="shared" si="68"/>
        <v>0</v>
      </c>
      <c r="H268" s="434">
        <f t="shared" si="68"/>
        <v>0</v>
      </c>
      <c r="I268" s="434">
        <f t="shared" si="68"/>
        <v>0</v>
      </c>
      <c r="J268" s="434">
        <f t="shared" si="68"/>
        <v>0</v>
      </c>
      <c r="K268" s="434">
        <f t="shared" si="68"/>
        <v>0</v>
      </c>
      <c r="L268" s="434">
        <f t="shared" si="68"/>
        <v>0</v>
      </c>
      <c r="M268" s="434">
        <f t="shared" si="68"/>
        <v>0</v>
      </c>
      <c r="N268" s="434">
        <f t="shared" si="68"/>
        <v>0</v>
      </c>
      <c r="O268" s="33">
        <f t="shared" si="68"/>
        <v>0</v>
      </c>
      <c r="P268" s="33">
        <f t="shared" si="68"/>
        <v>0</v>
      </c>
      <c r="Q268" s="74">
        <f t="shared" si="64"/>
        <v>6202</v>
      </c>
      <c r="R268" s="426">
        <f t="shared" si="65"/>
        <v>0</v>
      </c>
      <c r="S268"/>
      <c r="T268" s="76">
        <f>IF(OR(LOG_ANNUEL!Q268=0,'LOG_ANNUEL_A-1'!Q268=0),"",((LOG_ANNUEL!Q268-'LOG_ANNUEL_A-1'!Q268)/'LOG_ANNUEL_A-1'!Q268)*100)</f>
        <v>-94.723184127011137</v>
      </c>
      <c r="U268" s="28">
        <f t="shared" si="67"/>
        <v>0</v>
      </c>
      <c r="V268" s="78">
        <f>IF('LOG_ANNUEL_A-1'!R268=0,"",((R268-'LOG_ANNUEL_A-1'!R268)/'LOG_ANNUEL_A-1'!R268)*100)</f>
        <v>-100</v>
      </c>
      <c r="W268"/>
      <c r="Y268"/>
      <c r="AA268"/>
      <c r="AC268"/>
      <c r="AE268"/>
      <c r="AG268"/>
      <c r="AI268"/>
    </row>
    <row r="269" spans="2:35" ht="15.75" thickBot="1" x14ac:dyDescent="0.3">
      <c r="B269">
        <v>172</v>
      </c>
      <c r="C269" s="850" t="s">
        <v>816</v>
      </c>
      <c r="D269" s="851"/>
      <c r="E269" s="4">
        <v>73</v>
      </c>
      <c r="F269" s="4"/>
      <c r="G269" s="4"/>
      <c r="H269" s="421"/>
      <c r="I269" s="421"/>
      <c r="J269" s="421"/>
      <c r="K269" s="421"/>
      <c r="L269" s="421"/>
      <c r="M269" s="421"/>
      <c r="N269" s="421"/>
      <c r="O269" s="4"/>
      <c r="P269" s="4"/>
      <c r="Q269" s="42">
        <f t="shared" si="64"/>
        <v>73</v>
      </c>
      <c r="R269" s="427">
        <f t="shared" si="65"/>
        <v>0</v>
      </c>
      <c r="S269"/>
      <c r="T269" s="76">
        <f>IF(OR(LOG_ANNUEL!Q269=0,'LOG_ANNUEL_A-1'!Q269=0),"",((LOG_ANNUEL!Q269-'LOG_ANNUEL_A-1'!Q269)/'LOG_ANNUEL_A-1'!Q269)*100)</f>
        <v>-92.491643095911542</v>
      </c>
      <c r="U269" s="28">
        <f t="shared" si="67"/>
        <v>0</v>
      </c>
      <c r="V269" s="78">
        <f>IF('LOG_ANNUEL_A-1'!R269=0,"",((R269-'LOG_ANNUEL_A-1'!R269)/'LOG_ANNUEL_A-1'!R269)*100)</f>
        <v>-100</v>
      </c>
      <c r="W269"/>
      <c r="Y269"/>
      <c r="AA269"/>
      <c r="AC269"/>
      <c r="AE269"/>
      <c r="AG269"/>
      <c r="AI269"/>
    </row>
    <row r="270" spans="2:35" ht="15.75" thickBot="1" x14ac:dyDescent="0.3">
      <c r="C270" s="182"/>
      <c r="D270" s="182"/>
      <c r="E270" s="182"/>
      <c r="F270" s="182"/>
      <c r="G270" s="182"/>
      <c r="H270" s="182"/>
      <c r="I270" s="182"/>
      <c r="J270" s="182"/>
      <c r="K270" s="182"/>
      <c r="L270" s="182"/>
      <c r="M270" s="182"/>
      <c r="N270" s="182"/>
      <c r="O270" s="182"/>
      <c r="P270" s="182"/>
      <c r="Q270" s="182"/>
      <c r="R270" s="182"/>
      <c r="T270" s="76"/>
      <c r="U270" s="28"/>
      <c r="V270" s="78"/>
    </row>
    <row r="271" spans="2:35" x14ac:dyDescent="0.25">
      <c r="B271">
        <v>173</v>
      </c>
      <c r="C271" s="787" t="s">
        <v>398</v>
      </c>
      <c r="D271" s="788"/>
      <c r="E271" s="47">
        <v>7</v>
      </c>
      <c r="F271" s="1"/>
      <c r="G271" s="47"/>
      <c r="H271" s="419"/>
      <c r="I271" s="419"/>
      <c r="J271" s="419"/>
      <c r="K271" s="419"/>
      <c r="L271" s="419"/>
      <c r="M271" s="419"/>
      <c r="N271" s="419"/>
      <c r="O271" s="47"/>
      <c r="P271" s="2"/>
      <c r="Q271" s="60">
        <f t="shared" ref="Q271:Q279" si="69">SUM(E271:P271)</f>
        <v>7</v>
      </c>
      <c r="R271" s="425">
        <f t="shared" ref="R271:R279" si="70">SUM(H271:N271)</f>
        <v>0</v>
      </c>
      <c r="T271" s="76">
        <f>IF(OR(LOG_ANNUEL!Q271=0,'LOG_ANNUEL_A-1'!Q271=0),"",((LOG_ANNUEL!Q271-'LOG_ANNUEL_A-1'!Q271)/'LOG_ANNUEL_A-1'!Q271)*100)</f>
        <v>-94.573643410852711</v>
      </c>
      <c r="U271" s="28">
        <f t="shared" si="67"/>
        <v>0</v>
      </c>
      <c r="V271" s="78">
        <f>IF('LOG_ANNUEL_A-1'!R271=0,"",((R271-'LOG_ANNUEL_A-1'!R271)/'LOG_ANNUEL_A-1'!R271)*100)</f>
        <v>-100</v>
      </c>
    </row>
    <row r="272" spans="2:35" x14ac:dyDescent="0.25">
      <c r="B272">
        <v>174</v>
      </c>
      <c r="C272" s="789" t="s">
        <v>399</v>
      </c>
      <c r="D272" s="790"/>
      <c r="E272" s="48">
        <v>5</v>
      </c>
      <c r="H272" s="420"/>
      <c r="I272" s="420"/>
      <c r="J272" s="420"/>
      <c r="K272" s="420"/>
      <c r="L272" s="420"/>
      <c r="M272" s="420"/>
      <c r="N272" s="420"/>
      <c r="P272" s="3"/>
      <c r="Q272" s="28">
        <f t="shared" si="69"/>
        <v>5</v>
      </c>
      <c r="R272" s="426">
        <f t="shared" si="70"/>
        <v>0</v>
      </c>
      <c r="T272" s="76">
        <f>IF(OR(LOG_ANNUEL!Q272=0,'LOG_ANNUEL_A-1'!Q272=0),"",((LOG_ANNUEL!Q272-'LOG_ANNUEL_A-1'!Q272)/'LOG_ANNUEL_A-1'!Q272)*100)</f>
        <v>-89.583333333333343</v>
      </c>
      <c r="U272" s="28">
        <f t="shared" si="67"/>
        <v>0</v>
      </c>
      <c r="V272" s="78">
        <f>IF('LOG_ANNUEL_A-1'!R272=0,"",((R272-'LOG_ANNUEL_A-1'!R272)/'LOG_ANNUEL_A-1'!R272)*100)</f>
        <v>-100</v>
      </c>
    </row>
    <row r="273" spans="2:22" x14ac:dyDescent="0.25">
      <c r="B273">
        <v>175</v>
      </c>
      <c r="C273" s="789" t="s">
        <v>400</v>
      </c>
      <c r="D273" s="790"/>
      <c r="E273" s="48">
        <v>1</v>
      </c>
      <c r="H273" s="420"/>
      <c r="I273" s="420"/>
      <c r="J273" s="420"/>
      <c r="K273" s="420"/>
      <c r="L273" s="420"/>
      <c r="M273" s="420"/>
      <c r="N273" s="420"/>
      <c r="P273" s="3"/>
      <c r="Q273" s="28">
        <f t="shared" si="69"/>
        <v>1</v>
      </c>
      <c r="R273" s="426">
        <f t="shared" si="70"/>
        <v>0</v>
      </c>
      <c r="T273" s="76">
        <f>IF(OR(LOG_ANNUEL!Q273=0,'LOG_ANNUEL_A-1'!Q273=0),"",((LOG_ANNUEL!Q273-'LOG_ANNUEL_A-1'!Q273)/'LOG_ANNUEL_A-1'!Q273)*100)</f>
        <v>-94.444444444444443</v>
      </c>
      <c r="U273" s="28">
        <f t="shared" si="67"/>
        <v>0</v>
      </c>
      <c r="V273" s="78">
        <f>IF('LOG_ANNUEL_A-1'!R273=0,"",((R273-'LOG_ANNUEL_A-1'!R273)/'LOG_ANNUEL_A-1'!R273)*100)</f>
        <v>-100</v>
      </c>
    </row>
    <row r="274" spans="2:22" x14ac:dyDescent="0.25">
      <c r="B274">
        <v>176</v>
      </c>
      <c r="C274" s="789" t="s">
        <v>401</v>
      </c>
      <c r="D274" s="790"/>
      <c r="E274" s="48">
        <v>0</v>
      </c>
      <c r="H274" s="420"/>
      <c r="I274" s="420"/>
      <c r="J274" s="420"/>
      <c r="K274" s="420"/>
      <c r="L274" s="420"/>
      <c r="M274" s="420"/>
      <c r="N274" s="420"/>
      <c r="P274" s="3"/>
      <c r="Q274" s="28">
        <f t="shared" si="69"/>
        <v>0</v>
      </c>
      <c r="R274" s="426">
        <f t="shared" si="70"/>
        <v>0</v>
      </c>
      <c r="T274" s="76" t="str">
        <f>IF(OR(LOG_ANNUEL!Q274=0,'LOG_ANNUEL_A-1'!Q274=0),"",((LOG_ANNUEL!Q274-'LOG_ANNUEL_A-1'!Q274)/'LOG_ANNUEL_A-1'!Q274)*100)</f>
        <v/>
      </c>
      <c r="U274" s="28" t="str">
        <f t="shared" si="67"/>
        <v/>
      </c>
      <c r="V274" s="78">
        <f>IF('LOG_ANNUEL_A-1'!R274=0,"",((R274-'LOG_ANNUEL_A-1'!R274)/'LOG_ANNUEL_A-1'!R274)*100)</f>
        <v>-100</v>
      </c>
    </row>
    <row r="275" spans="2:22" x14ac:dyDescent="0.25">
      <c r="B275">
        <v>177</v>
      </c>
      <c r="C275" s="789" t="s">
        <v>402</v>
      </c>
      <c r="D275" s="790"/>
      <c r="E275" s="48">
        <v>1</v>
      </c>
      <c r="H275" s="420"/>
      <c r="I275" s="420"/>
      <c r="J275" s="420"/>
      <c r="K275" s="420"/>
      <c r="L275" s="420"/>
      <c r="M275" s="420"/>
      <c r="N275" s="420"/>
      <c r="P275" s="3"/>
      <c r="Q275" s="28">
        <f t="shared" si="69"/>
        <v>1</v>
      </c>
      <c r="R275" s="426">
        <f t="shared" si="70"/>
        <v>0</v>
      </c>
      <c r="T275" s="76">
        <f>IF(OR(LOG_ANNUEL!Q275=0,'LOG_ANNUEL_A-1'!Q275=0),"",((LOG_ANNUEL!Q275-'LOG_ANNUEL_A-1'!Q275)/'LOG_ANNUEL_A-1'!Q275)*100)</f>
        <v>-96.875</v>
      </c>
      <c r="U275" s="28">
        <f t="shared" si="67"/>
        <v>0</v>
      </c>
      <c r="V275" s="78">
        <f>IF('LOG_ANNUEL_A-1'!R275=0,"",((R275-'LOG_ANNUEL_A-1'!R275)/'LOG_ANNUEL_A-1'!R275)*100)</f>
        <v>-100</v>
      </c>
    </row>
    <row r="276" spans="2:22" x14ac:dyDescent="0.25">
      <c r="B276">
        <v>178</v>
      </c>
      <c r="C276" s="789" t="s">
        <v>730</v>
      </c>
      <c r="D276" s="790"/>
      <c r="E276" s="48">
        <v>1</v>
      </c>
      <c r="H276" s="420"/>
      <c r="I276" s="420"/>
      <c r="J276" s="420"/>
      <c r="K276" s="420"/>
      <c r="L276" s="420"/>
      <c r="M276" s="420"/>
      <c r="N276" s="420"/>
      <c r="P276" s="3"/>
      <c r="Q276" s="28">
        <f t="shared" si="69"/>
        <v>1</v>
      </c>
      <c r="R276" s="426">
        <f t="shared" si="70"/>
        <v>0</v>
      </c>
      <c r="T276" s="76">
        <f>IF(OR(LOG_ANNUEL!Q276=0,'LOG_ANNUEL_A-1'!Q276=0),"",((LOG_ANNUEL!Q276-'LOG_ANNUEL_A-1'!Q276)/'LOG_ANNUEL_A-1'!Q276)*100)</f>
        <v>-99.92652461425422</v>
      </c>
      <c r="U276" s="28">
        <f t="shared" si="67"/>
        <v>0</v>
      </c>
      <c r="V276" s="78">
        <f>IF('LOG_ANNUEL_A-1'!R276=0,"",((R276-'LOG_ANNUEL_A-1'!R276)/'LOG_ANNUEL_A-1'!R276)*100)</f>
        <v>-100</v>
      </c>
    </row>
    <row r="277" spans="2:22" x14ac:dyDescent="0.25">
      <c r="B277">
        <v>179</v>
      </c>
      <c r="C277" s="789" t="s">
        <v>731</v>
      </c>
      <c r="D277" s="790"/>
      <c r="E277" s="48">
        <v>0</v>
      </c>
      <c r="H277" s="420"/>
      <c r="I277" s="420"/>
      <c r="J277" s="420"/>
      <c r="K277" s="420"/>
      <c r="L277" s="420"/>
      <c r="M277" s="420"/>
      <c r="N277" s="420"/>
      <c r="P277" s="3"/>
      <c r="Q277" s="28">
        <f t="shared" si="69"/>
        <v>0</v>
      </c>
      <c r="R277" s="426">
        <f t="shared" si="70"/>
        <v>0</v>
      </c>
      <c r="T277" s="76" t="str">
        <f>IF(OR(LOG_ANNUEL!Q277=0,'LOG_ANNUEL_A-1'!Q277=0),"",((LOG_ANNUEL!Q277-'LOG_ANNUEL_A-1'!Q277)/'LOG_ANNUEL_A-1'!Q277)*100)</f>
        <v/>
      </c>
      <c r="U277" s="28" t="str">
        <f t="shared" si="67"/>
        <v/>
      </c>
      <c r="V277" s="78">
        <f>IF('LOG_ANNUEL_A-1'!R277=0,"",((R277-'LOG_ANNUEL_A-1'!R277)/'LOG_ANNUEL_A-1'!R277)*100)</f>
        <v>-100</v>
      </c>
    </row>
    <row r="278" spans="2:22" x14ac:dyDescent="0.25">
      <c r="B278">
        <v>180</v>
      </c>
      <c r="C278" s="789" t="s">
        <v>732</v>
      </c>
      <c r="D278" s="790"/>
      <c r="E278" s="48">
        <v>10</v>
      </c>
      <c r="H278" s="420"/>
      <c r="I278" s="420"/>
      <c r="J278" s="420"/>
      <c r="K278" s="420"/>
      <c r="L278" s="420"/>
      <c r="M278" s="420"/>
      <c r="N278" s="420"/>
      <c r="P278" s="3"/>
      <c r="Q278" s="28">
        <f t="shared" si="69"/>
        <v>10</v>
      </c>
      <c r="R278" s="426">
        <f t="shared" si="70"/>
        <v>0</v>
      </c>
      <c r="T278" s="76">
        <f>IF(OR(LOG_ANNUEL!Q278=0,'LOG_ANNUEL_A-1'!Q278=0),"",((LOG_ANNUEL!Q278-'LOG_ANNUEL_A-1'!Q278)/'LOG_ANNUEL_A-1'!Q278)*100)</f>
        <v>-95.689655172413794</v>
      </c>
      <c r="U278" s="28">
        <f t="shared" si="67"/>
        <v>0</v>
      </c>
      <c r="V278" s="78">
        <f>IF('LOG_ANNUEL_A-1'!R278=0,"",((R278-'LOG_ANNUEL_A-1'!R278)/'LOG_ANNUEL_A-1'!R278)*100)</f>
        <v>-100</v>
      </c>
    </row>
    <row r="279" spans="2:22" x14ac:dyDescent="0.25">
      <c r="B279">
        <v>181</v>
      </c>
      <c r="C279" s="789" t="s">
        <v>733</v>
      </c>
      <c r="D279" s="790"/>
      <c r="E279" s="48">
        <v>108</v>
      </c>
      <c r="H279" s="420"/>
      <c r="I279" s="420"/>
      <c r="J279" s="420"/>
      <c r="K279" s="420"/>
      <c r="L279" s="420"/>
      <c r="M279" s="420"/>
      <c r="N279" s="420"/>
      <c r="P279" s="3"/>
      <c r="Q279" s="28">
        <f t="shared" si="69"/>
        <v>108</v>
      </c>
      <c r="R279" s="426">
        <f t="shared" si="70"/>
        <v>0</v>
      </c>
      <c r="T279" s="76">
        <f>IF(OR(LOG_ANNUEL!Q279=0,'LOG_ANNUEL_A-1'!Q279=0),"",((LOG_ANNUEL!Q279-'LOG_ANNUEL_A-1'!Q279)/'LOG_ANNUEL_A-1'!Q279)*100)</f>
        <v>-55.186721991701248</v>
      </c>
      <c r="U279" s="28">
        <f t="shared" si="67"/>
        <v>0</v>
      </c>
      <c r="V279" s="78">
        <f>IF('LOG_ANNUEL_A-1'!R279=0,"",((R279-'LOG_ANNUEL_A-1'!R279)/'LOG_ANNUEL_A-1'!R279)*100)</f>
        <v>-100</v>
      </c>
    </row>
    <row r="280" spans="2:22" ht="15.75" thickBot="1" x14ac:dyDescent="0.3">
      <c r="B280">
        <v>182</v>
      </c>
      <c r="C280" s="785" t="s">
        <v>967</v>
      </c>
      <c r="D280" s="786"/>
      <c r="E280" s="49">
        <v>10</v>
      </c>
      <c r="F280" s="4"/>
      <c r="G280" s="49"/>
      <c r="H280" s="421"/>
      <c r="I280" s="421"/>
      <c r="J280" s="421"/>
      <c r="K280" s="421"/>
      <c r="L280" s="421"/>
      <c r="M280" s="421"/>
      <c r="N280" s="421"/>
      <c r="O280" s="49"/>
      <c r="P280" s="5"/>
      <c r="Q280" s="63">
        <f t="shared" ref="Q280" si="71">SUM(E280:P280)</f>
        <v>10</v>
      </c>
      <c r="R280" s="427">
        <f t="shared" ref="R280" si="72">SUM(H280:N280)</f>
        <v>0</v>
      </c>
      <c r="T280" s="76" t="str">
        <f>IF(OR(LOG_ANNUEL!Q280=0,'LOG_ANNUEL_A-1'!Q280=0),"",((LOG_ANNUEL!Q280-'LOG_ANNUEL_A-1'!Q280)/'LOG_ANNUEL_A-1'!Q280)*100)</f>
        <v/>
      </c>
      <c r="U280" s="28">
        <f t="shared" si="67"/>
        <v>0</v>
      </c>
      <c r="V280" s="78" t="str">
        <f>IF('LOG_ANNUEL_A-1'!R280=0,"",((R280-'LOG_ANNUEL_A-1'!R280)/'LOG_ANNUEL_A-1'!R280)*100)</f>
        <v/>
      </c>
    </row>
    <row r="281" spans="2:22" x14ac:dyDescent="0.25">
      <c r="C281" s="842" t="s">
        <v>970</v>
      </c>
      <c r="D281" s="843"/>
      <c r="E281" s="843"/>
      <c r="F281" s="843"/>
      <c r="G281" s="843"/>
      <c r="H281" s="843"/>
      <c r="I281" s="843"/>
      <c r="J281" s="843"/>
      <c r="K281" s="843"/>
      <c r="L281" s="843"/>
      <c r="M281" s="843"/>
      <c r="N281" s="843"/>
      <c r="O281" s="843"/>
      <c r="P281" s="843"/>
      <c r="Q281" s="843"/>
      <c r="R281" s="844"/>
    </row>
    <row r="282" spans="2:22" ht="15.75" thickBot="1" x14ac:dyDescent="0.3">
      <c r="C282" s="845"/>
      <c r="D282" s="846"/>
      <c r="E282" s="846"/>
      <c r="F282" s="846"/>
      <c r="G282" s="846"/>
      <c r="H282" s="846"/>
      <c r="I282" s="846"/>
      <c r="J282" s="846"/>
      <c r="K282" s="846"/>
      <c r="L282" s="846"/>
      <c r="M282" s="846"/>
      <c r="N282" s="846"/>
      <c r="O282" s="846"/>
      <c r="P282" s="846"/>
      <c r="Q282" s="846"/>
      <c r="R282" s="847"/>
    </row>
    <row r="283" spans="2:22" ht="15.75" thickBot="1" x14ac:dyDescent="0.3">
      <c r="B283">
        <v>183</v>
      </c>
      <c r="C283" s="848" t="s">
        <v>98</v>
      </c>
      <c r="D283" s="849"/>
      <c r="E283" s="472">
        <f t="shared" ref="E283:P283" si="73">E268+E177+E176+E175+E174+E173+E172+((E50+E48)*PRIX_TRACT)</f>
        <v>16200</v>
      </c>
      <c r="F283" s="472">
        <f t="shared" si="73"/>
        <v>0</v>
      </c>
      <c r="G283" s="472">
        <f t="shared" si="73"/>
        <v>0</v>
      </c>
      <c r="H283" s="639">
        <f t="shared" si="73"/>
        <v>0</v>
      </c>
      <c r="I283" s="639">
        <f t="shared" si="73"/>
        <v>0</v>
      </c>
      <c r="J283" s="639">
        <f t="shared" si="73"/>
        <v>0</v>
      </c>
      <c r="K283" s="639">
        <f t="shared" si="73"/>
        <v>0</v>
      </c>
      <c r="L283" s="639">
        <f t="shared" si="73"/>
        <v>0</v>
      </c>
      <c r="M283" s="639">
        <f t="shared" si="73"/>
        <v>0</v>
      </c>
      <c r="N283" s="639">
        <f t="shared" si="73"/>
        <v>0</v>
      </c>
      <c r="O283" s="472">
        <f t="shared" si="73"/>
        <v>0</v>
      </c>
      <c r="P283" s="472">
        <f t="shared" si="73"/>
        <v>0</v>
      </c>
      <c r="Q283" s="637">
        <f>SUM(E283:P283)</f>
        <v>16200</v>
      </c>
      <c r="R283" s="638">
        <f>SUM(H283:N283)</f>
        <v>0</v>
      </c>
    </row>
  </sheetData>
  <mergeCells count="177">
    <mergeCell ref="U3:V3"/>
    <mergeCell ref="C281:R282"/>
    <mergeCell ref="C283:D283"/>
    <mergeCell ref="C269:D269"/>
    <mergeCell ref="C2:R3"/>
    <mergeCell ref="C78:R79"/>
    <mergeCell ref="C163:R164"/>
    <mergeCell ref="C223:R224"/>
    <mergeCell ref="C232:R233"/>
    <mergeCell ref="C241:R242"/>
    <mergeCell ref="C255:R256"/>
    <mergeCell ref="C263:D263"/>
    <mergeCell ref="C264:D264"/>
    <mergeCell ref="C265:D265"/>
    <mergeCell ref="C266:D266"/>
    <mergeCell ref="C267:D267"/>
    <mergeCell ref="C268:D268"/>
    <mergeCell ref="C257:D257"/>
    <mergeCell ref="C258:D258"/>
    <mergeCell ref="C259:D259"/>
    <mergeCell ref="C260:D260"/>
    <mergeCell ref="C261:D261"/>
    <mergeCell ref="C262:D262"/>
    <mergeCell ref="C250:D250"/>
    <mergeCell ref="C251:D251"/>
    <mergeCell ref="C252:D252"/>
    <mergeCell ref="C253:D253"/>
    <mergeCell ref="C254:D254"/>
    <mergeCell ref="C244:D244"/>
    <mergeCell ref="C245:D245"/>
    <mergeCell ref="C246:D246"/>
    <mergeCell ref="C247:D247"/>
    <mergeCell ref="C248:D248"/>
    <mergeCell ref="C249:D249"/>
    <mergeCell ref="C235:D235"/>
    <mergeCell ref="C236:D236"/>
    <mergeCell ref="C237:D237"/>
    <mergeCell ref="C238:D238"/>
    <mergeCell ref="C243:D243"/>
    <mergeCell ref="C228:D228"/>
    <mergeCell ref="C229:D229"/>
    <mergeCell ref="C230:D230"/>
    <mergeCell ref="C231:D231"/>
    <mergeCell ref="C234:D234"/>
    <mergeCell ref="C210:D210"/>
    <mergeCell ref="C211:C222"/>
    <mergeCell ref="C225:D225"/>
    <mergeCell ref="C226:D226"/>
    <mergeCell ref="C227:D227"/>
    <mergeCell ref="C169:D169"/>
    <mergeCell ref="C170:D170"/>
    <mergeCell ref="C194:D194"/>
    <mergeCell ref="C195:D195"/>
    <mergeCell ref="C196:C207"/>
    <mergeCell ref="C209:D209"/>
    <mergeCell ref="C179:D179"/>
    <mergeCell ref="C180:D180"/>
    <mergeCell ref="C181:C192"/>
    <mergeCell ref="C151:C162"/>
    <mergeCell ref="C165:D165"/>
    <mergeCell ref="C166:D166"/>
    <mergeCell ref="C167:D167"/>
    <mergeCell ref="C168:D168"/>
    <mergeCell ref="C175:D175"/>
    <mergeCell ref="C176:D176"/>
    <mergeCell ref="C177:D177"/>
    <mergeCell ref="C172:D172"/>
    <mergeCell ref="C173:D173"/>
    <mergeCell ref="C174:D174"/>
    <mergeCell ref="C133:D133"/>
    <mergeCell ref="C134:D134"/>
    <mergeCell ref="C135:C146"/>
    <mergeCell ref="C148:D148"/>
    <mergeCell ref="C149:D149"/>
    <mergeCell ref="C150:D150"/>
    <mergeCell ref="C103:C114"/>
    <mergeCell ref="C116:D116"/>
    <mergeCell ref="C117:D117"/>
    <mergeCell ref="C118:D118"/>
    <mergeCell ref="C119:C130"/>
    <mergeCell ref="C132:D132"/>
    <mergeCell ref="C83:D83"/>
    <mergeCell ref="C84:D84"/>
    <mergeCell ref="C85:D85"/>
    <mergeCell ref="C100:D100"/>
    <mergeCell ref="C101:D101"/>
    <mergeCell ref="C102:D102"/>
    <mergeCell ref="C57:C58"/>
    <mergeCell ref="C60:D60"/>
    <mergeCell ref="C80:D80"/>
    <mergeCell ref="C81:D81"/>
    <mergeCell ref="C82:D82"/>
    <mergeCell ref="C51:D51"/>
    <mergeCell ref="C52:D52"/>
    <mergeCell ref="C53:D53"/>
    <mergeCell ref="C54:D54"/>
    <mergeCell ref="C55:D55"/>
    <mergeCell ref="C56:D56"/>
    <mergeCell ref="C42:C44"/>
    <mergeCell ref="C45:D45"/>
    <mergeCell ref="C47:D47"/>
    <mergeCell ref="C48:D48"/>
    <mergeCell ref="C49:D49"/>
    <mergeCell ref="C50:D50"/>
    <mergeCell ref="C34:D34"/>
    <mergeCell ref="C35:D35"/>
    <mergeCell ref="C36:D36"/>
    <mergeCell ref="C37:D37"/>
    <mergeCell ref="C39:D39"/>
    <mergeCell ref="C40:C41"/>
    <mergeCell ref="C26:D26"/>
    <mergeCell ref="C27:D27"/>
    <mergeCell ref="C28:D28"/>
    <mergeCell ref="C30:D30"/>
    <mergeCell ref="C32:D32"/>
    <mergeCell ref="C33:D33"/>
    <mergeCell ref="C19:D19"/>
    <mergeCell ref="C20:D20"/>
    <mergeCell ref="C21:D21"/>
    <mergeCell ref="C22:D22"/>
    <mergeCell ref="C24:D24"/>
    <mergeCell ref="C25:D25"/>
    <mergeCell ref="C13:D13"/>
    <mergeCell ref="C14:D14"/>
    <mergeCell ref="C15:D15"/>
    <mergeCell ref="C16:D16"/>
    <mergeCell ref="C17:D17"/>
    <mergeCell ref="C18:D18"/>
    <mergeCell ref="C8:D8"/>
    <mergeCell ref="C9:D9"/>
    <mergeCell ref="C10:D10"/>
    <mergeCell ref="C11:D11"/>
    <mergeCell ref="C12:D12"/>
    <mergeCell ref="AE5:AE6"/>
    <mergeCell ref="AF5:AF6"/>
    <mergeCell ref="AG5:AG6"/>
    <mergeCell ref="S5:S6"/>
    <mergeCell ref="W5:W6"/>
    <mergeCell ref="X5:X6"/>
    <mergeCell ref="M5:M6"/>
    <mergeCell ref="N5:N6"/>
    <mergeCell ref="O5:O6"/>
    <mergeCell ref="P5:P6"/>
    <mergeCell ref="Q5:Q6"/>
    <mergeCell ref="R5:R6"/>
    <mergeCell ref="C5:D6"/>
    <mergeCell ref="E5:E6"/>
    <mergeCell ref="F5:F6"/>
    <mergeCell ref="AI5:AI6"/>
    <mergeCell ref="AJ5:AJ6"/>
    <mergeCell ref="Y5:Y6"/>
    <mergeCell ref="Z5:Z6"/>
    <mergeCell ref="AA5:AA6"/>
    <mergeCell ref="AB5:AB6"/>
    <mergeCell ref="AC5:AC6"/>
    <mergeCell ref="AD5:AD6"/>
    <mergeCell ref="C7:D7"/>
    <mergeCell ref="E171:P171"/>
    <mergeCell ref="G5:G6"/>
    <mergeCell ref="H5:H6"/>
    <mergeCell ref="I5:I6"/>
    <mergeCell ref="J5:J6"/>
    <mergeCell ref="K5:K6"/>
    <mergeCell ref="L5:L6"/>
    <mergeCell ref="H4:N4"/>
    <mergeCell ref="AH5:AH6"/>
    <mergeCell ref="T5:V6"/>
    <mergeCell ref="C280:D280"/>
    <mergeCell ref="C271:D271"/>
    <mergeCell ref="C272:D272"/>
    <mergeCell ref="C273:D273"/>
    <mergeCell ref="C274:D274"/>
    <mergeCell ref="C275:D275"/>
    <mergeCell ref="C276:D276"/>
    <mergeCell ref="C277:D277"/>
    <mergeCell ref="C278:D278"/>
    <mergeCell ref="C279:D279"/>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AN274"/>
  <sheetViews>
    <sheetView topLeftCell="A38" workbookViewId="0">
      <selection activeCell="E38" sqref="E38"/>
    </sheetView>
  </sheetViews>
  <sheetFormatPr baseColWidth="10" defaultRowHeight="15" x14ac:dyDescent="0.25"/>
  <cols>
    <col min="2" max="2" width="4" bestFit="1" customWidth="1"/>
    <col min="5" max="5" width="5.28515625" style="48" customWidth="1"/>
    <col min="6" max="6" width="5.28515625" customWidth="1"/>
    <col min="7" max="7" width="5.28515625" style="48" customWidth="1"/>
    <col min="8" max="8" width="5.28515625" customWidth="1"/>
    <col min="9" max="9" width="5.28515625" style="48" customWidth="1"/>
    <col min="10" max="10" width="5.28515625" customWidth="1"/>
    <col min="11" max="11" width="5.28515625" style="48" customWidth="1"/>
    <col min="12" max="12" width="5.28515625" customWidth="1"/>
    <col min="13" max="13" width="5.28515625" style="48" customWidth="1"/>
    <col min="14" max="14" width="5.28515625" customWidth="1"/>
    <col min="15" max="15" width="5.140625" style="48" customWidth="1"/>
    <col min="16" max="16" width="5.28515625" customWidth="1"/>
    <col min="17" max="17" width="5.28515625" style="48" customWidth="1"/>
    <col min="18" max="18" width="5.28515625" customWidth="1"/>
    <col min="19" max="19" width="5.28515625" style="48" customWidth="1"/>
    <col min="20" max="20" width="5.28515625" customWidth="1"/>
    <col min="21" max="21" width="5.28515625" style="48" customWidth="1"/>
    <col min="22" max="22" width="5.28515625" customWidth="1"/>
    <col min="23" max="23" width="5.28515625" style="48" customWidth="1"/>
    <col min="24" max="24" width="5.28515625" customWidth="1"/>
    <col min="25" max="25" width="5.28515625" style="48" customWidth="1"/>
    <col min="26" max="26" width="5.28515625" customWidth="1"/>
    <col min="27" max="27" width="5.28515625" style="48" customWidth="1"/>
    <col min="28" max="28" width="5.28515625" customWidth="1"/>
    <col min="29" max="29" width="5.28515625" style="48" customWidth="1"/>
    <col min="30" max="30" width="5.28515625" customWidth="1"/>
    <col min="31" max="31" width="5.28515625" style="48" customWidth="1"/>
    <col min="32" max="32" width="5.28515625" customWidth="1"/>
    <col min="33" max="33" width="5.28515625" style="48" customWidth="1"/>
    <col min="34" max="34" width="5.28515625" customWidth="1"/>
    <col min="35" max="35" width="5.28515625" style="48" customWidth="1"/>
    <col min="36" max="36" width="11.42578125" style="28"/>
    <col min="37" max="37" width="4" customWidth="1"/>
    <col min="38" max="38" width="4.85546875" bestFit="1" customWidth="1"/>
    <col min="39" max="39" width="6.140625" bestFit="1" customWidth="1"/>
  </cols>
  <sheetData>
    <row r="1" spans="1:40" ht="15.75" thickBot="1" x14ac:dyDescent="0.3"/>
    <row r="2" spans="1:40" x14ac:dyDescent="0.25">
      <c r="A2" s="520"/>
      <c r="C2" s="860" t="str">
        <f ca="1">"DONNEES OPS PISTE "&amp;DATA_MAIN!U18</f>
        <v>DONNEES OPS PISTE JANVIER 25</v>
      </c>
      <c r="D2" s="861"/>
      <c r="E2" s="861"/>
      <c r="F2" s="861"/>
      <c r="G2" s="861"/>
      <c r="H2" s="861"/>
      <c r="I2" s="861"/>
      <c r="J2" s="861"/>
      <c r="K2" s="861"/>
      <c r="L2" s="861"/>
      <c r="M2" s="861"/>
      <c r="N2" s="861"/>
      <c r="O2" s="861"/>
      <c r="P2" s="861"/>
      <c r="Q2" s="861"/>
      <c r="R2" s="861"/>
      <c r="S2" s="861"/>
      <c r="T2" s="861"/>
      <c r="U2" s="861"/>
      <c r="V2" s="861"/>
      <c r="W2" s="861"/>
      <c r="X2" s="861"/>
      <c r="Y2" s="861"/>
      <c r="Z2" s="861"/>
      <c r="AA2" s="861"/>
      <c r="AB2" s="861"/>
      <c r="AC2" s="861"/>
      <c r="AD2" s="861"/>
      <c r="AE2" s="861"/>
      <c r="AF2" s="861"/>
      <c r="AG2" s="861"/>
      <c r="AH2" s="861"/>
      <c r="AI2" s="861"/>
      <c r="AJ2" s="862"/>
    </row>
    <row r="3" spans="1:40" ht="15.75" thickBot="1" x14ac:dyDescent="0.3">
      <c r="C3" s="863"/>
      <c r="D3" s="864"/>
      <c r="E3" s="864"/>
      <c r="F3" s="864"/>
      <c r="G3" s="864"/>
      <c r="H3" s="864"/>
      <c r="I3" s="864"/>
      <c r="J3" s="864"/>
      <c r="K3" s="864"/>
      <c r="L3" s="864"/>
      <c r="M3" s="864"/>
      <c r="N3" s="864"/>
      <c r="O3" s="864"/>
      <c r="P3" s="864"/>
      <c r="Q3" s="864"/>
      <c r="R3" s="864"/>
      <c r="S3" s="864"/>
      <c r="T3" s="864"/>
      <c r="U3" s="864"/>
      <c r="V3" s="864"/>
      <c r="W3" s="864"/>
      <c r="X3" s="864"/>
      <c r="Y3" s="864"/>
      <c r="Z3" s="864"/>
      <c r="AA3" s="864"/>
      <c r="AB3" s="864"/>
      <c r="AC3" s="864"/>
      <c r="AD3" s="864"/>
      <c r="AE3" s="864"/>
      <c r="AF3" s="864"/>
      <c r="AG3" s="864"/>
      <c r="AH3" s="864"/>
      <c r="AI3" s="864"/>
      <c r="AJ3" s="865"/>
    </row>
    <row r="4" spans="1:40" ht="15.75" thickBot="1" x14ac:dyDescent="0.3">
      <c r="C4" s="677"/>
      <c r="D4" s="677"/>
      <c r="E4" s="866">
        <v>1</v>
      </c>
      <c r="F4" s="801">
        <v>2</v>
      </c>
      <c r="G4" s="866">
        <v>3</v>
      </c>
      <c r="H4" s="801">
        <v>4</v>
      </c>
      <c r="I4" s="866">
        <v>5</v>
      </c>
      <c r="J4" s="801">
        <v>6</v>
      </c>
      <c r="K4" s="866">
        <v>7</v>
      </c>
      <c r="L4" s="801">
        <v>8</v>
      </c>
      <c r="M4" s="866">
        <v>9</v>
      </c>
      <c r="N4" s="801">
        <v>10</v>
      </c>
      <c r="O4" s="866">
        <v>11</v>
      </c>
      <c r="P4" s="801">
        <v>12</v>
      </c>
      <c r="Q4" s="866">
        <v>13</v>
      </c>
      <c r="R4" s="801">
        <v>14</v>
      </c>
      <c r="S4" s="866">
        <v>15</v>
      </c>
      <c r="T4" s="801">
        <v>16</v>
      </c>
      <c r="U4" s="866">
        <v>17</v>
      </c>
      <c r="V4" s="801">
        <v>18</v>
      </c>
      <c r="W4" s="866">
        <v>19</v>
      </c>
      <c r="X4" s="801">
        <v>20</v>
      </c>
      <c r="Y4" s="866">
        <v>21</v>
      </c>
      <c r="Z4" s="801">
        <v>22</v>
      </c>
      <c r="AA4" s="866">
        <v>23</v>
      </c>
      <c r="AB4" s="801">
        <v>24</v>
      </c>
      <c r="AC4" s="866">
        <v>25</v>
      </c>
      <c r="AD4" s="801">
        <v>26</v>
      </c>
      <c r="AE4" s="866">
        <v>27</v>
      </c>
      <c r="AF4" s="801">
        <v>28</v>
      </c>
      <c r="AG4" s="866">
        <v>29</v>
      </c>
      <c r="AH4" s="801">
        <v>30</v>
      </c>
      <c r="AI4" s="866">
        <v>31</v>
      </c>
      <c r="AJ4" s="867" t="s">
        <v>41</v>
      </c>
    </row>
    <row r="5" spans="1:40" ht="16.5" thickBot="1" x14ac:dyDescent="0.3">
      <c r="C5" s="811"/>
      <c r="D5" s="811"/>
      <c r="E5" s="866"/>
      <c r="F5" s="801"/>
      <c r="G5" s="866"/>
      <c r="H5" s="801"/>
      <c r="I5" s="866"/>
      <c r="J5" s="801"/>
      <c r="K5" s="866"/>
      <c r="L5" s="801"/>
      <c r="M5" s="866"/>
      <c r="N5" s="801"/>
      <c r="O5" s="866"/>
      <c r="P5" s="801"/>
      <c r="Q5" s="866"/>
      <c r="R5" s="801"/>
      <c r="S5" s="866"/>
      <c r="T5" s="801"/>
      <c r="U5" s="866"/>
      <c r="V5" s="801"/>
      <c r="W5" s="866"/>
      <c r="X5" s="801"/>
      <c r="Y5" s="866"/>
      <c r="Z5" s="801"/>
      <c r="AA5" s="866"/>
      <c r="AB5" s="801"/>
      <c r="AC5" s="866"/>
      <c r="AD5" s="801"/>
      <c r="AE5" s="866"/>
      <c r="AF5" s="801"/>
      <c r="AG5" s="866"/>
      <c r="AH5" s="801"/>
      <c r="AI5" s="866"/>
      <c r="AJ5" s="868"/>
      <c r="AL5" s="459" t="s">
        <v>848</v>
      </c>
      <c r="AM5" s="607">
        <f ca="1">(TOT_2*2795+((TOT_1-JOUR_J)*5591)*2+(TOT_1-JOUR_J)*11182)/1000</f>
        <v>405.34699999999998</v>
      </c>
      <c r="AN5" s="606"/>
    </row>
    <row r="6" spans="1:40" ht="15.75" thickBot="1" x14ac:dyDescent="0.3">
      <c r="C6" s="806" t="s">
        <v>1</v>
      </c>
      <c r="D6" s="807"/>
      <c r="E6" s="61"/>
      <c r="F6" s="61"/>
      <c r="G6" s="61"/>
      <c r="H6" s="61"/>
      <c r="I6" s="61"/>
      <c r="J6" s="61"/>
      <c r="K6" s="61"/>
      <c r="L6" s="61"/>
      <c r="M6" s="61"/>
      <c r="N6" s="61"/>
      <c r="O6" s="61"/>
      <c r="P6" s="61"/>
      <c r="Q6" s="61"/>
      <c r="R6" s="61"/>
      <c r="S6" s="61"/>
      <c r="T6" s="61"/>
      <c r="U6" s="61"/>
      <c r="V6" s="61"/>
      <c r="W6" s="61"/>
      <c r="X6" s="61"/>
      <c r="Y6" s="61"/>
      <c r="Z6" s="61"/>
      <c r="AA6" s="61"/>
      <c r="AB6" s="61"/>
      <c r="AC6" s="61"/>
      <c r="AD6" s="61"/>
      <c r="AE6" s="61"/>
      <c r="AF6" s="61"/>
      <c r="AG6" s="61"/>
      <c r="AH6" s="61"/>
      <c r="AI6" s="61"/>
      <c r="AJ6" s="61"/>
    </row>
    <row r="7" spans="1:40" ht="15.75" thickBot="1" x14ac:dyDescent="0.3">
      <c r="B7" s="157">
        <v>1</v>
      </c>
      <c r="C7" s="727" t="s">
        <v>2</v>
      </c>
      <c r="D7" s="728"/>
      <c r="E7" s="171">
        <v>3</v>
      </c>
      <c r="F7" s="28">
        <v>3</v>
      </c>
      <c r="G7" s="171">
        <v>3</v>
      </c>
      <c r="H7" s="28">
        <v>3</v>
      </c>
      <c r="I7" s="171">
        <v>3</v>
      </c>
      <c r="J7" s="28">
        <v>3</v>
      </c>
      <c r="K7" s="171">
        <v>3</v>
      </c>
      <c r="L7" s="28">
        <v>3</v>
      </c>
      <c r="M7" s="171">
        <v>3</v>
      </c>
      <c r="N7" s="28"/>
      <c r="O7" s="171"/>
      <c r="P7" s="28"/>
      <c r="Q7" s="171"/>
      <c r="R7" s="28"/>
      <c r="S7" s="171"/>
      <c r="T7" s="28"/>
      <c r="U7" s="171"/>
      <c r="V7" s="28"/>
      <c r="W7" s="171"/>
      <c r="X7" s="28"/>
      <c r="Y7" s="171"/>
      <c r="Z7" s="28"/>
      <c r="AA7" s="171"/>
      <c r="AB7" s="28"/>
      <c r="AC7" s="171"/>
      <c r="AD7" s="28"/>
      <c r="AE7" s="171"/>
      <c r="AF7" s="28"/>
      <c r="AG7" s="171"/>
      <c r="AH7" s="28"/>
      <c r="AI7" s="171"/>
      <c r="AJ7" s="41">
        <f t="shared" ref="AJ7:AJ17" si="0">SUM(E7:AI7)</f>
        <v>27</v>
      </c>
    </row>
    <row r="8" spans="1:40" ht="15.75" thickBot="1" x14ac:dyDescent="0.3">
      <c r="B8" s="157">
        <v>2</v>
      </c>
      <c r="C8" s="749" t="s">
        <v>3</v>
      </c>
      <c r="D8" s="750"/>
      <c r="E8" s="171">
        <f>SUM(E9:E17)</f>
        <v>1</v>
      </c>
      <c r="F8" s="171">
        <f t="shared" ref="F8:AI8" si="1">SUM(F9:F17)</f>
        <v>0</v>
      </c>
      <c r="G8" s="171">
        <f t="shared" si="1"/>
        <v>0</v>
      </c>
      <c r="H8" s="171">
        <f t="shared" si="1"/>
        <v>0</v>
      </c>
      <c r="I8" s="171">
        <f t="shared" si="1"/>
        <v>0</v>
      </c>
      <c r="J8" s="171">
        <f t="shared" si="1"/>
        <v>0</v>
      </c>
      <c r="K8" s="171">
        <f t="shared" si="1"/>
        <v>0</v>
      </c>
      <c r="L8" s="171">
        <f t="shared" si="1"/>
        <v>0</v>
      </c>
      <c r="M8" s="171">
        <f t="shared" si="1"/>
        <v>0</v>
      </c>
      <c r="N8" s="171">
        <f t="shared" si="1"/>
        <v>0</v>
      </c>
      <c r="O8" s="171">
        <f t="shared" si="1"/>
        <v>0</v>
      </c>
      <c r="P8" s="171">
        <f t="shared" si="1"/>
        <v>0</v>
      </c>
      <c r="Q8" s="171">
        <f t="shared" si="1"/>
        <v>0</v>
      </c>
      <c r="R8" s="171">
        <f t="shared" si="1"/>
        <v>0</v>
      </c>
      <c r="S8" s="171">
        <f t="shared" si="1"/>
        <v>0</v>
      </c>
      <c r="T8" s="171">
        <f t="shared" si="1"/>
        <v>0</v>
      </c>
      <c r="U8" s="171">
        <f t="shared" si="1"/>
        <v>0</v>
      </c>
      <c r="V8" s="171">
        <f t="shared" si="1"/>
        <v>0</v>
      </c>
      <c r="W8" s="171">
        <f t="shared" si="1"/>
        <v>0</v>
      </c>
      <c r="X8" s="171">
        <f t="shared" si="1"/>
        <v>0</v>
      </c>
      <c r="Y8" s="171">
        <f t="shared" si="1"/>
        <v>0</v>
      </c>
      <c r="Z8" s="171">
        <f t="shared" si="1"/>
        <v>0</v>
      </c>
      <c r="AA8" s="171">
        <f t="shared" si="1"/>
        <v>0</v>
      </c>
      <c r="AB8" s="171">
        <f t="shared" si="1"/>
        <v>0</v>
      </c>
      <c r="AC8" s="171">
        <f t="shared" si="1"/>
        <v>0</v>
      </c>
      <c r="AD8" s="171">
        <f t="shared" si="1"/>
        <v>0</v>
      </c>
      <c r="AE8" s="171">
        <f t="shared" si="1"/>
        <v>0</v>
      </c>
      <c r="AF8" s="171">
        <f t="shared" si="1"/>
        <v>0</v>
      </c>
      <c r="AG8" s="171">
        <f t="shared" si="1"/>
        <v>0</v>
      </c>
      <c r="AH8" s="171">
        <f t="shared" si="1"/>
        <v>0</v>
      </c>
      <c r="AI8" s="171">
        <f t="shared" si="1"/>
        <v>0</v>
      </c>
      <c r="AJ8" s="457">
        <f t="shared" si="0"/>
        <v>1</v>
      </c>
    </row>
    <row r="9" spans="1:40" x14ac:dyDescent="0.25">
      <c r="B9" s="157">
        <v>3</v>
      </c>
      <c r="C9" s="771" t="s">
        <v>23</v>
      </c>
      <c r="D9" s="772"/>
      <c r="E9" s="171">
        <v>1</v>
      </c>
      <c r="F9" s="28"/>
      <c r="G9" s="171"/>
      <c r="H9" s="28"/>
      <c r="I9" s="171"/>
      <c r="J9" s="28"/>
      <c r="K9" s="171"/>
      <c r="L9" s="28"/>
      <c r="M9" s="171"/>
      <c r="N9" s="28"/>
      <c r="O9" s="171"/>
      <c r="P9" s="28"/>
      <c r="Q9" s="171"/>
      <c r="R9" s="28"/>
      <c r="S9" s="171"/>
      <c r="T9" s="28"/>
      <c r="U9" s="171"/>
      <c r="V9" s="28"/>
      <c r="W9" s="171"/>
      <c r="X9" s="28"/>
      <c r="Y9" s="171"/>
      <c r="Z9" s="28"/>
      <c r="AA9" s="171"/>
      <c r="AB9" s="28"/>
      <c r="AC9" s="171"/>
      <c r="AD9" s="28"/>
      <c r="AE9" s="171"/>
      <c r="AF9" s="28"/>
      <c r="AG9" s="171"/>
      <c r="AH9" s="28"/>
      <c r="AI9" s="171"/>
      <c r="AJ9" s="457">
        <f t="shared" si="0"/>
        <v>1</v>
      </c>
    </row>
    <row r="10" spans="1:40" x14ac:dyDescent="0.25">
      <c r="B10" s="157">
        <v>4</v>
      </c>
      <c r="C10" s="773" t="s">
        <v>24</v>
      </c>
      <c r="D10" s="774"/>
      <c r="E10" s="171"/>
      <c r="F10" s="28"/>
      <c r="G10" s="171"/>
      <c r="H10" s="28"/>
      <c r="I10" s="171"/>
      <c r="J10" s="28"/>
      <c r="K10" s="171"/>
      <c r="L10" s="28"/>
      <c r="M10" s="171"/>
      <c r="N10" s="28"/>
      <c r="O10" s="171"/>
      <c r="P10" s="28"/>
      <c r="Q10" s="171"/>
      <c r="R10" s="28"/>
      <c r="S10" s="171"/>
      <c r="T10" s="28"/>
      <c r="U10" s="171"/>
      <c r="V10" s="28"/>
      <c r="W10" s="171"/>
      <c r="X10" s="28"/>
      <c r="Y10" s="171"/>
      <c r="Z10" s="28"/>
      <c r="AA10" s="171"/>
      <c r="AB10" s="28"/>
      <c r="AC10" s="171"/>
      <c r="AD10" s="28"/>
      <c r="AE10" s="171"/>
      <c r="AF10" s="28"/>
      <c r="AG10" s="171"/>
      <c r="AH10" s="28"/>
      <c r="AI10" s="171"/>
      <c r="AJ10" s="457">
        <f t="shared" si="0"/>
        <v>0</v>
      </c>
    </row>
    <row r="11" spans="1:40" x14ac:dyDescent="0.25">
      <c r="B11" s="157">
        <v>5</v>
      </c>
      <c r="C11" s="773" t="s">
        <v>25</v>
      </c>
      <c r="D11" s="774"/>
      <c r="E11" s="171"/>
      <c r="F11" s="28"/>
      <c r="G11" s="171"/>
      <c r="H11" s="28"/>
      <c r="I11" s="171"/>
      <c r="J11" s="28"/>
      <c r="K11" s="171"/>
      <c r="L11" s="28"/>
      <c r="M11" s="171"/>
      <c r="N11" s="28"/>
      <c r="O11" s="171"/>
      <c r="P11" s="28"/>
      <c r="Q11" s="171"/>
      <c r="R11" s="28"/>
      <c r="S11" s="171"/>
      <c r="T11" s="28"/>
      <c r="U11" s="171"/>
      <c r="V11" s="28"/>
      <c r="W11" s="171"/>
      <c r="X11" s="28"/>
      <c r="Y11" s="171"/>
      <c r="Z11" s="28"/>
      <c r="AA11" s="171"/>
      <c r="AB11" s="28"/>
      <c r="AC11" s="171"/>
      <c r="AD11" s="28"/>
      <c r="AE11" s="171"/>
      <c r="AF11" s="28"/>
      <c r="AG11" s="171"/>
      <c r="AH11" s="28"/>
      <c r="AI11" s="171"/>
      <c r="AJ11" s="457">
        <f t="shared" si="0"/>
        <v>0</v>
      </c>
    </row>
    <row r="12" spans="1:40" x14ac:dyDescent="0.25">
      <c r="B12" s="157">
        <v>6</v>
      </c>
      <c r="C12" s="773" t="s">
        <v>26</v>
      </c>
      <c r="D12" s="774"/>
      <c r="E12" s="171"/>
      <c r="F12" s="28"/>
      <c r="G12" s="171"/>
      <c r="H12" s="28"/>
      <c r="I12" s="171"/>
      <c r="J12" s="28"/>
      <c r="K12" s="171"/>
      <c r="L12" s="28"/>
      <c r="M12" s="171"/>
      <c r="N12" s="28"/>
      <c r="O12" s="171"/>
      <c r="P12" s="28"/>
      <c r="Q12" s="171"/>
      <c r="R12" s="28"/>
      <c r="S12" s="171"/>
      <c r="T12" s="28"/>
      <c r="U12" s="171"/>
      <c r="V12" s="28"/>
      <c r="W12" s="171"/>
      <c r="X12" s="28"/>
      <c r="Y12" s="171"/>
      <c r="Z12" s="28"/>
      <c r="AA12" s="171"/>
      <c r="AB12" s="28"/>
      <c r="AC12" s="171"/>
      <c r="AD12" s="28"/>
      <c r="AE12" s="171"/>
      <c r="AF12" s="28"/>
      <c r="AG12" s="171"/>
      <c r="AH12" s="28"/>
      <c r="AI12" s="171"/>
      <c r="AJ12" s="457">
        <f t="shared" si="0"/>
        <v>0</v>
      </c>
    </row>
    <row r="13" spans="1:40" x14ac:dyDescent="0.25">
      <c r="B13" s="157">
        <v>7</v>
      </c>
      <c r="C13" s="773" t="s">
        <v>27</v>
      </c>
      <c r="D13" s="774"/>
      <c r="E13" s="171"/>
      <c r="F13" s="28"/>
      <c r="G13" s="171"/>
      <c r="H13" s="28"/>
      <c r="I13" s="171"/>
      <c r="J13" s="28"/>
      <c r="K13" s="171"/>
      <c r="L13" s="28"/>
      <c r="M13" s="171"/>
      <c r="N13" s="28"/>
      <c r="O13" s="171"/>
      <c r="P13" s="28"/>
      <c r="Q13" s="171"/>
      <c r="R13" s="28"/>
      <c r="S13" s="171"/>
      <c r="T13" s="28"/>
      <c r="U13" s="171"/>
      <c r="V13" s="28"/>
      <c r="W13" s="171"/>
      <c r="X13" s="28"/>
      <c r="Y13" s="171"/>
      <c r="Z13" s="28"/>
      <c r="AA13" s="171"/>
      <c r="AB13" s="28"/>
      <c r="AC13" s="171"/>
      <c r="AD13" s="28"/>
      <c r="AE13" s="171"/>
      <c r="AF13" s="28"/>
      <c r="AG13" s="171"/>
      <c r="AH13" s="28"/>
      <c r="AI13" s="171"/>
      <c r="AJ13" s="457">
        <f t="shared" si="0"/>
        <v>0</v>
      </c>
    </row>
    <row r="14" spans="1:40" x14ac:dyDescent="0.25">
      <c r="B14" s="157">
        <v>8</v>
      </c>
      <c r="C14" s="773" t="s">
        <v>28</v>
      </c>
      <c r="D14" s="774"/>
      <c r="E14" s="171"/>
      <c r="F14" s="28"/>
      <c r="G14" s="171"/>
      <c r="H14" s="28"/>
      <c r="I14" s="171"/>
      <c r="J14" s="28"/>
      <c r="K14" s="171"/>
      <c r="L14" s="28"/>
      <c r="M14" s="171"/>
      <c r="N14" s="28"/>
      <c r="O14" s="171"/>
      <c r="P14" s="28"/>
      <c r="Q14" s="171"/>
      <c r="R14" s="28"/>
      <c r="S14" s="171"/>
      <c r="T14" s="28"/>
      <c r="U14" s="171"/>
      <c r="V14" s="28"/>
      <c r="W14" s="171"/>
      <c r="X14" s="28"/>
      <c r="Y14" s="171"/>
      <c r="Z14" s="28"/>
      <c r="AA14" s="171"/>
      <c r="AB14" s="28"/>
      <c r="AC14" s="171"/>
      <c r="AD14" s="28"/>
      <c r="AE14" s="171"/>
      <c r="AF14" s="28"/>
      <c r="AG14" s="171"/>
      <c r="AH14" s="28"/>
      <c r="AI14" s="171"/>
      <c r="AJ14" s="457">
        <f t="shared" si="0"/>
        <v>0</v>
      </c>
    </row>
    <row r="15" spans="1:40" x14ac:dyDescent="0.25">
      <c r="B15" s="157">
        <v>9</v>
      </c>
      <c r="C15" s="773" t="s">
        <v>29</v>
      </c>
      <c r="D15" s="774"/>
      <c r="E15" s="171"/>
      <c r="F15" s="28"/>
      <c r="G15" s="171"/>
      <c r="H15" s="28"/>
      <c r="I15" s="171"/>
      <c r="J15" s="28"/>
      <c r="K15" s="171"/>
      <c r="L15" s="28"/>
      <c r="M15" s="171"/>
      <c r="N15" s="28"/>
      <c r="O15" s="171"/>
      <c r="P15" s="28"/>
      <c r="Q15" s="171"/>
      <c r="R15" s="28"/>
      <c r="S15" s="171"/>
      <c r="T15" s="28"/>
      <c r="U15" s="171"/>
      <c r="V15" s="28"/>
      <c r="W15" s="171"/>
      <c r="X15" s="28"/>
      <c r="Y15" s="171"/>
      <c r="Z15" s="28"/>
      <c r="AA15" s="171"/>
      <c r="AB15" s="28"/>
      <c r="AC15" s="171"/>
      <c r="AD15" s="28"/>
      <c r="AE15" s="171"/>
      <c r="AF15" s="28"/>
      <c r="AG15" s="171"/>
      <c r="AH15" s="28"/>
      <c r="AI15" s="171"/>
      <c r="AJ15" s="457">
        <f t="shared" si="0"/>
        <v>0</v>
      </c>
    </row>
    <row r="16" spans="1:40" x14ac:dyDescent="0.25">
      <c r="B16" s="157">
        <v>10</v>
      </c>
      <c r="C16" s="773" t="s">
        <v>30</v>
      </c>
      <c r="D16" s="774"/>
      <c r="E16" s="171"/>
      <c r="F16" s="28"/>
      <c r="G16" s="171"/>
      <c r="H16" s="28"/>
      <c r="I16" s="171"/>
      <c r="J16" s="28"/>
      <c r="K16" s="171"/>
      <c r="L16" s="28"/>
      <c r="M16" s="171"/>
      <c r="N16" s="28"/>
      <c r="O16" s="171"/>
      <c r="P16" s="28"/>
      <c r="Q16" s="171"/>
      <c r="R16" s="28"/>
      <c r="S16" s="171"/>
      <c r="T16" s="28"/>
      <c r="U16" s="171"/>
      <c r="V16" s="28"/>
      <c r="W16" s="171"/>
      <c r="X16" s="28"/>
      <c r="Y16" s="171"/>
      <c r="Z16" s="28"/>
      <c r="AA16" s="171"/>
      <c r="AB16" s="28"/>
      <c r="AC16" s="171"/>
      <c r="AD16" s="28"/>
      <c r="AE16" s="171"/>
      <c r="AF16" s="28"/>
      <c r="AG16" s="171"/>
      <c r="AH16" s="28"/>
      <c r="AI16" s="171"/>
      <c r="AJ16" s="457">
        <f t="shared" si="0"/>
        <v>0</v>
      </c>
    </row>
    <row r="17" spans="2:36" ht="15.75" thickBot="1" x14ac:dyDescent="0.3">
      <c r="B17" s="157">
        <v>11</v>
      </c>
      <c r="C17" s="781" t="s">
        <v>31</v>
      </c>
      <c r="D17" s="782"/>
      <c r="E17" s="171"/>
      <c r="F17" s="28"/>
      <c r="G17" s="171"/>
      <c r="H17" s="28"/>
      <c r="I17" s="171"/>
      <c r="J17" s="28"/>
      <c r="K17" s="171"/>
      <c r="L17" s="28"/>
      <c r="M17" s="171"/>
      <c r="N17" s="28"/>
      <c r="O17" s="171"/>
      <c r="P17" s="28"/>
      <c r="Q17" s="171"/>
      <c r="R17" s="28"/>
      <c r="S17" s="171"/>
      <c r="T17" s="28"/>
      <c r="U17" s="171"/>
      <c r="V17" s="28"/>
      <c r="W17" s="171"/>
      <c r="X17" s="28"/>
      <c r="Y17" s="171"/>
      <c r="Z17" s="28"/>
      <c r="AA17" s="171"/>
      <c r="AB17" s="28"/>
      <c r="AC17" s="171"/>
      <c r="AD17" s="28"/>
      <c r="AE17" s="171"/>
      <c r="AF17" s="28"/>
      <c r="AG17" s="171"/>
      <c r="AH17" s="28"/>
      <c r="AI17" s="171"/>
      <c r="AJ17" s="42">
        <f t="shared" si="0"/>
        <v>0</v>
      </c>
    </row>
    <row r="18" spans="2:36" ht="15.75" thickBot="1" x14ac:dyDescent="0.3">
      <c r="B18" s="157"/>
      <c r="C18" s="806" t="s">
        <v>4</v>
      </c>
      <c r="D18" s="807"/>
      <c r="E18" s="61"/>
      <c r="F18" s="61"/>
      <c r="G18" s="61"/>
      <c r="H18" s="61"/>
      <c r="I18" s="61"/>
      <c r="J18" s="61"/>
      <c r="K18" s="61"/>
      <c r="L18" s="61"/>
      <c r="M18" s="61"/>
      <c r="N18" s="61"/>
      <c r="O18" s="61"/>
      <c r="P18" s="61"/>
      <c r="Q18" s="61"/>
      <c r="R18" s="61"/>
      <c r="S18" s="61"/>
      <c r="T18" s="61"/>
      <c r="U18" s="61"/>
      <c r="V18" s="61"/>
      <c r="W18" s="61"/>
      <c r="X18" s="61"/>
      <c r="Y18" s="61"/>
      <c r="Z18" s="61"/>
      <c r="AA18" s="61"/>
      <c r="AB18" s="61"/>
      <c r="AC18" s="61"/>
      <c r="AD18" s="61"/>
      <c r="AE18" s="61"/>
      <c r="AF18" s="61"/>
      <c r="AG18" s="61"/>
      <c r="AH18" s="61"/>
      <c r="AI18" s="61"/>
      <c r="AJ18" s="61"/>
    </row>
    <row r="19" spans="2:36" x14ac:dyDescent="0.25">
      <c r="B19" s="157">
        <v>12</v>
      </c>
      <c r="C19" s="727" t="s">
        <v>5</v>
      </c>
      <c r="D19" s="728"/>
      <c r="E19" s="171"/>
      <c r="F19" s="28"/>
      <c r="G19" s="171">
        <v>1</v>
      </c>
      <c r="H19" s="28"/>
      <c r="I19" s="171"/>
      <c r="J19" s="28"/>
      <c r="K19" s="171"/>
      <c r="L19" s="28"/>
      <c r="M19" s="171">
        <v>1</v>
      </c>
      <c r="N19" s="28"/>
      <c r="O19" s="171"/>
      <c r="P19" s="28"/>
      <c r="Q19" s="171"/>
      <c r="R19" s="28"/>
      <c r="S19" s="171"/>
      <c r="T19" s="28"/>
      <c r="U19" s="171"/>
      <c r="V19" s="28"/>
      <c r="W19" s="171"/>
      <c r="X19" s="28"/>
      <c r="Y19" s="171"/>
      <c r="Z19" s="28"/>
      <c r="AA19" s="171"/>
      <c r="AB19" s="28"/>
      <c r="AC19" s="171"/>
      <c r="AD19" s="28"/>
      <c r="AE19" s="171"/>
      <c r="AF19" s="28"/>
      <c r="AG19" s="171"/>
      <c r="AH19" s="28"/>
      <c r="AI19" s="171"/>
      <c r="AJ19" s="537">
        <f>SUM(E19:AI19)</f>
        <v>2</v>
      </c>
    </row>
    <row r="20" spans="2:36" x14ac:dyDescent="0.25">
      <c r="B20" s="157">
        <v>13</v>
      </c>
      <c r="C20" s="727" t="s">
        <v>6</v>
      </c>
      <c r="D20" s="728"/>
      <c r="E20" s="171"/>
      <c r="F20" s="28"/>
      <c r="G20" s="171"/>
      <c r="H20" s="28"/>
      <c r="I20" s="171"/>
      <c r="J20" s="28"/>
      <c r="K20" s="171"/>
      <c r="L20" s="28"/>
      <c r="M20" s="171"/>
      <c r="N20" s="28"/>
      <c r="O20" s="171"/>
      <c r="P20" s="28"/>
      <c r="Q20" s="171"/>
      <c r="R20" s="28"/>
      <c r="S20" s="171"/>
      <c r="T20" s="28"/>
      <c r="U20" s="171"/>
      <c r="V20" s="28"/>
      <c r="W20" s="171"/>
      <c r="X20" s="28"/>
      <c r="Y20" s="171"/>
      <c r="Z20" s="28"/>
      <c r="AA20" s="171"/>
      <c r="AB20" s="28"/>
      <c r="AC20" s="171"/>
      <c r="AD20" s="28"/>
      <c r="AE20" s="171"/>
      <c r="AF20" s="28"/>
      <c r="AG20" s="171"/>
      <c r="AH20" s="28"/>
      <c r="AI20" s="171"/>
      <c r="AJ20" s="457">
        <f>SUM(E20:AI20)</f>
        <v>0</v>
      </c>
    </row>
    <row r="21" spans="2:36" ht="15.75" thickBot="1" x14ac:dyDescent="0.3">
      <c r="B21" s="157">
        <v>14</v>
      </c>
      <c r="C21" s="743" t="s">
        <v>352</v>
      </c>
      <c r="D21" s="744"/>
      <c r="E21" s="171"/>
      <c r="F21" s="28"/>
      <c r="G21" s="171"/>
      <c r="H21" s="28">
        <v>1</v>
      </c>
      <c r="I21" s="171"/>
      <c r="J21" s="28"/>
      <c r="K21" s="171"/>
      <c r="L21" s="28"/>
      <c r="M21" s="171"/>
      <c r="N21" s="28"/>
      <c r="O21" s="171"/>
      <c r="P21" s="28"/>
      <c r="Q21" s="171"/>
      <c r="R21" s="28"/>
      <c r="S21" s="171"/>
      <c r="T21" s="28"/>
      <c r="U21" s="171"/>
      <c r="V21" s="28"/>
      <c r="W21" s="171"/>
      <c r="X21" s="28"/>
      <c r="Y21" s="171"/>
      <c r="Z21" s="28"/>
      <c r="AA21" s="171"/>
      <c r="AB21" s="28"/>
      <c r="AC21" s="171"/>
      <c r="AD21" s="28"/>
      <c r="AE21" s="171"/>
      <c r="AF21" s="28"/>
      <c r="AG21" s="171"/>
      <c r="AH21" s="28"/>
      <c r="AI21" s="171"/>
      <c r="AJ21" s="458">
        <f>SUM(E21:AI21)</f>
        <v>1</v>
      </c>
    </row>
    <row r="22" spans="2:36" ht="15.75" thickBot="1" x14ac:dyDescent="0.3">
      <c r="B22" s="157">
        <v>15</v>
      </c>
      <c r="C22" s="62"/>
      <c r="D22" s="64" t="s">
        <v>353</v>
      </c>
      <c r="E22" s="171"/>
      <c r="F22" s="28"/>
      <c r="G22" s="171"/>
      <c r="H22" s="28" t="s">
        <v>992</v>
      </c>
      <c r="I22" s="171"/>
      <c r="J22" s="28"/>
      <c r="K22" s="171"/>
      <c r="L22" s="28"/>
      <c r="M22" s="171"/>
      <c r="N22" s="28"/>
      <c r="O22" s="171"/>
      <c r="P22" s="28"/>
      <c r="Q22" s="171"/>
      <c r="R22" s="28"/>
      <c r="S22" s="171"/>
      <c r="T22" s="28"/>
      <c r="U22" s="171"/>
      <c r="V22" s="28"/>
      <c r="W22" s="171"/>
      <c r="X22" s="28"/>
      <c r="Y22" s="171"/>
      <c r="Z22" s="28"/>
      <c r="AA22" s="171"/>
      <c r="AB22" s="28"/>
      <c r="AC22" s="171"/>
      <c r="AD22" s="28"/>
      <c r="AE22" s="171"/>
      <c r="AF22" s="28"/>
      <c r="AG22" s="171"/>
      <c r="AH22" s="28"/>
      <c r="AI22" s="171"/>
      <c r="AJ22" s="536"/>
    </row>
    <row r="23" spans="2:36" ht="15.75" thickBot="1" x14ac:dyDescent="0.3">
      <c r="B23" s="157"/>
      <c r="C23" s="806" t="s">
        <v>7</v>
      </c>
      <c r="D23" s="807"/>
      <c r="E23" s="61"/>
      <c r="F23" s="61"/>
      <c r="G23" s="61"/>
      <c r="H23" s="61"/>
      <c r="I23" s="61"/>
      <c r="J23" s="61"/>
      <c r="K23" s="61"/>
      <c r="L23" s="61"/>
      <c r="M23" s="61"/>
      <c r="N23" s="61"/>
      <c r="O23" s="61"/>
      <c r="P23" s="61"/>
      <c r="Q23" s="61"/>
      <c r="R23" s="61"/>
      <c r="S23" s="61"/>
      <c r="T23" s="61"/>
      <c r="U23" s="61"/>
      <c r="V23" s="61"/>
      <c r="W23" s="61"/>
      <c r="X23" s="61"/>
      <c r="Y23" s="61"/>
      <c r="Z23" s="61"/>
      <c r="AA23" s="61"/>
      <c r="AB23" s="61"/>
      <c r="AC23" s="61"/>
      <c r="AD23" s="61"/>
      <c r="AE23" s="61"/>
      <c r="AF23" s="61"/>
      <c r="AG23" s="61"/>
      <c r="AH23" s="61"/>
      <c r="AI23" s="61"/>
      <c r="AJ23" s="61"/>
    </row>
    <row r="24" spans="2:36" x14ac:dyDescent="0.25">
      <c r="B24" s="157">
        <v>16</v>
      </c>
      <c r="C24" s="737" t="s">
        <v>8</v>
      </c>
      <c r="D24" s="738"/>
      <c r="E24" s="171"/>
      <c r="F24" s="28"/>
      <c r="G24" s="171"/>
      <c r="H24" s="28"/>
      <c r="I24" s="171"/>
      <c r="J24" s="28"/>
      <c r="K24" s="171"/>
      <c r="L24" s="28"/>
      <c r="M24" s="171"/>
      <c r="N24" s="28"/>
      <c r="O24" s="171"/>
      <c r="P24" s="28"/>
      <c r="Q24" s="171"/>
      <c r="R24" s="28"/>
      <c r="S24" s="171"/>
      <c r="T24" s="28"/>
      <c r="U24" s="171"/>
      <c r="V24" s="28"/>
      <c r="W24" s="171"/>
      <c r="X24" s="28"/>
      <c r="Y24" s="171"/>
      <c r="Z24" s="28"/>
      <c r="AA24" s="171"/>
      <c r="AB24" s="28"/>
      <c r="AC24" s="171"/>
      <c r="AD24" s="28"/>
      <c r="AE24" s="171"/>
      <c r="AF24" s="28"/>
      <c r="AG24" s="171"/>
      <c r="AH24" s="28"/>
      <c r="AI24" s="171"/>
      <c r="AJ24" s="537">
        <f>SUM(E24:AI24)</f>
        <v>0</v>
      </c>
    </row>
    <row r="25" spans="2:36" x14ac:dyDescent="0.25">
      <c r="B25" s="157">
        <v>17</v>
      </c>
      <c r="C25" s="727" t="s">
        <v>9</v>
      </c>
      <c r="D25" s="728"/>
      <c r="E25" s="171"/>
      <c r="F25" s="28"/>
      <c r="G25" s="171"/>
      <c r="H25" s="28"/>
      <c r="I25" s="171"/>
      <c r="J25" s="28"/>
      <c r="K25" s="171"/>
      <c r="L25" s="28"/>
      <c r="M25" s="171"/>
      <c r="N25" s="28"/>
      <c r="O25" s="171"/>
      <c r="P25" s="28"/>
      <c r="Q25" s="171"/>
      <c r="R25" s="28"/>
      <c r="S25" s="171"/>
      <c r="T25" s="28"/>
      <c r="U25" s="171"/>
      <c r="V25" s="28"/>
      <c r="W25" s="171"/>
      <c r="X25" s="28"/>
      <c r="Y25" s="171"/>
      <c r="Z25" s="28"/>
      <c r="AA25" s="171"/>
      <c r="AB25" s="28"/>
      <c r="AC25" s="171"/>
      <c r="AD25" s="28"/>
      <c r="AE25" s="171"/>
      <c r="AF25" s="28"/>
      <c r="AG25" s="171"/>
      <c r="AH25" s="28"/>
      <c r="AI25" s="171"/>
      <c r="AJ25" s="457">
        <f>SUM(E25:AI25)</f>
        <v>0</v>
      </c>
    </row>
    <row r="26" spans="2:36" x14ac:dyDescent="0.25">
      <c r="B26" s="157">
        <v>18</v>
      </c>
      <c r="C26" s="727" t="s">
        <v>10</v>
      </c>
      <c r="D26" s="728"/>
      <c r="E26" s="171"/>
      <c r="F26" s="28"/>
      <c r="G26" s="171"/>
      <c r="H26" s="28"/>
      <c r="I26" s="171"/>
      <c r="J26" s="28"/>
      <c r="K26" s="171"/>
      <c r="L26" s="28"/>
      <c r="M26" s="171"/>
      <c r="N26" s="28"/>
      <c r="O26" s="171"/>
      <c r="P26" s="28"/>
      <c r="Q26" s="171"/>
      <c r="R26" s="28"/>
      <c r="S26" s="171"/>
      <c r="T26" s="28"/>
      <c r="U26" s="171"/>
      <c r="V26" s="28"/>
      <c r="W26" s="171"/>
      <c r="X26" s="28"/>
      <c r="Y26" s="171"/>
      <c r="Z26" s="28"/>
      <c r="AA26" s="171"/>
      <c r="AB26" s="28"/>
      <c r="AC26" s="171"/>
      <c r="AD26" s="28"/>
      <c r="AE26" s="171"/>
      <c r="AF26" s="28"/>
      <c r="AG26" s="171"/>
      <c r="AH26" s="28"/>
      <c r="AI26" s="171"/>
      <c r="AJ26" s="457">
        <f>SUM(E26:AI26)</f>
        <v>0</v>
      </c>
    </row>
    <row r="27" spans="2:36" ht="15.75" thickBot="1" x14ac:dyDescent="0.3">
      <c r="B27" s="157">
        <v>19</v>
      </c>
      <c r="C27" s="743" t="s">
        <v>11</v>
      </c>
      <c r="D27" s="744"/>
      <c r="E27" s="171"/>
      <c r="F27" s="28"/>
      <c r="G27" s="171"/>
      <c r="H27" s="28"/>
      <c r="I27" s="171"/>
      <c r="J27" s="28"/>
      <c r="K27" s="171"/>
      <c r="L27" s="28"/>
      <c r="M27" s="171"/>
      <c r="N27" s="28"/>
      <c r="O27" s="171"/>
      <c r="P27" s="28"/>
      <c r="Q27" s="171"/>
      <c r="R27" s="28"/>
      <c r="S27" s="171"/>
      <c r="T27" s="28"/>
      <c r="U27" s="171"/>
      <c r="V27" s="28"/>
      <c r="W27" s="171"/>
      <c r="X27" s="28"/>
      <c r="Y27" s="171"/>
      <c r="Z27" s="28"/>
      <c r="AA27" s="171"/>
      <c r="AB27" s="28"/>
      <c r="AC27" s="171"/>
      <c r="AD27" s="28"/>
      <c r="AE27" s="171"/>
      <c r="AF27" s="28"/>
      <c r="AG27" s="171"/>
      <c r="AH27" s="28"/>
      <c r="AI27" s="171"/>
      <c r="AJ27" s="458">
        <f>SUM(E27:AI27)</f>
        <v>0</v>
      </c>
    </row>
    <row r="28" spans="2:36" ht="15.75" thickBot="1" x14ac:dyDescent="0.3">
      <c r="B28" s="157"/>
      <c r="C28" s="170"/>
      <c r="D28" s="170"/>
      <c r="E28" s="181"/>
      <c r="F28" s="61"/>
      <c r="G28" s="181"/>
      <c r="H28" s="61"/>
      <c r="I28" s="181"/>
      <c r="J28" s="61"/>
      <c r="K28" s="181"/>
      <c r="L28" s="61"/>
      <c r="M28" s="181"/>
      <c r="N28" s="61"/>
      <c r="O28" s="181"/>
      <c r="P28" s="61"/>
      <c r="Q28" s="181"/>
      <c r="R28" s="61"/>
      <c r="S28" s="181"/>
      <c r="T28" s="61"/>
      <c r="U28" s="181"/>
      <c r="V28" s="61"/>
      <c r="W28" s="181"/>
      <c r="X28" s="61"/>
      <c r="Y28" s="181"/>
      <c r="Z28" s="61"/>
      <c r="AA28" s="181"/>
      <c r="AB28" s="61"/>
      <c r="AC28" s="181"/>
      <c r="AD28" s="61"/>
      <c r="AE28" s="181"/>
      <c r="AF28" s="61"/>
      <c r="AG28" s="181"/>
      <c r="AH28" s="61"/>
      <c r="AI28" s="181"/>
      <c r="AJ28" s="536"/>
    </row>
    <row r="29" spans="2:36" ht="15.75" thickBot="1" x14ac:dyDescent="0.3">
      <c r="B29" s="157">
        <v>20</v>
      </c>
      <c r="C29" s="806" t="s">
        <v>12</v>
      </c>
      <c r="D29" s="807"/>
      <c r="E29" s="171"/>
      <c r="F29" s="28">
        <v>2</v>
      </c>
      <c r="G29" s="171"/>
      <c r="H29" s="28"/>
      <c r="I29" s="171">
        <v>4</v>
      </c>
      <c r="J29" s="28">
        <v>1</v>
      </c>
      <c r="K29" s="171"/>
      <c r="L29" s="28"/>
      <c r="M29" s="171">
        <v>1</v>
      </c>
      <c r="N29" s="28"/>
      <c r="O29" s="171"/>
      <c r="P29" s="28"/>
      <c r="Q29" s="171"/>
      <c r="R29" s="28"/>
      <c r="S29" s="171"/>
      <c r="T29" s="28"/>
      <c r="U29" s="171"/>
      <c r="V29" s="28"/>
      <c r="W29" s="171"/>
      <c r="X29" s="28"/>
      <c r="Y29" s="171"/>
      <c r="Z29" s="28"/>
      <c r="AA29" s="171"/>
      <c r="AB29" s="28"/>
      <c r="AC29" s="171"/>
      <c r="AD29" s="28"/>
      <c r="AE29" s="171"/>
      <c r="AF29" s="28"/>
      <c r="AG29" s="171"/>
      <c r="AH29" s="28"/>
      <c r="AI29" s="171"/>
      <c r="AJ29" s="538">
        <f>SUM(E29:AI29)</f>
        <v>8</v>
      </c>
    </row>
    <row r="30" spans="2:36" ht="15.75" thickBot="1" x14ac:dyDescent="0.3">
      <c r="B30" s="157"/>
      <c r="C30" s="170"/>
      <c r="D30" s="170"/>
      <c r="E30" s="181"/>
      <c r="F30" s="61"/>
      <c r="G30" s="181"/>
      <c r="H30" s="61"/>
      <c r="I30" s="181"/>
      <c r="J30" s="61"/>
      <c r="K30" s="181"/>
      <c r="L30" s="61"/>
      <c r="M30" s="181"/>
      <c r="N30" s="61"/>
      <c r="O30" s="181"/>
      <c r="P30" s="61"/>
      <c r="Q30" s="181"/>
      <c r="R30" s="61"/>
      <c r="S30" s="181"/>
      <c r="T30" s="61"/>
      <c r="U30" s="181"/>
      <c r="V30" s="61"/>
      <c r="W30" s="181"/>
      <c r="X30" s="61"/>
      <c r="Y30" s="181"/>
      <c r="Z30" s="61"/>
      <c r="AA30" s="181"/>
      <c r="AB30" s="61"/>
      <c r="AC30" s="181"/>
      <c r="AD30" s="61"/>
      <c r="AE30" s="181"/>
      <c r="AF30" s="61"/>
      <c r="AG30" s="181"/>
      <c r="AH30" s="61"/>
      <c r="AI30" s="181"/>
      <c r="AJ30" s="536"/>
    </row>
    <row r="31" spans="2:36" ht="15.75" thickBot="1" x14ac:dyDescent="0.3">
      <c r="B31" s="157"/>
      <c r="C31" s="806" t="s">
        <v>16</v>
      </c>
      <c r="D31" s="807"/>
      <c r="E31" s="171"/>
      <c r="F31" s="28"/>
      <c r="G31" s="171"/>
      <c r="H31" s="28"/>
      <c r="I31" s="171"/>
      <c r="J31" s="28"/>
      <c r="K31" s="171"/>
      <c r="L31" s="28"/>
      <c r="M31" s="171"/>
      <c r="N31" s="28"/>
      <c r="O31" s="171"/>
      <c r="P31" s="28"/>
      <c r="Q31" s="171"/>
      <c r="R31" s="28"/>
      <c r="S31" s="171"/>
      <c r="T31" s="28"/>
      <c r="U31" s="171"/>
      <c r="V31" s="28"/>
      <c r="W31" s="171"/>
      <c r="X31" s="28"/>
      <c r="Y31" s="171"/>
      <c r="Z31" s="28"/>
      <c r="AA31" s="171"/>
      <c r="AB31" s="28"/>
      <c r="AC31" s="171"/>
      <c r="AD31" s="28"/>
      <c r="AE31" s="171"/>
      <c r="AF31" s="28"/>
      <c r="AG31" s="171"/>
      <c r="AH31" s="28"/>
      <c r="AI31" s="171"/>
      <c r="AJ31" s="537">
        <f t="shared" ref="AJ31:AJ36" si="2">SUM(E31:AI31)</f>
        <v>0</v>
      </c>
    </row>
    <row r="32" spans="2:36" x14ac:dyDescent="0.25">
      <c r="B32" s="157">
        <v>21</v>
      </c>
      <c r="C32" s="737" t="s">
        <v>13</v>
      </c>
      <c r="D32" s="738"/>
      <c r="E32" s="171"/>
      <c r="F32" s="28"/>
      <c r="G32" s="171"/>
      <c r="H32" s="28"/>
      <c r="I32" s="171"/>
      <c r="J32" s="28"/>
      <c r="K32" s="171"/>
      <c r="L32" s="28"/>
      <c r="M32" s="171"/>
      <c r="N32" s="28"/>
      <c r="O32" s="171"/>
      <c r="P32" s="28"/>
      <c r="Q32" s="171"/>
      <c r="R32" s="28"/>
      <c r="S32" s="171"/>
      <c r="T32" s="28"/>
      <c r="U32" s="171"/>
      <c r="V32" s="28"/>
      <c r="W32" s="171"/>
      <c r="X32" s="28"/>
      <c r="Y32" s="171"/>
      <c r="Z32" s="28"/>
      <c r="AA32" s="171"/>
      <c r="AB32" s="28"/>
      <c r="AC32" s="171"/>
      <c r="AD32" s="28"/>
      <c r="AE32" s="171"/>
      <c r="AF32" s="28"/>
      <c r="AG32" s="171"/>
      <c r="AH32" s="28"/>
      <c r="AI32" s="171"/>
      <c r="AJ32" s="457">
        <f t="shared" si="2"/>
        <v>0</v>
      </c>
    </row>
    <row r="33" spans="2:36" x14ac:dyDescent="0.25">
      <c r="B33" s="157">
        <v>22</v>
      </c>
      <c r="C33" s="727" t="s">
        <v>14</v>
      </c>
      <c r="D33" s="728"/>
      <c r="E33" s="171"/>
      <c r="F33" s="28"/>
      <c r="G33" s="171"/>
      <c r="H33" s="28"/>
      <c r="I33" s="171"/>
      <c r="J33" s="28"/>
      <c r="K33" s="171"/>
      <c r="L33" s="28"/>
      <c r="M33" s="171"/>
      <c r="N33" s="28"/>
      <c r="O33" s="171"/>
      <c r="P33" s="28"/>
      <c r="Q33" s="171"/>
      <c r="R33" s="28"/>
      <c r="S33" s="171"/>
      <c r="T33" s="28"/>
      <c r="U33" s="171"/>
      <c r="V33" s="28"/>
      <c r="W33" s="171"/>
      <c r="X33" s="28"/>
      <c r="Y33" s="171"/>
      <c r="Z33" s="28"/>
      <c r="AA33" s="171"/>
      <c r="AB33" s="28"/>
      <c r="AC33" s="171"/>
      <c r="AD33" s="28"/>
      <c r="AE33" s="171"/>
      <c r="AF33" s="28"/>
      <c r="AG33" s="171"/>
      <c r="AH33" s="28"/>
      <c r="AI33" s="171"/>
      <c r="AJ33" s="457">
        <f t="shared" si="2"/>
        <v>0</v>
      </c>
    </row>
    <row r="34" spans="2:36" x14ac:dyDescent="0.25">
      <c r="B34" s="157">
        <v>23</v>
      </c>
      <c r="C34" s="727" t="s">
        <v>15</v>
      </c>
      <c r="D34" s="728"/>
      <c r="E34" s="171"/>
      <c r="F34" s="28"/>
      <c r="G34" s="171"/>
      <c r="H34" s="28"/>
      <c r="I34" s="171"/>
      <c r="J34" s="28"/>
      <c r="K34" s="171"/>
      <c r="L34" s="28"/>
      <c r="M34" s="171"/>
      <c r="N34" s="28"/>
      <c r="O34" s="171"/>
      <c r="P34" s="28"/>
      <c r="Q34" s="171"/>
      <c r="R34" s="28"/>
      <c r="S34" s="171"/>
      <c r="T34" s="28"/>
      <c r="U34" s="171"/>
      <c r="V34" s="28"/>
      <c r="W34" s="171"/>
      <c r="X34" s="28"/>
      <c r="Y34" s="171"/>
      <c r="Z34" s="28"/>
      <c r="AA34" s="171"/>
      <c r="AB34" s="28"/>
      <c r="AC34" s="171"/>
      <c r="AD34" s="28"/>
      <c r="AE34" s="171"/>
      <c r="AF34" s="28"/>
      <c r="AG34" s="171"/>
      <c r="AH34" s="28"/>
      <c r="AI34" s="171"/>
      <c r="AJ34" s="457">
        <f t="shared" si="2"/>
        <v>0</v>
      </c>
    </row>
    <row r="35" spans="2:36" x14ac:dyDescent="0.25">
      <c r="B35" s="157">
        <v>24</v>
      </c>
      <c r="C35" s="727" t="s">
        <v>18</v>
      </c>
      <c r="D35" s="728"/>
      <c r="E35" s="171"/>
      <c r="F35" s="28"/>
      <c r="G35" s="171"/>
      <c r="H35" s="28"/>
      <c r="I35" s="171"/>
      <c r="J35" s="28"/>
      <c r="K35" s="171"/>
      <c r="L35" s="28"/>
      <c r="M35" s="171"/>
      <c r="N35" s="28"/>
      <c r="O35" s="171"/>
      <c r="P35" s="28"/>
      <c r="Q35" s="171"/>
      <c r="R35" s="28"/>
      <c r="S35" s="171"/>
      <c r="T35" s="28"/>
      <c r="U35" s="171"/>
      <c r="V35" s="28"/>
      <c r="W35" s="171"/>
      <c r="X35" s="28"/>
      <c r="Y35" s="171"/>
      <c r="Z35" s="28"/>
      <c r="AA35" s="171"/>
      <c r="AB35" s="28"/>
      <c r="AC35" s="171"/>
      <c r="AD35" s="28"/>
      <c r="AE35" s="171"/>
      <c r="AF35" s="28"/>
      <c r="AG35" s="171"/>
      <c r="AH35" s="28"/>
      <c r="AI35" s="171"/>
      <c r="AJ35" s="457">
        <f t="shared" si="2"/>
        <v>0</v>
      </c>
    </row>
    <row r="36" spans="2:36" ht="15.75" thickBot="1" x14ac:dyDescent="0.3">
      <c r="B36" s="157">
        <v>25</v>
      </c>
      <c r="C36" s="743" t="s">
        <v>19</v>
      </c>
      <c r="D36" s="744"/>
      <c r="E36" s="171"/>
      <c r="F36" s="28"/>
      <c r="G36" s="171"/>
      <c r="H36" s="28"/>
      <c r="I36" s="171"/>
      <c r="J36" s="28"/>
      <c r="K36" s="171"/>
      <c r="L36" s="28"/>
      <c r="M36" s="171"/>
      <c r="N36" s="28"/>
      <c r="O36" s="171"/>
      <c r="P36" s="28"/>
      <c r="Q36" s="171"/>
      <c r="R36" s="28"/>
      <c r="S36" s="171"/>
      <c r="T36" s="28"/>
      <c r="U36" s="171"/>
      <c r="V36" s="28"/>
      <c r="W36" s="171"/>
      <c r="X36" s="28"/>
      <c r="Y36" s="171"/>
      <c r="Z36" s="28"/>
      <c r="AA36" s="171"/>
      <c r="AB36" s="28"/>
      <c r="AC36" s="171"/>
      <c r="AD36" s="28"/>
      <c r="AE36" s="171"/>
      <c r="AF36" s="28"/>
      <c r="AG36" s="171"/>
      <c r="AH36" s="28"/>
      <c r="AI36" s="171"/>
      <c r="AJ36" s="458">
        <f t="shared" si="2"/>
        <v>0</v>
      </c>
    </row>
    <row r="37" spans="2:36" ht="15.75" thickBot="1" x14ac:dyDescent="0.3">
      <c r="B37" s="157"/>
      <c r="C37" s="170"/>
      <c r="D37" s="170"/>
      <c r="E37" s="181"/>
      <c r="F37" s="61"/>
      <c r="G37" s="181"/>
      <c r="H37" s="61"/>
      <c r="I37" s="181"/>
      <c r="J37" s="61"/>
      <c r="K37" s="181"/>
      <c r="L37" s="61"/>
      <c r="M37" s="181"/>
      <c r="N37" s="61"/>
      <c r="O37" s="181"/>
      <c r="P37" s="61"/>
      <c r="Q37" s="181"/>
      <c r="R37" s="61"/>
      <c r="S37" s="181"/>
      <c r="T37" s="61"/>
      <c r="U37" s="181"/>
      <c r="V37" s="61"/>
      <c r="W37" s="181"/>
      <c r="X37" s="61"/>
      <c r="Y37" s="181"/>
      <c r="Z37" s="61"/>
      <c r="AA37" s="181"/>
      <c r="AB37" s="61"/>
      <c r="AC37" s="181"/>
      <c r="AD37" s="61"/>
      <c r="AE37" s="181"/>
      <c r="AF37" s="61"/>
      <c r="AG37" s="181"/>
      <c r="AH37" s="61"/>
      <c r="AI37" s="181"/>
      <c r="AJ37" s="536"/>
    </row>
    <row r="38" spans="2:36" ht="15.75" thickBot="1" x14ac:dyDescent="0.3">
      <c r="B38" s="157"/>
      <c r="C38" s="806" t="s">
        <v>20</v>
      </c>
      <c r="D38" s="807"/>
      <c r="E38" s="171">
        <f>SUM(E39:E40)</f>
        <v>1</v>
      </c>
      <c r="F38" s="171">
        <f t="shared" ref="F38:AI38" si="3">SUM(F39:F40)</f>
        <v>0</v>
      </c>
      <c r="G38" s="171">
        <f t="shared" si="3"/>
        <v>0</v>
      </c>
      <c r="H38" s="171">
        <f t="shared" si="3"/>
        <v>0</v>
      </c>
      <c r="I38" s="171">
        <f t="shared" si="3"/>
        <v>0</v>
      </c>
      <c r="J38" s="171">
        <f t="shared" si="3"/>
        <v>0</v>
      </c>
      <c r="K38" s="171">
        <f t="shared" si="3"/>
        <v>0</v>
      </c>
      <c r="L38" s="171">
        <f t="shared" si="3"/>
        <v>2</v>
      </c>
      <c r="M38" s="171">
        <f t="shared" si="3"/>
        <v>1</v>
      </c>
      <c r="N38" s="171">
        <f t="shared" si="3"/>
        <v>0</v>
      </c>
      <c r="O38" s="171">
        <f t="shared" si="3"/>
        <v>0</v>
      </c>
      <c r="P38" s="171">
        <f t="shared" si="3"/>
        <v>0</v>
      </c>
      <c r="Q38" s="171">
        <f t="shared" si="3"/>
        <v>0</v>
      </c>
      <c r="R38" s="171">
        <f t="shared" si="3"/>
        <v>0</v>
      </c>
      <c r="S38" s="171">
        <f t="shared" si="3"/>
        <v>0</v>
      </c>
      <c r="T38" s="171">
        <f t="shared" si="3"/>
        <v>0</v>
      </c>
      <c r="U38" s="171">
        <f t="shared" si="3"/>
        <v>0</v>
      </c>
      <c r="V38" s="171">
        <f t="shared" si="3"/>
        <v>0</v>
      </c>
      <c r="W38" s="171">
        <f t="shared" si="3"/>
        <v>0</v>
      </c>
      <c r="X38" s="171">
        <f t="shared" si="3"/>
        <v>0</v>
      </c>
      <c r="Y38" s="171">
        <f t="shared" si="3"/>
        <v>0</v>
      </c>
      <c r="Z38" s="171">
        <f t="shared" si="3"/>
        <v>0</v>
      </c>
      <c r="AA38" s="171">
        <f t="shared" si="3"/>
        <v>0</v>
      </c>
      <c r="AB38" s="171">
        <f t="shared" si="3"/>
        <v>0</v>
      </c>
      <c r="AC38" s="171">
        <f t="shared" si="3"/>
        <v>0</v>
      </c>
      <c r="AD38" s="171">
        <f t="shared" si="3"/>
        <v>0</v>
      </c>
      <c r="AE38" s="171">
        <f t="shared" si="3"/>
        <v>0</v>
      </c>
      <c r="AF38" s="171">
        <f t="shared" si="3"/>
        <v>0</v>
      </c>
      <c r="AG38" s="171">
        <f t="shared" si="3"/>
        <v>0</v>
      </c>
      <c r="AH38" s="171">
        <f t="shared" si="3"/>
        <v>0</v>
      </c>
      <c r="AI38" s="171">
        <f t="shared" si="3"/>
        <v>0</v>
      </c>
      <c r="AJ38" s="537">
        <f t="shared" ref="AJ38:AJ43" si="4">SUM(E38:AI38)</f>
        <v>4</v>
      </c>
    </row>
    <row r="39" spans="2:36" x14ac:dyDescent="0.25">
      <c r="B39" s="157">
        <v>26</v>
      </c>
      <c r="C39" s="802" t="s">
        <v>174</v>
      </c>
      <c r="D39" s="59" t="s">
        <v>172</v>
      </c>
      <c r="E39" s="171"/>
      <c r="F39" s="28"/>
      <c r="G39" s="171"/>
      <c r="H39" s="28"/>
      <c r="I39" s="171"/>
      <c r="J39" s="28"/>
      <c r="K39" s="171"/>
      <c r="L39" s="28">
        <v>1</v>
      </c>
      <c r="M39" s="171">
        <v>0</v>
      </c>
      <c r="N39" s="28"/>
      <c r="O39" s="171"/>
      <c r="P39" s="28"/>
      <c r="Q39" s="171"/>
      <c r="R39" s="28"/>
      <c r="S39" s="171"/>
      <c r="T39" s="28"/>
      <c r="U39" s="171"/>
      <c r="V39" s="28"/>
      <c r="W39" s="171"/>
      <c r="X39" s="28"/>
      <c r="Y39" s="171"/>
      <c r="Z39" s="28"/>
      <c r="AA39" s="171"/>
      <c r="AB39" s="28"/>
      <c r="AC39" s="171"/>
      <c r="AD39" s="28"/>
      <c r="AE39" s="171"/>
      <c r="AF39" s="28"/>
      <c r="AG39" s="171"/>
      <c r="AH39" s="28"/>
      <c r="AI39" s="171"/>
      <c r="AJ39" s="457">
        <f t="shared" si="4"/>
        <v>1</v>
      </c>
    </row>
    <row r="40" spans="2:36" x14ac:dyDescent="0.25">
      <c r="B40" s="157">
        <v>27</v>
      </c>
      <c r="C40" s="812"/>
      <c r="D40" s="35" t="s">
        <v>173</v>
      </c>
      <c r="E40" s="171">
        <v>1</v>
      </c>
      <c r="F40" s="28"/>
      <c r="G40" s="171"/>
      <c r="H40" s="28"/>
      <c r="I40" s="171"/>
      <c r="J40" s="28"/>
      <c r="K40" s="171"/>
      <c r="L40" s="28">
        <v>1</v>
      </c>
      <c r="M40" s="171">
        <v>1</v>
      </c>
      <c r="N40" s="28"/>
      <c r="O40" s="171"/>
      <c r="P40" s="28"/>
      <c r="Q40" s="171"/>
      <c r="R40" s="28"/>
      <c r="S40" s="171"/>
      <c r="T40" s="28"/>
      <c r="U40" s="171"/>
      <c r="V40" s="28"/>
      <c r="W40" s="171"/>
      <c r="X40" s="28"/>
      <c r="Y40" s="171"/>
      <c r="Z40" s="28"/>
      <c r="AA40" s="171"/>
      <c r="AB40" s="28"/>
      <c r="AC40" s="171"/>
      <c r="AD40" s="28"/>
      <c r="AE40" s="171"/>
      <c r="AF40" s="28"/>
      <c r="AG40" s="171"/>
      <c r="AH40" s="28"/>
      <c r="AI40" s="171"/>
      <c r="AJ40" s="457">
        <f t="shared" si="4"/>
        <v>3</v>
      </c>
    </row>
    <row r="41" spans="2:36" x14ac:dyDescent="0.25">
      <c r="B41" s="157">
        <v>28</v>
      </c>
      <c r="C41" s="823" t="s">
        <v>168</v>
      </c>
      <c r="D41" s="38" t="s">
        <v>169</v>
      </c>
      <c r="E41" s="171">
        <v>1</v>
      </c>
      <c r="F41" s="28"/>
      <c r="G41" s="171"/>
      <c r="H41" s="28"/>
      <c r="I41" s="171"/>
      <c r="J41" s="28"/>
      <c r="K41" s="171"/>
      <c r="L41" s="28">
        <v>2</v>
      </c>
      <c r="M41" s="171">
        <v>1</v>
      </c>
      <c r="N41" s="28"/>
      <c r="O41" s="171"/>
      <c r="P41" s="28"/>
      <c r="Q41" s="171"/>
      <c r="R41" s="28"/>
      <c r="S41" s="171"/>
      <c r="T41" s="28"/>
      <c r="U41" s="171"/>
      <c r="V41" s="28"/>
      <c r="W41" s="171"/>
      <c r="X41" s="28"/>
      <c r="Y41" s="171"/>
      <c r="Z41" s="28"/>
      <c r="AA41" s="171"/>
      <c r="AB41" s="28"/>
      <c r="AC41" s="171"/>
      <c r="AD41" s="28"/>
      <c r="AE41" s="171"/>
      <c r="AF41" s="28"/>
      <c r="AG41" s="171"/>
      <c r="AH41" s="28"/>
      <c r="AI41" s="171"/>
      <c r="AJ41" s="457">
        <f t="shared" si="4"/>
        <v>4</v>
      </c>
    </row>
    <row r="42" spans="2:36" x14ac:dyDescent="0.25">
      <c r="B42" s="157">
        <v>29</v>
      </c>
      <c r="C42" s="804"/>
      <c r="D42" s="37" t="s">
        <v>185</v>
      </c>
      <c r="E42" s="171"/>
      <c r="F42" s="28"/>
      <c r="G42" s="171"/>
      <c r="H42" s="28"/>
      <c r="I42" s="171"/>
      <c r="J42" s="28"/>
      <c r="K42" s="171"/>
      <c r="L42" s="28">
        <v>0</v>
      </c>
      <c r="M42" s="171">
        <v>0</v>
      </c>
      <c r="N42" s="28"/>
      <c r="O42" s="171"/>
      <c r="P42" s="28"/>
      <c r="Q42" s="171"/>
      <c r="R42" s="28"/>
      <c r="S42" s="171"/>
      <c r="T42" s="28"/>
      <c r="U42" s="171"/>
      <c r="V42" s="28"/>
      <c r="W42" s="171"/>
      <c r="X42" s="28"/>
      <c r="Y42" s="171"/>
      <c r="Z42" s="28"/>
      <c r="AA42" s="171"/>
      <c r="AB42" s="28"/>
      <c r="AC42" s="171"/>
      <c r="AD42" s="28"/>
      <c r="AE42" s="171"/>
      <c r="AF42" s="28"/>
      <c r="AG42" s="171"/>
      <c r="AH42" s="28"/>
      <c r="AI42" s="171"/>
      <c r="AJ42" s="457">
        <f t="shared" si="4"/>
        <v>0</v>
      </c>
    </row>
    <row r="43" spans="2:36" ht="15.75" thickBot="1" x14ac:dyDescent="0.3">
      <c r="B43" s="157">
        <v>30</v>
      </c>
      <c r="C43" s="812"/>
      <c r="D43" s="39" t="s">
        <v>170</v>
      </c>
      <c r="E43" s="171"/>
      <c r="F43" s="28"/>
      <c r="G43" s="171"/>
      <c r="H43" s="28"/>
      <c r="I43" s="171"/>
      <c r="J43" s="28"/>
      <c r="K43" s="171"/>
      <c r="L43" s="28">
        <v>0</v>
      </c>
      <c r="M43" s="171">
        <v>0</v>
      </c>
      <c r="N43" s="28"/>
      <c r="O43" s="171"/>
      <c r="P43" s="28"/>
      <c r="Q43" s="171"/>
      <c r="R43" s="28"/>
      <c r="S43" s="171"/>
      <c r="T43" s="28"/>
      <c r="U43" s="171"/>
      <c r="V43" s="28"/>
      <c r="W43" s="171"/>
      <c r="X43" s="28"/>
      <c r="Y43" s="171"/>
      <c r="Z43" s="28"/>
      <c r="AA43" s="171"/>
      <c r="AB43" s="28"/>
      <c r="AC43" s="171"/>
      <c r="AD43" s="28"/>
      <c r="AE43" s="171"/>
      <c r="AF43" s="28"/>
      <c r="AG43" s="171"/>
      <c r="AH43" s="28"/>
      <c r="AI43" s="171"/>
      <c r="AJ43" s="458">
        <f t="shared" si="4"/>
        <v>0</v>
      </c>
    </row>
    <row r="44" spans="2:36" ht="15.75" thickBot="1" x14ac:dyDescent="0.3">
      <c r="B44" s="157">
        <v>31</v>
      </c>
      <c r="C44" s="714" t="s">
        <v>171</v>
      </c>
      <c r="D44" s="716"/>
      <c r="E44" s="636" t="s">
        <v>1020</v>
      </c>
      <c r="F44" s="634"/>
      <c r="G44" s="633"/>
      <c r="H44" s="634"/>
      <c r="I44" s="633"/>
      <c r="J44" s="634"/>
      <c r="K44" s="633"/>
      <c r="L44" s="635" t="s">
        <v>1019</v>
      </c>
      <c r="M44" s="636" t="s">
        <v>1021</v>
      </c>
      <c r="N44" s="634"/>
      <c r="O44" s="633"/>
      <c r="P44" s="634"/>
      <c r="Q44" s="633"/>
      <c r="R44" s="634"/>
      <c r="S44" s="633"/>
      <c r="T44" s="634"/>
      <c r="U44" s="633"/>
      <c r="V44" s="634"/>
      <c r="W44" s="633"/>
      <c r="X44" s="634"/>
      <c r="Y44" s="633"/>
      <c r="Z44" s="634"/>
      <c r="AA44" s="633"/>
      <c r="AB44" s="634"/>
      <c r="AC44" s="633"/>
      <c r="AD44" s="634"/>
      <c r="AE44" s="633"/>
      <c r="AF44" s="634"/>
      <c r="AG44" s="633"/>
      <c r="AH44" s="634"/>
      <c r="AI44" s="633"/>
      <c r="AJ44" s="536"/>
    </row>
    <row r="45" spans="2:36" ht="15.75" thickBot="1" x14ac:dyDescent="0.3">
      <c r="B45" s="157"/>
      <c r="C45" s="170"/>
      <c r="D45" s="170"/>
      <c r="E45" s="181"/>
      <c r="F45" s="61"/>
      <c r="G45" s="181"/>
      <c r="H45" s="61"/>
      <c r="I45" s="181"/>
      <c r="J45" s="61"/>
      <c r="K45" s="181"/>
      <c r="L45" s="61"/>
      <c r="M45" s="181"/>
      <c r="N45" s="61"/>
      <c r="O45" s="181"/>
      <c r="P45" s="61"/>
      <c r="Q45" s="181"/>
      <c r="R45" s="61"/>
      <c r="S45" s="181"/>
      <c r="T45" s="61"/>
      <c r="U45" s="181"/>
      <c r="V45" s="61"/>
      <c r="W45" s="181"/>
      <c r="X45" s="61"/>
      <c r="Y45" s="181"/>
      <c r="Z45" s="61"/>
      <c r="AA45" s="181"/>
      <c r="AB45" s="61"/>
      <c r="AC45" s="181"/>
      <c r="AD45" s="61"/>
      <c r="AE45" s="181"/>
      <c r="AF45" s="61"/>
      <c r="AG45" s="181"/>
      <c r="AH45" s="61"/>
      <c r="AI45" s="181"/>
      <c r="AJ45" s="536"/>
    </row>
    <row r="46" spans="2:36" ht="15.75" thickBot="1" x14ac:dyDescent="0.3">
      <c r="B46" s="157"/>
      <c r="C46" s="806" t="s">
        <v>21</v>
      </c>
      <c r="D46" s="807"/>
      <c r="E46" s="181"/>
      <c r="F46" s="61"/>
      <c r="G46" s="181"/>
      <c r="H46" s="61"/>
      <c r="I46" s="181"/>
      <c r="J46" s="61"/>
      <c r="K46" s="181"/>
      <c r="L46" s="61"/>
      <c r="M46" s="181"/>
      <c r="N46" s="61"/>
      <c r="O46" s="181"/>
      <c r="P46" s="61"/>
      <c r="Q46" s="181"/>
      <c r="R46" s="61"/>
      <c r="S46" s="181"/>
      <c r="T46" s="61"/>
      <c r="U46" s="181"/>
      <c r="V46" s="61"/>
      <c r="W46" s="181"/>
      <c r="X46" s="61"/>
      <c r="Y46" s="181"/>
      <c r="Z46" s="61"/>
      <c r="AA46" s="181"/>
      <c r="AB46" s="61"/>
      <c r="AC46" s="181"/>
      <c r="AD46" s="61"/>
      <c r="AE46" s="181"/>
      <c r="AF46" s="61"/>
      <c r="AG46" s="181"/>
      <c r="AH46" s="61"/>
      <c r="AI46" s="181"/>
      <c r="AJ46" s="536"/>
    </row>
    <row r="47" spans="2:36" ht="15.75" customHeight="1" x14ac:dyDescent="0.25">
      <c r="B47" s="157">
        <v>32</v>
      </c>
      <c r="C47" s="824" t="s">
        <v>617</v>
      </c>
      <c r="D47" s="825"/>
      <c r="E47" s="171"/>
      <c r="F47" s="547">
        <v>0</v>
      </c>
      <c r="G47" s="171">
        <v>0</v>
      </c>
      <c r="H47" s="547">
        <v>0</v>
      </c>
      <c r="I47" s="171">
        <v>0</v>
      </c>
      <c r="J47" s="547">
        <v>0</v>
      </c>
      <c r="K47" s="171">
        <v>0</v>
      </c>
      <c r="L47" s="28">
        <v>0</v>
      </c>
      <c r="M47" s="171"/>
      <c r="N47" s="28"/>
      <c r="O47" s="171"/>
      <c r="P47" s="28"/>
      <c r="Q47" s="171"/>
      <c r="R47" s="28"/>
      <c r="S47" s="171"/>
      <c r="T47" s="28"/>
      <c r="U47" s="171"/>
      <c r="V47" s="28"/>
      <c r="W47" s="171"/>
      <c r="X47" s="28"/>
      <c r="Y47" s="171"/>
      <c r="Z47" s="28"/>
      <c r="AA47" s="171"/>
      <c r="AB47" s="28"/>
      <c r="AC47" s="171"/>
      <c r="AD47" s="28"/>
      <c r="AE47" s="171"/>
      <c r="AF47" s="28"/>
      <c r="AG47" s="171"/>
      <c r="AH47" s="28"/>
      <c r="AI47" s="171"/>
      <c r="AJ47" s="537">
        <f t="shared" ref="AJ47:AJ54" si="5">SUM(E47:AI47)</f>
        <v>0</v>
      </c>
    </row>
    <row r="48" spans="2:36" x14ac:dyDescent="0.25">
      <c r="B48" s="157">
        <v>33</v>
      </c>
      <c r="C48" s="817" t="s">
        <v>42</v>
      </c>
      <c r="D48" s="818"/>
      <c r="E48" s="171"/>
      <c r="F48" s="547">
        <v>0</v>
      </c>
      <c r="G48" s="171">
        <v>0</v>
      </c>
      <c r="H48" s="547">
        <v>0</v>
      </c>
      <c r="I48" s="171">
        <v>0</v>
      </c>
      <c r="J48" s="547">
        <v>0</v>
      </c>
      <c r="K48" s="171">
        <v>0</v>
      </c>
      <c r="L48" s="28">
        <v>0</v>
      </c>
      <c r="M48" s="171"/>
      <c r="N48" s="28"/>
      <c r="O48" s="171"/>
      <c r="P48" s="28"/>
      <c r="Q48" s="171"/>
      <c r="R48" s="28"/>
      <c r="S48" s="171"/>
      <c r="T48" s="28"/>
      <c r="U48" s="171"/>
      <c r="V48" s="28"/>
      <c r="W48" s="171"/>
      <c r="X48" s="28"/>
      <c r="Y48" s="171"/>
      <c r="Z48" s="28"/>
      <c r="AA48" s="171"/>
      <c r="AB48" s="28"/>
      <c r="AC48" s="171"/>
      <c r="AD48" s="28"/>
      <c r="AE48" s="171"/>
      <c r="AF48" s="28"/>
      <c r="AG48" s="171"/>
      <c r="AH48" s="28"/>
      <c r="AI48" s="171"/>
      <c r="AJ48" s="457">
        <f t="shared" si="5"/>
        <v>0</v>
      </c>
    </row>
    <row r="49" spans="2:36" ht="15.75" customHeight="1" x14ac:dyDescent="0.25">
      <c r="B49" s="157">
        <v>34</v>
      </c>
      <c r="C49" s="826" t="s">
        <v>166</v>
      </c>
      <c r="D49" s="827"/>
      <c r="E49" s="171"/>
      <c r="F49" s="547">
        <v>2</v>
      </c>
      <c r="G49" s="171">
        <v>1</v>
      </c>
      <c r="H49" s="547">
        <v>1</v>
      </c>
      <c r="I49" s="171">
        <v>1</v>
      </c>
      <c r="J49" s="547">
        <v>3</v>
      </c>
      <c r="K49" s="171">
        <v>2</v>
      </c>
      <c r="L49" s="28">
        <v>3</v>
      </c>
      <c r="M49" s="171"/>
      <c r="N49" s="28"/>
      <c r="O49" s="171"/>
      <c r="P49" s="28"/>
      <c r="Q49" s="171"/>
      <c r="R49" s="28"/>
      <c r="S49" s="171"/>
      <c r="T49" s="28"/>
      <c r="U49" s="171"/>
      <c r="V49" s="28"/>
      <c r="W49" s="171"/>
      <c r="X49" s="28"/>
      <c r="Y49" s="171"/>
      <c r="Z49" s="28"/>
      <c r="AA49" s="171"/>
      <c r="AB49" s="28"/>
      <c r="AC49" s="171"/>
      <c r="AD49" s="28"/>
      <c r="AE49" s="171"/>
      <c r="AF49" s="28"/>
      <c r="AG49" s="171"/>
      <c r="AH49" s="28"/>
      <c r="AI49" s="171"/>
      <c r="AJ49" s="457">
        <f t="shared" si="5"/>
        <v>13</v>
      </c>
    </row>
    <row r="50" spans="2:36" x14ac:dyDescent="0.25">
      <c r="B50" s="157">
        <v>35</v>
      </c>
      <c r="C50" s="813" t="s">
        <v>618</v>
      </c>
      <c r="D50" s="814"/>
      <c r="E50" s="171"/>
      <c r="F50" s="547">
        <v>1</v>
      </c>
      <c r="G50" s="171">
        <v>1</v>
      </c>
      <c r="H50" s="547">
        <v>0</v>
      </c>
      <c r="I50" s="171">
        <v>0</v>
      </c>
      <c r="J50" s="547">
        <v>0</v>
      </c>
      <c r="K50" s="171">
        <v>1</v>
      </c>
      <c r="L50" s="28">
        <v>0</v>
      </c>
      <c r="M50" s="171"/>
      <c r="N50" s="28"/>
      <c r="O50" s="171"/>
      <c r="P50" s="28"/>
      <c r="Q50" s="171"/>
      <c r="R50" s="28"/>
      <c r="S50" s="171"/>
      <c r="T50" s="28"/>
      <c r="U50" s="171"/>
      <c r="V50" s="28"/>
      <c r="W50" s="171"/>
      <c r="X50" s="28"/>
      <c r="Y50" s="171"/>
      <c r="Z50" s="28"/>
      <c r="AA50" s="171"/>
      <c r="AB50" s="28"/>
      <c r="AC50" s="171"/>
      <c r="AD50" s="28"/>
      <c r="AE50" s="171"/>
      <c r="AF50" s="28"/>
      <c r="AG50" s="171"/>
      <c r="AH50" s="28"/>
      <c r="AI50" s="171"/>
      <c r="AJ50" s="457">
        <f t="shared" si="5"/>
        <v>3</v>
      </c>
    </row>
    <row r="51" spans="2:36" x14ac:dyDescent="0.25">
      <c r="B51" s="157">
        <v>36</v>
      </c>
      <c r="C51" s="815" t="s">
        <v>175</v>
      </c>
      <c r="D51" s="816"/>
      <c r="E51" s="171"/>
      <c r="F51" s="547">
        <v>0</v>
      </c>
      <c r="G51" s="171">
        <v>0</v>
      </c>
      <c r="H51" s="547">
        <v>0</v>
      </c>
      <c r="I51" s="171">
        <v>0</v>
      </c>
      <c r="J51" s="547">
        <v>0</v>
      </c>
      <c r="K51" s="171">
        <v>0</v>
      </c>
      <c r="L51" s="28">
        <v>0</v>
      </c>
      <c r="M51" s="171"/>
      <c r="N51" s="28"/>
      <c r="O51" s="171"/>
      <c r="P51" s="28"/>
      <c r="Q51" s="171"/>
      <c r="R51" s="28"/>
      <c r="S51" s="171"/>
      <c r="T51" s="28"/>
      <c r="U51" s="171"/>
      <c r="V51" s="28"/>
      <c r="W51" s="171"/>
      <c r="X51" s="28"/>
      <c r="Y51" s="171"/>
      <c r="Z51" s="28"/>
      <c r="AA51" s="171"/>
      <c r="AB51" s="28"/>
      <c r="AC51" s="171"/>
      <c r="AD51" s="28"/>
      <c r="AE51" s="171"/>
      <c r="AF51" s="28"/>
      <c r="AG51" s="171"/>
      <c r="AH51" s="28"/>
      <c r="AI51" s="171"/>
      <c r="AJ51" s="457">
        <f t="shared" si="5"/>
        <v>0</v>
      </c>
    </row>
    <row r="52" spans="2:36" x14ac:dyDescent="0.25">
      <c r="B52" s="157">
        <v>37</v>
      </c>
      <c r="C52" s="817" t="s">
        <v>619</v>
      </c>
      <c r="D52" s="818"/>
      <c r="E52" s="171"/>
      <c r="F52" s="547">
        <v>0</v>
      </c>
      <c r="G52" s="171">
        <v>0</v>
      </c>
      <c r="H52" s="547">
        <v>0</v>
      </c>
      <c r="I52" s="171">
        <v>0</v>
      </c>
      <c r="J52" s="547">
        <v>0</v>
      </c>
      <c r="K52" s="171">
        <v>0</v>
      </c>
      <c r="L52" s="28">
        <v>0</v>
      </c>
      <c r="M52" s="171"/>
      <c r="N52" s="28"/>
      <c r="O52" s="171"/>
      <c r="P52" s="28"/>
      <c r="Q52" s="171"/>
      <c r="R52" s="28"/>
      <c r="S52" s="171"/>
      <c r="T52" s="28"/>
      <c r="U52" s="171"/>
      <c r="V52" s="28"/>
      <c r="W52" s="171"/>
      <c r="X52" s="28"/>
      <c r="Y52" s="171"/>
      <c r="Z52" s="28"/>
      <c r="AA52" s="171"/>
      <c r="AB52" s="28"/>
      <c r="AC52" s="171"/>
      <c r="AD52" s="28"/>
      <c r="AE52" s="171"/>
      <c r="AF52" s="28"/>
      <c r="AG52" s="171"/>
      <c r="AH52" s="28"/>
      <c r="AI52" s="171"/>
      <c r="AJ52" s="457">
        <f t="shared" si="5"/>
        <v>0</v>
      </c>
    </row>
    <row r="53" spans="2:36" ht="15.75" customHeight="1" x14ac:dyDescent="0.25">
      <c r="B53" s="157">
        <v>38</v>
      </c>
      <c r="C53" s="815" t="s">
        <v>167</v>
      </c>
      <c r="D53" s="816"/>
      <c r="E53" s="171"/>
      <c r="F53" s="547">
        <v>1</v>
      </c>
      <c r="G53" s="171">
        <v>0</v>
      </c>
      <c r="H53" s="547">
        <v>0</v>
      </c>
      <c r="I53" s="171">
        <v>0</v>
      </c>
      <c r="J53" s="547">
        <v>0</v>
      </c>
      <c r="K53" s="171">
        <v>1</v>
      </c>
      <c r="L53" s="28">
        <v>0</v>
      </c>
      <c r="M53" s="171"/>
      <c r="N53" s="28"/>
      <c r="O53" s="171"/>
      <c r="P53" s="28"/>
      <c r="Q53" s="171"/>
      <c r="R53" s="28"/>
      <c r="S53" s="171"/>
      <c r="T53" s="28"/>
      <c r="U53" s="171"/>
      <c r="V53" s="28"/>
      <c r="W53" s="171"/>
      <c r="X53" s="28"/>
      <c r="Y53" s="171"/>
      <c r="Z53" s="28"/>
      <c r="AA53" s="171"/>
      <c r="AB53" s="28"/>
      <c r="AC53" s="171"/>
      <c r="AD53" s="28"/>
      <c r="AE53" s="171"/>
      <c r="AF53" s="28"/>
      <c r="AG53" s="171"/>
      <c r="AH53" s="28"/>
      <c r="AI53" s="171"/>
      <c r="AJ53" s="457">
        <f t="shared" si="5"/>
        <v>2</v>
      </c>
    </row>
    <row r="54" spans="2:36" ht="15.75" thickBot="1" x14ac:dyDescent="0.3">
      <c r="B54" s="157">
        <v>39</v>
      </c>
      <c r="C54" s="819" t="s">
        <v>43</v>
      </c>
      <c r="D54" s="820"/>
      <c r="E54" s="171"/>
      <c r="F54" s="547">
        <v>1</v>
      </c>
      <c r="G54" s="171">
        <v>0</v>
      </c>
      <c r="H54" s="547">
        <v>2</v>
      </c>
      <c r="I54" s="171">
        <v>0</v>
      </c>
      <c r="J54" s="547">
        <v>0</v>
      </c>
      <c r="K54" s="171">
        <v>1</v>
      </c>
      <c r="L54" s="28">
        <v>1</v>
      </c>
      <c r="M54" s="171"/>
      <c r="N54" s="28"/>
      <c r="O54" s="171"/>
      <c r="P54" s="28"/>
      <c r="Q54" s="171"/>
      <c r="R54" s="28"/>
      <c r="S54" s="171"/>
      <c r="T54" s="28"/>
      <c r="U54" s="171"/>
      <c r="V54" s="28"/>
      <c r="W54" s="171"/>
      <c r="X54" s="28"/>
      <c r="Y54" s="171"/>
      <c r="Z54" s="28"/>
      <c r="AA54" s="171"/>
      <c r="AB54" s="28"/>
      <c r="AC54" s="171"/>
      <c r="AD54" s="28"/>
      <c r="AE54" s="171"/>
      <c r="AF54" s="28"/>
      <c r="AG54" s="171"/>
      <c r="AH54" s="28"/>
      <c r="AI54" s="171"/>
      <c r="AJ54" s="458">
        <f t="shared" si="5"/>
        <v>5</v>
      </c>
    </row>
    <row r="55" spans="2:36" ht="15.75" thickBot="1" x14ac:dyDescent="0.3">
      <c r="B55" s="157">
        <v>40</v>
      </c>
      <c r="C55" s="821" t="s">
        <v>41</v>
      </c>
      <c r="D55" s="822"/>
      <c r="E55" s="61"/>
      <c r="F55" s="61"/>
      <c r="G55" s="61"/>
      <c r="H55" s="61"/>
      <c r="I55" s="61"/>
      <c r="J55" s="61"/>
      <c r="K55" s="61"/>
      <c r="L55" s="61"/>
      <c r="M55" s="61"/>
      <c r="N55" s="61"/>
      <c r="O55" s="61"/>
      <c r="P55" s="61"/>
      <c r="Q55" s="61"/>
      <c r="R55" s="61"/>
      <c r="S55" s="61"/>
      <c r="T55" s="61"/>
      <c r="U55" s="61"/>
      <c r="V55" s="61"/>
      <c r="W55" s="61"/>
      <c r="X55" s="61"/>
      <c r="Y55" s="61"/>
      <c r="Z55" s="61"/>
      <c r="AA55" s="61"/>
      <c r="AB55" s="61"/>
      <c r="AC55" s="61"/>
      <c r="AD55" s="61"/>
      <c r="AE55" s="61"/>
      <c r="AF55" s="61"/>
      <c r="AG55" s="61"/>
      <c r="AH55" s="61"/>
      <c r="AI55" s="61"/>
      <c r="AJ55" s="536"/>
    </row>
    <row r="56" spans="2:36" x14ac:dyDescent="0.25">
      <c r="B56" s="157">
        <v>41</v>
      </c>
      <c r="C56" s="751" t="s">
        <v>178</v>
      </c>
      <c r="D56" s="41" t="s">
        <v>176</v>
      </c>
      <c r="E56" s="171"/>
      <c r="F56" s="28">
        <v>4</v>
      </c>
      <c r="G56" s="171">
        <v>2</v>
      </c>
      <c r="H56" s="28">
        <v>2</v>
      </c>
      <c r="I56" s="171"/>
      <c r="J56" s="28">
        <v>3</v>
      </c>
      <c r="K56" s="171">
        <v>4</v>
      </c>
      <c r="L56" s="28">
        <v>4</v>
      </c>
      <c r="M56" s="171"/>
      <c r="N56" s="28"/>
      <c r="O56" s="171"/>
      <c r="P56" s="28"/>
      <c r="Q56" s="171"/>
      <c r="R56" s="28"/>
      <c r="S56" s="171"/>
      <c r="T56" s="28"/>
      <c r="U56" s="171"/>
      <c r="V56" s="28"/>
      <c r="W56" s="171"/>
      <c r="X56" s="28"/>
      <c r="Y56" s="171"/>
      <c r="Z56" s="28"/>
      <c r="AA56" s="171"/>
      <c r="AB56" s="28"/>
      <c r="AC56" s="171"/>
      <c r="AD56" s="28"/>
      <c r="AE56" s="171"/>
      <c r="AF56" s="28"/>
      <c r="AG56" s="171"/>
      <c r="AH56" s="28"/>
      <c r="AI56" s="171"/>
      <c r="AJ56" s="537">
        <f>SUM(E56:AI56)</f>
        <v>19</v>
      </c>
    </row>
    <row r="57" spans="2:36" ht="15.75" thickBot="1" x14ac:dyDescent="0.3">
      <c r="B57" s="157">
        <v>42</v>
      </c>
      <c r="C57" s="752"/>
      <c r="D57" s="42" t="s">
        <v>177</v>
      </c>
      <c r="E57" s="171"/>
      <c r="F57" s="28">
        <v>1</v>
      </c>
      <c r="G57" s="171"/>
      <c r="H57" s="28">
        <v>1</v>
      </c>
      <c r="I57" s="171">
        <v>1</v>
      </c>
      <c r="J57" s="28"/>
      <c r="K57" s="171">
        <v>1</v>
      </c>
      <c r="L57" s="28">
        <v>0</v>
      </c>
      <c r="M57" s="171"/>
      <c r="N57" s="28"/>
      <c r="O57" s="171"/>
      <c r="P57" s="28"/>
      <c r="Q57" s="171"/>
      <c r="R57" s="28"/>
      <c r="S57" s="171"/>
      <c r="T57" s="28"/>
      <c r="U57" s="171"/>
      <c r="V57" s="28"/>
      <c r="W57" s="171"/>
      <c r="X57" s="28"/>
      <c r="Y57" s="171"/>
      <c r="Z57" s="28"/>
      <c r="AA57" s="171"/>
      <c r="AB57" s="28"/>
      <c r="AC57" s="171"/>
      <c r="AD57" s="28"/>
      <c r="AE57" s="171"/>
      <c r="AF57" s="28"/>
      <c r="AG57" s="171"/>
      <c r="AH57" s="28"/>
      <c r="AI57" s="171"/>
      <c r="AJ57" s="458">
        <f>SUM(E57:AI57)</f>
        <v>4</v>
      </c>
    </row>
    <row r="58" spans="2:36" ht="15.75" thickBot="1" x14ac:dyDescent="0.3">
      <c r="B58" s="157"/>
      <c r="C58" s="170"/>
      <c r="D58" s="170"/>
      <c r="E58" s="181"/>
      <c r="F58" s="61"/>
      <c r="G58" s="181"/>
      <c r="H58" s="61"/>
      <c r="I58" s="181"/>
      <c r="J58" s="61"/>
      <c r="K58" s="181"/>
      <c r="L58" s="61"/>
      <c r="M58" s="181"/>
      <c r="N58" s="61"/>
      <c r="O58" s="181"/>
      <c r="P58" s="61"/>
      <c r="Q58" s="181"/>
      <c r="R58" s="61"/>
      <c r="S58" s="181"/>
      <c r="T58" s="61"/>
      <c r="U58" s="181"/>
      <c r="V58" s="61"/>
      <c r="W58" s="181"/>
      <c r="X58" s="61"/>
      <c r="Y58" s="181"/>
      <c r="Z58" s="61"/>
      <c r="AA58" s="181"/>
      <c r="AB58" s="61"/>
      <c r="AC58" s="181"/>
      <c r="AD58" s="61"/>
      <c r="AE58" s="181"/>
      <c r="AF58" s="61"/>
      <c r="AG58" s="181"/>
      <c r="AH58" s="61"/>
      <c r="AI58" s="181"/>
      <c r="AJ58" s="61"/>
    </row>
    <row r="59" spans="2:36" ht="15.75" thickBot="1" x14ac:dyDescent="0.3">
      <c r="B59" s="157"/>
      <c r="C59" s="806" t="s">
        <v>421</v>
      </c>
      <c r="D59" s="807"/>
      <c r="E59" s="181"/>
      <c r="F59" s="61"/>
      <c r="G59" s="181"/>
      <c r="H59" s="61"/>
      <c r="I59" s="181"/>
      <c r="J59" s="61"/>
      <c r="K59" s="181"/>
      <c r="L59" s="61"/>
      <c r="M59" s="181"/>
      <c r="N59" s="61"/>
      <c r="O59" s="181"/>
      <c r="P59" s="61"/>
      <c r="Q59" s="181"/>
      <c r="R59" s="61"/>
      <c r="S59" s="181"/>
      <c r="T59" s="61"/>
      <c r="U59" s="181"/>
      <c r="V59" s="61"/>
      <c r="W59" s="181"/>
      <c r="X59" s="61"/>
      <c r="Y59" s="181"/>
      <c r="Z59" s="61"/>
      <c r="AA59" s="181"/>
      <c r="AB59" s="61"/>
      <c r="AC59" s="181"/>
      <c r="AD59" s="61"/>
      <c r="AE59" s="181"/>
      <c r="AF59" s="61"/>
      <c r="AG59" s="181"/>
      <c r="AH59" s="61"/>
      <c r="AI59" s="181"/>
      <c r="AJ59" s="61"/>
    </row>
    <row r="60" spans="2:36" ht="15.75" thickBot="1" x14ac:dyDescent="0.3">
      <c r="B60" s="157"/>
      <c r="C60" s="50"/>
      <c r="D60" s="59" t="s">
        <v>422</v>
      </c>
      <c r="E60" s="181"/>
      <c r="F60" s="61"/>
      <c r="G60" s="181"/>
      <c r="H60" s="61"/>
      <c r="I60" s="181"/>
      <c r="J60" s="61"/>
      <c r="K60" s="181"/>
      <c r="L60" s="61"/>
      <c r="M60" s="181"/>
      <c r="N60" s="61"/>
      <c r="O60" s="181"/>
      <c r="P60" s="61"/>
      <c r="Q60" s="181"/>
      <c r="R60" s="61"/>
      <c r="S60" s="181"/>
      <c r="T60" s="61"/>
      <c r="U60" s="181"/>
      <c r="V60" s="61"/>
      <c r="W60" s="181"/>
      <c r="X60" s="61"/>
      <c r="Y60" s="181"/>
      <c r="Z60" s="61"/>
      <c r="AA60" s="181"/>
      <c r="AB60" s="61"/>
      <c r="AC60" s="181"/>
      <c r="AD60" s="61"/>
      <c r="AE60" s="181"/>
      <c r="AF60" s="61"/>
      <c r="AG60" s="181"/>
      <c r="AH60" s="61"/>
      <c r="AI60" s="181"/>
      <c r="AJ60" s="61"/>
    </row>
    <row r="61" spans="2:36" x14ac:dyDescent="0.25">
      <c r="B61" s="157">
        <v>43</v>
      </c>
      <c r="C61" s="95"/>
      <c r="D61" s="104">
        <v>1</v>
      </c>
      <c r="E61" s="171"/>
      <c r="F61" s="28"/>
      <c r="G61" s="171"/>
      <c r="H61" s="28"/>
      <c r="I61" s="171">
        <v>1</v>
      </c>
      <c r="J61" s="28"/>
      <c r="K61" s="171"/>
      <c r="L61" s="28"/>
      <c r="M61" s="171"/>
      <c r="N61" s="28"/>
      <c r="O61" s="171"/>
      <c r="P61" s="28"/>
      <c r="Q61" s="171"/>
      <c r="R61" s="28"/>
      <c r="S61" s="171"/>
      <c r="T61" s="28"/>
      <c r="U61" s="171"/>
      <c r="V61" s="28"/>
      <c r="W61" s="171"/>
      <c r="X61" s="28"/>
      <c r="Y61" s="171"/>
      <c r="Z61" s="28"/>
      <c r="AA61" s="171"/>
      <c r="AB61" s="28"/>
      <c r="AC61" s="171"/>
      <c r="AD61" s="28"/>
      <c r="AE61" s="171"/>
      <c r="AF61" s="28"/>
      <c r="AG61" s="171"/>
      <c r="AH61" s="28"/>
      <c r="AI61" s="171"/>
      <c r="AJ61" s="167">
        <f t="shared" ref="AJ61:AJ74" si="6">SUM(E61:AI61)</f>
        <v>1</v>
      </c>
    </row>
    <row r="62" spans="2:36" x14ac:dyDescent="0.25">
      <c r="B62" s="157">
        <v>44</v>
      </c>
      <c r="C62" s="70"/>
      <c r="D62" s="104">
        <v>2</v>
      </c>
      <c r="E62" s="171"/>
      <c r="F62" s="28"/>
      <c r="G62" s="171"/>
      <c r="H62" s="28"/>
      <c r="I62" s="171"/>
      <c r="J62" s="28"/>
      <c r="K62" s="171"/>
      <c r="L62" s="28"/>
      <c r="M62" s="171"/>
      <c r="N62" s="28"/>
      <c r="O62" s="171"/>
      <c r="P62" s="28"/>
      <c r="Q62" s="171"/>
      <c r="R62" s="28"/>
      <c r="S62" s="171"/>
      <c r="T62" s="28"/>
      <c r="U62" s="171"/>
      <c r="V62" s="28"/>
      <c r="W62" s="171"/>
      <c r="X62" s="28"/>
      <c r="Y62" s="171"/>
      <c r="Z62" s="28"/>
      <c r="AA62" s="171"/>
      <c r="AB62" s="28"/>
      <c r="AC62" s="171"/>
      <c r="AD62" s="28"/>
      <c r="AE62" s="171"/>
      <c r="AF62" s="28"/>
      <c r="AG62" s="171"/>
      <c r="AH62" s="28"/>
      <c r="AI62" s="171"/>
      <c r="AJ62" s="309">
        <f t="shared" si="6"/>
        <v>0</v>
      </c>
    </row>
    <row r="63" spans="2:36" x14ac:dyDescent="0.25">
      <c r="B63" s="157">
        <v>45</v>
      </c>
      <c r="C63" s="70"/>
      <c r="D63" s="104">
        <v>3</v>
      </c>
      <c r="E63" s="171"/>
      <c r="F63" s="28"/>
      <c r="G63" s="171"/>
      <c r="H63" s="28"/>
      <c r="I63" s="171">
        <v>1</v>
      </c>
      <c r="J63" s="28"/>
      <c r="K63" s="171"/>
      <c r="L63" s="28"/>
      <c r="M63" s="171"/>
      <c r="N63" s="28"/>
      <c r="O63" s="171"/>
      <c r="P63" s="28"/>
      <c r="Q63" s="171"/>
      <c r="R63" s="28"/>
      <c r="S63" s="171"/>
      <c r="T63" s="28"/>
      <c r="U63" s="171"/>
      <c r="V63" s="28"/>
      <c r="W63" s="171"/>
      <c r="X63" s="28"/>
      <c r="Y63" s="171"/>
      <c r="Z63" s="28"/>
      <c r="AA63" s="171"/>
      <c r="AB63" s="28"/>
      <c r="AC63" s="171"/>
      <c r="AD63" s="28"/>
      <c r="AE63" s="171"/>
      <c r="AF63" s="28"/>
      <c r="AG63" s="171"/>
      <c r="AH63" s="28"/>
      <c r="AI63" s="171"/>
      <c r="AJ63" s="309">
        <f t="shared" si="6"/>
        <v>1</v>
      </c>
    </row>
    <row r="64" spans="2:36" x14ac:dyDescent="0.25">
      <c r="B64" s="157">
        <v>46</v>
      </c>
      <c r="C64" s="70"/>
      <c r="D64" s="104">
        <v>4</v>
      </c>
      <c r="E64" s="171"/>
      <c r="F64" s="28"/>
      <c r="G64" s="171"/>
      <c r="H64" s="28">
        <v>1</v>
      </c>
      <c r="I64" s="171">
        <v>2</v>
      </c>
      <c r="J64" s="28"/>
      <c r="K64" s="171"/>
      <c r="L64" s="28"/>
      <c r="M64" s="171"/>
      <c r="N64" s="28"/>
      <c r="O64" s="171"/>
      <c r="P64" s="28"/>
      <c r="Q64" s="171"/>
      <c r="R64" s="28"/>
      <c r="S64" s="171"/>
      <c r="T64" s="28"/>
      <c r="U64" s="171"/>
      <c r="V64" s="28"/>
      <c r="W64" s="171"/>
      <c r="X64" s="28"/>
      <c r="Y64" s="171"/>
      <c r="Z64" s="28"/>
      <c r="AA64" s="171"/>
      <c r="AB64" s="28"/>
      <c r="AC64" s="171"/>
      <c r="AD64" s="28"/>
      <c r="AE64" s="171"/>
      <c r="AF64" s="28"/>
      <c r="AG64" s="171"/>
      <c r="AH64" s="28"/>
      <c r="AI64" s="171"/>
      <c r="AJ64" s="309">
        <f t="shared" si="6"/>
        <v>3</v>
      </c>
    </row>
    <row r="65" spans="2:36" x14ac:dyDescent="0.25">
      <c r="B65" s="157"/>
      <c r="C65" s="70"/>
      <c r="D65" s="96" t="s">
        <v>182</v>
      </c>
      <c r="E65" s="171">
        <f>SUM(E61:E64)</f>
        <v>0</v>
      </c>
      <c r="F65" s="171">
        <f t="shared" ref="F65:AI65" si="7">SUM(F61:F64)</f>
        <v>0</v>
      </c>
      <c r="G65" s="171">
        <f t="shared" si="7"/>
        <v>0</v>
      </c>
      <c r="H65" s="171">
        <f t="shared" si="7"/>
        <v>1</v>
      </c>
      <c r="I65" s="171">
        <f t="shared" si="7"/>
        <v>4</v>
      </c>
      <c r="J65" s="171">
        <f t="shared" si="7"/>
        <v>0</v>
      </c>
      <c r="K65" s="171">
        <f t="shared" si="7"/>
        <v>0</v>
      </c>
      <c r="L65" s="171">
        <f t="shared" si="7"/>
        <v>0</v>
      </c>
      <c r="M65" s="171">
        <f t="shared" si="7"/>
        <v>0</v>
      </c>
      <c r="N65" s="171">
        <f t="shared" si="7"/>
        <v>0</v>
      </c>
      <c r="O65" s="171">
        <f t="shared" si="7"/>
        <v>0</v>
      </c>
      <c r="P65" s="171">
        <f t="shared" si="7"/>
        <v>0</v>
      </c>
      <c r="Q65" s="171">
        <f t="shared" si="7"/>
        <v>0</v>
      </c>
      <c r="R65" s="171">
        <f t="shared" si="7"/>
        <v>0</v>
      </c>
      <c r="S65" s="171">
        <f t="shared" si="7"/>
        <v>0</v>
      </c>
      <c r="T65" s="171">
        <f t="shared" si="7"/>
        <v>0</v>
      </c>
      <c r="U65" s="171">
        <f t="shared" si="7"/>
        <v>0</v>
      </c>
      <c r="V65" s="171">
        <f t="shared" si="7"/>
        <v>0</v>
      </c>
      <c r="W65" s="171">
        <f t="shared" si="7"/>
        <v>0</v>
      </c>
      <c r="X65" s="171">
        <f t="shared" si="7"/>
        <v>0</v>
      </c>
      <c r="Y65" s="171">
        <f t="shared" si="7"/>
        <v>0</v>
      </c>
      <c r="Z65" s="171">
        <f t="shared" si="7"/>
        <v>0</v>
      </c>
      <c r="AA65" s="171">
        <f t="shared" si="7"/>
        <v>0</v>
      </c>
      <c r="AB65" s="171">
        <f t="shared" si="7"/>
        <v>0</v>
      </c>
      <c r="AC65" s="171">
        <f t="shared" si="7"/>
        <v>0</v>
      </c>
      <c r="AD65" s="171">
        <f t="shared" si="7"/>
        <v>0</v>
      </c>
      <c r="AE65" s="171">
        <f t="shared" si="7"/>
        <v>0</v>
      </c>
      <c r="AF65" s="171">
        <f t="shared" si="7"/>
        <v>0</v>
      </c>
      <c r="AG65" s="171">
        <f t="shared" si="7"/>
        <v>0</v>
      </c>
      <c r="AH65" s="171">
        <f t="shared" si="7"/>
        <v>0</v>
      </c>
      <c r="AI65" s="171">
        <f t="shared" si="7"/>
        <v>0</v>
      </c>
      <c r="AJ65" s="457">
        <f t="shared" si="6"/>
        <v>5</v>
      </c>
    </row>
    <row r="66" spans="2:36" x14ac:dyDescent="0.25">
      <c r="B66" s="157">
        <v>47</v>
      </c>
      <c r="C66" s="70"/>
      <c r="D66" s="105">
        <v>5</v>
      </c>
      <c r="E66" s="171"/>
      <c r="F66" s="28"/>
      <c r="G66" s="171"/>
      <c r="H66" s="28"/>
      <c r="I66" s="171"/>
      <c r="J66" s="28"/>
      <c r="K66" s="171"/>
      <c r="L66" s="28"/>
      <c r="M66" s="171"/>
      <c r="N66" s="28"/>
      <c r="O66" s="171"/>
      <c r="P66" s="28"/>
      <c r="Q66" s="171"/>
      <c r="R66" s="28"/>
      <c r="S66" s="171"/>
      <c r="T66" s="28"/>
      <c r="U66" s="171"/>
      <c r="V66" s="28"/>
      <c r="W66" s="171"/>
      <c r="X66" s="28"/>
      <c r="Y66" s="171"/>
      <c r="Z66" s="28"/>
      <c r="AA66" s="171"/>
      <c r="AB66" s="28"/>
      <c r="AC66" s="171"/>
      <c r="AD66" s="28"/>
      <c r="AE66" s="171"/>
      <c r="AF66" s="28"/>
      <c r="AG66" s="171"/>
      <c r="AH66" s="28"/>
      <c r="AI66" s="171"/>
      <c r="AJ66" s="197">
        <f t="shared" si="6"/>
        <v>0</v>
      </c>
    </row>
    <row r="67" spans="2:36" x14ac:dyDescent="0.25">
      <c r="B67" s="157">
        <v>48</v>
      </c>
      <c r="C67" s="70"/>
      <c r="D67" s="105">
        <v>6</v>
      </c>
      <c r="E67" s="171"/>
      <c r="F67" s="28"/>
      <c r="G67" s="171"/>
      <c r="H67" s="28"/>
      <c r="I67" s="171"/>
      <c r="J67" s="28"/>
      <c r="K67" s="171"/>
      <c r="L67" s="28"/>
      <c r="M67" s="171"/>
      <c r="N67" s="28"/>
      <c r="O67" s="171"/>
      <c r="P67" s="28"/>
      <c r="Q67" s="171"/>
      <c r="R67" s="28"/>
      <c r="S67" s="171"/>
      <c r="T67" s="28"/>
      <c r="U67" s="171"/>
      <c r="V67" s="28"/>
      <c r="W67" s="171"/>
      <c r="X67" s="28"/>
      <c r="Y67" s="171"/>
      <c r="Z67" s="28"/>
      <c r="AA67" s="171"/>
      <c r="AB67" s="28"/>
      <c r="AC67" s="171"/>
      <c r="AD67" s="28"/>
      <c r="AE67" s="171"/>
      <c r="AF67" s="28"/>
      <c r="AG67" s="171"/>
      <c r="AH67" s="28"/>
      <c r="AI67" s="171"/>
      <c r="AJ67" s="197">
        <f t="shared" si="6"/>
        <v>0</v>
      </c>
    </row>
    <row r="68" spans="2:36" x14ac:dyDescent="0.25">
      <c r="B68" s="157">
        <v>49</v>
      </c>
      <c r="C68" s="70"/>
      <c r="D68" s="105">
        <v>7</v>
      </c>
      <c r="E68" s="171"/>
      <c r="F68" s="28"/>
      <c r="G68" s="171"/>
      <c r="H68" s="28"/>
      <c r="I68" s="171"/>
      <c r="J68" s="28"/>
      <c r="K68" s="171"/>
      <c r="L68" s="28"/>
      <c r="M68" s="171"/>
      <c r="N68" s="28"/>
      <c r="O68" s="171"/>
      <c r="P68" s="28"/>
      <c r="Q68" s="171"/>
      <c r="R68" s="28"/>
      <c r="S68" s="171"/>
      <c r="T68" s="28"/>
      <c r="U68" s="171"/>
      <c r="V68" s="28"/>
      <c r="W68" s="171"/>
      <c r="X68" s="28"/>
      <c r="Y68" s="171"/>
      <c r="Z68" s="28"/>
      <c r="AA68" s="171"/>
      <c r="AB68" s="28"/>
      <c r="AC68" s="171"/>
      <c r="AD68" s="28"/>
      <c r="AE68" s="171"/>
      <c r="AF68" s="28"/>
      <c r="AG68" s="171"/>
      <c r="AH68" s="28"/>
      <c r="AI68" s="171"/>
      <c r="AJ68" s="197">
        <f t="shared" si="6"/>
        <v>0</v>
      </c>
    </row>
    <row r="69" spans="2:36" x14ac:dyDescent="0.25">
      <c r="B69" s="157">
        <v>50</v>
      </c>
      <c r="C69" s="70"/>
      <c r="D69" s="105">
        <v>8</v>
      </c>
      <c r="E69" s="171"/>
      <c r="F69" s="28"/>
      <c r="G69" s="171"/>
      <c r="H69" s="28"/>
      <c r="I69" s="171"/>
      <c r="J69" s="28"/>
      <c r="K69" s="171"/>
      <c r="L69" s="28"/>
      <c r="M69" s="171"/>
      <c r="N69" s="28"/>
      <c r="O69" s="171"/>
      <c r="P69" s="28"/>
      <c r="Q69" s="171"/>
      <c r="R69" s="28"/>
      <c r="S69" s="171"/>
      <c r="T69" s="28"/>
      <c r="U69" s="171"/>
      <c r="V69" s="28"/>
      <c r="W69" s="171"/>
      <c r="X69" s="28"/>
      <c r="Y69" s="171"/>
      <c r="Z69" s="28"/>
      <c r="AA69" s="171"/>
      <c r="AB69" s="28"/>
      <c r="AC69" s="171"/>
      <c r="AD69" s="28"/>
      <c r="AE69" s="171"/>
      <c r="AF69" s="28"/>
      <c r="AG69" s="171"/>
      <c r="AH69" s="28"/>
      <c r="AI69" s="171"/>
      <c r="AJ69" s="197">
        <f t="shared" si="6"/>
        <v>0</v>
      </c>
    </row>
    <row r="70" spans="2:36" x14ac:dyDescent="0.25">
      <c r="B70" s="157">
        <v>51</v>
      </c>
      <c r="C70" s="70"/>
      <c r="D70" s="105">
        <v>9</v>
      </c>
      <c r="E70" s="171"/>
      <c r="F70" s="28"/>
      <c r="G70" s="171"/>
      <c r="H70" s="28"/>
      <c r="I70" s="171"/>
      <c r="J70" s="28"/>
      <c r="K70" s="171"/>
      <c r="L70" s="28"/>
      <c r="M70" s="171"/>
      <c r="N70" s="28"/>
      <c r="O70" s="171"/>
      <c r="P70" s="28"/>
      <c r="Q70" s="171"/>
      <c r="R70" s="28"/>
      <c r="S70" s="171"/>
      <c r="T70" s="28"/>
      <c r="U70" s="171"/>
      <c r="V70" s="28"/>
      <c r="W70" s="171"/>
      <c r="X70" s="28"/>
      <c r="Y70" s="171"/>
      <c r="Z70" s="28"/>
      <c r="AA70" s="171"/>
      <c r="AB70" s="28"/>
      <c r="AC70" s="171"/>
      <c r="AD70" s="28"/>
      <c r="AE70" s="171"/>
      <c r="AF70" s="28"/>
      <c r="AG70" s="171"/>
      <c r="AH70" s="28"/>
      <c r="AI70" s="171"/>
      <c r="AJ70" s="197">
        <f t="shared" si="6"/>
        <v>0</v>
      </c>
    </row>
    <row r="71" spans="2:36" x14ac:dyDescent="0.25">
      <c r="B71" s="157">
        <v>52</v>
      </c>
      <c r="C71" s="70"/>
      <c r="D71" s="105">
        <v>10</v>
      </c>
      <c r="E71" s="171"/>
      <c r="F71" s="28"/>
      <c r="G71" s="171"/>
      <c r="H71" s="28"/>
      <c r="I71" s="171"/>
      <c r="J71" s="28"/>
      <c r="K71" s="171"/>
      <c r="L71" s="28"/>
      <c r="M71" s="171"/>
      <c r="N71" s="28"/>
      <c r="O71" s="171"/>
      <c r="P71" s="28"/>
      <c r="Q71" s="171"/>
      <c r="R71" s="28"/>
      <c r="S71" s="171"/>
      <c r="T71" s="28"/>
      <c r="U71" s="171"/>
      <c r="V71" s="28"/>
      <c r="W71" s="171"/>
      <c r="X71" s="28"/>
      <c r="Y71" s="171"/>
      <c r="Z71" s="28"/>
      <c r="AA71" s="171"/>
      <c r="AB71" s="28"/>
      <c r="AC71" s="171"/>
      <c r="AD71" s="28"/>
      <c r="AE71" s="171"/>
      <c r="AF71" s="28"/>
      <c r="AG71" s="171"/>
      <c r="AH71" s="28"/>
      <c r="AI71" s="171"/>
      <c r="AJ71" s="197">
        <f t="shared" si="6"/>
        <v>0</v>
      </c>
    </row>
    <row r="72" spans="2:36" x14ac:dyDescent="0.25">
      <c r="B72" s="157">
        <v>53</v>
      </c>
      <c r="C72" s="70"/>
      <c r="D72" s="105">
        <v>11</v>
      </c>
      <c r="E72" s="171"/>
      <c r="F72" s="28"/>
      <c r="G72" s="171"/>
      <c r="H72" s="28"/>
      <c r="I72" s="171"/>
      <c r="J72" s="28"/>
      <c r="K72" s="171"/>
      <c r="L72" s="28"/>
      <c r="M72" s="171"/>
      <c r="N72" s="28"/>
      <c r="O72" s="171"/>
      <c r="P72" s="28"/>
      <c r="Q72" s="171"/>
      <c r="R72" s="28"/>
      <c r="S72" s="171"/>
      <c r="T72" s="28"/>
      <c r="U72" s="171"/>
      <c r="V72" s="28"/>
      <c r="W72" s="171"/>
      <c r="X72" s="28"/>
      <c r="Y72" s="171"/>
      <c r="Z72" s="28"/>
      <c r="AA72" s="171"/>
      <c r="AB72" s="28"/>
      <c r="AC72" s="171"/>
      <c r="AD72" s="28"/>
      <c r="AE72" s="171"/>
      <c r="AF72" s="28"/>
      <c r="AG72" s="171"/>
      <c r="AH72" s="28"/>
      <c r="AI72" s="171"/>
      <c r="AJ72" s="197">
        <f t="shared" si="6"/>
        <v>0</v>
      </c>
    </row>
    <row r="73" spans="2:36" x14ac:dyDescent="0.25">
      <c r="B73" s="157">
        <v>54</v>
      </c>
      <c r="C73" s="70"/>
      <c r="D73" s="105">
        <v>12</v>
      </c>
      <c r="E73" s="171"/>
      <c r="F73" s="28"/>
      <c r="G73" s="171"/>
      <c r="H73" s="28"/>
      <c r="I73" s="171"/>
      <c r="J73" s="28"/>
      <c r="K73" s="171"/>
      <c r="L73" s="28"/>
      <c r="M73" s="171"/>
      <c r="N73" s="28"/>
      <c r="O73" s="171"/>
      <c r="P73" s="28"/>
      <c r="Q73" s="171"/>
      <c r="R73" s="28"/>
      <c r="S73" s="171"/>
      <c r="T73" s="28"/>
      <c r="U73" s="171"/>
      <c r="V73" s="28"/>
      <c r="W73" s="171"/>
      <c r="X73" s="28"/>
      <c r="Y73" s="171"/>
      <c r="Z73" s="28"/>
      <c r="AA73" s="171"/>
      <c r="AB73" s="28"/>
      <c r="AC73" s="171"/>
      <c r="AD73" s="28"/>
      <c r="AE73" s="171"/>
      <c r="AF73" s="28"/>
      <c r="AG73" s="171"/>
      <c r="AH73" s="28"/>
      <c r="AI73" s="171"/>
      <c r="AJ73" s="197">
        <f t="shared" si="6"/>
        <v>0</v>
      </c>
    </row>
    <row r="74" spans="2:36" ht="15.75" thickBot="1" x14ac:dyDescent="0.3">
      <c r="B74" s="157"/>
      <c r="C74" s="70"/>
      <c r="D74" s="96" t="s">
        <v>182</v>
      </c>
      <c r="E74" s="171">
        <f>SUM(E66:E73)</f>
        <v>0</v>
      </c>
      <c r="F74" s="171">
        <f t="shared" ref="F74:AI74" si="8">SUM(F66:F73)</f>
        <v>0</v>
      </c>
      <c r="G74" s="171">
        <f t="shared" si="8"/>
        <v>0</v>
      </c>
      <c r="H74" s="171">
        <f t="shared" si="8"/>
        <v>0</v>
      </c>
      <c r="I74" s="171">
        <f t="shared" si="8"/>
        <v>0</v>
      </c>
      <c r="J74" s="171">
        <f t="shared" si="8"/>
        <v>0</v>
      </c>
      <c r="K74" s="171">
        <f t="shared" si="8"/>
        <v>0</v>
      </c>
      <c r="L74" s="171">
        <f t="shared" si="8"/>
        <v>0</v>
      </c>
      <c r="M74" s="171">
        <f t="shared" si="8"/>
        <v>0</v>
      </c>
      <c r="N74" s="171">
        <f t="shared" si="8"/>
        <v>0</v>
      </c>
      <c r="O74" s="171">
        <f t="shared" si="8"/>
        <v>0</v>
      </c>
      <c r="P74" s="171">
        <f t="shared" si="8"/>
        <v>0</v>
      </c>
      <c r="Q74" s="171">
        <f t="shared" si="8"/>
        <v>0</v>
      </c>
      <c r="R74" s="171">
        <f t="shared" si="8"/>
        <v>0</v>
      </c>
      <c r="S74" s="171">
        <f t="shared" si="8"/>
        <v>0</v>
      </c>
      <c r="T74" s="171">
        <f t="shared" si="8"/>
        <v>0</v>
      </c>
      <c r="U74" s="171">
        <f t="shared" si="8"/>
        <v>0</v>
      </c>
      <c r="V74" s="171">
        <f t="shared" si="8"/>
        <v>0</v>
      </c>
      <c r="W74" s="171">
        <f t="shared" si="8"/>
        <v>0</v>
      </c>
      <c r="X74" s="171">
        <f t="shared" si="8"/>
        <v>0</v>
      </c>
      <c r="Y74" s="171">
        <f t="shared" si="8"/>
        <v>0</v>
      </c>
      <c r="Z74" s="171">
        <f t="shared" si="8"/>
        <v>0</v>
      </c>
      <c r="AA74" s="171">
        <f t="shared" si="8"/>
        <v>0</v>
      </c>
      <c r="AB74" s="171">
        <f t="shared" si="8"/>
        <v>0</v>
      </c>
      <c r="AC74" s="171">
        <f t="shared" si="8"/>
        <v>0</v>
      </c>
      <c r="AD74" s="171">
        <f t="shared" si="8"/>
        <v>0</v>
      </c>
      <c r="AE74" s="171">
        <f t="shared" si="8"/>
        <v>0</v>
      </c>
      <c r="AF74" s="171">
        <f t="shared" si="8"/>
        <v>0</v>
      </c>
      <c r="AG74" s="171">
        <f t="shared" si="8"/>
        <v>0</v>
      </c>
      <c r="AH74" s="171">
        <f t="shared" si="8"/>
        <v>0</v>
      </c>
      <c r="AI74" s="171">
        <f t="shared" si="8"/>
        <v>0</v>
      </c>
      <c r="AJ74" s="458">
        <f t="shared" si="6"/>
        <v>0</v>
      </c>
    </row>
    <row r="75" spans="2:36" ht="15.75" thickBot="1" x14ac:dyDescent="0.3">
      <c r="B75" s="157">
        <v>55</v>
      </c>
      <c r="C75" s="97"/>
      <c r="D75" s="64" t="s">
        <v>184</v>
      </c>
      <c r="E75" s="171"/>
      <c r="F75" s="171"/>
      <c r="G75" s="171"/>
      <c r="H75" s="171"/>
      <c r="I75" s="171"/>
      <c r="J75" s="171"/>
      <c r="K75" s="171"/>
      <c r="L75" s="171"/>
      <c r="M75" s="171"/>
      <c r="N75" s="171"/>
      <c r="O75" s="171"/>
      <c r="P75" s="171"/>
      <c r="Q75" s="171"/>
      <c r="R75" s="28"/>
      <c r="S75" s="171"/>
      <c r="T75" s="28"/>
      <c r="U75" s="171"/>
      <c r="V75" s="28"/>
      <c r="W75" s="171"/>
      <c r="X75" s="28"/>
      <c r="Y75" s="171"/>
      <c r="Z75" s="28"/>
      <c r="AA75" s="171"/>
      <c r="AB75" s="28"/>
      <c r="AC75" s="171"/>
      <c r="AD75" s="28"/>
      <c r="AE75" s="171"/>
      <c r="AF75" s="28"/>
      <c r="AG75" s="171"/>
      <c r="AH75" s="28"/>
      <c r="AI75" s="171"/>
      <c r="AJ75" s="61"/>
    </row>
    <row r="76" spans="2:36" ht="15.75" thickBot="1" x14ac:dyDescent="0.3">
      <c r="B76" s="157"/>
      <c r="C76" s="170"/>
      <c r="D76" s="170"/>
      <c r="E76" s="181"/>
      <c r="F76" s="61"/>
      <c r="G76" s="181"/>
      <c r="H76" s="61"/>
      <c r="I76" s="181"/>
      <c r="J76" s="61"/>
      <c r="K76" s="181"/>
      <c r="L76" s="61"/>
      <c r="M76" s="181"/>
      <c r="N76" s="61"/>
      <c r="O76" s="181"/>
      <c r="P76" s="61"/>
      <c r="Q76" s="181"/>
      <c r="R76" s="61"/>
      <c r="S76" s="181"/>
      <c r="T76" s="61"/>
      <c r="U76" s="181"/>
      <c r="V76" s="61"/>
      <c r="W76" s="181"/>
      <c r="X76" s="61"/>
      <c r="Y76" s="181"/>
      <c r="Z76" s="61"/>
      <c r="AA76" s="181"/>
      <c r="AB76" s="61"/>
      <c r="AC76" s="181"/>
      <c r="AD76" s="61"/>
      <c r="AE76" s="181"/>
      <c r="AF76" s="61"/>
      <c r="AG76" s="181"/>
      <c r="AH76" s="61"/>
      <c r="AI76" s="181"/>
      <c r="AJ76" s="61"/>
    </row>
    <row r="77" spans="2:36" x14ac:dyDescent="0.25">
      <c r="B77" s="157"/>
      <c r="C77" s="842" t="s">
        <v>55</v>
      </c>
      <c r="D77" s="869"/>
      <c r="E77" s="869"/>
      <c r="F77" s="869"/>
      <c r="G77" s="869"/>
      <c r="H77" s="869"/>
      <c r="I77" s="869"/>
      <c r="J77" s="869"/>
      <c r="K77" s="869"/>
      <c r="L77" s="869"/>
      <c r="M77" s="869"/>
      <c r="N77" s="869"/>
      <c r="O77" s="869"/>
      <c r="P77" s="869"/>
      <c r="Q77" s="869"/>
      <c r="R77" s="869"/>
      <c r="S77" s="869"/>
      <c r="T77" s="869"/>
      <c r="U77" s="869"/>
      <c r="V77" s="869"/>
      <c r="W77" s="869"/>
      <c r="X77" s="869"/>
      <c r="Y77" s="869"/>
      <c r="Z77" s="869"/>
      <c r="AA77" s="869"/>
      <c r="AB77" s="869"/>
      <c r="AC77" s="869"/>
      <c r="AD77" s="869"/>
      <c r="AE77" s="869"/>
      <c r="AF77" s="869"/>
      <c r="AG77" s="869"/>
      <c r="AH77" s="869"/>
      <c r="AI77" s="869"/>
      <c r="AJ77" s="870"/>
    </row>
    <row r="78" spans="2:36" ht="15.75" thickBot="1" x14ac:dyDescent="0.3">
      <c r="B78" s="157"/>
      <c r="C78" s="871"/>
      <c r="D78" s="872"/>
      <c r="E78" s="872"/>
      <c r="F78" s="872"/>
      <c r="G78" s="872"/>
      <c r="H78" s="872"/>
      <c r="I78" s="872"/>
      <c r="J78" s="872"/>
      <c r="K78" s="872"/>
      <c r="L78" s="872"/>
      <c r="M78" s="872"/>
      <c r="N78" s="872"/>
      <c r="O78" s="872"/>
      <c r="P78" s="872"/>
      <c r="Q78" s="872"/>
      <c r="R78" s="872"/>
      <c r="S78" s="872"/>
      <c r="T78" s="872"/>
      <c r="U78" s="872"/>
      <c r="V78" s="872"/>
      <c r="W78" s="872"/>
      <c r="X78" s="872"/>
      <c r="Y78" s="872"/>
      <c r="Z78" s="872"/>
      <c r="AA78" s="872"/>
      <c r="AB78" s="872"/>
      <c r="AC78" s="872"/>
      <c r="AD78" s="872"/>
      <c r="AE78" s="872"/>
      <c r="AF78" s="872"/>
      <c r="AG78" s="872"/>
      <c r="AH78" s="872"/>
      <c r="AI78" s="872"/>
      <c r="AJ78" s="873"/>
    </row>
    <row r="79" spans="2:36" ht="15.75" thickBot="1" x14ac:dyDescent="0.3">
      <c r="B79" s="157"/>
      <c r="C79" s="821" t="s">
        <v>623</v>
      </c>
      <c r="D79" s="822"/>
      <c r="E79" s="181"/>
      <c r="F79" s="61"/>
      <c r="G79" s="181"/>
      <c r="H79" s="61"/>
      <c r="I79" s="181"/>
      <c r="J79" s="61"/>
      <c r="K79" s="181"/>
      <c r="L79" s="61"/>
      <c r="M79" s="181"/>
      <c r="N79" s="61"/>
      <c r="O79" s="181"/>
      <c r="P79" s="61"/>
      <c r="Q79" s="181"/>
      <c r="R79" s="61"/>
      <c r="S79" s="181"/>
      <c r="T79" s="61"/>
      <c r="U79" s="181"/>
      <c r="V79" s="61"/>
      <c r="W79" s="181"/>
      <c r="X79" s="61"/>
      <c r="Y79" s="181"/>
      <c r="Z79" s="61"/>
      <c r="AA79" s="181"/>
      <c r="AB79" s="61"/>
      <c r="AC79" s="181"/>
      <c r="AD79" s="61"/>
      <c r="AE79" s="181"/>
      <c r="AF79" s="61"/>
      <c r="AG79" s="181"/>
      <c r="AH79" s="61"/>
      <c r="AI79" s="181"/>
      <c r="AJ79" s="61"/>
    </row>
    <row r="80" spans="2:36" x14ac:dyDescent="0.25">
      <c r="B80" s="157"/>
      <c r="C80" s="727" t="s">
        <v>425</v>
      </c>
      <c r="D80" s="728"/>
      <c r="E80" s="171">
        <f>E100</f>
        <v>0</v>
      </c>
      <c r="F80" s="171">
        <f t="shared" ref="F80:AI80" si="9">F100</f>
        <v>0</v>
      </c>
      <c r="G80" s="171">
        <f t="shared" si="9"/>
        <v>0</v>
      </c>
      <c r="H80" s="171">
        <f t="shared" si="9"/>
        <v>0</v>
      </c>
      <c r="I80" s="171">
        <f t="shared" si="9"/>
        <v>0</v>
      </c>
      <c r="J80" s="171">
        <f t="shared" si="9"/>
        <v>0</v>
      </c>
      <c r="K80" s="171">
        <f t="shared" si="9"/>
        <v>0</v>
      </c>
      <c r="L80" s="171">
        <f t="shared" si="9"/>
        <v>0</v>
      </c>
      <c r="M80" s="171">
        <f t="shared" si="9"/>
        <v>0</v>
      </c>
      <c r="N80" s="171">
        <f t="shared" si="9"/>
        <v>0</v>
      </c>
      <c r="O80" s="171">
        <f t="shared" si="9"/>
        <v>0</v>
      </c>
      <c r="P80" s="171">
        <f t="shared" si="9"/>
        <v>0</v>
      </c>
      <c r="Q80" s="171">
        <f t="shared" si="9"/>
        <v>0</v>
      </c>
      <c r="R80" s="171">
        <f t="shared" si="9"/>
        <v>0</v>
      </c>
      <c r="S80" s="171">
        <f t="shared" si="9"/>
        <v>0</v>
      </c>
      <c r="T80" s="171">
        <f t="shared" si="9"/>
        <v>0</v>
      </c>
      <c r="U80" s="171">
        <f t="shared" si="9"/>
        <v>0</v>
      </c>
      <c r="V80" s="171">
        <f t="shared" si="9"/>
        <v>0</v>
      </c>
      <c r="W80" s="171">
        <f t="shared" si="9"/>
        <v>0</v>
      </c>
      <c r="X80" s="171">
        <f t="shared" si="9"/>
        <v>0</v>
      </c>
      <c r="Y80" s="171">
        <f t="shared" si="9"/>
        <v>0</v>
      </c>
      <c r="Z80" s="171">
        <f t="shared" si="9"/>
        <v>0</v>
      </c>
      <c r="AA80" s="171">
        <f t="shared" si="9"/>
        <v>0</v>
      </c>
      <c r="AB80" s="171">
        <f t="shared" si="9"/>
        <v>0</v>
      </c>
      <c r="AC80" s="171">
        <f t="shared" si="9"/>
        <v>0</v>
      </c>
      <c r="AD80" s="171">
        <f t="shared" si="9"/>
        <v>0</v>
      </c>
      <c r="AE80" s="171">
        <f t="shared" si="9"/>
        <v>0</v>
      </c>
      <c r="AF80" s="171">
        <f t="shared" si="9"/>
        <v>0</v>
      </c>
      <c r="AG80" s="171">
        <f t="shared" si="9"/>
        <v>0</v>
      </c>
      <c r="AH80" s="171">
        <f t="shared" si="9"/>
        <v>0</v>
      </c>
      <c r="AI80" s="171">
        <f t="shared" si="9"/>
        <v>0</v>
      </c>
      <c r="AJ80" s="537">
        <f t="shared" ref="AJ80:AJ83" si="10">SUM(E80:AI80)</f>
        <v>0</v>
      </c>
    </row>
    <row r="81" spans="2:37" x14ac:dyDescent="0.25">
      <c r="B81" s="157"/>
      <c r="C81" s="727" t="s">
        <v>64</v>
      </c>
      <c r="D81" s="728"/>
      <c r="E81" s="171">
        <f>E116</f>
        <v>0</v>
      </c>
      <c r="F81" s="171">
        <f t="shared" ref="F81:AI81" si="11">F116</f>
        <v>0</v>
      </c>
      <c r="G81" s="171">
        <f t="shared" si="11"/>
        <v>0</v>
      </c>
      <c r="H81" s="171">
        <f t="shared" si="11"/>
        <v>0</v>
      </c>
      <c r="I81" s="171">
        <f t="shared" si="11"/>
        <v>0</v>
      </c>
      <c r="J81" s="171">
        <f t="shared" si="11"/>
        <v>0</v>
      </c>
      <c r="K81" s="171">
        <f t="shared" si="11"/>
        <v>0</v>
      </c>
      <c r="L81" s="171">
        <f t="shared" si="11"/>
        <v>0</v>
      </c>
      <c r="M81" s="171">
        <f t="shared" si="11"/>
        <v>0</v>
      </c>
      <c r="N81" s="171">
        <f t="shared" si="11"/>
        <v>0</v>
      </c>
      <c r="O81" s="171">
        <f t="shared" si="11"/>
        <v>0</v>
      </c>
      <c r="P81" s="171">
        <f t="shared" si="11"/>
        <v>0</v>
      </c>
      <c r="Q81" s="171">
        <f t="shared" si="11"/>
        <v>0</v>
      </c>
      <c r="R81" s="171">
        <f t="shared" si="11"/>
        <v>0</v>
      </c>
      <c r="S81" s="171">
        <f t="shared" si="11"/>
        <v>0</v>
      </c>
      <c r="T81" s="171">
        <f t="shared" si="11"/>
        <v>0</v>
      </c>
      <c r="U81" s="171">
        <f t="shared" si="11"/>
        <v>0</v>
      </c>
      <c r="V81" s="171">
        <f t="shared" si="11"/>
        <v>0</v>
      </c>
      <c r="W81" s="171">
        <f t="shared" si="11"/>
        <v>0</v>
      </c>
      <c r="X81" s="171">
        <f t="shared" si="11"/>
        <v>0</v>
      </c>
      <c r="Y81" s="171">
        <f t="shared" si="11"/>
        <v>0</v>
      </c>
      <c r="Z81" s="171">
        <f t="shared" si="11"/>
        <v>0</v>
      </c>
      <c r="AA81" s="171">
        <f t="shared" si="11"/>
        <v>0</v>
      </c>
      <c r="AB81" s="171">
        <f t="shared" si="11"/>
        <v>0</v>
      </c>
      <c r="AC81" s="171">
        <f t="shared" si="11"/>
        <v>0</v>
      </c>
      <c r="AD81" s="171">
        <f t="shared" si="11"/>
        <v>0</v>
      </c>
      <c r="AE81" s="171">
        <f t="shared" si="11"/>
        <v>0</v>
      </c>
      <c r="AF81" s="171">
        <f t="shared" si="11"/>
        <v>0</v>
      </c>
      <c r="AG81" s="171">
        <f t="shared" si="11"/>
        <v>0</v>
      </c>
      <c r="AH81" s="171">
        <f t="shared" si="11"/>
        <v>0</v>
      </c>
      <c r="AI81" s="171">
        <f t="shared" si="11"/>
        <v>0</v>
      </c>
      <c r="AJ81" s="457">
        <f t="shared" si="10"/>
        <v>0</v>
      </c>
    </row>
    <row r="82" spans="2:37" x14ac:dyDescent="0.25">
      <c r="B82" s="157"/>
      <c r="C82" s="763" t="s">
        <v>65</v>
      </c>
      <c r="D82" s="764"/>
      <c r="E82" s="171">
        <f>E132</f>
        <v>0</v>
      </c>
      <c r="F82" s="171">
        <f t="shared" ref="F82:AI82" si="12">F132</f>
        <v>0</v>
      </c>
      <c r="G82" s="171">
        <f t="shared" si="12"/>
        <v>0</v>
      </c>
      <c r="H82" s="171">
        <f t="shared" si="12"/>
        <v>0</v>
      </c>
      <c r="I82" s="171">
        <f t="shared" si="12"/>
        <v>0</v>
      </c>
      <c r="J82" s="171">
        <f t="shared" si="12"/>
        <v>0</v>
      </c>
      <c r="K82" s="171">
        <f t="shared" si="12"/>
        <v>0</v>
      </c>
      <c r="L82" s="171">
        <f t="shared" si="12"/>
        <v>0</v>
      </c>
      <c r="M82" s="171">
        <f t="shared" si="12"/>
        <v>0</v>
      </c>
      <c r="N82" s="171">
        <f t="shared" si="12"/>
        <v>0</v>
      </c>
      <c r="O82" s="171">
        <f t="shared" si="12"/>
        <v>0</v>
      </c>
      <c r="P82" s="171">
        <f t="shared" si="12"/>
        <v>0</v>
      </c>
      <c r="Q82" s="171">
        <f t="shared" si="12"/>
        <v>0</v>
      </c>
      <c r="R82" s="171">
        <f t="shared" si="12"/>
        <v>0</v>
      </c>
      <c r="S82" s="171">
        <f t="shared" si="12"/>
        <v>0</v>
      </c>
      <c r="T82" s="171">
        <f t="shared" si="12"/>
        <v>0</v>
      </c>
      <c r="U82" s="171">
        <f t="shared" si="12"/>
        <v>0</v>
      </c>
      <c r="V82" s="171">
        <f t="shared" si="12"/>
        <v>0</v>
      </c>
      <c r="W82" s="171">
        <f t="shared" si="12"/>
        <v>0</v>
      </c>
      <c r="X82" s="171">
        <f t="shared" si="12"/>
        <v>0</v>
      </c>
      <c r="Y82" s="171">
        <f t="shared" si="12"/>
        <v>0</v>
      </c>
      <c r="Z82" s="171">
        <f t="shared" si="12"/>
        <v>0</v>
      </c>
      <c r="AA82" s="171">
        <f t="shared" si="12"/>
        <v>0</v>
      </c>
      <c r="AB82" s="171">
        <f t="shared" si="12"/>
        <v>0</v>
      </c>
      <c r="AC82" s="171">
        <f t="shared" si="12"/>
        <v>0</v>
      </c>
      <c r="AD82" s="171">
        <f t="shared" si="12"/>
        <v>0</v>
      </c>
      <c r="AE82" s="171">
        <f t="shared" si="12"/>
        <v>0</v>
      </c>
      <c r="AF82" s="171">
        <f t="shared" si="12"/>
        <v>0</v>
      </c>
      <c r="AG82" s="171">
        <f t="shared" si="12"/>
        <v>0</v>
      </c>
      <c r="AH82" s="171">
        <f t="shared" si="12"/>
        <v>0</v>
      </c>
      <c r="AI82" s="171">
        <f t="shared" si="12"/>
        <v>0</v>
      </c>
      <c r="AJ82" s="457">
        <f t="shared" si="10"/>
        <v>0</v>
      </c>
    </row>
    <row r="83" spans="2:37" ht="15.75" thickBot="1" x14ac:dyDescent="0.3">
      <c r="B83" s="157"/>
      <c r="C83" s="765" t="s">
        <v>67</v>
      </c>
      <c r="D83" s="766"/>
      <c r="E83" s="171">
        <f>E148</f>
        <v>0</v>
      </c>
      <c r="F83" s="171">
        <f t="shared" ref="F83:AI83" si="13">F148</f>
        <v>0</v>
      </c>
      <c r="G83" s="171">
        <f t="shared" si="13"/>
        <v>0</v>
      </c>
      <c r="H83" s="171">
        <f t="shared" si="13"/>
        <v>0</v>
      </c>
      <c r="I83" s="171">
        <f t="shared" si="13"/>
        <v>0</v>
      </c>
      <c r="J83" s="171">
        <f t="shared" si="13"/>
        <v>0</v>
      </c>
      <c r="K83" s="171">
        <f t="shared" si="13"/>
        <v>0</v>
      </c>
      <c r="L83" s="171">
        <f t="shared" si="13"/>
        <v>0</v>
      </c>
      <c r="M83" s="171">
        <f t="shared" si="13"/>
        <v>0</v>
      </c>
      <c r="N83" s="171">
        <f t="shared" si="13"/>
        <v>0</v>
      </c>
      <c r="O83" s="171">
        <f t="shared" si="13"/>
        <v>0</v>
      </c>
      <c r="P83" s="171">
        <f t="shared" si="13"/>
        <v>0</v>
      </c>
      <c r="Q83" s="171">
        <f t="shared" si="13"/>
        <v>0</v>
      </c>
      <c r="R83" s="171">
        <f t="shared" si="13"/>
        <v>0</v>
      </c>
      <c r="S83" s="171">
        <f t="shared" si="13"/>
        <v>0</v>
      </c>
      <c r="T83" s="171">
        <f t="shared" si="13"/>
        <v>0</v>
      </c>
      <c r="U83" s="171">
        <f t="shared" si="13"/>
        <v>0</v>
      </c>
      <c r="V83" s="171">
        <f t="shared" si="13"/>
        <v>0</v>
      </c>
      <c r="W83" s="171">
        <f t="shared" si="13"/>
        <v>0</v>
      </c>
      <c r="X83" s="171">
        <f t="shared" si="13"/>
        <v>0</v>
      </c>
      <c r="Y83" s="171">
        <f t="shared" si="13"/>
        <v>0</v>
      </c>
      <c r="Z83" s="171">
        <f t="shared" si="13"/>
        <v>0</v>
      </c>
      <c r="AA83" s="171">
        <f t="shared" si="13"/>
        <v>0</v>
      </c>
      <c r="AB83" s="171">
        <f t="shared" si="13"/>
        <v>0</v>
      </c>
      <c r="AC83" s="171">
        <f t="shared" si="13"/>
        <v>0</v>
      </c>
      <c r="AD83" s="171">
        <f t="shared" si="13"/>
        <v>0</v>
      </c>
      <c r="AE83" s="171">
        <f t="shared" si="13"/>
        <v>0</v>
      </c>
      <c r="AF83" s="171">
        <f t="shared" si="13"/>
        <v>0</v>
      </c>
      <c r="AG83" s="171">
        <f t="shared" si="13"/>
        <v>0</v>
      </c>
      <c r="AH83" s="171">
        <f t="shared" si="13"/>
        <v>0</v>
      </c>
      <c r="AI83" s="171">
        <f t="shared" si="13"/>
        <v>0</v>
      </c>
      <c r="AJ83" s="458">
        <f t="shared" si="10"/>
        <v>0</v>
      </c>
    </row>
    <row r="84" spans="2:37" ht="15.75" thickBot="1" x14ac:dyDescent="0.3">
      <c r="B84" s="157"/>
      <c r="C84" s="828" t="s">
        <v>624</v>
      </c>
      <c r="D84" s="829"/>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c r="AI84" s="61"/>
      <c r="AJ84" s="61"/>
    </row>
    <row r="85" spans="2:37" x14ac:dyDescent="0.25">
      <c r="B85" s="157">
        <v>183</v>
      </c>
      <c r="C85" s="102"/>
      <c r="D85" s="110" t="str">
        <f>HDG_1</f>
        <v>AFR</v>
      </c>
      <c r="E85" s="171">
        <f>E102+E118+E134+E150+E173+E188+E203</f>
        <v>0</v>
      </c>
      <c r="F85" s="171">
        <f t="shared" ref="F85:AI93" si="14">F102+F118+F134+F150+F173+F188+F203</f>
        <v>0</v>
      </c>
      <c r="G85" s="171">
        <f t="shared" si="14"/>
        <v>0</v>
      </c>
      <c r="H85" s="171">
        <f t="shared" si="14"/>
        <v>0</v>
      </c>
      <c r="I85" s="171">
        <f t="shared" si="14"/>
        <v>0</v>
      </c>
      <c r="J85" s="171">
        <f t="shared" si="14"/>
        <v>0</v>
      </c>
      <c r="K85" s="171">
        <f t="shared" si="14"/>
        <v>0</v>
      </c>
      <c r="L85" s="171">
        <f t="shared" si="14"/>
        <v>0</v>
      </c>
      <c r="M85" s="171">
        <f t="shared" si="14"/>
        <v>0</v>
      </c>
      <c r="N85" s="171">
        <f t="shared" si="14"/>
        <v>0</v>
      </c>
      <c r="O85" s="171">
        <f t="shared" si="14"/>
        <v>0</v>
      </c>
      <c r="P85" s="171">
        <f t="shared" si="14"/>
        <v>0</v>
      </c>
      <c r="Q85" s="171">
        <f t="shared" si="14"/>
        <v>0</v>
      </c>
      <c r="R85" s="171">
        <f t="shared" si="14"/>
        <v>0</v>
      </c>
      <c r="S85" s="171">
        <f t="shared" si="14"/>
        <v>0</v>
      </c>
      <c r="T85" s="171">
        <f t="shared" si="14"/>
        <v>0</v>
      </c>
      <c r="U85" s="171">
        <f t="shared" si="14"/>
        <v>0</v>
      </c>
      <c r="V85" s="171">
        <f t="shared" si="14"/>
        <v>0</v>
      </c>
      <c r="W85" s="171">
        <f t="shared" si="14"/>
        <v>0</v>
      </c>
      <c r="X85" s="171">
        <f t="shared" si="14"/>
        <v>0</v>
      </c>
      <c r="Y85" s="171">
        <f t="shared" si="14"/>
        <v>0</v>
      </c>
      <c r="Z85" s="171">
        <f t="shared" si="14"/>
        <v>0</v>
      </c>
      <c r="AA85" s="171">
        <f t="shared" si="14"/>
        <v>0</v>
      </c>
      <c r="AB85" s="171">
        <f t="shared" si="14"/>
        <v>0</v>
      </c>
      <c r="AC85" s="171">
        <f t="shared" si="14"/>
        <v>0</v>
      </c>
      <c r="AD85" s="171">
        <f t="shared" si="14"/>
        <v>0</v>
      </c>
      <c r="AE85" s="171">
        <f t="shared" si="14"/>
        <v>0</v>
      </c>
      <c r="AF85" s="171">
        <f t="shared" si="14"/>
        <v>0</v>
      </c>
      <c r="AG85" s="171">
        <f t="shared" si="14"/>
        <v>0</v>
      </c>
      <c r="AH85" s="171">
        <f t="shared" si="14"/>
        <v>0</v>
      </c>
      <c r="AI85" s="171">
        <f t="shared" si="14"/>
        <v>0</v>
      </c>
      <c r="AJ85" s="41">
        <f t="shared" ref="AJ85:AJ96" si="15">SUM(E85:AI85)</f>
        <v>0</v>
      </c>
      <c r="AK85" s="605"/>
    </row>
    <row r="86" spans="2:37" x14ac:dyDescent="0.25">
      <c r="B86" s="157">
        <v>184</v>
      </c>
      <c r="C86" s="103"/>
      <c r="D86" s="68" t="str">
        <f>HDG_2</f>
        <v>AVP</v>
      </c>
      <c r="E86" s="171">
        <f t="shared" ref="E86:T96" si="16">E103+E119+E135+E151+E174+E189+E204</f>
        <v>0</v>
      </c>
      <c r="F86" s="171">
        <f t="shared" si="16"/>
        <v>0</v>
      </c>
      <c r="G86" s="171">
        <f t="shared" si="16"/>
        <v>0</v>
      </c>
      <c r="H86" s="171">
        <f t="shared" si="16"/>
        <v>0</v>
      </c>
      <c r="I86" s="171">
        <f t="shared" si="16"/>
        <v>0</v>
      </c>
      <c r="J86" s="171">
        <f t="shared" si="16"/>
        <v>0</v>
      </c>
      <c r="K86" s="171">
        <f t="shared" si="16"/>
        <v>0</v>
      </c>
      <c r="L86" s="171">
        <f t="shared" si="16"/>
        <v>0</v>
      </c>
      <c r="M86" s="171">
        <f t="shared" si="16"/>
        <v>0</v>
      </c>
      <c r="N86" s="171">
        <f t="shared" si="16"/>
        <v>0</v>
      </c>
      <c r="O86" s="171">
        <f t="shared" si="16"/>
        <v>0</v>
      </c>
      <c r="P86" s="171">
        <f t="shared" si="16"/>
        <v>0</v>
      </c>
      <c r="Q86" s="171">
        <f t="shared" si="16"/>
        <v>0</v>
      </c>
      <c r="R86" s="171">
        <f t="shared" si="16"/>
        <v>0</v>
      </c>
      <c r="S86" s="171">
        <f t="shared" si="16"/>
        <v>0</v>
      </c>
      <c r="T86" s="171">
        <f t="shared" si="16"/>
        <v>0</v>
      </c>
      <c r="U86" s="171">
        <f t="shared" si="14"/>
        <v>0</v>
      </c>
      <c r="V86" s="171">
        <f t="shared" si="14"/>
        <v>0</v>
      </c>
      <c r="W86" s="171">
        <f t="shared" si="14"/>
        <v>0</v>
      </c>
      <c r="X86" s="171">
        <f t="shared" si="14"/>
        <v>0</v>
      </c>
      <c r="Y86" s="171">
        <f t="shared" si="14"/>
        <v>0</v>
      </c>
      <c r="Z86" s="171">
        <f t="shared" si="14"/>
        <v>0</v>
      </c>
      <c r="AA86" s="171">
        <f t="shared" si="14"/>
        <v>0</v>
      </c>
      <c r="AB86" s="171">
        <f t="shared" si="14"/>
        <v>0</v>
      </c>
      <c r="AC86" s="171">
        <f t="shared" si="14"/>
        <v>0</v>
      </c>
      <c r="AD86" s="171">
        <f t="shared" si="14"/>
        <v>0</v>
      </c>
      <c r="AE86" s="171">
        <f t="shared" si="14"/>
        <v>0</v>
      </c>
      <c r="AF86" s="171">
        <f t="shared" si="14"/>
        <v>0</v>
      </c>
      <c r="AG86" s="171">
        <f t="shared" si="14"/>
        <v>0</v>
      </c>
      <c r="AH86" s="171">
        <f t="shared" si="14"/>
        <v>0</v>
      </c>
      <c r="AI86" s="171">
        <f t="shared" si="14"/>
        <v>0</v>
      </c>
      <c r="AJ86" s="74">
        <f t="shared" si="15"/>
        <v>0</v>
      </c>
      <c r="AK86" s="605"/>
    </row>
    <row r="87" spans="2:37" x14ac:dyDescent="0.25">
      <c r="B87" s="157">
        <v>185</v>
      </c>
      <c r="C87" s="103"/>
      <c r="D87" s="68" t="str">
        <f>HDG_3</f>
        <v>ALZ</v>
      </c>
      <c r="E87" s="171">
        <f t="shared" si="16"/>
        <v>0</v>
      </c>
      <c r="F87" s="171">
        <f t="shared" si="14"/>
        <v>0</v>
      </c>
      <c r="G87" s="171">
        <f t="shared" si="14"/>
        <v>0</v>
      </c>
      <c r="H87" s="171">
        <f t="shared" si="14"/>
        <v>0</v>
      </c>
      <c r="I87" s="171">
        <f t="shared" si="14"/>
        <v>0</v>
      </c>
      <c r="J87" s="171">
        <f t="shared" si="14"/>
        <v>0</v>
      </c>
      <c r="K87" s="171">
        <f t="shared" si="14"/>
        <v>0</v>
      </c>
      <c r="L87" s="171">
        <f t="shared" si="14"/>
        <v>0</v>
      </c>
      <c r="M87" s="171">
        <f t="shared" si="14"/>
        <v>0</v>
      </c>
      <c r="N87" s="171">
        <f t="shared" si="14"/>
        <v>0</v>
      </c>
      <c r="O87" s="171">
        <f t="shared" si="14"/>
        <v>0</v>
      </c>
      <c r="P87" s="171">
        <f t="shared" si="14"/>
        <v>0</v>
      </c>
      <c r="Q87" s="171">
        <f t="shared" si="14"/>
        <v>0</v>
      </c>
      <c r="R87" s="171">
        <f t="shared" si="14"/>
        <v>0</v>
      </c>
      <c r="S87" s="171">
        <f t="shared" si="14"/>
        <v>0</v>
      </c>
      <c r="T87" s="171">
        <f t="shared" si="14"/>
        <v>0</v>
      </c>
      <c r="U87" s="171">
        <f t="shared" si="14"/>
        <v>0</v>
      </c>
      <c r="V87" s="171">
        <f t="shared" si="14"/>
        <v>0</v>
      </c>
      <c r="W87" s="171">
        <f t="shared" si="14"/>
        <v>0</v>
      </c>
      <c r="X87" s="171">
        <f t="shared" si="14"/>
        <v>0</v>
      </c>
      <c r="Y87" s="171">
        <f t="shared" si="14"/>
        <v>0</v>
      </c>
      <c r="Z87" s="171">
        <f t="shared" si="14"/>
        <v>0</v>
      </c>
      <c r="AA87" s="171">
        <f t="shared" si="14"/>
        <v>0</v>
      </c>
      <c r="AB87" s="171">
        <f t="shared" si="14"/>
        <v>0</v>
      </c>
      <c r="AC87" s="171">
        <f t="shared" si="14"/>
        <v>0</v>
      </c>
      <c r="AD87" s="171">
        <f t="shared" si="14"/>
        <v>0</v>
      </c>
      <c r="AE87" s="171">
        <f t="shared" si="14"/>
        <v>0</v>
      </c>
      <c r="AF87" s="171">
        <f t="shared" si="14"/>
        <v>0</v>
      </c>
      <c r="AG87" s="171">
        <f t="shared" si="14"/>
        <v>0</v>
      </c>
      <c r="AH87" s="171">
        <f t="shared" si="14"/>
        <v>0</v>
      </c>
      <c r="AI87" s="171">
        <f t="shared" si="14"/>
        <v>0</v>
      </c>
      <c r="AJ87" s="74">
        <f t="shared" si="15"/>
        <v>0</v>
      </c>
      <c r="AK87" s="605"/>
    </row>
    <row r="88" spans="2:37" x14ac:dyDescent="0.25">
      <c r="B88" s="157">
        <v>186</v>
      </c>
      <c r="C88" s="103"/>
      <c r="D88" s="68" t="str">
        <f>HDG_4</f>
        <v>MZS</v>
      </c>
      <c r="E88" s="171">
        <f t="shared" si="16"/>
        <v>0</v>
      </c>
      <c r="F88" s="171">
        <f t="shared" si="14"/>
        <v>0</v>
      </c>
      <c r="G88" s="171">
        <f t="shared" si="14"/>
        <v>0</v>
      </c>
      <c r="H88" s="171">
        <f t="shared" si="14"/>
        <v>0</v>
      </c>
      <c r="I88" s="171">
        <f t="shared" si="14"/>
        <v>0</v>
      </c>
      <c r="J88" s="171">
        <f t="shared" si="14"/>
        <v>0</v>
      </c>
      <c r="K88" s="171">
        <f t="shared" si="14"/>
        <v>1</v>
      </c>
      <c r="L88" s="171">
        <f t="shared" si="14"/>
        <v>0</v>
      </c>
      <c r="M88" s="171">
        <f t="shared" si="14"/>
        <v>0</v>
      </c>
      <c r="N88" s="171">
        <f t="shared" si="14"/>
        <v>0</v>
      </c>
      <c r="O88" s="171">
        <f t="shared" si="14"/>
        <v>0</v>
      </c>
      <c r="P88" s="171">
        <f t="shared" si="14"/>
        <v>0</v>
      </c>
      <c r="Q88" s="171">
        <f t="shared" si="14"/>
        <v>0</v>
      </c>
      <c r="R88" s="171">
        <f t="shared" si="14"/>
        <v>0</v>
      </c>
      <c r="S88" s="171">
        <f t="shared" si="14"/>
        <v>0</v>
      </c>
      <c r="T88" s="171">
        <f t="shared" si="14"/>
        <v>0</v>
      </c>
      <c r="U88" s="171">
        <f t="shared" si="14"/>
        <v>0</v>
      </c>
      <c r="V88" s="171">
        <f t="shared" si="14"/>
        <v>0</v>
      </c>
      <c r="W88" s="171">
        <f t="shared" si="14"/>
        <v>0</v>
      </c>
      <c r="X88" s="171">
        <f t="shared" si="14"/>
        <v>0</v>
      </c>
      <c r="Y88" s="171">
        <f t="shared" si="14"/>
        <v>0</v>
      </c>
      <c r="Z88" s="171">
        <f t="shared" si="14"/>
        <v>0</v>
      </c>
      <c r="AA88" s="171">
        <f t="shared" si="14"/>
        <v>0</v>
      </c>
      <c r="AB88" s="171">
        <f t="shared" si="14"/>
        <v>0</v>
      </c>
      <c r="AC88" s="171">
        <f t="shared" si="14"/>
        <v>0</v>
      </c>
      <c r="AD88" s="171">
        <f t="shared" si="14"/>
        <v>0</v>
      </c>
      <c r="AE88" s="171">
        <f t="shared" si="14"/>
        <v>0</v>
      </c>
      <c r="AF88" s="171">
        <f t="shared" si="14"/>
        <v>0</v>
      </c>
      <c r="AG88" s="171">
        <f t="shared" si="14"/>
        <v>0</v>
      </c>
      <c r="AH88" s="171">
        <f t="shared" si="14"/>
        <v>0</v>
      </c>
      <c r="AI88" s="171">
        <f t="shared" si="14"/>
        <v>0</v>
      </c>
      <c r="AJ88" s="74">
        <f t="shared" si="15"/>
        <v>1</v>
      </c>
      <c r="AK88" s="605"/>
    </row>
    <row r="89" spans="2:37" x14ac:dyDescent="0.25">
      <c r="B89" s="157">
        <v>187</v>
      </c>
      <c r="C89" s="103"/>
      <c r="D89" s="68" t="str">
        <f>HDG_5</f>
        <v>APR</v>
      </c>
      <c r="E89" s="171">
        <f t="shared" si="16"/>
        <v>0</v>
      </c>
      <c r="F89" s="171">
        <f t="shared" si="14"/>
        <v>0</v>
      </c>
      <c r="G89" s="171">
        <f t="shared" si="14"/>
        <v>0</v>
      </c>
      <c r="H89" s="171">
        <f t="shared" si="14"/>
        <v>0</v>
      </c>
      <c r="I89" s="171">
        <f t="shared" si="14"/>
        <v>0</v>
      </c>
      <c r="J89" s="171">
        <f t="shared" si="14"/>
        <v>0</v>
      </c>
      <c r="K89" s="171">
        <f t="shared" si="14"/>
        <v>0</v>
      </c>
      <c r="L89" s="171">
        <f t="shared" si="14"/>
        <v>0</v>
      </c>
      <c r="M89" s="171">
        <f t="shared" si="14"/>
        <v>0</v>
      </c>
      <c r="N89" s="171">
        <f t="shared" si="14"/>
        <v>0</v>
      </c>
      <c r="O89" s="171">
        <f t="shared" si="14"/>
        <v>0</v>
      </c>
      <c r="P89" s="171">
        <f t="shared" si="14"/>
        <v>0</v>
      </c>
      <c r="Q89" s="171">
        <f t="shared" si="14"/>
        <v>0</v>
      </c>
      <c r="R89" s="171">
        <f t="shared" si="14"/>
        <v>0</v>
      </c>
      <c r="S89" s="171">
        <f t="shared" si="14"/>
        <v>0</v>
      </c>
      <c r="T89" s="171">
        <f t="shared" si="14"/>
        <v>0</v>
      </c>
      <c r="U89" s="171">
        <f t="shared" si="14"/>
        <v>0</v>
      </c>
      <c r="V89" s="171">
        <f t="shared" si="14"/>
        <v>0</v>
      </c>
      <c r="W89" s="171">
        <f t="shared" si="14"/>
        <v>0</v>
      </c>
      <c r="X89" s="171">
        <f t="shared" si="14"/>
        <v>0</v>
      </c>
      <c r="Y89" s="171">
        <f t="shared" si="14"/>
        <v>0</v>
      </c>
      <c r="Z89" s="171">
        <f t="shared" si="14"/>
        <v>0</v>
      </c>
      <c r="AA89" s="171">
        <f t="shared" si="14"/>
        <v>0</v>
      </c>
      <c r="AB89" s="171">
        <f t="shared" si="14"/>
        <v>0</v>
      </c>
      <c r="AC89" s="171">
        <f t="shared" si="14"/>
        <v>0</v>
      </c>
      <c r="AD89" s="171">
        <f t="shared" si="14"/>
        <v>0</v>
      </c>
      <c r="AE89" s="171">
        <f t="shared" si="14"/>
        <v>0</v>
      </c>
      <c r="AF89" s="171">
        <f t="shared" si="14"/>
        <v>0</v>
      </c>
      <c r="AG89" s="171">
        <f t="shared" si="14"/>
        <v>0</v>
      </c>
      <c r="AH89" s="171">
        <f t="shared" si="14"/>
        <v>0</v>
      </c>
      <c r="AI89" s="171">
        <f t="shared" si="14"/>
        <v>0</v>
      </c>
      <c r="AJ89" s="74">
        <f t="shared" si="15"/>
        <v>0</v>
      </c>
      <c r="AK89" s="605"/>
    </row>
    <row r="90" spans="2:37" x14ac:dyDescent="0.25">
      <c r="B90" s="157">
        <v>188</v>
      </c>
      <c r="C90" s="103"/>
      <c r="D90" s="68" t="str">
        <f>HDG_6</f>
        <v>DCG</v>
      </c>
      <c r="E90" s="171">
        <f t="shared" si="16"/>
        <v>0</v>
      </c>
      <c r="F90" s="171">
        <f t="shared" si="14"/>
        <v>0</v>
      </c>
      <c r="G90" s="171">
        <f t="shared" si="14"/>
        <v>0</v>
      </c>
      <c r="H90" s="171">
        <f t="shared" si="14"/>
        <v>0</v>
      </c>
      <c r="I90" s="171">
        <f t="shared" si="14"/>
        <v>0</v>
      </c>
      <c r="J90" s="171">
        <f t="shared" si="14"/>
        <v>0</v>
      </c>
      <c r="K90" s="171">
        <f t="shared" si="14"/>
        <v>0</v>
      </c>
      <c r="L90" s="171">
        <f t="shared" si="14"/>
        <v>0</v>
      </c>
      <c r="M90" s="171">
        <f t="shared" si="14"/>
        <v>0</v>
      </c>
      <c r="N90" s="171">
        <f t="shared" si="14"/>
        <v>0</v>
      </c>
      <c r="O90" s="171">
        <f t="shared" si="14"/>
        <v>0</v>
      </c>
      <c r="P90" s="171">
        <f t="shared" si="14"/>
        <v>0</v>
      </c>
      <c r="Q90" s="171">
        <f t="shared" si="14"/>
        <v>0</v>
      </c>
      <c r="R90" s="171">
        <f t="shared" si="14"/>
        <v>0</v>
      </c>
      <c r="S90" s="171">
        <f t="shared" si="14"/>
        <v>0</v>
      </c>
      <c r="T90" s="171">
        <f t="shared" si="14"/>
        <v>0</v>
      </c>
      <c r="U90" s="171">
        <f t="shared" si="14"/>
        <v>0</v>
      </c>
      <c r="V90" s="171">
        <f t="shared" si="14"/>
        <v>0</v>
      </c>
      <c r="W90" s="171">
        <f t="shared" si="14"/>
        <v>0</v>
      </c>
      <c r="X90" s="171">
        <f t="shared" si="14"/>
        <v>0</v>
      </c>
      <c r="Y90" s="171">
        <f t="shared" si="14"/>
        <v>0</v>
      </c>
      <c r="Z90" s="171">
        <f t="shared" si="14"/>
        <v>0</v>
      </c>
      <c r="AA90" s="171">
        <f t="shared" si="14"/>
        <v>0</v>
      </c>
      <c r="AB90" s="171">
        <f t="shared" si="14"/>
        <v>0</v>
      </c>
      <c r="AC90" s="171">
        <f t="shared" si="14"/>
        <v>0</v>
      </c>
      <c r="AD90" s="171">
        <f t="shared" si="14"/>
        <v>0</v>
      </c>
      <c r="AE90" s="171">
        <f t="shared" si="14"/>
        <v>0</v>
      </c>
      <c r="AF90" s="171">
        <f t="shared" si="14"/>
        <v>0</v>
      </c>
      <c r="AG90" s="171">
        <f t="shared" si="14"/>
        <v>0</v>
      </c>
      <c r="AH90" s="171">
        <f t="shared" si="14"/>
        <v>0</v>
      </c>
      <c r="AI90" s="171">
        <f t="shared" si="14"/>
        <v>0</v>
      </c>
      <c r="AJ90" s="74">
        <f t="shared" si="15"/>
        <v>0</v>
      </c>
      <c r="AK90" s="605"/>
    </row>
    <row r="91" spans="2:37" x14ac:dyDescent="0.25">
      <c r="B91" s="157">
        <v>189</v>
      </c>
      <c r="C91" s="103"/>
      <c r="D91" s="68" t="str">
        <f>HDG_7</f>
        <v>SFS</v>
      </c>
      <c r="E91" s="171">
        <f t="shared" si="16"/>
        <v>0</v>
      </c>
      <c r="F91" s="171">
        <f t="shared" si="14"/>
        <v>0</v>
      </c>
      <c r="G91" s="171">
        <f t="shared" si="14"/>
        <v>0</v>
      </c>
      <c r="H91" s="171">
        <f t="shared" si="14"/>
        <v>0</v>
      </c>
      <c r="I91" s="171">
        <f t="shared" si="14"/>
        <v>0</v>
      </c>
      <c r="J91" s="171">
        <f t="shared" si="14"/>
        <v>0</v>
      </c>
      <c r="K91" s="171">
        <f t="shared" si="14"/>
        <v>0</v>
      </c>
      <c r="L91" s="171">
        <f t="shared" si="14"/>
        <v>0</v>
      </c>
      <c r="M91" s="171">
        <f t="shared" si="14"/>
        <v>0</v>
      </c>
      <c r="N91" s="171">
        <f t="shared" si="14"/>
        <v>0</v>
      </c>
      <c r="O91" s="171">
        <f t="shared" si="14"/>
        <v>0</v>
      </c>
      <c r="P91" s="171">
        <f t="shared" si="14"/>
        <v>0</v>
      </c>
      <c r="Q91" s="171">
        <f t="shared" si="14"/>
        <v>0</v>
      </c>
      <c r="R91" s="171">
        <f t="shared" si="14"/>
        <v>0</v>
      </c>
      <c r="S91" s="171">
        <f t="shared" si="14"/>
        <v>0</v>
      </c>
      <c r="T91" s="171">
        <f t="shared" si="14"/>
        <v>0</v>
      </c>
      <c r="U91" s="171">
        <f t="shared" si="14"/>
        <v>0</v>
      </c>
      <c r="V91" s="171">
        <f t="shared" si="14"/>
        <v>0</v>
      </c>
      <c r="W91" s="171">
        <f t="shared" si="14"/>
        <v>0</v>
      </c>
      <c r="X91" s="171">
        <f t="shared" si="14"/>
        <v>0</v>
      </c>
      <c r="Y91" s="171">
        <f t="shared" si="14"/>
        <v>0</v>
      </c>
      <c r="Z91" s="171">
        <f t="shared" si="14"/>
        <v>0</v>
      </c>
      <c r="AA91" s="171">
        <f t="shared" si="14"/>
        <v>0</v>
      </c>
      <c r="AB91" s="171">
        <f t="shared" si="14"/>
        <v>0</v>
      </c>
      <c r="AC91" s="171">
        <f t="shared" si="14"/>
        <v>0</v>
      </c>
      <c r="AD91" s="171">
        <f t="shared" si="14"/>
        <v>0</v>
      </c>
      <c r="AE91" s="171">
        <f t="shared" si="14"/>
        <v>0</v>
      </c>
      <c r="AF91" s="171">
        <f t="shared" si="14"/>
        <v>0</v>
      </c>
      <c r="AG91" s="171">
        <f t="shared" si="14"/>
        <v>0</v>
      </c>
      <c r="AH91" s="171">
        <f t="shared" si="14"/>
        <v>0</v>
      </c>
      <c r="AI91" s="171">
        <f t="shared" si="14"/>
        <v>0</v>
      </c>
      <c r="AJ91" s="74">
        <f t="shared" si="15"/>
        <v>0</v>
      </c>
      <c r="AK91" s="605"/>
    </row>
    <row r="92" spans="2:37" x14ac:dyDescent="0.25">
      <c r="B92" s="157">
        <v>190</v>
      </c>
      <c r="C92" s="103"/>
      <c r="D92" s="68" t="str">
        <f>HDG_8</f>
        <v>AZH</v>
      </c>
      <c r="E92" s="171">
        <f t="shared" si="16"/>
        <v>0</v>
      </c>
      <c r="F92" s="171">
        <f t="shared" si="14"/>
        <v>0</v>
      </c>
      <c r="G92" s="171">
        <f t="shared" si="14"/>
        <v>0</v>
      </c>
      <c r="H92" s="171">
        <f t="shared" si="14"/>
        <v>0</v>
      </c>
      <c r="I92" s="171">
        <f t="shared" si="14"/>
        <v>0</v>
      </c>
      <c r="J92" s="171">
        <f t="shared" si="14"/>
        <v>0</v>
      </c>
      <c r="K92" s="171">
        <f t="shared" si="14"/>
        <v>0</v>
      </c>
      <c r="L92" s="171">
        <f t="shared" si="14"/>
        <v>0</v>
      </c>
      <c r="M92" s="171">
        <f t="shared" si="14"/>
        <v>0</v>
      </c>
      <c r="N92" s="171">
        <f t="shared" si="14"/>
        <v>0</v>
      </c>
      <c r="O92" s="171">
        <f t="shared" si="14"/>
        <v>0</v>
      </c>
      <c r="P92" s="171">
        <f t="shared" si="14"/>
        <v>0</v>
      </c>
      <c r="Q92" s="171">
        <f t="shared" si="14"/>
        <v>0</v>
      </c>
      <c r="R92" s="171">
        <f t="shared" si="14"/>
        <v>0</v>
      </c>
      <c r="S92" s="171">
        <f t="shared" si="14"/>
        <v>0</v>
      </c>
      <c r="T92" s="171">
        <f t="shared" si="14"/>
        <v>0</v>
      </c>
      <c r="U92" s="171">
        <f t="shared" si="14"/>
        <v>0</v>
      </c>
      <c r="V92" s="171">
        <f t="shared" si="14"/>
        <v>0</v>
      </c>
      <c r="W92" s="171">
        <f t="shared" si="14"/>
        <v>0</v>
      </c>
      <c r="X92" s="171">
        <f t="shared" si="14"/>
        <v>0</v>
      </c>
      <c r="Y92" s="171">
        <f t="shared" si="14"/>
        <v>0</v>
      </c>
      <c r="Z92" s="171">
        <f t="shared" si="14"/>
        <v>0</v>
      </c>
      <c r="AA92" s="171">
        <f t="shared" si="14"/>
        <v>0</v>
      </c>
      <c r="AB92" s="171">
        <f t="shared" si="14"/>
        <v>0</v>
      </c>
      <c r="AC92" s="171">
        <f t="shared" si="14"/>
        <v>0</v>
      </c>
      <c r="AD92" s="171">
        <f t="shared" si="14"/>
        <v>0</v>
      </c>
      <c r="AE92" s="171">
        <f t="shared" si="14"/>
        <v>0</v>
      </c>
      <c r="AF92" s="171">
        <f t="shared" si="14"/>
        <v>0</v>
      </c>
      <c r="AG92" s="171">
        <f t="shared" si="14"/>
        <v>0</v>
      </c>
      <c r="AH92" s="171">
        <f t="shared" si="14"/>
        <v>0</v>
      </c>
      <c r="AI92" s="171">
        <f t="shared" si="14"/>
        <v>0</v>
      </c>
      <c r="AJ92" s="74">
        <f t="shared" si="15"/>
        <v>0</v>
      </c>
      <c r="AK92" s="605"/>
    </row>
    <row r="93" spans="2:37" x14ac:dyDescent="0.25">
      <c r="B93" s="157">
        <v>191</v>
      </c>
      <c r="C93" s="103"/>
      <c r="D93" s="68" t="str">
        <f>HDG_9</f>
        <v>HLI</v>
      </c>
      <c r="E93" s="171">
        <f t="shared" si="16"/>
        <v>0</v>
      </c>
      <c r="F93" s="171">
        <f t="shared" si="14"/>
        <v>0</v>
      </c>
      <c r="G93" s="171">
        <f t="shared" si="14"/>
        <v>0</v>
      </c>
      <c r="H93" s="171">
        <f t="shared" si="14"/>
        <v>0</v>
      </c>
      <c r="I93" s="171">
        <f t="shared" si="14"/>
        <v>0</v>
      </c>
      <c r="J93" s="171">
        <f t="shared" si="14"/>
        <v>0</v>
      </c>
      <c r="K93" s="171">
        <f t="shared" si="14"/>
        <v>0</v>
      </c>
      <c r="L93" s="171">
        <f t="shared" si="14"/>
        <v>0</v>
      </c>
      <c r="M93" s="171">
        <f t="shared" si="14"/>
        <v>0</v>
      </c>
      <c r="N93" s="171">
        <f t="shared" si="14"/>
        <v>0</v>
      </c>
      <c r="O93" s="171">
        <f t="shared" si="14"/>
        <v>0</v>
      </c>
      <c r="P93" s="171">
        <f t="shared" si="14"/>
        <v>0</v>
      </c>
      <c r="Q93" s="171">
        <f t="shared" si="14"/>
        <v>0</v>
      </c>
      <c r="R93" s="171">
        <f t="shared" si="14"/>
        <v>0</v>
      </c>
      <c r="S93" s="171">
        <f t="shared" si="14"/>
        <v>0</v>
      </c>
      <c r="T93" s="171">
        <f t="shared" si="14"/>
        <v>0</v>
      </c>
      <c r="U93" s="171">
        <f t="shared" si="14"/>
        <v>0</v>
      </c>
      <c r="V93" s="171">
        <f t="shared" si="14"/>
        <v>0</v>
      </c>
      <c r="W93" s="171">
        <f t="shared" si="14"/>
        <v>0</v>
      </c>
      <c r="X93" s="171">
        <f t="shared" si="14"/>
        <v>0</v>
      </c>
      <c r="Y93" s="171">
        <f t="shared" si="14"/>
        <v>0</v>
      </c>
      <c r="Z93" s="171">
        <f t="shared" si="14"/>
        <v>0</v>
      </c>
      <c r="AA93" s="171">
        <f t="shared" si="14"/>
        <v>0</v>
      </c>
      <c r="AB93" s="171">
        <f t="shared" si="14"/>
        <v>0</v>
      </c>
      <c r="AC93" s="171">
        <f t="shared" si="14"/>
        <v>0</v>
      </c>
      <c r="AD93" s="171">
        <f t="shared" si="14"/>
        <v>0</v>
      </c>
      <c r="AE93" s="171">
        <f t="shared" si="14"/>
        <v>0</v>
      </c>
      <c r="AF93" s="171">
        <f t="shared" si="14"/>
        <v>0</v>
      </c>
      <c r="AG93" s="171">
        <f t="shared" si="14"/>
        <v>0</v>
      </c>
      <c r="AH93" s="171">
        <f t="shared" si="14"/>
        <v>0</v>
      </c>
      <c r="AI93" s="171">
        <f t="shared" si="14"/>
        <v>0</v>
      </c>
      <c r="AJ93" s="74">
        <f t="shared" si="15"/>
        <v>0</v>
      </c>
      <c r="AK93" s="605"/>
    </row>
    <row r="94" spans="2:37" x14ac:dyDescent="0.25">
      <c r="B94" s="157">
        <v>192</v>
      </c>
      <c r="C94" s="103"/>
      <c r="D94" s="68" t="str">
        <f>HDG_10</f>
        <v>MCM</v>
      </c>
      <c r="E94" s="171">
        <f t="shared" si="16"/>
        <v>0</v>
      </c>
      <c r="F94" s="171">
        <f t="shared" ref="F94:AI96" si="17">F111+F127+F143+F159+F182+F197+F212</f>
        <v>0</v>
      </c>
      <c r="G94" s="171">
        <f t="shared" si="17"/>
        <v>0</v>
      </c>
      <c r="H94" s="171">
        <f t="shared" si="17"/>
        <v>0</v>
      </c>
      <c r="I94" s="171">
        <f t="shared" si="17"/>
        <v>0</v>
      </c>
      <c r="J94" s="171">
        <f t="shared" si="17"/>
        <v>0</v>
      </c>
      <c r="K94" s="171">
        <f t="shared" si="17"/>
        <v>0</v>
      </c>
      <c r="L94" s="171">
        <f t="shared" si="17"/>
        <v>0</v>
      </c>
      <c r="M94" s="171">
        <f t="shared" si="17"/>
        <v>0</v>
      </c>
      <c r="N94" s="171">
        <f t="shared" si="17"/>
        <v>0</v>
      </c>
      <c r="O94" s="171">
        <f t="shared" si="17"/>
        <v>0</v>
      </c>
      <c r="P94" s="171">
        <f t="shared" si="17"/>
        <v>0</v>
      </c>
      <c r="Q94" s="171">
        <f t="shared" si="17"/>
        <v>0</v>
      </c>
      <c r="R94" s="171">
        <f t="shared" si="17"/>
        <v>0</v>
      </c>
      <c r="S94" s="171">
        <f t="shared" si="17"/>
        <v>0</v>
      </c>
      <c r="T94" s="171">
        <f t="shared" si="17"/>
        <v>0</v>
      </c>
      <c r="U94" s="171">
        <f t="shared" si="17"/>
        <v>0</v>
      </c>
      <c r="V94" s="171">
        <f t="shared" si="17"/>
        <v>0</v>
      </c>
      <c r="W94" s="171">
        <f t="shared" si="17"/>
        <v>0</v>
      </c>
      <c r="X94" s="171">
        <f t="shared" si="17"/>
        <v>0</v>
      </c>
      <c r="Y94" s="171">
        <f t="shared" si="17"/>
        <v>0</v>
      </c>
      <c r="Z94" s="171">
        <f t="shared" si="17"/>
        <v>0</v>
      </c>
      <c r="AA94" s="171">
        <f t="shared" si="17"/>
        <v>0</v>
      </c>
      <c r="AB94" s="171">
        <f t="shared" si="17"/>
        <v>0</v>
      </c>
      <c r="AC94" s="171">
        <f t="shared" si="17"/>
        <v>0</v>
      </c>
      <c r="AD94" s="171">
        <f t="shared" si="17"/>
        <v>0</v>
      </c>
      <c r="AE94" s="171">
        <f t="shared" si="17"/>
        <v>0</v>
      </c>
      <c r="AF94" s="171">
        <f t="shared" si="17"/>
        <v>0</v>
      </c>
      <c r="AG94" s="171">
        <f t="shared" si="17"/>
        <v>0</v>
      </c>
      <c r="AH94" s="171">
        <f t="shared" si="17"/>
        <v>0</v>
      </c>
      <c r="AI94" s="171">
        <f t="shared" si="17"/>
        <v>0</v>
      </c>
      <c r="AJ94" s="74">
        <f t="shared" si="15"/>
        <v>0</v>
      </c>
      <c r="AK94" s="605"/>
    </row>
    <row r="95" spans="2:37" x14ac:dyDescent="0.25">
      <c r="B95" s="157">
        <v>193</v>
      </c>
      <c r="C95" s="103"/>
      <c r="D95" s="68" t="str">
        <f>HDG_11</f>
        <v>MCR</v>
      </c>
      <c r="E95" s="171">
        <f t="shared" si="16"/>
        <v>0</v>
      </c>
      <c r="F95" s="171">
        <f t="shared" si="17"/>
        <v>0</v>
      </c>
      <c r="G95" s="171">
        <f t="shared" si="17"/>
        <v>0</v>
      </c>
      <c r="H95" s="171">
        <f t="shared" si="17"/>
        <v>0</v>
      </c>
      <c r="I95" s="171">
        <f t="shared" si="17"/>
        <v>0</v>
      </c>
      <c r="J95" s="171">
        <f t="shared" si="17"/>
        <v>0</v>
      </c>
      <c r="K95" s="171">
        <f t="shared" si="17"/>
        <v>0</v>
      </c>
      <c r="L95" s="171">
        <f t="shared" si="17"/>
        <v>0</v>
      </c>
      <c r="M95" s="171">
        <f t="shared" si="17"/>
        <v>0</v>
      </c>
      <c r="N95" s="171">
        <f t="shared" si="17"/>
        <v>0</v>
      </c>
      <c r="O95" s="171">
        <f t="shared" si="17"/>
        <v>0</v>
      </c>
      <c r="P95" s="171">
        <f t="shared" si="17"/>
        <v>0</v>
      </c>
      <c r="Q95" s="171">
        <f t="shared" si="17"/>
        <v>0</v>
      </c>
      <c r="R95" s="171">
        <f t="shared" si="17"/>
        <v>0</v>
      </c>
      <c r="S95" s="171">
        <f t="shared" si="17"/>
        <v>0</v>
      </c>
      <c r="T95" s="171">
        <f t="shared" si="17"/>
        <v>0</v>
      </c>
      <c r="U95" s="171">
        <f t="shared" si="17"/>
        <v>0</v>
      </c>
      <c r="V95" s="171">
        <f t="shared" si="17"/>
        <v>0</v>
      </c>
      <c r="W95" s="171">
        <f t="shared" si="17"/>
        <v>0</v>
      </c>
      <c r="X95" s="171">
        <f t="shared" si="17"/>
        <v>0</v>
      </c>
      <c r="Y95" s="171">
        <f t="shared" si="17"/>
        <v>0</v>
      </c>
      <c r="Z95" s="171">
        <f t="shared" si="17"/>
        <v>0</v>
      </c>
      <c r="AA95" s="171">
        <f t="shared" si="17"/>
        <v>0</v>
      </c>
      <c r="AB95" s="171">
        <f t="shared" si="17"/>
        <v>0</v>
      </c>
      <c r="AC95" s="171">
        <f t="shared" si="17"/>
        <v>0</v>
      </c>
      <c r="AD95" s="171">
        <f t="shared" si="17"/>
        <v>0</v>
      </c>
      <c r="AE95" s="171">
        <f t="shared" si="17"/>
        <v>0</v>
      </c>
      <c r="AF95" s="171">
        <f t="shared" si="17"/>
        <v>0</v>
      </c>
      <c r="AG95" s="171">
        <f t="shared" si="17"/>
        <v>0</v>
      </c>
      <c r="AH95" s="171">
        <f t="shared" si="17"/>
        <v>0</v>
      </c>
      <c r="AI95" s="171">
        <f t="shared" si="17"/>
        <v>0</v>
      </c>
      <c r="AJ95" s="74">
        <f t="shared" si="15"/>
        <v>0</v>
      </c>
      <c r="AK95" s="605"/>
    </row>
    <row r="96" spans="2:37" ht="15.75" thickBot="1" x14ac:dyDescent="0.3">
      <c r="B96" s="157">
        <v>194</v>
      </c>
      <c r="C96" s="175"/>
      <c r="D96" s="69" t="s">
        <v>406</v>
      </c>
      <c r="E96" s="171">
        <f t="shared" si="16"/>
        <v>0</v>
      </c>
      <c r="F96" s="171">
        <f t="shared" si="17"/>
        <v>0</v>
      </c>
      <c r="G96" s="171">
        <f t="shared" si="17"/>
        <v>0</v>
      </c>
      <c r="H96" s="171">
        <f t="shared" si="17"/>
        <v>0</v>
      </c>
      <c r="I96" s="171">
        <f t="shared" si="17"/>
        <v>0</v>
      </c>
      <c r="J96" s="171">
        <f t="shared" si="17"/>
        <v>0</v>
      </c>
      <c r="K96" s="171">
        <f t="shared" si="17"/>
        <v>0</v>
      </c>
      <c r="L96" s="171">
        <f t="shared" si="17"/>
        <v>0</v>
      </c>
      <c r="M96" s="171">
        <f t="shared" si="17"/>
        <v>0</v>
      </c>
      <c r="N96" s="171">
        <f t="shared" si="17"/>
        <v>0</v>
      </c>
      <c r="O96" s="171">
        <f t="shared" si="17"/>
        <v>0</v>
      </c>
      <c r="P96" s="171">
        <f t="shared" si="17"/>
        <v>0</v>
      </c>
      <c r="Q96" s="171">
        <f t="shared" si="17"/>
        <v>0</v>
      </c>
      <c r="R96" s="171">
        <f t="shared" si="17"/>
        <v>0</v>
      </c>
      <c r="S96" s="171">
        <f t="shared" si="17"/>
        <v>0</v>
      </c>
      <c r="T96" s="171">
        <f t="shared" si="17"/>
        <v>0</v>
      </c>
      <c r="U96" s="171">
        <f t="shared" si="17"/>
        <v>0</v>
      </c>
      <c r="V96" s="171">
        <f t="shared" si="17"/>
        <v>0</v>
      </c>
      <c r="W96" s="171">
        <f t="shared" si="17"/>
        <v>0</v>
      </c>
      <c r="X96" s="171">
        <f t="shared" si="17"/>
        <v>0</v>
      </c>
      <c r="Y96" s="171">
        <f t="shared" si="17"/>
        <v>0</v>
      </c>
      <c r="Z96" s="171">
        <f t="shared" si="17"/>
        <v>0</v>
      </c>
      <c r="AA96" s="171">
        <f t="shared" si="17"/>
        <v>0</v>
      </c>
      <c r="AB96" s="171">
        <f t="shared" si="17"/>
        <v>0</v>
      </c>
      <c r="AC96" s="171">
        <f t="shared" si="17"/>
        <v>0</v>
      </c>
      <c r="AD96" s="171">
        <f t="shared" si="17"/>
        <v>0</v>
      </c>
      <c r="AE96" s="171">
        <f t="shared" si="17"/>
        <v>0</v>
      </c>
      <c r="AF96" s="171">
        <f t="shared" si="17"/>
        <v>0</v>
      </c>
      <c r="AG96" s="171">
        <f t="shared" si="17"/>
        <v>0</v>
      </c>
      <c r="AH96" s="171">
        <f t="shared" si="17"/>
        <v>0</v>
      </c>
      <c r="AI96" s="171">
        <f t="shared" si="17"/>
        <v>0</v>
      </c>
      <c r="AJ96" s="42">
        <f t="shared" si="15"/>
        <v>0</v>
      </c>
      <c r="AK96" s="605"/>
    </row>
    <row r="97" spans="2:36" x14ac:dyDescent="0.25">
      <c r="B97" s="157"/>
      <c r="C97" s="535"/>
      <c r="D97" s="535"/>
      <c r="E97" s="181"/>
      <c r="F97" s="61"/>
      <c r="G97" s="181"/>
      <c r="H97" s="61"/>
      <c r="I97" s="181"/>
      <c r="J97" s="61"/>
      <c r="K97" s="181"/>
      <c r="L97" s="61"/>
      <c r="M97" s="181"/>
      <c r="N97" s="61"/>
      <c r="O97" s="181"/>
      <c r="P97" s="61"/>
      <c r="Q97" s="181"/>
      <c r="R97" s="61"/>
      <c r="S97" s="181"/>
      <c r="T97" s="61"/>
      <c r="U97" s="181"/>
      <c r="V97" s="61"/>
      <c r="W97" s="181"/>
      <c r="X97" s="61"/>
      <c r="Y97" s="181"/>
      <c r="Z97" s="61"/>
      <c r="AA97" s="181"/>
      <c r="AB97" s="61"/>
      <c r="AC97" s="181"/>
      <c r="AD97" s="61"/>
      <c r="AE97" s="181"/>
      <c r="AF97" s="61"/>
      <c r="AG97" s="181"/>
      <c r="AH97" s="61"/>
      <c r="AI97" s="181"/>
      <c r="AJ97" s="61"/>
    </row>
    <row r="98" spans="2:36" ht="15.75" thickBot="1" x14ac:dyDescent="0.3">
      <c r="B98" s="157"/>
      <c r="C98" s="535"/>
      <c r="D98" s="535"/>
      <c r="E98" s="181"/>
      <c r="F98" s="61"/>
      <c r="G98" s="181"/>
      <c r="H98" s="61"/>
      <c r="I98" s="181"/>
      <c r="J98" s="61"/>
      <c r="K98" s="181"/>
      <c r="L98" s="61"/>
      <c r="M98" s="181"/>
      <c r="N98" s="61"/>
      <c r="O98" s="181"/>
      <c r="P98" s="61"/>
      <c r="Q98" s="181"/>
      <c r="R98" s="61"/>
      <c r="S98" s="181"/>
      <c r="T98" s="61"/>
      <c r="U98" s="181"/>
      <c r="V98" s="61"/>
      <c r="W98" s="181"/>
      <c r="X98" s="61"/>
      <c r="Y98" s="181"/>
      <c r="Z98" s="61"/>
      <c r="AA98" s="181"/>
      <c r="AB98" s="61"/>
      <c r="AC98" s="181"/>
      <c r="AD98" s="61"/>
      <c r="AE98" s="181"/>
      <c r="AF98" s="61"/>
      <c r="AG98" s="181"/>
      <c r="AH98" s="61"/>
      <c r="AI98" s="181"/>
      <c r="AJ98" s="61"/>
    </row>
    <row r="99" spans="2:36" ht="15.75" thickBot="1" x14ac:dyDescent="0.3">
      <c r="B99" s="157"/>
      <c r="C99" s="830" t="s">
        <v>55</v>
      </c>
      <c r="D99" s="831"/>
      <c r="E99" s="181"/>
      <c r="F99" s="61"/>
      <c r="G99" s="181"/>
      <c r="H99" s="61"/>
      <c r="I99" s="181"/>
      <c r="J99" s="61"/>
      <c r="K99" s="181"/>
      <c r="L99" s="61"/>
      <c r="M99" s="181"/>
      <c r="N99" s="61"/>
      <c r="O99" s="181"/>
      <c r="P99" s="61"/>
      <c r="Q99" s="181"/>
      <c r="R99" s="61"/>
      <c r="S99" s="181"/>
      <c r="T99" s="61"/>
      <c r="U99" s="181"/>
      <c r="V99" s="61"/>
      <c r="W99" s="181"/>
      <c r="X99" s="61"/>
      <c r="Y99" s="181"/>
      <c r="Z99" s="61"/>
      <c r="AA99" s="181"/>
      <c r="AB99" s="61"/>
      <c r="AC99" s="181"/>
      <c r="AD99" s="61"/>
      <c r="AE99" s="181"/>
      <c r="AF99" s="61"/>
      <c r="AG99" s="181"/>
      <c r="AH99" s="61"/>
      <c r="AI99" s="181"/>
      <c r="AJ99" s="61"/>
    </row>
    <row r="100" spans="2:36" ht="15.75" thickBot="1" x14ac:dyDescent="0.3">
      <c r="B100" s="157">
        <v>56</v>
      </c>
      <c r="C100" s="727" t="s">
        <v>425</v>
      </c>
      <c r="D100" s="728"/>
      <c r="E100" s="171"/>
      <c r="F100" s="28"/>
      <c r="G100" s="171"/>
      <c r="H100" s="28"/>
      <c r="I100" s="171"/>
      <c r="J100" s="28"/>
      <c r="K100" s="171"/>
      <c r="L100" s="28"/>
      <c r="M100" s="171"/>
      <c r="N100" s="28"/>
      <c r="O100" s="171"/>
      <c r="P100" s="28"/>
      <c r="Q100" s="171"/>
      <c r="R100" s="28"/>
      <c r="S100" s="171"/>
      <c r="T100" s="28"/>
      <c r="U100" s="171"/>
      <c r="V100" s="28"/>
      <c r="W100" s="171"/>
      <c r="X100" s="28"/>
      <c r="Y100" s="171"/>
      <c r="Z100" s="28"/>
      <c r="AA100" s="171"/>
      <c r="AB100" s="28"/>
      <c r="AC100" s="171"/>
      <c r="AD100" s="28"/>
      <c r="AE100" s="171"/>
      <c r="AF100" s="28"/>
      <c r="AG100" s="171"/>
      <c r="AH100" s="28"/>
      <c r="AI100" s="171"/>
      <c r="AJ100" s="41">
        <f>SUM(E100:AI100)</f>
        <v>0</v>
      </c>
    </row>
    <row r="101" spans="2:36" ht="15.75" thickBot="1" x14ac:dyDescent="0.3">
      <c r="B101" s="157"/>
      <c r="C101" s="828" t="s">
        <v>56</v>
      </c>
      <c r="D101" s="829"/>
      <c r="E101" s="181"/>
      <c r="F101" s="61"/>
      <c r="G101" s="181"/>
      <c r="H101" s="61"/>
      <c r="I101" s="181"/>
      <c r="J101" s="61"/>
      <c r="K101" s="181"/>
      <c r="L101" s="61"/>
      <c r="M101" s="181"/>
      <c r="N101" s="61"/>
      <c r="O101" s="181"/>
      <c r="P101" s="61"/>
      <c r="Q101" s="181"/>
      <c r="R101" s="61"/>
      <c r="S101" s="181"/>
      <c r="T101" s="61"/>
      <c r="U101" s="181"/>
      <c r="V101" s="61"/>
      <c r="W101" s="181"/>
      <c r="X101" s="61"/>
      <c r="Y101" s="181"/>
      <c r="Z101" s="61"/>
      <c r="AA101" s="181"/>
      <c r="AB101" s="61"/>
      <c r="AC101" s="181"/>
      <c r="AD101" s="61"/>
      <c r="AE101" s="181"/>
      <c r="AF101" s="61"/>
      <c r="AG101" s="181"/>
      <c r="AH101" s="61"/>
      <c r="AI101" s="181"/>
      <c r="AJ101" s="308"/>
    </row>
    <row r="102" spans="2:36" x14ac:dyDescent="0.25">
      <c r="B102" s="157">
        <v>57</v>
      </c>
      <c r="C102" s="760"/>
      <c r="D102" s="110" t="str">
        <f>HDG_1</f>
        <v>AFR</v>
      </c>
      <c r="E102" s="171"/>
      <c r="F102" s="28"/>
      <c r="G102" s="171"/>
      <c r="H102" s="28"/>
      <c r="I102" s="171"/>
      <c r="J102" s="28"/>
      <c r="K102" s="171"/>
      <c r="L102" s="28"/>
      <c r="M102" s="171"/>
      <c r="N102" s="28"/>
      <c r="O102" s="171"/>
      <c r="P102" s="28"/>
      <c r="Q102" s="171"/>
      <c r="R102" s="28"/>
      <c r="S102" s="171"/>
      <c r="T102" s="28"/>
      <c r="U102" s="171"/>
      <c r="V102" s="28"/>
      <c r="W102" s="171"/>
      <c r="X102" s="28"/>
      <c r="Y102" s="171"/>
      <c r="Z102" s="28"/>
      <c r="AA102" s="171"/>
      <c r="AB102" s="28"/>
      <c r="AC102" s="171"/>
      <c r="AD102" s="28"/>
      <c r="AE102" s="171"/>
      <c r="AF102" s="28"/>
      <c r="AG102" s="171"/>
      <c r="AH102" s="28"/>
      <c r="AI102" s="171"/>
      <c r="AJ102" s="74">
        <f t="shared" ref="AJ102:AJ113" si="18">SUM(E102:AI102)</f>
        <v>0</v>
      </c>
    </row>
    <row r="103" spans="2:36" x14ac:dyDescent="0.25">
      <c r="B103" s="157">
        <v>58</v>
      </c>
      <c r="C103" s="761"/>
      <c r="D103" s="68" t="str">
        <f>HDG_2</f>
        <v>AVP</v>
      </c>
      <c r="E103" s="171"/>
      <c r="F103" s="28"/>
      <c r="G103" s="171"/>
      <c r="H103" s="28"/>
      <c r="I103" s="171"/>
      <c r="J103" s="28"/>
      <c r="K103" s="171"/>
      <c r="L103" s="28"/>
      <c r="M103" s="171"/>
      <c r="N103" s="28"/>
      <c r="O103" s="171"/>
      <c r="P103" s="28"/>
      <c r="Q103" s="171"/>
      <c r="R103" s="28"/>
      <c r="S103" s="171"/>
      <c r="T103" s="28"/>
      <c r="U103" s="171"/>
      <c r="V103" s="28"/>
      <c r="W103" s="171"/>
      <c r="X103" s="28"/>
      <c r="Y103" s="171"/>
      <c r="Z103" s="28"/>
      <c r="AA103" s="171"/>
      <c r="AB103" s="28"/>
      <c r="AC103" s="171"/>
      <c r="AD103" s="28"/>
      <c r="AE103" s="171"/>
      <c r="AF103" s="28"/>
      <c r="AG103" s="171"/>
      <c r="AH103" s="28"/>
      <c r="AI103" s="171"/>
      <c r="AJ103" s="74">
        <f t="shared" si="18"/>
        <v>0</v>
      </c>
    </row>
    <row r="104" spans="2:36" x14ac:dyDescent="0.25">
      <c r="B104" s="157">
        <v>59</v>
      </c>
      <c r="C104" s="761"/>
      <c r="D104" s="68" t="str">
        <f>HDG_3</f>
        <v>ALZ</v>
      </c>
      <c r="E104" s="171"/>
      <c r="F104" s="28"/>
      <c r="G104" s="171"/>
      <c r="H104" s="28"/>
      <c r="I104" s="171"/>
      <c r="J104" s="28"/>
      <c r="K104" s="171"/>
      <c r="L104" s="28"/>
      <c r="M104" s="171"/>
      <c r="N104" s="28"/>
      <c r="O104" s="171"/>
      <c r="P104" s="28"/>
      <c r="Q104" s="171"/>
      <c r="R104" s="28"/>
      <c r="S104" s="171"/>
      <c r="T104" s="28"/>
      <c r="U104" s="171"/>
      <c r="V104" s="28"/>
      <c r="W104" s="171"/>
      <c r="X104" s="28"/>
      <c r="Y104" s="171"/>
      <c r="Z104" s="28"/>
      <c r="AA104" s="171"/>
      <c r="AB104" s="28"/>
      <c r="AC104" s="171"/>
      <c r="AD104" s="28"/>
      <c r="AE104" s="171"/>
      <c r="AF104" s="28"/>
      <c r="AG104" s="171"/>
      <c r="AH104" s="28"/>
      <c r="AI104" s="171"/>
      <c r="AJ104" s="74">
        <f t="shared" si="18"/>
        <v>0</v>
      </c>
    </row>
    <row r="105" spans="2:36" x14ac:dyDescent="0.25">
      <c r="B105" s="157">
        <v>60</v>
      </c>
      <c r="C105" s="761"/>
      <c r="D105" s="68" t="str">
        <f>HDG_4</f>
        <v>MZS</v>
      </c>
      <c r="E105" s="171"/>
      <c r="F105" s="28"/>
      <c r="G105" s="171"/>
      <c r="H105" s="28"/>
      <c r="I105" s="171"/>
      <c r="J105" s="28"/>
      <c r="K105" s="171"/>
      <c r="L105" s="28"/>
      <c r="M105" s="171"/>
      <c r="N105" s="28"/>
      <c r="O105" s="171"/>
      <c r="P105" s="28"/>
      <c r="Q105" s="171"/>
      <c r="R105" s="28"/>
      <c r="S105" s="171"/>
      <c r="T105" s="28"/>
      <c r="U105" s="171"/>
      <c r="V105" s="28"/>
      <c r="W105" s="171"/>
      <c r="X105" s="28"/>
      <c r="Y105" s="171"/>
      <c r="Z105" s="28"/>
      <c r="AA105" s="171"/>
      <c r="AB105" s="28"/>
      <c r="AC105" s="171"/>
      <c r="AD105" s="28"/>
      <c r="AE105" s="171"/>
      <c r="AF105" s="28"/>
      <c r="AG105" s="171"/>
      <c r="AH105" s="28"/>
      <c r="AI105" s="171"/>
      <c r="AJ105" s="74">
        <f t="shared" si="18"/>
        <v>0</v>
      </c>
    </row>
    <row r="106" spans="2:36" x14ac:dyDescent="0.25">
      <c r="B106" s="157">
        <v>61</v>
      </c>
      <c r="C106" s="761"/>
      <c r="D106" s="68" t="str">
        <f>HDG_5</f>
        <v>APR</v>
      </c>
      <c r="E106" s="171"/>
      <c r="F106" s="28"/>
      <c r="G106" s="171"/>
      <c r="H106" s="28"/>
      <c r="I106" s="171"/>
      <c r="J106" s="28"/>
      <c r="K106" s="171"/>
      <c r="L106" s="28"/>
      <c r="M106" s="171"/>
      <c r="N106" s="28"/>
      <c r="O106" s="171"/>
      <c r="P106" s="28"/>
      <c r="Q106" s="171"/>
      <c r="R106" s="28"/>
      <c r="S106" s="171"/>
      <c r="T106" s="28"/>
      <c r="U106" s="171"/>
      <c r="V106" s="28"/>
      <c r="W106" s="171"/>
      <c r="X106" s="28"/>
      <c r="Y106" s="171"/>
      <c r="Z106" s="28"/>
      <c r="AA106" s="171"/>
      <c r="AB106" s="28"/>
      <c r="AC106" s="171"/>
      <c r="AD106" s="28"/>
      <c r="AE106" s="171"/>
      <c r="AF106" s="28"/>
      <c r="AG106" s="171"/>
      <c r="AH106" s="28"/>
      <c r="AI106" s="171"/>
      <c r="AJ106" s="74">
        <f t="shared" si="18"/>
        <v>0</v>
      </c>
    </row>
    <row r="107" spans="2:36" x14ac:dyDescent="0.25">
      <c r="B107" s="157">
        <v>62</v>
      </c>
      <c r="C107" s="761"/>
      <c r="D107" s="68" t="str">
        <f>HDG_6</f>
        <v>DCG</v>
      </c>
      <c r="E107" s="171"/>
      <c r="F107" s="28"/>
      <c r="G107" s="171"/>
      <c r="H107" s="28"/>
      <c r="I107" s="171"/>
      <c r="J107" s="28"/>
      <c r="K107" s="171"/>
      <c r="L107" s="28"/>
      <c r="M107" s="171"/>
      <c r="N107" s="28"/>
      <c r="O107" s="171"/>
      <c r="P107" s="28"/>
      <c r="Q107" s="171"/>
      <c r="R107" s="28"/>
      <c r="S107" s="171"/>
      <c r="T107" s="28"/>
      <c r="U107" s="171"/>
      <c r="V107" s="28"/>
      <c r="W107" s="171"/>
      <c r="X107" s="28"/>
      <c r="Y107" s="171"/>
      <c r="Z107" s="28"/>
      <c r="AA107" s="171"/>
      <c r="AB107" s="28"/>
      <c r="AC107" s="171"/>
      <c r="AD107" s="28"/>
      <c r="AE107" s="171"/>
      <c r="AF107" s="28"/>
      <c r="AG107" s="171"/>
      <c r="AH107" s="28"/>
      <c r="AI107" s="171"/>
      <c r="AJ107" s="74">
        <f t="shared" si="18"/>
        <v>0</v>
      </c>
    </row>
    <row r="108" spans="2:36" x14ac:dyDescent="0.25">
      <c r="B108" s="157">
        <v>63</v>
      </c>
      <c r="C108" s="761"/>
      <c r="D108" s="68" t="str">
        <f>HDG_7</f>
        <v>SFS</v>
      </c>
      <c r="E108" s="171"/>
      <c r="F108" s="28"/>
      <c r="G108" s="171"/>
      <c r="H108" s="28"/>
      <c r="I108" s="171"/>
      <c r="J108" s="28"/>
      <c r="K108" s="171"/>
      <c r="L108" s="28"/>
      <c r="M108" s="171"/>
      <c r="N108" s="28"/>
      <c r="O108" s="171"/>
      <c r="P108" s="28"/>
      <c r="Q108" s="171"/>
      <c r="R108" s="28"/>
      <c r="S108" s="171"/>
      <c r="T108" s="28"/>
      <c r="U108" s="171"/>
      <c r="V108" s="28"/>
      <c r="W108" s="171"/>
      <c r="X108" s="28"/>
      <c r="Y108" s="171"/>
      <c r="Z108" s="28"/>
      <c r="AA108" s="171"/>
      <c r="AB108" s="28"/>
      <c r="AC108" s="171"/>
      <c r="AD108" s="28"/>
      <c r="AE108" s="171"/>
      <c r="AF108" s="28"/>
      <c r="AG108" s="171"/>
      <c r="AH108" s="28"/>
      <c r="AI108" s="171"/>
      <c r="AJ108" s="74">
        <f t="shared" si="18"/>
        <v>0</v>
      </c>
    </row>
    <row r="109" spans="2:36" x14ac:dyDescent="0.25">
      <c r="B109" s="157">
        <v>64</v>
      </c>
      <c r="C109" s="761"/>
      <c r="D109" s="68" t="str">
        <f>HDG_8</f>
        <v>AZH</v>
      </c>
      <c r="E109" s="171"/>
      <c r="F109" s="28"/>
      <c r="G109" s="171"/>
      <c r="H109" s="28"/>
      <c r="I109" s="171"/>
      <c r="J109" s="28"/>
      <c r="K109" s="171"/>
      <c r="L109" s="28"/>
      <c r="M109" s="171"/>
      <c r="N109" s="28"/>
      <c r="O109" s="171"/>
      <c r="P109" s="28"/>
      <c r="Q109" s="171"/>
      <c r="R109" s="28"/>
      <c r="S109" s="171"/>
      <c r="T109" s="28"/>
      <c r="U109" s="171"/>
      <c r="V109" s="28"/>
      <c r="W109" s="171"/>
      <c r="X109" s="28"/>
      <c r="Y109" s="171"/>
      <c r="Z109" s="28"/>
      <c r="AA109" s="171"/>
      <c r="AB109" s="28"/>
      <c r="AC109" s="171"/>
      <c r="AD109" s="28"/>
      <c r="AE109" s="171"/>
      <c r="AF109" s="28"/>
      <c r="AG109" s="171"/>
      <c r="AH109" s="28"/>
      <c r="AI109" s="171"/>
      <c r="AJ109" s="74">
        <f t="shared" si="18"/>
        <v>0</v>
      </c>
    </row>
    <row r="110" spans="2:36" x14ac:dyDescent="0.25">
      <c r="B110" s="157">
        <v>65</v>
      </c>
      <c r="C110" s="761"/>
      <c r="D110" s="68" t="str">
        <f>HDG_9</f>
        <v>HLI</v>
      </c>
      <c r="E110" s="171"/>
      <c r="F110" s="28"/>
      <c r="G110" s="171"/>
      <c r="H110" s="28"/>
      <c r="I110" s="171"/>
      <c r="J110" s="28"/>
      <c r="K110" s="171"/>
      <c r="L110" s="28"/>
      <c r="M110" s="171"/>
      <c r="N110" s="28"/>
      <c r="O110" s="171"/>
      <c r="P110" s="28"/>
      <c r="Q110" s="171"/>
      <c r="R110" s="28"/>
      <c r="S110" s="171"/>
      <c r="T110" s="28"/>
      <c r="U110" s="171"/>
      <c r="V110" s="28"/>
      <c r="W110" s="171"/>
      <c r="X110" s="28"/>
      <c r="Y110" s="171"/>
      <c r="Z110" s="28"/>
      <c r="AA110" s="171"/>
      <c r="AB110" s="28"/>
      <c r="AC110" s="171"/>
      <c r="AD110" s="28"/>
      <c r="AE110" s="171"/>
      <c r="AF110" s="28"/>
      <c r="AG110" s="171"/>
      <c r="AH110" s="28"/>
      <c r="AI110" s="171"/>
      <c r="AJ110" s="74">
        <f t="shared" si="18"/>
        <v>0</v>
      </c>
    </row>
    <row r="111" spans="2:36" x14ac:dyDescent="0.25">
      <c r="B111" s="157">
        <v>66</v>
      </c>
      <c r="C111" s="761"/>
      <c r="D111" s="68" t="str">
        <f>HDG_10</f>
        <v>MCM</v>
      </c>
      <c r="E111" s="171"/>
      <c r="F111" s="28"/>
      <c r="G111" s="171"/>
      <c r="H111" s="28"/>
      <c r="I111" s="171"/>
      <c r="J111" s="28"/>
      <c r="K111" s="171"/>
      <c r="L111" s="28"/>
      <c r="M111" s="171"/>
      <c r="N111" s="28"/>
      <c r="O111" s="171"/>
      <c r="P111" s="28"/>
      <c r="Q111" s="171"/>
      <c r="R111" s="28"/>
      <c r="S111" s="171"/>
      <c r="T111" s="28"/>
      <c r="U111" s="171"/>
      <c r="V111" s="28"/>
      <c r="W111" s="171"/>
      <c r="X111" s="28"/>
      <c r="Y111" s="171"/>
      <c r="Z111" s="28"/>
      <c r="AA111" s="171"/>
      <c r="AB111" s="28"/>
      <c r="AC111" s="171"/>
      <c r="AD111" s="28"/>
      <c r="AE111" s="171"/>
      <c r="AF111" s="28"/>
      <c r="AG111" s="171"/>
      <c r="AH111" s="28"/>
      <c r="AI111" s="171"/>
      <c r="AJ111" s="74">
        <f t="shared" si="18"/>
        <v>0</v>
      </c>
    </row>
    <row r="112" spans="2:36" x14ac:dyDescent="0.25">
      <c r="B112" s="157">
        <v>67</v>
      </c>
      <c r="C112" s="761"/>
      <c r="D112" s="68" t="str">
        <f>HDG_11</f>
        <v>MCR</v>
      </c>
      <c r="E112" s="171"/>
      <c r="F112" s="28"/>
      <c r="G112" s="171"/>
      <c r="H112" s="28"/>
      <c r="I112" s="171"/>
      <c r="J112" s="28"/>
      <c r="K112" s="171"/>
      <c r="L112" s="28"/>
      <c r="M112" s="171"/>
      <c r="N112" s="28"/>
      <c r="O112" s="171"/>
      <c r="P112" s="28"/>
      <c r="Q112" s="171"/>
      <c r="R112" s="28"/>
      <c r="S112" s="171"/>
      <c r="T112" s="28"/>
      <c r="U112" s="171"/>
      <c r="V112" s="28"/>
      <c r="W112" s="171"/>
      <c r="X112" s="28"/>
      <c r="Y112" s="171"/>
      <c r="Z112" s="28"/>
      <c r="AA112" s="171"/>
      <c r="AB112" s="28"/>
      <c r="AC112" s="171"/>
      <c r="AD112" s="28"/>
      <c r="AE112" s="171"/>
      <c r="AF112" s="28"/>
      <c r="AG112" s="171"/>
      <c r="AH112" s="28"/>
      <c r="AI112" s="171"/>
      <c r="AJ112" s="74">
        <f t="shared" si="18"/>
        <v>0</v>
      </c>
    </row>
    <row r="113" spans="2:36" ht="15.75" thickBot="1" x14ac:dyDescent="0.3">
      <c r="B113" s="157">
        <v>68</v>
      </c>
      <c r="C113" s="762"/>
      <c r="D113" s="69" t="s">
        <v>406</v>
      </c>
      <c r="E113" s="171"/>
      <c r="F113" s="28"/>
      <c r="G113" s="171"/>
      <c r="H113" s="28"/>
      <c r="I113" s="171"/>
      <c r="J113" s="28"/>
      <c r="K113" s="171"/>
      <c r="L113" s="28"/>
      <c r="M113" s="171"/>
      <c r="N113" s="28"/>
      <c r="O113" s="171"/>
      <c r="P113" s="28"/>
      <c r="Q113" s="171"/>
      <c r="R113" s="28"/>
      <c r="S113" s="171"/>
      <c r="T113" s="28"/>
      <c r="U113" s="171"/>
      <c r="V113" s="28"/>
      <c r="W113" s="171"/>
      <c r="X113" s="28"/>
      <c r="Y113" s="171"/>
      <c r="Z113" s="28"/>
      <c r="AA113" s="171"/>
      <c r="AB113" s="28"/>
      <c r="AC113" s="171"/>
      <c r="AD113" s="28"/>
      <c r="AE113" s="171"/>
      <c r="AF113" s="28"/>
      <c r="AG113" s="171"/>
      <c r="AH113" s="28"/>
      <c r="AI113" s="171"/>
      <c r="AJ113" s="42">
        <f t="shared" si="18"/>
        <v>0</v>
      </c>
    </row>
    <row r="114" spans="2:36" ht="15.75" thickBot="1" x14ac:dyDescent="0.3">
      <c r="B114" s="157"/>
      <c r="C114" s="535"/>
      <c r="D114" s="535"/>
      <c r="E114" s="536"/>
      <c r="F114" s="61"/>
      <c r="G114" s="181"/>
      <c r="H114" s="61"/>
      <c r="I114" s="181"/>
      <c r="J114" s="61"/>
      <c r="K114" s="181"/>
      <c r="L114" s="61"/>
      <c r="M114" s="181"/>
      <c r="N114" s="61"/>
      <c r="O114" s="181"/>
      <c r="P114" s="61"/>
      <c r="Q114" s="181"/>
      <c r="R114" s="61"/>
      <c r="S114" s="181"/>
      <c r="T114" s="61"/>
      <c r="U114" s="181"/>
      <c r="V114" s="61"/>
      <c r="W114" s="181"/>
      <c r="X114" s="61"/>
      <c r="Y114" s="181"/>
      <c r="Z114" s="61"/>
      <c r="AA114" s="181"/>
      <c r="AB114" s="61"/>
      <c r="AC114" s="181"/>
      <c r="AD114" s="61"/>
      <c r="AE114" s="181"/>
      <c r="AF114" s="61"/>
      <c r="AG114" s="181"/>
      <c r="AH114" s="61"/>
      <c r="AI114" s="181"/>
      <c r="AJ114" s="61"/>
    </row>
    <row r="115" spans="2:36" ht="15.75" thickBot="1" x14ac:dyDescent="0.3">
      <c r="B115" s="157"/>
      <c r="C115" s="830" t="s">
        <v>55</v>
      </c>
      <c r="D115" s="831"/>
      <c r="E115" s="181"/>
      <c r="F115" s="61"/>
      <c r="G115" s="181"/>
      <c r="H115" s="61"/>
      <c r="I115" s="181"/>
      <c r="J115" s="61"/>
      <c r="K115" s="181"/>
      <c r="L115" s="61"/>
      <c r="M115" s="181"/>
      <c r="N115" s="61"/>
      <c r="O115" s="181"/>
      <c r="P115" s="61"/>
      <c r="Q115" s="181"/>
      <c r="R115" s="61"/>
      <c r="S115" s="181"/>
      <c r="T115" s="61"/>
      <c r="U115" s="181"/>
      <c r="V115" s="61"/>
      <c r="W115" s="181"/>
      <c r="X115" s="61"/>
      <c r="Y115" s="181"/>
      <c r="Z115" s="61"/>
      <c r="AA115" s="181"/>
      <c r="AB115" s="61"/>
      <c r="AC115" s="181"/>
      <c r="AD115" s="61"/>
      <c r="AE115" s="181"/>
      <c r="AF115" s="61"/>
      <c r="AG115" s="181"/>
      <c r="AH115" s="61"/>
      <c r="AI115" s="181"/>
      <c r="AJ115" s="61"/>
    </row>
    <row r="116" spans="2:36" ht="15.75" thickBot="1" x14ac:dyDescent="0.3">
      <c r="B116" s="157">
        <v>69</v>
      </c>
      <c r="C116" s="727" t="s">
        <v>64</v>
      </c>
      <c r="D116" s="728"/>
      <c r="E116" s="171"/>
      <c r="F116" s="28"/>
      <c r="G116" s="171"/>
      <c r="H116" s="28"/>
      <c r="I116" s="171"/>
      <c r="J116" s="28"/>
      <c r="K116" s="171"/>
      <c r="L116" s="28"/>
      <c r="M116" s="171"/>
      <c r="N116" s="28"/>
      <c r="O116" s="171"/>
      <c r="P116" s="28"/>
      <c r="Q116" s="171"/>
      <c r="R116" s="28"/>
      <c r="S116" s="171"/>
      <c r="T116" s="28"/>
      <c r="U116" s="171"/>
      <c r="V116" s="28"/>
      <c r="W116" s="171"/>
      <c r="X116" s="28"/>
      <c r="Y116" s="171"/>
      <c r="Z116" s="28"/>
      <c r="AA116" s="171"/>
      <c r="AB116" s="28"/>
      <c r="AC116" s="171"/>
      <c r="AD116" s="28"/>
      <c r="AE116" s="171"/>
      <c r="AF116" s="28"/>
      <c r="AG116" s="171"/>
      <c r="AH116" s="28"/>
      <c r="AI116" s="171"/>
      <c r="AJ116" s="41">
        <f>SUM(E116:AI116)</f>
        <v>0</v>
      </c>
    </row>
    <row r="117" spans="2:36" ht="15.75" thickBot="1" x14ac:dyDescent="0.3">
      <c r="B117" s="157"/>
      <c r="C117" s="828" t="s">
        <v>56</v>
      </c>
      <c r="D117" s="829"/>
      <c r="E117" s="181"/>
      <c r="F117" s="61"/>
      <c r="G117" s="181"/>
      <c r="H117" s="61"/>
      <c r="I117" s="181"/>
      <c r="J117" s="61"/>
      <c r="K117" s="181"/>
      <c r="L117" s="61"/>
      <c r="M117" s="181"/>
      <c r="N117" s="61"/>
      <c r="O117" s="181"/>
      <c r="P117" s="61"/>
      <c r="Q117" s="181"/>
      <c r="R117" s="61"/>
      <c r="S117" s="181"/>
      <c r="T117" s="61"/>
      <c r="U117" s="181"/>
      <c r="V117" s="61"/>
      <c r="W117" s="181"/>
      <c r="X117" s="61"/>
      <c r="Y117" s="181"/>
      <c r="Z117" s="61"/>
      <c r="AA117" s="181"/>
      <c r="AB117" s="61"/>
      <c r="AC117" s="181"/>
      <c r="AD117" s="61"/>
      <c r="AE117" s="181"/>
      <c r="AF117" s="61"/>
      <c r="AG117" s="181"/>
      <c r="AH117" s="61"/>
      <c r="AI117" s="181"/>
      <c r="AJ117" s="308"/>
    </row>
    <row r="118" spans="2:36" x14ac:dyDescent="0.25">
      <c r="B118" s="157">
        <v>70</v>
      </c>
      <c r="C118" s="760"/>
      <c r="D118" s="110" t="str">
        <f>HDG_1</f>
        <v>AFR</v>
      </c>
      <c r="E118" s="171"/>
      <c r="F118" s="28"/>
      <c r="G118" s="171"/>
      <c r="H118" s="28"/>
      <c r="I118" s="171"/>
      <c r="J118" s="28"/>
      <c r="K118" s="171"/>
      <c r="L118" s="28"/>
      <c r="M118" s="171"/>
      <c r="N118" s="28"/>
      <c r="O118" s="171"/>
      <c r="P118" s="28"/>
      <c r="Q118" s="171"/>
      <c r="R118" s="28"/>
      <c r="S118" s="171"/>
      <c r="T118" s="28"/>
      <c r="U118" s="171"/>
      <c r="V118" s="28"/>
      <c r="W118" s="171"/>
      <c r="X118" s="28"/>
      <c r="Y118" s="171"/>
      <c r="Z118" s="28"/>
      <c r="AA118" s="171"/>
      <c r="AB118" s="28"/>
      <c r="AC118" s="171"/>
      <c r="AD118" s="28"/>
      <c r="AE118" s="171"/>
      <c r="AF118" s="28"/>
      <c r="AG118" s="171"/>
      <c r="AH118" s="28"/>
      <c r="AI118" s="171"/>
      <c r="AJ118" s="74">
        <f t="shared" ref="AJ118:AJ129" si="19">SUM(E118:AI118)</f>
        <v>0</v>
      </c>
    </row>
    <row r="119" spans="2:36" x14ac:dyDescent="0.25">
      <c r="B119" s="157">
        <v>71</v>
      </c>
      <c r="C119" s="761"/>
      <c r="D119" s="68" t="str">
        <f>HDG_2</f>
        <v>AVP</v>
      </c>
      <c r="E119" s="171"/>
      <c r="F119" s="28"/>
      <c r="G119" s="171"/>
      <c r="H119" s="28"/>
      <c r="I119" s="171"/>
      <c r="J119" s="28"/>
      <c r="K119" s="171"/>
      <c r="L119" s="28"/>
      <c r="M119" s="171"/>
      <c r="N119" s="28"/>
      <c r="O119" s="171"/>
      <c r="P119" s="28"/>
      <c r="Q119" s="171"/>
      <c r="R119" s="28"/>
      <c r="S119" s="171"/>
      <c r="T119" s="28"/>
      <c r="U119" s="171"/>
      <c r="V119" s="28"/>
      <c r="W119" s="171"/>
      <c r="X119" s="28"/>
      <c r="Y119" s="171"/>
      <c r="Z119" s="28"/>
      <c r="AA119" s="171"/>
      <c r="AB119" s="28"/>
      <c r="AC119" s="171"/>
      <c r="AD119" s="28"/>
      <c r="AE119" s="171"/>
      <c r="AF119" s="28"/>
      <c r="AG119" s="171"/>
      <c r="AH119" s="28"/>
      <c r="AI119" s="171"/>
      <c r="AJ119" s="74">
        <f t="shared" si="19"/>
        <v>0</v>
      </c>
    </row>
    <row r="120" spans="2:36" x14ac:dyDescent="0.25">
      <c r="B120" s="157">
        <v>72</v>
      </c>
      <c r="C120" s="761"/>
      <c r="D120" s="68" t="str">
        <f>HDG_3</f>
        <v>ALZ</v>
      </c>
      <c r="E120" s="171"/>
      <c r="F120" s="28"/>
      <c r="G120" s="171"/>
      <c r="H120" s="28"/>
      <c r="I120" s="171"/>
      <c r="J120" s="28"/>
      <c r="K120" s="171"/>
      <c r="L120" s="28"/>
      <c r="M120" s="171"/>
      <c r="N120" s="28"/>
      <c r="O120" s="171"/>
      <c r="P120" s="28"/>
      <c r="Q120" s="171"/>
      <c r="R120" s="28"/>
      <c r="S120" s="171"/>
      <c r="T120" s="28"/>
      <c r="U120" s="171"/>
      <c r="V120" s="28"/>
      <c r="W120" s="171"/>
      <c r="X120" s="28"/>
      <c r="Y120" s="171"/>
      <c r="Z120" s="28"/>
      <c r="AA120" s="171"/>
      <c r="AB120" s="28"/>
      <c r="AC120" s="171"/>
      <c r="AD120" s="28"/>
      <c r="AE120" s="171"/>
      <c r="AF120" s="28"/>
      <c r="AG120" s="171"/>
      <c r="AH120" s="28"/>
      <c r="AI120" s="171"/>
      <c r="AJ120" s="74">
        <f t="shared" si="19"/>
        <v>0</v>
      </c>
    </row>
    <row r="121" spans="2:36" x14ac:dyDescent="0.25">
      <c r="B121" s="157">
        <v>73</v>
      </c>
      <c r="C121" s="761"/>
      <c r="D121" s="68" t="str">
        <f>HDG_4</f>
        <v>MZS</v>
      </c>
      <c r="E121" s="171"/>
      <c r="F121" s="28"/>
      <c r="G121" s="171"/>
      <c r="H121" s="28"/>
      <c r="I121" s="171"/>
      <c r="J121" s="28"/>
      <c r="K121" s="171"/>
      <c r="L121" s="28"/>
      <c r="M121" s="171"/>
      <c r="N121" s="28"/>
      <c r="O121" s="171"/>
      <c r="P121" s="28"/>
      <c r="Q121" s="171"/>
      <c r="R121" s="28"/>
      <c r="S121" s="171"/>
      <c r="T121" s="28"/>
      <c r="U121" s="171"/>
      <c r="V121" s="28"/>
      <c r="W121" s="171"/>
      <c r="X121" s="28"/>
      <c r="Y121" s="171"/>
      <c r="Z121" s="28"/>
      <c r="AA121" s="171"/>
      <c r="AB121" s="28"/>
      <c r="AC121" s="171"/>
      <c r="AD121" s="28"/>
      <c r="AE121" s="171"/>
      <c r="AF121" s="28"/>
      <c r="AG121" s="171"/>
      <c r="AH121" s="28"/>
      <c r="AI121" s="171"/>
      <c r="AJ121" s="74">
        <f t="shared" si="19"/>
        <v>0</v>
      </c>
    </row>
    <row r="122" spans="2:36" x14ac:dyDescent="0.25">
      <c r="B122" s="157">
        <v>74</v>
      </c>
      <c r="C122" s="761"/>
      <c r="D122" s="68" t="str">
        <f>HDG_5</f>
        <v>APR</v>
      </c>
      <c r="E122" s="171"/>
      <c r="F122" s="28"/>
      <c r="G122" s="171"/>
      <c r="H122" s="28"/>
      <c r="I122" s="171"/>
      <c r="J122" s="28"/>
      <c r="K122" s="171"/>
      <c r="L122" s="28"/>
      <c r="M122" s="171"/>
      <c r="N122" s="28"/>
      <c r="O122" s="171"/>
      <c r="P122" s="28"/>
      <c r="Q122" s="171"/>
      <c r="R122" s="28"/>
      <c r="S122" s="171"/>
      <c r="T122" s="28"/>
      <c r="U122" s="171"/>
      <c r="V122" s="28"/>
      <c r="W122" s="171"/>
      <c r="X122" s="28"/>
      <c r="Y122" s="171"/>
      <c r="Z122" s="28"/>
      <c r="AA122" s="171"/>
      <c r="AB122" s="28"/>
      <c r="AC122" s="171"/>
      <c r="AD122" s="28"/>
      <c r="AE122" s="171"/>
      <c r="AF122" s="28"/>
      <c r="AG122" s="171"/>
      <c r="AH122" s="28"/>
      <c r="AI122" s="171"/>
      <c r="AJ122" s="74">
        <f t="shared" si="19"/>
        <v>0</v>
      </c>
    </row>
    <row r="123" spans="2:36" x14ac:dyDescent="0.25">
      <c r="B123" s="157">
        <v>75</v>
      </c>
      <c r="C123" s="761"/>
      <c r="D123" s="68" t="str">
        <f>HDG_6</f>
        <v>DCG</v>
      </c>
      <c r="E123" s="171"/>
      <c r="F123" s="28"/>
      <c r="G123" s="171"/>
      <c r="H123" s="28"/>
      <c r="I123" s="171"/>
      <c r="J123" s="28"/>
      <c r="K123" s="171"/>
      <c r="L123" s="28"/>
      <c r="M123" s="171"/>
      <c r="N123" s="28"/>
      <c r="O123" s="171"/>
      <c r="P123" s="28"/>
      <c r="Q123" s="171"/>
      <c r="R123" s="28"/>
      <c r="S123" s="171"/>
      <c r="T123" s="28"/>
      <c r="U123" s="171"/>
      <c r="V123" s="28"/>
      <c r="W123" s="171"/>
      <c r="X123" s="28"/>
      <c r="Y123" s="171"/>
      <c r="Z123" s="28"/>
      <c r="AA123" s="171"/>
      <c r="AB123" s="28"/>
      <c r="AC123" s="171"/>
      <c r="AD123" s="28"/>
      <c r="AE123" s="171"/>
      <c r="AF123" s="28"/>
      <c r="AG123" s="171"/>
      <c r="AH123" s="28"/>
      <c r="AI123" s="171"/>
      <c r="AJ123" s="74">
        <f t="shared" si="19"/>
        <v>0</v>
      </c>
    </row>
    <row r="124" spans="2:36" x14ac:dyDescent="0.25">
      <c r="B124" s="157">
        <v>76</v>
      </c>
      <c r="C124" s="761"/>
      <c r="D124" s="68" t="str">
        <f>HDG_7</f>
        <v>SFS</v>
      </c>
      <c r="E124" s="171"/>
      <c r="F124" s="28"/>
      <c r="G124" s="171"/>
      <c r="H124" s="28"/>
      <c r="I124" s="171"/>
      <c r="J124" s="28"/>
      <c r="K124" s="171"/>
      <c r="L124" s="28"/>
      <c r="M124" s="171"/>
      <c r="N124" s="28"/>
      <c r="O124" s="171"/>
      <c r="P124" s="28"/>
      <c r="Q124" s="171"/>
      <c r="R124" s="28"/>
      <c r="S124" s="171"/>
      <c r="T124" s="28"/>
      <c r="U124" s="171"/>
      <c r="V124" s="28"/>
      <c r="W124" s="171"/>
      <c r="X124" s="28"/>
      <c r="Y124" s="171"/>
      <c r="Z124" s="28"/>
      <c r="AA124" s="171"/>
      <c r="AB124" s="28"/>
      <c r="AC124" s="171"/>
      <c r="AD124" s="28"/>
      <c r="AE124" s="171"/>
      <c r="AF124" s="28"/>
      <c r="AG124" s="171"/>
      <c r="AH124" s="28"/>
      <c r="AI124" s="171"/>
      <c r="AJ124" s="74">
        <f t="shared" si="19"/>
        <v>0</v>
      </c>
    </row>
    <row r="125" spans="2:36" x14ac:dyDescent="0.25">
      <c r="B125" s="157">
        <v>77</v>
      </c>
      <c r="C125" s="761"/>
      <c r="D125" s="68" t="str">
        <f>HDG_8</f>
        <v>AZH</v>
      </c>
      <c r="E125" s="171"/>
      <c r="F125" s="28"/>
      <c r="G125" s="171"/>
      <c r="H125" s="28"/>
      <c r="I125" s="171"/>
      <c r="J125" s="28"/>
      <c r="K125" s="171"/>
      <c r="L125" s="28"/>
      <c r="M125" s="171"/>
      <c r="N125" s="28"/>
      <c r="O125" s="171"/>
      <c r="P125" s="28"/>
      <c r="Q125" s="171"/>
      <c r="R125" s="28"/>
      <c r="S125" s="171"/>
      <c r="T125" s="28"/>
      <c r="U125" s="171"/>
      <c r="V125" s="28"/>
      <c r="W125" s="171"/>
      <c r="X125" s="28"/>
      <c r="Y125" s="171"/>
      <c r="Z125" s="28"/>
      <c r="AA125" s="171"/>
      <c r="AB125" s="28"/>
      <c r="AC125" s="171"/>
      <c r="AD125" s="28"/>
      <c r="AE125" s="171"/>
      <c r="AF125" s="28"/>
      <c r="AG125" s="171"/>
      <c r="AH125" s="28"/>
      <c r="AI125" s="171"/>
      <c r="AJ125" s="74">
        <f t="shared" si="19"/>
        <v>0</v>
      </c>
    </row>
    <row r="126" spans="2:36" x14ac:dyDescent="0.25">
      <c r="B126" s="157">
        <v>78</v>
      </c>
      <c r="C126" s="761"/>
      <c r="D126" s="68" t="str">
        <f>HDG_9</f>
        <v>HLI</v>
      </c>
      <c r="E126" s="171"/>
      <c r="F126" s="28"/>
      <c r="G126" s="171"/>
      <c r="H126" s="28"/>
      <c r="I126" s="171"/>
      <c r="J126" s="28"/>
      <c r="K126" s="171"/>
      <c r="L126" s="28"/>
      <c r="M126" s="171"/>
      <c r="N126" s="28"/>
      <c r="O126" s="171"/>
      <c r="P126" s="28"/>
      <c r="Q126" s="171"/>
      <c r="R126" s="28"/>
      <c r="S126" s="171"/>
      <c r="T126" s="28"/>
      <c r="U126" s="171"/>
      <c r="V126" s="28"/>
      <c r="W126" s="171"/>
      <c r="X126" s="28"/>
      <c r="Y126" s="171"/>
      <c r="Z126" s="28"/>
      <c r="AA126" s="171"/>
      <c r="AB126" s="28"/>
      <c r="AC126" s="171"/>
      <c r="AD126" s="28"/>
      <c r="AE126" s="171"/>
      <c r="AF126" s="28"/>
      <c r="AG126" s="171"/>
      <c r="AH126" s="28"/>
      <c r="AI126" s="171"/>
      <c r="AJ126" s="74">
        <f t="shared" si="19"/>
        <v>0</v>
      </c>
    </row>
    <row r="127" spans="2:36" x14ac:dyDescent="0.25">
      <c r="B127" s="157">
        <v>79</v>
      </c>
      <c r="C127" s="761"/>
      <c r="D127" s="68" t="str">
        <f>HDG_10</f>
        <v>MCM</v>
      </c>
      <c r="E127" s="171"/>
      <c r="F127" s="28"/>
      <c r="G127" s="171"/>
      <c r="H127" s="28"/>
      <c r="I127" s="171"/>
      <c r="J127" s="28"/>
      <c r="K127" s="171"/>
      <c r="L127" s="28"/>
      <c r="M127" s="171"/>
      <c r="N127" s="28"/>
      <c r="O127" s="171"/>
      <c r="P127" s="28"/>
      <c r="Q127" s="171"/>
      <c r="R127" s="28"/>
      <c r="S127" s="171"/>
      <c r="T127" s="28"/>
      <c r="U127" s="171"/>
      <c r="V127" s="28"/>
      <c r="W127" s="171"/>
      <c r="X127" s="28"/>
      <c r="Y127" s="171"/>
      <c r="Z127" s="28"/>
      <c r="AA127" s="171"/>
      <c r="AB127" s="28"/>
      <c r="AC127" s="171"/>
      <c r="AD127" s="28"/>
      <c r="AE127" s="171"/>
      <c r="AF127" s="28"/>
      <c r="AG127" s="171"/>
      <c r="AH127" s="28"/>
      <c r="AI127" s="171"/>
      <c r="AJ127" s="74">
        <f t="shared" si="19"/>
        <v>0</v>
      </c>
    </row>
    <row r="128" spans="2:36" x14ac:dyDescent="0.25">
      <c r="B128" s="157">
        <v>80</v>
      </c>
      <c r="C128" s="761"/>
      <c r="D128" s="68" t="str">
        <f>HDG_11</f>
        <v>MCR</v>
      </c>
      <c r="E128" s="171"/>
      <c r="F128" s="28"/>
      <c r="G128" s="171"/>
      <c r="H128" s="28"/>
      <c r="I128" s="171"/>
      <c r="J128" s="28"/>
      <c r="K128" s="171"/>
      <c r="L128" s="28"/>
      <c r="M128" s="171"/>
      <c r="N128" s="28"/>
      <c r="O128" s="171"/>
      <c r="P128" s="28"/>
      <c r="Q128" s="171"/>
      <c r="R128" s="28"/>
      <c r="S128" s="171"/>
      <c r="T128" s="28"/>
      <c r="U128" s="171"/>
      <c r="V128" s="28"/>
      <c r="W128" s="171"/>
      <c r="X128" s="28"/>
      <c r="Y128" s="171"/>
      <c r="Z128" s="28"/>
      <c r="AA128" s="171"/>
      <c r="AB128" s="28"/>
      <c r="AC128" s="171"/>
      <c r="AD128" s="28"/>
      <c r="AE128" s="171"/>
      <c r="AF128" s="28"/>
      <c r="AG128" s="171"/>
      <c r="AH128" s="28"/>
      <c r="AI128" s="171"/>
      <c r="AJ128" s="74">
        <f t="shared" si="19"/>
        <v>0</v>
      </c>
    </row>
    <row r="129" spans="2:36" ht="15.75" thickBot="1" x14ac:dyDescent="0.3">
      <c r="B129" s="157">
        <v>81</v>
      </c>
      <c r="C129" s="762"/>
      <c r="D129" s="69" t="s">
        <v>406</v>
      </c>
      <c r="E129" s="171"/>
      <c r="F129" s="28"/>
      <c r="G129" s="171"/>
      <c r="H129" s="28"/>
      <c r="I129" s="171"/>
      <c r="J129" s="28"/>
      <c r="K129" s="171"/>
      <c r="L129" s="28"/>
      <c r="M129" s="171"/>
      <c r="N129" s="28"/>
      <c r="O129" s="171"/>
      <c r="P129" s="28"/>
      <c r="Q129" s="171"/>
      <c r="R129" s="28"/>
      <c r="S129" s="171"/>
      <c r="T129" s="28"/>
      <c r="U129" s="171"/>
      <c r="V129" s="28"/>
      <c r="W129" s="171"/>
      <c r="X129" s="28"/>
      <c r="Y129" s="171"/>
      <c r="Z129" s="28"/>
      <c r="AA129" s="171"/>
      <c r="AB129" s="28"/>
      <c r="AC129" s="171"/>
      <c r="AD129" s="28"/>
      <c r="AE129" s="171"/>
      <c r="AF129" s="28"/>
      <c r="AG129" s="171"/>
      <c r="AH129" s="28"/>
      <c r="AI129" s="171"/>
      <c r="AJ129" s="42">
        <f t="shared" si="19"/>
        <v>0</v>
      </c>
    </row>
    <row r="130" spans="2:36" ht="15.75" thickBot="1" x14ac:dyDescent="0.3">
      <c r="B130" s="157"/>
      <c r="C130" s="535"/>
      <c r="D130" s="535"/>
      <c r="E130" s="536"/>
      <c r="F130" s="61"/>
      <c r="G130" s="181"/>
      <c r="H130" s="61"/>
      <c r="I130" s="181"/>
      <c r="J130" s="61"/>
      <c r="K130" s="181"/>
      <c r="L130" s="61"/>
      <c r="M130" s="181"/>
      <c r="N130" s="61"/>
      <c r="O130" s="181"/>
      <c r="P130" s="61"/>
      <c r="Q130" s="181"/>
      <c r="R130" s="61"/>
      <c r="S130" s="181"/>
      <c r="T130" s="61"/>
      <c r="U130" s="181"/>
      <c r="V130" s="61"/>
      <c r="W130" s="181"/>
      <c r="X130" s="61"/>
      <c r="Y130" s="181"/>
      <c r="Z130" s="61"/>
      <c r="AA130" s="181"/>
      <c r="AB130" s="61"/>
      <c r="AC130" s="181"/>
      <c r="AD130" s="61"/>
      <c r="AE130" s="181"/>
      <c r="AF130" s="61"/>
      <c r="AG130" s="181"/>
      <c r="AH130" s="61"/>
      <c r="AI130" s="181"/>
      <c r="AJ130" s="61"/>
    </row>
    <row r="131" spans="2:36" ht="15.75" thickBot="1" x14ac:dyDescent="0.3">
      <c r="B131" s="157"/>
      <c r="C131" s="830" t="s">
        <v>55</v>
      </c>
      <c r="D131" s="831"/>
      <c r="E131" s="181"/>
      <c r="F131" s="61"/>
      <c r="G131" s="181"/>
      <c r="H131" s="61"/>
      <c r="I131" s="181"/>
      <c r="J131" s="61"/>
      <c r="K131" s="181"/>
      <c r="L131" s="61"/>
      <c r="M131" s="181"/>
      <c r="N131" s="61"/>
      <c r="O131" s="181"/>
      <c r="P131" s="61"/>
      <c r="Q131" s="181"/>
      <c r="R131" s="61"/>
      <c r="S131" s="181"/>
      <c r="T131" s="61"/>
      <c r="U131" s="181"/>
      <c r="V131" s="61"/>
      <c r="W131" s="181"/>
      <c r="X131" s="61"/>
      <c r="Y131" s="181"/>
      <c r="Z131" s="61"/>
      <c r="AA131" s="181"/>
      <c r="AB131" s="61"/>
      <c r="AC131" s="181"/>
      <c r="AD131" s="61"/>
      <c r="AE131" s="181"/>
      <c r="AF131" s="61"/>
      <c r="AG131" s="181"/>
      <c r="AH131" s="61"/>
      <c r="AI131" s="181"/>
      <c r="AJ131" s="61"/>
    </row>
    <row r="132" spans="2:36" ht="15.75" thickBot="1" x14ac:dyDescent="0.3">
      <c r="B132" s="157">
        <v>82</v>
      </c>
      <c r="C132" s="763" t="s">
        <v>65</v>
      </c>
      <c r="D132" s="764"/>
      <c r="E132" s="171"/>
      <c r="F132" s="28"/>
      <c r="G132" s="171"/>
      <c r="H132" s="28"/>
      <c r="I132" s="171"/>
      <c r="J132" s="28"/>
      <c r="K132" s="171"/>
      <c r="L132" s="28"/>
      <c r="M132" s="171"/>
      <c r="N132" s="28"/>
      <c r="O132" s="171"/>
      <c r="P132" s="28"/>
      <c r="Q132" s="171"/>
      <c r="R132" s="28"/>
      <c r="S132" s="171"/>
      <c r="T132" s="28"/>
      <c r="U132" s="171"/>
      <c r="V132" s="28"/>
      <c r="W132" s="171"/>
      <c r="X132" s="28"/>
      <c r="Y132" s="171"/>
      <c r="Z132" s="28"/>
      <c r="AA132" s="171"/>
      <c r="AB132" s="28"/>
      <c r="AC132" s="171"/>
      <c r="AD132" s="28"/>
      <c r="AE132" s="171"/>
      <c r="AF132" s="28"/>
      <c r="AG132" s="171"/>
      <c r="AH132" s="28"/>
      <c r="AI132" s="171"/>
      <c r="AJ132" s="41">
        <f>SUM(E132:AI132)</f>
        <v>0</v>
      </c>
    </row>
    <row r="133" spans="2:36" ht="15.75" thickBot="1" x14ac:dyDescent="0.3">
      <c r="B133" s="157"/>
      <c r="C133" s="828" t="s">
        <v>56</v>
      </c>
      <c r="D133" s="829"/>
      <c r="E133" s="181"/>
      <c r="F133" s="61"/>
      <c r="G133" s="181"/>
      <c r="H133" s="61"/>
      <c r="I133" s="181"/>
      <c r="J133" s="61"/>
      <c r="K133" s="181"/>
      <c r="L133" s="61"/>
      <c r="M133" s="181"/>
      <c r="N133" s="61"/>
      <c r="O133" s="181"/>
      <c r="P133" s="61"/>
      <c r="Q133" s="181"/>
      <c r="R133" s="61"/>
      <c r="S133" s="181"/>
      <c r="T133" s="61"/>
      <c r="U133" s="181"/>
      <c r="V133" s="61"/>
      <c r="W133" s="181"/>
      <c r="X133" s="61"/>
      <c r="Y133" s="181"/>
      <c r="Z133" s="61"/>
      <c r="AA133" s="181"/>
      <c r="AB133" s="61"/>
      <c r="AC133" s="181"/>
      <c r="AD133" s="61"/>
      <c r="AE133" s="181"/>
      <c r="AF133" s="61"/>
      <c r="AG133" s="181"/>
      <c r="AH133" s="61"/>
      <c r="AI133" s="181"/>
      <c r="AJ133" s="308"/>
    </row>
    <row r="134" spans="2:36" x14ac:dyDescent="0.25">
      <c r="B134" s="157">
        <v>83</v>
      </c>
      <c r="C134" s="760"/>
      <c r="D134" s="110" t="str">
        <f>HDG_1</f>
        <v>AFR</v>
      </c>
      <c r="E134" s="171"/>
      <c r="F134" s="28"/>
      <c r="G134" s="171"/>
      <c r="H134" s="28"/>
      <c r="I134" s="171"/>
      <c r="J134" s="28"/>
      <c r="K134" s="171"/>
      <c r="L134" s="28"/>
      <c r="M134" s="171"/>
      <c r="N134" s="28"/>
      <c r="O134" s="171"/>
      <c r="P134" s="28"/>
      <c r="Q134" s="171"/>
      <c r="R134" s="28"/>
      <c r="S134" s="171"/>
      <c r="T134" s="28"/>
      <c r="U134" s="171"/>
      <c r="V134" s="28"/>
      <c r="W134" s="171"/>
      <c r="X134" s="28"/>
      <c r="Y134" s="171"/>
      <c r="Z134" s="28"/>
      <c r="AA134" s="171"/>
      <c r="AB134" s="28"/>
      <c r="AC134" s="171"/>
      <c r="AD134" s="28"/>
      <c r="AE134" s="171"/>
      <c r="AF134" s="28"/>
      <c r="AG134" s="171"/>
      <c r="AH134" s="28"/>
      <c r="AI134" s="171"/>
      <c r="AJ134" s="74">
        <f t="shared" ref="AJ134:AJ145" si="20">SUM(E134:AI134)</f>
        <v>0</v>
      </c>
    </row>
    <row r="135" spans="2:36" x14ac:dyDescent="0.25">
      <c r="B135" s="157">
        <v>84</v>
      </c>
      <c r="C135" s="761"/>
      <c r="D135" s="68" t="str">
        <f>HDG_2</f>
        <v>AVP</v>
      </c>
      <c r="E135" s="171"/>
      <c r="F135" s="28"/>
      <c r="G135" s="171"/>
      <c r="H135" s="28"/>
      <c r="I135" s="171"/>
      <c r="J135" s="28"/>
      <c r="K135" s="171"/>
      <c r="L135" s="28"/>
      <c r="M135" s="171"/>
      <c r="N135" s="28"/>
      <c r="O135" s="171"/>
      <c r="P135" s="28"/>
      <c r="Q135" s="171"/>
      <c r="R135" s="28"/>
      <c r="S135" s="171"/>
      <c r="T135" s="28"/>
      <c r="U135" s="171"/>
      <c r="V135" s="28"/>
      <c r="W135" s="171"/>
      <c r="X135" s="28"/>
      <c r="Y135" s="171"/>
      <c r="Z135" s="28"/>
      <c r="AA135" s="171"/>
      <c r="AB135" s="28"/>
      <c r="AC135" s="171"/>
      <c r="AD135" s="28"/>
      <c r="AE135" s="171"/>
      <c r="AF135" s="28"/>
      <c r="AG135" s="171"/>
      <c r="AH135" s="28"/>
      <c r="AI135" s="171"/>
      <c r="AJ135" s="74">
        <f t="shared" si="20"/>
        <v>0</v>
      </c>
    </row>
    <row r="136" spans="2:36" x14ac:dyDescent="0.25">
      <c r="B136" s="157">
        <v>85</v>
      </c>
      <c r="C136" s="761"/>
      <c r="D136" s="68" t="str">
        <f>HDG_3</f>
        <v>ALZ</v>
      </c>
      <c r="E136" s="171"/>
      <c r="F136" s="28"/>
      <c r="G136" s="171"/>
      <c r="H136" s="28"/>
      <c r="I136" s="171"/>
      <c r="J136" s="28"/>
      <c r="K136" s="171"/>
      <c r="L136" s="28"/>
      <c r="M136" s="171"/>
      <c r="N136" s="28"/>
      <c r="O136" s="171"/>
      <c r="P136" s="28"/>
      <c r="Q136" s="171"/>
      <c r="R136" s="28"/>
      <c r="S136" s="171"/>
      <c r="T136" s="28"/>
      <c r="U136" s="171"/>
      <c r="V136" s="28"/>
      <c r="W136" s="171"/>
      <c r="X136" s="28"/>
      <c r="Y136" s="171"/>
      <c r="Z136" s="28"/>
      <c r="AA136" s="171"/>
      <c r="AB136" s="28"/>
      <c r="AC136" s="171"/>
      <c r="AD136" s="28"/>
      <c r="AE136" s="171"/>
      <c r="AF136" s="28"/>
      <c r="AG136" s="171"/>
      <c r="AH136" s="28"/>
      <c r="AI136" s="171"/>
      <c r="AJ136" s="74">
        <f t="shared" si="20"/>
        <v>0</v>
      </c>
    </row>
    <row r="137" spans="2:36" x14ac:dyDescent="0.25">
      <c r="B137" s="157">
        <v>86</v>
      </c>
      <c r="C137" s="761"/>
      <c r="D137" s="68" t="str">
        <f>HDG_4</f>
        <v>MZS</v>
      </c>
      <c r="E137" s="171"/>
      <c r="F137" s="28"/>
      <c r="G137" s="171"/>
      <c r="H137" s="28"/>
      <c r="I137" s="171"/>
      <c r="J137" s="28"/>
      <c r="K137" s="171"/>
      <c r="L137" s="28"/>
      <c r="M137" s="171"/>
      <c r="N137" s="28"/>
      <c r="O137" s="171"/>
      <c r="P137" s="28"/>
      <c r="Q137" s="171"/>
      <c r="R137" s="28"/>
      <c r="S137" s="171"/>
      <c r="T137" s="28"/>
      <c r="U137" s="171"/>
      <c r="V137" s="28"/>
      <c r="W137" s="171"/>
      <c r="X137" s="28"/>
      <c r="Y137" s="171"/>
      <c r="Z137" s="28"/>
      <c r="AA137" s="171"/>
      <c r="AB137" s="28"/>
      <c r="AC137" s="171"/>
      <c r="AD137" s="28"/>
      <c r="AE137" s="171"/>
      <c r="AF137" s="28"/>
      <c r="AG137" s="171"/>
      <c r="AH137" s="28"/>
      <c r="AI137" s="171"/>
      <c r="AJ137" s="74">
        <f t="shared" si="20"/>
        <v>0</v>
      </c>
    </row>
    <row r="138" spans="2:36" x14ac:dyDescent="0.25">
      <c r="B138" s="157">
        <v>87</v>
      </c>
      <c r="C138" s="761"/>
      <c r="D138" s="68" t="str">
        <f>HDG_5</f>
        <v>APR</v>
      </c>
      <c r="E138" s="171"/>
      <c r="F138" s="28"/>
      <c r="G138" s="171"/>
      <c r="H138" s="28"/>
      <c r="I138" s="171"/>
      <c r="J138" s="28"/>
      <c r="K138" s="171"/>
      <c r="L138" s="28"/>
      <c r="M138" s="171"/>
      <c r="N138" s="28"/>
      <c r="O138" s="171"/>
      <c r="P138" s="28"/>
      <c r="Q138" s="171"/>
      <c r="R138" s="28"/>
      <c r="S138" s="171"/>
      <c r="T138" s="28"/>
      <c r="U138" s="171"/>
      <c r="V138" s="28"/>
      <c r="W138" s="171"/>
      <c r="X138" s="28"/>
      <c r="Y138" s="171"/>
      <c r="Z138" s="28"/>
      <c r="AA138" s="171"/>
      <c r="AB138" s="28"/>
      <c r="AC138" s="171"/>
      <c r="AD138" s="28"/>
      <c r="AE138" s="171"/>
      <c r="AF138" s="28"/>
      <c r="AG138" s="171"/>
      <c r="AH138" s="28"/>
      <c r="AI138" s="171"/>
      <c r="AJ138" s="74">
        <f t="shared" si="20"/>
        <v>0</v>
      </c>
    </row>
    <row r="139" spans="2:36" x14ac:dyDescent="0.25">
      <c r="B139" s="157">
        <v>88</v>
      </c>
      <c r="C139" s="761"/>
      <c r="D139" s="68" t="str">
        <f>HDG_6</f>
        <v>DCG</v>
      </c>
      <c r="E139" s="171"/>
      <c r="F139" s="28"/>
      <c r="G139" s="171"/>
      <c r="H139" s="28"/>
      <c r="I139" s="171"/>
      <c r="J139" s="28"/>
      <c r="K139" s="171"/>
      <c r="L139" s="28"/>
      <c r="M139" s="171"/>
      <c r="N139" s="28"/>
      <c r="O139" s="171"/>
      <c r="P139" s="28"/>
      <c r="Q139" s="171"/>
      <c r="R139" s="28"/>
      <c r="S139" s="171"/>
      <c r="T139" s="28"/>
      <c r="U139" s="171"/>
      <c r="V139" s="28"/>
      <c r="W139" s="171"/>
      <c r="X139" s="28"/>
      <c r="Y139" s="171"/>
      <c r="Z139" s="28"/>
      <c r="AA139" s="171"/>
      <c r="AB139" s="28"/>
      <c r="AC139" s="171"/>
      <c r="AD139" s="28"/>
      <c r="AE139" s="171"/>
      <c r="AF139" s="28"/>
      <c r="AG139" s="171"/>
      <c r="AH139" s="28"/>
      <c r="AI139" s="171"/>
      <c r="AJ139" s="74">
        <f t="shared" si="20"/>
        <v>0</v>
      </c>
    </row>
    <row r="140" spans="2:36" x14ac:dyDescent="0.25">
      <c r="B140" s="157">
        <v>89</v>
      </c>
      <c r="C140" s="761"/>
      <c r="D140" s="68" t="str">
        <f>HDG_7</f>
        <v>SFS</v>
      </c>
      <c r="E140" s="171"/>
      <c r="F140" s="28"/>
      <c r="G140" s="171"/>
      <c r="H140" s="28"/>
      <c r="I140" s="171"/>
      <c r="J140" s="28"/>
      <c r="K140" s="171"/>
      <c r="L140" s="28"/>
      <c r="M140" s="171"/>
      <c r="N140" s="28"/>
      <c r="O140" s="171"/>
      <c r="P140" s="28"/>
      <c r="Q140" s="171"/>
      <c r="R140" s="28"/>
      <c r="S140" s="171"/>
      <c r="T140" s="28"/>
      <c r="U140" s="171"/>
      <c r="V140" s="28"/>
      <c r="W140" s="171"/>
      <c r="X140" s="28"/>
      <c r="Y140" s="171"/>
      <c r="Z140" s="28"/>
      <c r="AA140" s="171"/>
      <c r="AB140" s="28"/>
      <c r="AC140" s="171"/>
      <c r="AD140" s="28"/>
      <c r="AE140" s="171"/>
      <c r="AF140" s="28"/>
      <c r="AG140" s="171"/>
      <c r="AH140" s="28"/>
      <c r="AI140" s="171"/>
      <c r="AJ140" s="74">
        <f t="shared" si="20"/>
        <v>0</v>
      </c>
    </row>
    <row r="141" spans="2:36" x14ac:dyDescent="0.25">
      <c r="B141" s="157">
        <v>90</v>
      </c>
      <c r="C141" s="761"/>
      <c r="D141" s="68" t="str">
        <f>HDG_8</f>
        <v>AZH</v>
      </c>
      <c r="E141" s="171"/>
      <c r="F141" s="28"/>
      <c r="G141" s="171"/>
      <c r="H141" s="28"/>
      <c r="I141" s="171"/>
      <c r="J141" s="28"/>
      <c r="K141" s="171"/>
      <c r="L141" s="28"/>
      <c r="M141" s="171"/>
      <c r="N141" s="28"/>
      <c r="O141" s="171"/>
      <c r="P141" s="28"/>
      <c r="Q141" s="171"/>
      <c r="R141" s="28"/>
      <c r="S141" s="171"/>
      <c r="T141" s="28"/>
      <c r="U141" s="171"/>
      <c r="V141" s="28"/>
      <c r="W141" s="171"/>
      <c r="X141" s="28"/>
      <c r="Y141" s="171"/>
      <c r="Z141" s="28"/>
      <c r="AA141" s="171"/>
      <c r="AB141" s="28"/>
      <c r="AC141" s="171"/>
      <c r="AD141" s="28"/>
      <c r="AE141" s="171"/>
      <c r="AF141" s="28"/>
      <c r="AG141" s="171"/>
      <c r="AH141" s="28"/>
      <c r="AI141" s="171"/>
      <c r="AJ141" s="74">
        <f t="shared" si="20"/>
        <v>0</v>
      </c>
    </row>
    <row r="142" spans="2:36" x14ac:dyDescent="0.25">
      <c r="B142" s="157">
        <v>91</v>
      </c>
      <c r="C142" s="761"/>
      <c r="D142" s="68" t="str">
        <f>HDG_9</f>
        <v>HLI</v>
      </c>
      <c r="E142" s="171"/>
      <c r="F142" s="28"/>
      <c r="G142" s="171"/>
      <c r="H142" s="28"/>
      <c r="I142" s="171"/>
      <c r="J142" s="28"/>
      <c r="K142" s="171"/>
      <c r="L142" s="28"/>
      <c r="M142" s="171"/>
      <c r="N142" s="28"/>
      <c r="O142" s="171"/>
      <c r="P142" s="28"/>
      <c r="Q142" s="171"/>
      <c r="R142" s="28"/>
      <c r="S142" s="171"/>
      <c r="T142" s="28"/>
      <c r="U142" s="171"/>
      <c r="V142" s="28"/>
      <c r="W142" s="171"/>
      <c r="X142" s="28"/>
      <c r="Y142" s="171"/>
      <c r="Z142" s="28"/>
      <c r="AA142" s="171"/>
      <c r="AB142" s="28"/>
      <c r="AC142" s="171"/>
      <c r="AD142" s="28"/>
      <c r="AE142" s="171"/>
      <c r="AF142" s="28"/>
      <c r="AG142" s="171"/>
      <c r="AH142" s="28"/>
      <c r="AI142" s="171"/>
      <c r="AJ142" s="74">
        <f t="shared" si="20"/>
        <v>0</v>
      </c>
    </row>
    <row r="143" spans="2:36" x14ac:dyDescent="0.25">
      <c r="B143" s="157">
        <v>92</v>
      </c>
      <c r="C143" s="761"/>
      <c r="D143" s="68" t="str">
        <f>HDG_10</f>
        <v>MCM</v>
      </c>
      <c r="E143" s="171"/>
      <c r="F143" s="28"/>
      <c r="G143" s="171"/>
      <c r="H143" s="28"/>
      <c r="I143" s="171"/>
      <c r="J143" s="28"/>
      <c r="K143" s="171"/>
      <c r="L143" s="28"/>
      <c r="M143" s="171"/>
      <c r="N143" s="28"/>
      <c r="O143" s="171"/>
      <c r="P143" s="28"/>
      <c r="Q143" s="171"/>
      <c r="R143" s="28"/>
      <c r="S143" s="171"/>
      <c r="T143" s="28"/>
      <c r="U143" s="171"/>
      <c r="V143" s="28"/>
      <c r="W143" s="171"/>
      <c r="X143" s="28"/>
      <c r="Y143" s="171"/>
      <c r="Z143" s="28"/>
      <c r="AA143" s="171"/>
      <c r="AB143" s="28"/>
      <c r="AC143" s="171"/>
      <c r="AD143" s="28"/>
      <c r="AE143" s="171"/>
      <c r="AF143" s="28"/>
      <c r="AG143" s="171"/>
      <c r="AH143" s="28"/>
      <c r="AI143" s="171"/>
      <c r="AJ143" s="74">
        <f t="shared" si="20"/>
        <v>0</v>
      </c>
    </row>
    <row r="144" spans="2:36" x14ac:dyDescent="0.25">
      <c r="B144" s="157">
        <v>93</v>
      </c>
      <c r="C144" s="761"/>
      <c r="D144" s="68" t="str">
        <f>HDG_11</f>
        <v>MCR</v>
      </c>
      <c r="E144" s="171"/>
      <c r="F144" s="28"/>
      <c r="G144" s="171"/>
      <c r="H144" s="28"/>
      <c r="I144" s="171"/>
      <c r="J144" s="28"/>
      <c r="K144" s="171"/>
      <c r="L144" s="28"/>
      <c r="M144" s="171"/>
      <c r="N144" s="28"/>
      <c r="O144" s="171"/>
      <c r="P144" s="28"/>
      <c r="Q144" s="171"/>
      <c r="R144" s="28"/>
      <c r="S144" s="171"/>
      <c r="T144" s="28"/>
      <c r="U144" s="171"/>
      <c r="V144" s="28"/>
      <c r="W144" s="171"/>
      <c r="X144" s="28"/>
      <c r="Y144" s="171"/>
      <c r="Z144" s="28"/>
      <c r="AA144" s="171"/>
      <c r="AB144" s="28"/>
      <c r="AC144" s="171"/>
      <c r="AD144" s="28"/>
      <c r="AE144" s="171"/>
      <c r="AF144" s="28"/>
      <c r="AG144" s="171"/>
      <c r="AH144" s="28"/>
      <c r="AI144" s="171"/>
      <c r="AJ144" s="74">
        <f t="shared" si="20"/>
        <v>0</v>
      </c>
    </row>
    <row r="145" spans="2:36" ht="15.75" thickBot="1" x14ac:dyDescent="0.3">
      <c r="B145" s="157">
        <v>94</v>
      </c>
      <c r="C145" s="762"/>
      <c r="D145" s="69" t="s">
        <v>406</v>
      </c>
      <c r="E145" s="171"/>
      <c r="F145" s="28"/>
      <c r="G145" s="171"/>
      <c r="H145" s="28"/>
      <c r="I145" s="171"/>
      <c r="J145" s="28"/>
      <c r="K145" s="171"/>
      <c r="L145" s="28"/>
      <c r="M145" s="171"/>
      <c r="N145" s="28"/>
      <c r="O145" s="171"/>
      <c r="P145" s="28"/>
      <c r="Q145" s="171"/>
      <c r="R145" s="28"/>
      <c r="S145" s="171"/>
      <c r="T145" s="28"/>
      <c r="U145" s="171"/>
      <c r="V145" s="28"/>
      <c r="W145" s="171"/>
      <c r="X145" s="28"/>
      <c r="Y145" s="171"/>
      <c r="Z145" s="28"/>
      <c r="AA145" s="171"/>
      <c r="AB145" s="28"/>
      <c r="AC145" s="171"/>
      <c r="AD145" s="28"/>
      <c r="AE145" s="171"/>
      <c r="AF145" s="28"/>
      <c r="AG145" s="171"/>
      <c r="AH145" s="28"/>
      <c r="AI145" s="171"/>
      <c r="AJ145" s="42">
        <f t="shared" si="20"/>
        <v>0</v>
      </c>
    </row>
    <row r="146" spans="2:36" ht="15.75" thickBot="1" x14ac:dyDescent="0.3">
      <c r="B146" s="157"/>
      <c r="C146" s="535"/>
      <c r="D146" s="535"/>
      <c r="E146" s="536"/>
      <c r="F146" s="61"/>
      <c r="G146" s="181"/>
      <c r="H146" s="61"/>
      <c r="I146" s="181"/>
      <c r="J146" s="61"/>
      <c r="K146" s="181"/>
      <c r="L146" s="61"/>
      <c r="M146" s="181"/>
      <c r="N146" s="61"/>
      <c r="O146" s="181"/>
      <c r="P146" s="61"/>
      <c r="Q146" s="181"/>
      <c r="R146" s="61"/>
      <c r="S146" s="181"/>
      <c r="T146" s="61"/>
      <c r="U146" s="181"/>
      <c r="V146" s="61"/>
      <c r="W146" s="181"/>
      <c r="X146" s="61"/>
      <c r="Y146" s="181"/>
      <c r="Z146" s="61"/>
      <c r="AA146" s="181"/>
      <c r="AB146" s="61"/>
      <c r="AC146" s="181"/>
      <c r="AD146" s="61"/>
      <c r="AE146" s="181"/>
      <c r="AF146" s="61"/>
      <c r="AG146" s="181"/>
      <c r="AH146" s="61"/>
      <c r="AI146" s="181"/>
      <c r="AJ146" s="61"/>
    </row>
    <row r="147" spans="2:36" ht="15.75" thickBot="1" x14ac:dyDescent="0.3">
      <c r="B147" s="157"/>
      <c r="C147" s="830" t="s">
        <v>55</v>
      </c>
      <c r="D147" s="831"/>
      <c r="E147" s="181"/>
      <c r="F147" s="61"/>
      <c r="G147" s="181"/>
      <c r="H147" s="61"/>
      <c r="I147" s="181"/>
      <c r="J147" s="61"/>
      <c r="K147" s="181"/>
      <c r="L147" s="61"/>
      <c r="M147" s="181"/>
      <c r="N147" s="61"/>
      <c r="O147" s="181"/>
      <c r="P147" s="61"/>
      <c r="Q147" s="181"/>
      <c r="R147" s="61"/>
      <c r="S147" s="181"/>
      <c r="T147" s="61"/>
      <c r="U147" s="181"/>
      <c r="V147" s="61"/>
      <c r="W147" s="181"/>
      <c r="X147" s="61"/>
      <c r="Y147" s="181"/>
      <c r="Z147" s="61"/>
      <c r="AA147" s="181"/>
      <c r="AB147" s="61"/>
      <c r="AC147" s="181"/>
      <c r="AD147" s="61"/>
      <c r="AE147" s="181"/>
      <c r="AF147" s="61"/>
      <c r="AG147" s="181"/>
      <c r="AH147" s="61"/>
      <c r="AI147" s="181"/>
      <c r="AJ147" s="61"/>
    </row>
    <row r="148" spans="2:36" ht="15.75" thickBot="1" x14ac:dyDescent="0.3">
      <c r="B148" s="157">
        <v>95</v>
      </c>
      <c r="C148" s="765" t="s">
        <v>67</v>
      </c>
      <c r="D148" s="766"/>
      <c r="E148" s="171"/>
      <c r="F148" s="28"/>
      <c r="G148" s="171"/>
      <c r="H148" s="28"/>
      <c r="I148" s="171"/>
      <c r="J148" s="28"/>
      <c r="K148" s="171"/>
      <c r="L148" s="28"/>
      <c r="M148" s="171"/>
      <c r="N148" s="28"/>
      <c r="O148" s="171"/>
      <c r="P148" s="28"/>
      <c r="Q148" s="171"/>
      <c r="R148" s="28"/>
      <c r="S148" s="171"/>
      <c r="T148" s="28"/>
      <c r="U148" s="171"/>
      <c r="V148" s="28"/>
      <c r="W148" s="171"/>
      <c r="X148" s="28"/>
      <c r="Y148" s="171"/>
      <c r="Z148" s="28"/>
      <c r="AA148" s="171"/>
      <c r="AB148" s="28"/>
      <c r="AC148" s="171"/>
      <c r="AD148" s="28"/>
      <c r="AE148" s="171"/>
      <c r="AF148" s="28"/>
      <c r="AG148" s="171"/>
      <c r="AH148" s="28"/>
      <c r="AI148" s="171"/>
      <c r="AJ148" s="41">
        <f>SUM(E148:AI148)</f>
        <v>0</v>
      </c>
    </row>
    <row r="149" spans="2:36" ht="15.75" thickBot="1" x14ac:dyDescent="0.3">
      <c r="B149" s="157"/>
      <c r="C149" s="828" t="s">
        <v>56</v>
      </c>
      <c r="D149" s="829"/>
      <c r="E149" s="181"/>
      <c r="F149" s="61"/>
      <c r="G149" s="181"/>
      <c r="H149" s="61"/>
      <c r="I149" s="181"/>
      <c r="J149" s="61"/>
      <c r="K149" s="181"/>
      <c r="L149" s="61"/>
      <c r="M149" s="181"/>
      <c r="N149" s="61"/>
      <c r="O149" s="181"/>
      <c r="P149" s="61"/>
      <c r="Q149" s="181"/>
      <c r="R149" s="61"/>
      <c r="S149" s="181"/>
      <c r="T149" s="61"/>
      <c r="U149" s="181"/>
      <c r="V149" s="61"/>
      <c r="W149" s="181"/>
      <c r="X149" s="61"/>
      <c r="Y149" s="181"/>
      <c r="Z149" s="61"/>
      <c r="AA149" s="181"/>
      <c r="AB149" s="61"/>
      <c r="AC149" s="181"/>
      <c r="AD149" s="61"/>
      <c r="AE149" s="181"/>
      <c r="AF149" s="61"/>
      <c r="AG149" s="181"/>
      <c r="AH149" s="61"/>
      <c r="AI149" s="181"/>
      <c r="AJ149" s="308"/>
    </row>
    <row r="150" spans="2:36" x14ac:dyDescent="0.25">
      <c r="B150" s="157">
        <v>96</v>
      </c>
      <c r="C150" s="760"/>
      <c r="D150" s="110" t="str">
        <f>HDG_1</f>
        <v>AFR</v>
      </c>
      <c r="E150" s="171"/>
      <c r="F150" s="28"/>
      <c r="G150" s="171"/>
      <c r="H150" s="28"/>
      <c r="I150" s="171"/>
      <c r="J150" s="28"/>
      <c r="K150" s="171"/>
      <c r="L150" s="28"/>
      <c r="M150" s="171"/>
      <c r="N150" s="28"/>
      <c r="O150" s="171"/>
      <c r="P150" s="28"/>
      <c r="Q150" s="171"/>
      <c r="R150" s="28"/>
      <c r="S150" s="171"/>
      <c r="T150" s="28"/>
      <c r="U150" s="171"/>
      <c r="V150" s="28"/>
      <c r="W150" s="171"/>
      <c r="X150" s="28"/>
      <c r="Y150" s="171"/>
      <c r="Z150" s="28"/>
      <c r="AA150" s="171"/>
      <c r="AB150" s="28"/>
      <c r="AC150" s="171"/>
      <c r="AD150" s="28"/>
      <c r="AE150" s="171"/>
      <c r="AF150" s="28"/>
      <c r="AG150" s="171"/>
      <c r="AH150" s="28"/>
      <c r="AI150" s="171"/>
      <c r="AJ150" s="74">
        <f t="shared" ref="AJ150:AJ161" si="21">SUM(E150:AI150)</f>
        <v>0</v>
      </c>
    </row>
    <row r="151" spans="2:36" x14ac:dyDescent="0.25">
      <c r="B151" s="157">
        <v>97</v>
      </c>
      <c r="C151" s="761"/>
      <c r="D151" s="68" t="str">
        <f>HDG_2</f>
        <v>AVP</v>
      </c>
      <c r="E151" s="171"/>
      <c r="F151" s="28"/>
      <c r="G151" s="171"/>
      <c r="H151" s="28"/>
      <c r="I151" s="171"/>
      <c r="J151" s="28"/>
      <c r="K151" s="171"/>
      <c r="L151" s="28"/>
      <c r="M151" s="171"/>
      <c r="N151" s="28"/>
      <c r="O151" s="171"/>
      <c r="P151" s="28"/>
      <c r="Q151" s="171"/>
      <c r="R151" s="28"/>
      <c r="S151" s="171"/>
      <c r="T151" s="28"/>
      <c r="U151" s="171"/>
      <c r="V151" s="28"/>
      <c r="W151" s="171"/>
      <c r="X151" s="28"/>
      <c r="Y151" s="171"/>
      <c r="Z151" s="28"/>
      <c r="AA151" s="171"/>
      <c r="AB151" s="28"/>
      <c r="AC151" s="171"/>
      <c r="AD151" s="28"/>
      <c r="AE151" s="171"/>
      <c r="AF151" s="28"/>
      <c r="AG151" s="171"/>
      <c r="AH151" s="28"/>
      <c r="AI151" s="171"/>
      <c r="AJ151" s="74">
        <f t="shared" si="21"/>
        <v>0</v>
      </c>
    </row>
    <row r="152" spans="2:36" x14ac:dyDescent="0.25">
      <c r="B152" s="157">
        <v>98</v>
      </c>
      <c r="C152" s="761"/>
      <c r="D152" s="68" t="str">
        <f>HDG_3</f>
        <v>ALZ</v>
      </c>
      <c r="E152" s="171"/>
      <c r="F152" s="28"/>
      <c r="G152" s="171"/>
      <c r="H152" s="28"/>
      <c r="I152" s="171"/>
      <c r="J152" s="28"/>
      <c r="K152" s="171"/>
      <c r="L152" s="28"/>
      <c r="M152" s="171"/>
      <c r="N152" s="28"/>
      <c r="O152" s="171"/>
      <c r="P152" s="28"/>
      <c r="Q152" s="171"/>
      <c r="R152" s="28"/>
      <c r="S152" s="171"/>
      <c r="T152" s="28"/>
      <c r="U152" s="171"/>
      <c r="V152" s="28"/>
      <c r="W152" s="171"/>
      <c r="X152" s="28"/>
      <c r="Y152" s="171"/>
      <c r="Z152" s="28"/>
      <c r="AA152" s="171"/>
      <c r="AB152" s="28"/>
      <c r="AC152" s="171"/>
      <c r="AD152" s="28"/>
      <c r="AE152" s="171"/>
      <c r="AF152" s="28"/>
      <c r="AG152" s="171"/>
      <c r="AH152" s="28"/>
      <c r="AI152" s="171"/>
      <c r="AJ152" s="74">
        <f t="shared" si="21"/>
        <v>0</v>
      </c>
    </row>
    <row r="153" spans="2:36" x14ac:dyDescent="0.25">
      <c r="B153" s="157">
        <v>99</v>
      </c>
      <c r="C153" s="761"/>
      <c r="D153" s="68" t="str">
        <f>HDG_4</f>
        <v>MZS</v>
      </c>
      <c r="E153" s="171"/>
      <c r="F153" s="28"/>
      <c r="G153" s="171"/>
      <c r="H153" s="28"/>
      <c r="I153" s="171"/>
      <c r="J153" s="28"/>
      <c r="K153" s="171"/>
      <c r="L153" s="28"/>
      <c r="M153" s="171"/>
      <c r="N153" s="28"/>
      <c r="O153" s="171"/>
      <c r="P153" s="28"/>
      <c r="Q153" s="171"/>
      <c r="R153" s="28"/>
      <c r="S153" s="171"/>
      <c r="T153" s="28"/>
      <c r="U153" s="171"/>
      <c r="V153" s="28"/>
      <c r="W153" s="171"/>
      <c r="X153" s="28"/>
      <c r="Y153" s="171"/>
      <c r="Z153" s="28"/>
      <c r="AA153" s="171"/>
      <c r="AB153" s="28"/>
      <c r="AC153" s="171"/>
      <c r="AD153" s="28"/>
      <c r="AE153" s="171"/>
      <c r="AF153" s="28"/>
      <c r="AG153" s="171"/>
      <c r="AH153" s="28"/>
      <c r="AI153" s="171"/>
      <c r="AJ153" s="74">
        <f t="shared" si="21"/>
        <v>0</v>
      </c>
    </row>
    <row r="154" spans="2:36" x14ac:dyDescent="0.25">
      <c r="B154" s="157">
        <v>100</v>
      </c>
      <c r="C154" s="761"/>
      <c r="D154" s="68" t="str">
        <f>HDG_5</f>
        <v>APR</v>
      </c>
      <c r="E154" s="171"/>
      <c r="F154" s="28"/>
      <c r="G154" s="171"/>
      <c r="H154" s="28"/>
      <c r="I154" s="171"/>
      <c r="J154" s="28"/>
      <c r="K154" s="171"/>
      <c r="L154" s="28"/>
      <c r="M154" s="171"/>
      <c r="N154" s="28"/>
      <c r="O154" s="171"/>
      <c r="P154" s="28"/>
      <c r="Q154" s="171"/>
      <c r="R154" s="28"/>
      <c r="S154" s="171"/>
      <c r="T154" s="28"/>
      <c r="U154" s="171"/>
      <c r="V154" s="28"/>
      <c r="W154" s="171"/>
      <c r="X154" s="28"/>
      <c r="Y154" s="171"/>
      <c r="Z154" s="28"/>
      <c r="AA154" s="171"/>
      <c r="AB154" s="28"/>
      <c r="AC154" s="171"/>
      <c r="AD154" s="28"/>
      <c r="AE154" s="171"/>
      <c r="AF154" s="28"/>
      <c r="AG154" s="171"/>
      <c r="AH154" s="28"/>
      <c r="AI154" s="171"/>
      <c r="AJ154" s="74">
        <f t="shared" si="21"/>
        <v>0</v>
      </c>
    </row>
    <row r="155" spans="2:36" x14ac:dyDescent="0.25">
      <c r="B155" s="157">
        <v>101</v>
      </c>
      <c r="C155" s="761"/>
      <c r="D155" s="68" t="str">
        <f>HDG_6</f>
        <v>DCG</v>
      </c>
      <c r="E155" s="171"/>
      <c r="F155" s="28"/>
      <c r="G155" s="171"/>
      <c r="H155" s="28"/>
      <c r="I155" s="171"/>
      <c r="J155" s="28"/>
      <c r="K155" s="171"/>
      <c r="L155" s="28"/>
      <c r="M155" s="171"/>
      <c r="N155" s="28"/>
      <c r="O155" s="171"/>
      <c r="P155" s="28"/>
      <c r="Q155" s="171"/>
      <c r="R155" s="28"/>
      <c r="S155" s="171"/>
      <c r="T155" s="28"/>
      <c r="U155" s="171"/>
      <c r="V155" s="28"/>
      <c r="W155" s="171"/>
      <c r="X155" s="28"/>
      <c r="Y155" s="171"/>
      <c r="Z155" s="28"/>
      <c r="AA155" s="171"/>
      <c r="AB155" s="28"/>
      <c r="AC155" s="171"/>
      <c r="AD155" s="28"/>
      <c r="AE155" s="171"/>
      <c r="AF155" s="28"/>
      <c r="AG155" s="171"/>
      <c r="AH155" s="28"/>
      <c r="AI155" s="171"/>
      <c r="AJ155" s="74">
        <f t="shared" si="21"/>
        <v>0</v>
      </c>
    </row>
    <row r="156" spans="2:36" x14ac:dyDescent="0.25">
      <c r="B156" s="157">
        <v>102</v>
      </c>
      <c r="C156" s="761"/>
      <c r="D156" s="68" t="str">
        <f>HDG_7</f>
        <v>SFS</v>
      </c>
      <c r="E156" s="171"/>
      <c r="F156" s="28"/>
      <c r="G156" s="171"/>
      <c r="H156" s="28"/>
      <c r="I156" s="171"/>
      <c r="J156" s="28"/>
      <c r="K156" s="171"/>
      <c r="L156" s="28"/>
      <c r="M156" s="171"/>
      <c r="N156" s="28"/>
      <c r="O156" s="171"/>
      <c r="P156" s="28"/>
      <c r="Q156" s="171"/>
      <c r="R156" s="28"/>
      <c r="S156" s="171"/>
      <c r="T156" s="28"/>
      <c r="U156" s="171"/>
      <c r="V156" s="28"/>
      <c r="W156" s="171"/>
      <c r="X156" s="28"/>
      <c r="Y156" s="171"/>
      <c r="Z156" s="28"/>
      <c r="AA156" s="171"/>
      <c r="AB156" s="28"/>
      <c r="AC156" s="171"/>
      <c r="AD156" s="28"/>
      <c r="AE156" s="171"/>
      <c r="AF156" s="28"/>
      <c r="AG156" s="171"/>
      <c r="AH156" s="28"/>
      <c r="AI156" s="171"/>
      <c r="AJ156" s="74">
        <f t="shared" si="21"/>
        <v>0</v>
      </c>
    </row>
    <row r="157" spans="2:36" x14ac:dyDescent="0.25">
      <c r="B157" s="157">
        <v>103</v>
      </c>
      <c r="C157" s="761"/>
      <c r="D157" s="68" t="str">
        <f>HDG_8</f>
        <v>AZH</v>
      </c>
      <c r="E157" s="171"/>
      <c r="F157" s="28"/>
      <c r="G157" s="171"/>
      <c r="H157" s="28"/>
      <c r="I157" s="171"/>
      <c r="J157" s="28"/>
      <c r="K157" s="171"/>
      <c r="L157" s="28"/>
      <c r="M157" s="171"/>
      <c r="N157" s="28"/>
      <c r="O157" s="171"/>
      <c r="P157" s="28"/>
      <c r="Q157" s="171"/>
      <c r="R157" s="28"/>
      <c r="S157" s="171"/>
      <c r="T157" s="28"/>
      <c r="U157" s="171"/>
      <c r="V157" s="28"/>
      <c r="W157" s="171"/>
      <c r="X157" s="28"/>
      <c r="Y157" s="171"/>
      <c r="Z157" s="28"/>
      <c r="AA157" s="171"/>
      <c r="AB157" s="28"/>
      <c r="AC157" s="171"/>
      <c r="AD157" s="28"/>
      <c r="AE157" s="171"/>
      <c r="AF157" s="28"/>
      <c r="AG157" s="171"/>
      <c r="AH157" s="28"/>
      <c r="AI157" s="171"/>
      <c r="AJ157" s="74">
        <f t="shared" si="21"/>
        <v>0</v>
      </c>
    </row>
    <row r="158" spans="2:36" x14ac:dyDescent="0.25">
      <c r="B158" s="157">
        <v>104</v>
      </c>
      <c r="C158" s="761"/>
      <c r="D158" s="68" t="str">
        <f>HDG_9</f>
        <v>HLI</v>
      </c>
      <c r="E158" s="171"/>
      <c r="F158" s="28"/>
      <c r="G158" s="171"/>
      <c r="H158" s="28"/>
      <c r="I158" s="171"/>
      <c r="J158" s="28"/>
      <c r="K158" s="171"/>
      <c r="L158" s="28"/>
      <c r="M158" s="171"/>
      <c r="N158" s="28"/>
      <c r="O158" s="171"/>
      <c r="P158" s="28"/>
      <c r="Q158" s="171"/>
      <c r="R158" s="28"/>
      <c r="S158" s="171"/>
      <c r="T158" s="28"/>
      <c r="U158" s="171"/>
      <c r="V158" s="28"/>
      <c r="W158" s="171"/>
      <c r="X158" s="28"/>
      <c r="Y158" s="171"/>
      <c r="Z158" s="28"/>
      <c r="AA158" s="171"/>
      <c r="AB158" s="28"/>
      <c r="AC158" s="171"/>
      <c r="AD158" s="28"/>
      <c r="AE158" s="171"/>
      <c r="AF158" s="28"/>
      <c r="AG158" s="171"/>
      <c r="AH158" s="28"/>
      <c r="AI158" s="171"/>
      <c r="AJ158" s="74">
        <f t="shared" si="21"/>
        <v>0</v>
      </c>
    </row>
    <row r="159" spans="2:36" x14ac:dyDescent="0.25">
      <c r="B159" s="157">
        <v>105</v>
      </c>
      <c r="C159" s="761"/>
      <c r="D159" s="68" t="str">
        <f>HDG_10</f>
        <v>MCM</v>
      </c>
      <c r="E159" s="171"/>
      <c r="F159" s="28"/>
      <c r="G159" s="171"/>
      <c r="H159" s="28"/>
      <c r="I159" s="171"/>
      <c r="J159" s="28"/>
      <c r="K159" s="171"/>
      <c r="L159" s="28"/>
      <c r="M159" s="171"/>
      <c r="N159" s="28"/>
      <c r="O159" s="171"/>
      <c r="P159" s="28"/>
      <c r="Q159" s="171"/>
      <c r="R159" s="28"/>
      <c r="S159" s="171"/>
      <c r="T159" s="28"/>
      <c r="U159" s="171"/>
      <c r="V159" s="28"/>
      <c r="W159" s="171"/>
      <c r="X159" s="28"/>
      <c r="Y159" s="171"/>
      <c r="Z159" s="28"/>
      <c r="AA159" s="171"/>
      <c r="AB159" s="28"/>
      <c r="AC159" s="171"/>
      <c r="AD159" s="28"/>
      <c r="AE159" s="171"/>
      <c r="AF159" s="28"/>
      <c r="AG159" s="171"/>
      <c r="AH159" s="28"/>
      <c r="AI159" s="171"/>
      <c r="AJ159" s="74">
        <f t="shared" si="21"/>
        <v>0</v>
      </c>
    </row>
    <row r="160" spans="2:36" x14ac:dyDescent="0.25">
      <c r="B160" s="157">
        <v>106</v>
      </c>
      <c r="C160" s="761"/>
      <c r="D160" s="68" t="str">
        <f>HDG_11</f>
        <v>MCR</v>
      </c>
      <c r="E160" s="171"/>
      <c r="F160" s="28"/>
      <c r="G160" s="171"/>
      <c r="H160" s="28"/>
      <c r="I160" s="171"/>
      <c r="J160" s="28"/>
      <c r="K160" s="171"/>
      <c r="L160" s="28"/>
      <c r="M160" s="171"/>
      <c r="N160" s="28"/>
      <c r="O160" s="171"/>
      <c r="P160" s="28"/>
      <c r="Q160" s="171"/>
      <c r="R160" s="28"/>
      <c r="S160" s="171"/>
      <c r="T160" s="28"/>
      <c r="U160" s="171"/>
      <c r="V160" s="28"/>
      <c r="W160" s="171"/>
      <c r="X160" s="28"/>
      <c r="Y160" s="171"/>
      <c r="Z160" s="28"/>
      <c r="AA160" s="171"/>
      <c r="AB160" s="28"/>
      <c r="AC160" s="171"/>
      <c r="AD160" s="28"/>
      <c r="AE160" s="171"/>
      <c r="AF160" s="28"/>
      <c r="AG160" s="171"/>
      <c r="AH160" s="28"/>
      <c r="AI160" s="171"/>
      <c r="AJ160" s="74">
        <f t="shared" si="21"/>
        <v>0</v>
      </c>
    </row>
    <row r="161" spans="2:36" ht="15.75" thickBot="1" x14ac:dyDescent="0.3">
      <c r="B161" s="157">
        <v>107</v>
      </c>
      <c r="C161" s="761"/>
      <c r="D161" s="68" t="s">
        <v>406</v>
      </c>
      <c r="E161" s="171"/>
      <c r="F161" s="28"/>
      <c r="G161" s="171"/>
      <c r="H161" s="28"/>
      <c r="I161" s="171"/>
      <c r="J161" s="28"/>
      <c r="K161" s="171"/>
      <c r="L161" s="28"/>
      <c r="M161" s="171"/>
      <c r="N161" s="28"/>
      <c r="O161" s="171"/>
      <c r="P161" s="28"/>
      <c r="Q161" s="171"/>
      <c r="R161" s="28"/>
      <c r="S161" s="171"/>
      <c r="T161" s="28"/>
      <c r="U161" s="171"/>
      <c r="V161" s="28"/>
      <c r="W161" s="171"/>
      <c r="X161" s="28"/>
      <c r="Y161" s="171"/>
      <c r="Z161" s="28"/>
      <c r="AA161" s="171"/>
      <c r="AB161" s="28"/>
      <c r="AC161" s="171"/>
      <c r="AD161" s="28"/>
      <c r="AE161" s="171"/>
      <c r="AF161" s="28"/>
      <c r="AG161" s="171"/>
      <c r="AH161" s="28"/>
      <c r="AI161" s="171"/>
      <c r="AJ161" s="74">
        <f t="shared" si="21"/>
        <v>0</v>
      </c>
    </row>
    <row r="162" spans="2:36" x14ac:dyDescent="0.25">
      <c r="B162" s="157"/>
      <c r="C162" s="842" t="s">
        <v>622</v>
      </c>
      <c r="D162" s="843"/>
      <c r="E162" s="843"/>
      <c r="F162" s="843"/>
      <c r="G162" s="843"/>
      <c r="H162" s="843"/>
      <c r="I162" s="843"/>
      <c r="J162" s="843"/>
      <c r="K162" s="843"/>
      <c r="L162" s="843"/>
      <c r="M162" s="843"/>
      <c r="N162" s="843"/>
      <c r="O162" s="843"/>
      <c r="P162" s="843"/>
      <c r="Q162" s="843"/>
      <c r="R162" s="843"/>
      <c r="S162" s="843"/>
      <c r="T162" s="843"/>
      <c r="U162" s="843"/>
      <c r="V162" s="843"/>
      <c r="W162" s="843"/>
      <c r="X162" s="843"/>
      <c r="Y162" s="843"/>
      <c r="Z162" s="843"/>
      <c r="AA162" s="843"/>
      <c r="AB162" s="843"/>
      <c r="AC162" s="843"/>
      <c r="AD162" s="843"/>
      <c r="AE162" s="843"/>
      <c r="AF162" s="843"/>
      <c r="AG162" s="843"/>
      <c r="AH162" s="843"/>
      <c r="AI162" s="843"/>
      <c r="AJ162" s="844"/>
    </row>
    <row r="163" spans="2:36" ht="15.75" thickBot="1" x14ac:dyDescent="0.3">
      <c r="B163" s="157"/>
      <c r="C163" s="845"/>
      <c r="D163" s="846"/>
      <c r="E163" s="846"/>
      <c r="F163" s="846"/>
      <c r="G163" s="846"/>
      <c r="H163" s="846"/>
      <c r="I163" s="846"/>
      <c r="J163" s="846"/>
      <c r="K163" s="846"/>
      <c r="L163" s="846"/>
      <c r="M163" s="846"/>
      <c r="N163" s="846"/>
      <c r="O163" s="846"/>
      <c r="P163" s="846"/>
      <c r="Q163" s="846"/>
      <c r="R163" s="846"/>
      <c r="S163" s="846"/>
      <c r="T163" s="846"/>
      <c r="U163" s="846"/>
      <c r="V163" s="846"/>
      <c r="W163" s="846"/>
      <c r="X163" s="846"/>
      <c r="Y163" s="846"/>
      <c r="Z163" s="846"/>
      <c r="AA163" s="846"/>
      <c r="AB163" s="846"/>
      <c r="AC163" s="846"/>
      <c r="AD163" s="846"/>
      <c r="AE163" s="846"/>
      <c r="AF163" s="846"/>
      <c r="AG163" s="846"/>
      <c r="AH163" s="846"/>
      <c r="AI163" s="846"/>
      <c r="AJ163" s="847"/>
    </row>
    <row r="164" spans="2:36" x14ac:dyDescent="0.25">
      <c r="B164" s="157">
        <v>108</v>
      </c>
      <c r="C164" s="727" t="s">
        <v>604</v>
      </c>
      <c r="D164" s="728"/>
      <c r="E164" s="171"/>
      <c r="F164" s="28"/>
      <c r="G164" s="171"/>
      <c r="H164" s="28"/>
      <c r="I164" s="171"/>
      <c r="J164" s="28"/>
      <c r="K164" s="171"/>
      <c r="L164" s="28"/>
      <c r="M164" s="171"/>
      <c r="N164" s="28"/>
      <c r="O164" s="171"/>
      <c r="P164" s="28"/>
      <c r="Q164" s="171"/>
      <c r="R164" s="28"/>
      <c r="S164" s="171"/>
      <c r="T164" s="28"/>
      <c r="U164" s="171"/>
      <c r="V164" s="28"/>
      <c r="W164" s="171"/>
      <c r="X164" s="28"/>
      <c r="Y164" s="171"/>
      <c r="Z164" s="28"/>
      <c r="AA164" s="171"/>
      <c r="AB164" s="28"/>
      <c r="AC164" s="171"/>
      <c r="AD164" s="28"/>
      <c r="AE164" s="171"/>
      <c r="AF164" s="28"/>
      <c r="AG164" s="171"/>
      <c r="AH164" s="28"/>
      <c r="AI164" s="171"/>
      <c r="AJ164" s="74">
        <f t="shared" ref="AJ164:AJ169" si="22">SUM(E164:AI164)</f>
        <v>0</v>
      </c>
    </row>
    <row r="165" spans="2:36" x14ac:dyDescent="0.25">
      <c r="B165" s="157"/>
      <c r="C165" s="727" t="s">
        <v>63</v>
      </c>
      <c r="D165" s="728"/>
      <c r="E165" s="171">
        <f>E186</f>
        <v>0</v>
      </c>
      <c r="F165" s="171">
        <f t="shared" ref="F165:AI165" si="23">F186</f>
        <v>0</v>
      </c>
      <c r="G165" s="171">
        <f t="shared" si="23"/>
        <v>0</v>
      </c>
      <c r="H165" s="171">
        <f t="shared" si="23"/>
        <v>0</v>
      </c>
      <c r="I165" s="171">
        <f t="shared" si="23"/>
        <v>0</v>
      </c>
      <c r="J165" s="171">
        <f t="shared" si="23"/>
        <v>0</v>
      </c>
      <c r="K165" s="171">
        <f t="shared" si="23"/>
        <v>1</v>
      </c>
      <c r="L165" s="171">
        <f t="shared" si="23"/>
        <v>0</v>
      </c>
      <c r="M165" s="171">
        <f t="shared" si="23"/>
        <v>0</v>
      </c>
      <c r="N165" s="171">
        <f t="shared" si="23"/>
        <v>0</v>
      </c>
      <c r="O165" s="171">
        <f t="shared" si="23"/>
        <v>0</v>
      </c>
      <c r="P165" s="171">
        <f t="shared" si="23"/>
        <v>0</v>
      </c>
      <c r="Q165" s="171">
        <f t="shared" si="23"/>
        <v>0</v>
      </c>
      <c r="R165" s="171">
        <f t="shared" si="23"/>
        <v>0</v>
      </c>
      <c r="S165" s="171">
        <f t="shared" si="23"/>
        <v>0</v>
      </c>
      <c r="T165" s="171">
        <f t="shared" si="23"/>
        <v>0</v>
      </c>
      <c r="U165" s="171">
        <f t="shared" si="23"/>
        <v>0</v>
      </c>
      <c r="V165" s="171">
        <f t="shared" si="23"/>
        <v>0</v>
      </c>
      <c r="W165" s="171">
        <f t="shared" si="23"/>
        <v>0</v>
      </c>
      <c r="X165" s="171">
        <f t="shared" si="23"/>
        <v>0</v>
      </c>
      <c r="Y165" s="171">
        <f t="shared" si="23"/>
        <v>0</v>
      </c>
      <c r="Z165" s="171">
        <f t="shared" si="23"/>
        <v>0</v>
      </c>
      <c r="AA165" s="171">
        <f t="shared" si="23"/>
        <v>0</v>
      </c>
      <c r="AB165" s="171">
        <f t="shared" si="23"/>
        <v>0</v>
      </c>
      <c r="AC165" s="171">
        <f t="shared" si="23"/>
        <v>0</v>
      </c>
      <c r="AD165" s="171">
        <f t="shared" si="23"/>
        <v>0</v>
      </c>
      <c r="AE165" s="171">
        <f t="shared" si="23"/>
        <v>0</v>
      </c>
      <c r="AF165" s="171">
        <f t="shared" si="23"/>
        <v>0</v>
      </c>
      <c r="AG165" s="171">
        <f t="shared" si="23"/>
        <v>0</v>
      </c>
      <c r="AH165" s="171">
        <f t="shared" si="23"/>
        <v>0</v>
      </c>
      <c r="AI165" s="171">
        <f t="shared" si="23"/>
        <v>0</v>
      </c>
      <c r="AJ165" s="74">
        <f t="shared" si="22"/>
        <v>1</v>
      </c>
    </row>
    <row r="166" spans="2:36" x14ac:dyDescent="0.25">
      <c r="B166" s="157"/>
      <c r="C166" s="727" t="s">
        <v>179</v>
      </c>
      <c r="D166" s="728"/>
      <c r="E166" s="171">
        <f>E171</f>
        <v>0</v>
      </c>
      <c r="F166" s="171">
        <f t="shared" ref="F166:AI166" si="24">F171</f>
        <v>0</v>
      </c>
      <c r="G166" s="171">
        <f t="shared" si="24"/>
        <v>0</v>
      </c>
      <c r="H166" s="171">
        <f t="shared" si="24"/>
        <v>0</v>
      </c>
      <c r="I166" s="171">
        <f t="shared" si="24"/>
        <v>0</v>
      </c>
      <c r="J166" s="171">
        <f t="shared" si="24"/>
        <v>0</v>
      </c>
      <c r="K166" s="171">
        <f t="shared" si="24"/>
        <v>0</v>
      </c>
      <c r="L166" s="171">
        <f t="shared" si="24"/>
        <v>0</v>
      </c>
      <c r="M166" s="171">
        <f t="shared" si="24"/>
        <v>0</v>
      </c>
      <c r="N166" s="171">
        <f t="shared" si="24"/>
        <v>0</v>
      </c>
      <c r="O166" s="171">
        <f t="shared" si="24"/>
        <v>0</v>
      </c>
      <c r="P166" s="171">
        <f t="shared" si="24"/>
        <v>0</v>
      </c>
      <c r="Q166" s="171">
        <f t="shared" si="24"/>
        <v>0</v>
      </c>
      <c r="R166" s="171">
        <f t="shared" si="24"/>
        <v>0</v>
      </c>
      <c r="S166" s="171">
        <f t="shared" si="24"/>
        <v>0</v>
      </c>
      <c r="T166" s="171">
        <f t="shared" si="24"/>
        <v>0</v>
      </c>
      <c r="U166" s="171">
        <f t="shared" si="24"/>
        <v>0</v>
      </c>
      <c r="V166" s="171">
        <f t="shared" si="24"/>
        <v>0</v>
      </c>
      <c r="W166" s="171">
        <f t="shared" si="24"/>
        <v>0</v>
      </c>
      <c r="X166" s="171">
        <f t="shared" si="24"/>
        <v>0</v>
      </c>
      <c r="Y166" s="171">
        <f t="shared" si="24"/>
        <v>0</v>
      </c>
      <c r="Z166" s="171">
        <f t="shared" si="24"/>
        <v>0</v>
      </c>
      <c r="AA166" s="171">
        <f t="shared" si="24"/>
        <v>0</v>
      </c>
      <c r="AB166" s="171">
        <f t="shared" si="24"/>
        <v>0</v>
      </c>
      <c r="AC166" s="171">
        <f t="shared" si="24"/>
        <v>0</v>
      </c>
      <c r="AD166" s="171">
        <f t="shared" si="24"/>
        <v>0</v>
      </c>
      <c r="AE166" s="171">
        <f t="shared" si="24"/>
        <v>0</v>
      </c>
      <c r="AF166" s="171">
        <f t="shared" si="24"/>
        <v>0</v>
      </c>
      <c r="AG166" s="171">
        <f t="shared" si="24"/>
        <v>0</v>
      </c>
      <c r="AH166" s="171">
        <f t="shared" si="24"/>
        <v>0</v>
      </c>
      <c r="AI166" s="171">
        <f t="shared" si="24"/>
        <v>0</v>
      </c>
      <c r="AJ166" s="74">
        <f t="shared" si="22"/>
        <v>0</v>
      </c>
    </row>
    <row r="167" spans="2:36" x14ac:dyDescent="0.25">
      <c r="B167" s="157">
        <v>110</v>
      </c>
      <c r="C167" s="727" t="s">
        <v>607</v>
      </c>
      <c r="D167" s="728"/>
      <c r="E167" s="171"/>
      <c r="F167" s="28"/>
      <c r="G167" s="171"/>
      <c r="H167" s="28"/>
      <c r="I167" s="171"/>
      <c r="J167" s="28"/>
      <c r="K167" s="171"/>
      <c r="L167" s="28"/>
      <c r="M167" s="171"/>
      <c r="N167" s="28"/>
      <c r="O167" s="171"/>
      <c r="P167" s="28"/>
      <c r="Q167" s="171"/>
      <c r="R167" s="28"/>
      <c r="S167" s="171"/>
      <c r="T167" s="28"/>
      <c r="U167" s="171"/>
      <c r="V167" s="28"/>
      <c r="W167" s="171"/>
      <c r="X167" s="28"/>
      <c r="Y167" s="171"/>
      <c r="Z167" s="28"/>
      <c r="AA167" s="171"/>
      <c r="AB167" s="28"/>
      <c r="AC167" s="171"/>
      <c r="AD167" s="28"/>
      <c r="AE167" s="171"/>
      <c r="AF167" s="28"/>
      <c r="AG167" s="171"/>
      <c r="AH167" s="28"/>
      <c r="AI167" s="171"/>
      <c r="AJ167" s="74">
        <f t="shared" si="22"/>
        <v>0</v>
      </c>
    </row>
    <row r="168" spans="2:36" x14ac:dyDescent="0.25">
      <c r="B168" s="157"/>
      <c r="C168" s="727" t="s">
        <v>605</v>
      </c>
      <c r="D168" s="728"/>
      <c r="E168" s="171">
        <f>E201</f>
        <v>0</v>
      </c>
      <c r="F168" s="171">
        <f t="shared" ref="F168:AI168" si="25">F201</f>
        <v>0</v>
      </c>
      <c r="G168" s="171">
        <f t="shared" si="25"/>
        <v>0</v>
      </c>
      <c r="H168" s="171">
        <f t="shared" si="25"/>
        <v>0</v>
      </c>
      <c r="I168" s="171">
        <f t="shared" si="25"/>
        <v>0</v>
      </c>
      <c r="J168" s="171">
        <f t="shared" si="25"/>
        <v>0</v>
      </c>
      <c r="K168" s="171">
        <f t="shared" si="25"/>
        <v>0</v>
      </c>
      <c r="L168" s="171">
        <f t="shared" si="25"/>
        <v>0</v>
      </c>
      <c r="M168" s="171">
        <f t="shared" si="25"/>
        <v>0</v>
      </c>
      <c r="N168" s="171">
        <f t="shared" si="25"/>
        <v>0</v>
      </c>
      <c r="O168" s="171">
        <f t="shared" si="25"/>
        <v>0</v>
      </c>
      <c r="P168" s="171">
        <f t="shared" si="25"/>
        <v>0</v>
      </c>
      <c r="Q168" s="171">
        <f t="shared" si="25"/>
        <v>0</v>
      </c>
      <c r="R168" s="171">
        <f t="shared" si="25"/>
        <v>0</v>
      </c>
      <c r="S168" s="171">
        <f t="shared" si="25"/>
        <v>0</v>
      </c>
      <c r="T168" s="171">
        <f t="shared" si="25"/>
        <v>0</v>
      </c>
      <c r="U168" s="171">
        <f t="shared" si="25"/>
        <v>0</v>
      </c>
      <c r="V168" s="171">
        <f t="shared" si="25"/>
        <v>0</v>
      </c>
      <c r="W168" s="171">
        <f t="shared" si="25"/>
        <v>0</v>
      </c>
      <c r="X168" s="171">
        <f t="shared" si="25"/>
        <v>0</v>
      </c>
      <c r="Y168" s="171">
        <f t="shared" si="25"/>
        <v>0</v>
      </c>
      <c r="Z168" s="171">
        <f t="shared" si="25"/>
        <v>0</v>
      </c>
      <c r="AA168" s="171">
        <f t="shared" si="25"/>
        <v>0</v>
      </c>
      <c r="AB168" s="171">
        <f t="shared" si="25"/>
        <v>0</v>
      </c>
      <c r="AC168" s="171">
        <f t="shared" si="25"/>
        <v>0</v>
      </c>
      <c r="AD168" s="171">
        <f t="shared" si="25"/>
        <v>0</v>
      </c>
      <c r="AE168" s="171">
        <f t="shared" si="25"/>
        <v>0</v>
      </c>
      <c r="AF168" s="171">
        <f t="shared" si="25"/>
        <v>0</v>
      </c>
      <c r="AG168" s="171">
        <f t="shared" si="25"/>
        <v>0</v>
      </c>
      <c r="AH168" s="171">
        <f t="shared" si="25"/>
        <v>0</v>
      </c>
      <c r="AI168" s="171">
        <f t="shared" si="25"/>
        <v>0</v>
      </c>
      <c r="AJ168" s="74">
        <f t="shared" si="22"/>
        <v>0</v>
      </c>
    </row>
    <row r="169" spans="2:36" ht="15.75" thickBot="1" x14ac:dyDescent="0.3">
      <c r="B169" s="157">
        <v>111</v>
      </c>
      <c r="C169" s="743" t="s">
        <v>17</v>
      </c>
      <c r="D169" s="744"/>
      <c r="E169" s="171"/>
      <c r="F169" s="28"/>
      <c r="G169" s="171"/>
      <c r="H169" s="28"/>
      <c r="I169" s="171"/>
      <c r="J169" s="28"/>
      <c r="K169" s="171"/>
      <c r="L169" s="28"/>
      <c r="M169" s="171"/>
      <c r="N169" s="28"/>
      <c r="O169" s="171"/>
      <c r="P169" s="28"/>
      <c r="Q169" s="171"/>
      <c r="R169" s="28"/>
      <c r="S169" s="171"/>
      <c r="T169" s="28"/>
      <c r="U169" s="171"/>
      <c r="V169" s="28"/>
      <c r="W169" s="171"/>
      <c r="X169" s="28"/>
      <c r="Y169" s="171"/>
      <c r="Z169" s="28"/>
      <c r="AA169" s="171"/>
      <c r="AB169" s="28"/>
      <c r="AC169" s="171"/>
      <c r="AD169" s="28"/>
      <c r="AE169" s="171"/>
      <c r="AF169" s="28"/>
      <c r="AG169" s="171"/>
      <c r="AH169" s="28"/>
      <c r="AI169" s="171"/>
      <c r="AJ169" s="74">
        <f t="shared" si="22"/>
        <v>0</v>
      </c>
    </row>
    <row r="170" spans="2:36" ht="15.75" thickBot="1" x14ac:dyDescent="0.3">
      <c r="B170" s="157"/>
      <c r="C170" s="61"/>
      <c r="D170" s="61"/>
      <c r="E170" s="61"/>
      <c r="F170" s="61"/>
      <c r="G170" s="181"/>
      <c r="H170" s="61"/>
      <c r="I170" s="181"/>
      <c r="J170" s="61"/>
      <c r="K170" s="181"/>
      <c r="L170" s="61"/>
      <c r="M170" s="181"/>
      <c r="N170" s="61"/>
      <c r="O170" s="181"/>
      <c r="P170" s="61"/>
      <c r="Q170" s="181"/>
      <c r="R170" s="61"/>
      <c r="S170" s="181"/>
      <c r="T170" s="61"/>
      <c r="U170" s="181"/>
      <c r="V170" s="61"/>
      <c r="W170" s="181"/>
      <c r="X170" s="61"/>
      <c r="Y170" s="181"/>
      <c r="Z170" s="61"/>
      <c r="AA170" s="181"/>
      <c r="AB170" s="61"/>
      <c r="AC170" s="181"/>
      <c r="AD170" s="61"/>
      <c r="AE170" s="181"/>
      <c r="AF170" s="61"/>
      <c r="AG170" s="181"/>
      <c r="AH170" s="61"/>
      <c r="AI170" s="181"/>
      <c r="AJ170" s="308"/>
    </row>
    <row r="171" spans="2:36" ht="15.75" thickBot="1" x14ac:dyDescent="0.3">
      <c r="B171" s="157">
        <v>109</v>
      </c>
      <c r="C171" s="737" t="s">
        <v>179</v>
      </c>
      <c r="D171" s="738"/>
      <c r="E171" s="171"/>
      <c r="F171" s="171"/>
      <c r="G171" s="171"/>
      <c r="H171" s="171"/>
      <c r="I171" s="171"/>
      <c r="J171" s="171"/>
      <c r="K171" s="171"/>
      <c r="L171" s="171"/>
      <c r="M171" s="171"/>
      <c r="N171" s="171"/>
      <c r="O171" s="171"/>
      <c r="P171" s="171"/>
      <c r="Q171" s="171"/>
      <c r="R171" s="171"/>
      <c r="S171" s="171"/>
      <c r="T171" s="171"/>
      <c r="U171" s="171"/>
      <c r="V171" s="171"/>
      <c r="W171" s="171"/>
      <c r="X171" s="171"/>
      <c r="Y171" s="171"/>
      <c r="Z171" s="171"/>
      <c r="AA171" s="171"/>
      <c r="AB171" s="171"/>
      <c r="AC171" s="171"/>
      <c r="AD171" s="171"/>
      <c r="AE171" s="171"/>
      <c r="AF171" s="171"/>
      <c r="AG171" s="171"/>
      <c r="AH171" s="171"/>
      <c r="AI171" s="171"/>
      <c r="AJ171" s="521">
        <f>SUM(E171:AI171)</f>
        <v>0</v>
      </c>
    </row>
    <row r="172" spans="2:36" ht="15.75" thickBot="1" x14ac:dyDescent="0.3">
      <c r="B172" s="157"/>
      <c r="C172" s="828" t="s">
        <v>56</v>
      </c>
      <c r="D172" s="829"/>
      <c r="E172" s="181"/>
      <c r="F172" s="61"/>
      <c r="G172" s="181"/>
      <c r="H172" s="61"/>
      <c r="I172" s="181"/>
      <c r="J172" s="61"/>
      <c r="K172" s="181"/>
      <c r="L172" s="61"/>
      <c r="M172" s="181"/>
      <c r="N172" s="61"/>
      <c r="O172" s="181"/>
      <c r="P172" s="61"/>
      <c r="Q172" s="181"/>
      <c r="R172" s="61"/>
      <c r="S172" s="181"/>
      <c r="T172" s="61"/>
      <c r="U172" s="181"/>
      <c r="V172" s="61"/>
      <c r="W172" s="181"/>
      <c r="X172" s="61"/>
      <c r="Y172" s="181"/>
      <c r="Z172" s="61"/>
      <c r="AA172" s="181"/>
      <c r="AB172" s="61"/>
      <c r="AC172" s="181"/>
      <c r="AD172" s="61"/>
      <c r="AE172" s="181"/>
      <c r="AF172" s="61"/>
      <c r="AG172" s="181"/>
      <c r="AH172" s="61"/>
      <c r="AI172" s="181"/>
      <c r="AJ172" s="308"/>
    </row>
    <row r="173" spans="2:36" x14ac:dyDescent="0.25">
      <c r="B173" s="157">
        <v>195</v>
      </c>
      <c r="C173" s="760"/>
      <c r="D173" s="110" t="str">
        <f>HDG_1</f>
        <v>AFR</v>
      </c>
      <c r="E173" s="171"/>
      <c r="F173" s="54"/>
      <c r="G173" s="171"/>
      <c r="H173" s="54"/>
      <c r="I173" s="171"/>
      <c r="J173" s="54"/>
      <c r="K173" s="171"/>
      <c r="L173" s="54"/>
      <c r="M173" s="171"/>
      <c r="N173" s="54"/>
      <c r="O173" s="171"/>
      <c r="P173" s="54"/>
      <c r="Q173" s="171"/>
      <c r="R173" s="54"/>
      <c r="S173" s="171"/>
      <c r="T173" s="54"/>
      <c r="U173" s="171"/>
      <c r="V173" s="54"/>
      <c r="W173" s="171"/>
      <c r="X173" s="54"/>
      <c r="Y173" s="171"/>
      <c r="Z173" s="54"/>
      <c r="AA173" s="171"/>
      <c r="AB173" s="54"/>
      <c r="AC173" s="171"/>
      <c r="AD173" s="54"/>
      <c r="AE173" s="171"/>
      <c r="AF173" s="54"/>
      <c r="AG173" s="171"/>
      <c r="AH173" s="54"/>
      <c r="AI173" s="171"/>
      <c r="AJ173" s="521">
        <f>SUM(E173:AI173)</f>
        <v>0</v>
      </c>
    </row>
    <row r="174" spans="2:36" x14ac:dyDescent="0.25">
      <c r="B174" s="157">
        <v>196</v>
      </c>
      <c r="C174" s="761"/>
      <c r="D174" s="68" t="str">
        <f>HDG_2</f>
        <v>AVP</v>
      </c>
      <c r="E174" s="171"/>
      <c r="F174" s="54"/>
      <c r="G174" s="171"/>
      <c r="H174" s="54"/>
      <c r="I174" s="171"/>
      <c r="J174" s="54"/>
      <c r="K174" s="171"/>
      <c r="L174" s="54"/>
      <c r="M174" s="171"/>
      <c r="N174" s="54"/>
      <c r="O174" s="171"/>
      <c r="P174" s="54"/>
      <c r="Q174" s="171"/>
      <c r="R174" s="54"/>
      <c r="S174" s="171"/>
      <c r="T174" s="54"/>
      <c r="U174" s="171"/>
      <c r="V174" s="54"/>
      <c r="W174" s="171"/>
      <c r="X174" s="54"/>
      <c r="Y174" s="171"/>
      <c r="Z174" s="54"/>
      <c r="AA174" s="171"/>
      <c r="AB174" s="54"/>
      <c r="AC174" s="171"/>
      <c r="AD174" s="54"/>
      <c r="AE174" s="171"/>
      <c r="AF174" s="54"/>
      <c r="AG174" s="171"/>
      <c r="AH174" s="54"/>
      <c r="AI174" s="171"/>
      <c r="AJ174" s="521">
        <f t="shared" ref="AJ174:AJ184" si="26">SUM(E174:AI174)</f>
        <v>0</v>
      </c>
    </row>
    <row r="175" spans="2:36" x14ac:dyDescent="0.25">
      <c r="B175" s="157">
        <v>197</v>
      </c>
      <c r="C175" s="761"/>
      <c r="D175" s="68" t="str">
        <f>HDG_3</f>
        <v>ALZ</v>
      </c>
      <c r="E175" s="171"/>
      <c r="F175" s="54"/>
      <c r="G175" s="171"/>
      <c r="H175" s="54"/>
      <c r="I175" s="171"/>
      <c r="J175" s="54"/>
      <c r="K175" s="171"/>
      <c r="L175" s="54"/>
      <c r="M175" s="171"/>
      <c r="N175" s="54"/>
      <c r="O175" s="171"/>
      <c r="P175" s="54"/>
      <c r="Q175" s="171"/>
      <c r="R175" s="54"/>
      <c r="S175" s="171"/>
      <c r="T175" s="54"/>
      <c r="U175" s="171"/>
      <c r="V175" s="54"/>
      <c r="W175" s="171"/>
      <c r="X175" s="54"/>
      <c r="Y175" s="171"/>
      <c r="Z175" s="54"/>
      <c r="AA175" s="171"/>
      <c r="AB175" s="54"/>
      <c r="AC175" s="171"/>
      <c r="AD175" s="54"/>
      <c r="AE175" s="171"/>
      <c r="AF175" s="54"/>
      <c r="AG175" s="171"/>
      <c r="AH175" s="54"/>
      <c r="AI175" s="171"/>
      <c r="AJ175" s="521">
        <f t="shared" si="26"/>
        <v>0</v>
      </c>
    </row>
    <row r="176" spans="2:36" x14ac:dyDescent="0.25">
      <c r="B176" s="157">
        <v>198</v>
      </c>
      <c r="C176" s="761"/>
      <c r="D176" s="68" t="str">
        <f>HDG_4</f>
        <v>MZS</v>
      </c>
      <c r="E176" s="171"/>
      <c r="F176" s="54"/>
      <c r="G176" s="171"/>
      <c r="H176" s="54"/>
      <c r="I176" s="171"/>
      <c r="J176" s="54"/>
      <c r="K176" s="171"/>
      <c r="L176" s="54"/>
      <c r="M176" s="171"/>
      <c r="N176" s="54"/>
      <c r="O176" s="171"/>
      <c r="P176" s="54"/>
      <c r="Q176" s="171"/>
      <c r="R176" s="54"/>
      <c r="S176" s="171"/>
      <c r="T176" s="54"/>
      <c r="U176" s="171"/>
      <c r="V176" s="54"/>
      <c r="W176" s="171"/>
      <c r="X176" s="54"/>
      <c r="Y176" s="171"/>
      <c r="Z176" s="54"/>
      <c r="AA176" s="171"/>
      <c r="AB176" s="54"/>
      <c r="AC176" s="171"/>
      <c r="AD176" s="54"/>
      <c r="AE176" s="171"/>
      <c r="AF176" s="54"/>
      <c r="AG176" s="171"/>
      <c r="AH176" s="54"/>
      <c r="AI176" s="171"/>
      <c r="AJ176" s="521">
        <f t="shared" si="26"/>
        <v>0</v>
      </c>
    </row>
    <row r="177" spans="2:36" x14ac:dyDescent="0.25">
      <c r="B177" s="157">
        <v>199</v>
      </c>
      <c r="C177" s="761"/>
      <c r="D177" s="68" t="str">
        <f>HDG_5</f>
        <v>APR</v>
      </c>
      <c r="E177" s="171"/>
      <c r="F177" s="54"/>
      <c r="G177" s="171"/>
      <c r="H177" s="54"/>
      <c r="I177" s="171"/>
      <c r="J177" s="54"/>
      <c r="K177" s="171"/>
      <c r="L177" s="54"/>
      <c r="M177" s="171"/>
      <c r="N177" s="54"/>
      <c r="O177" s="171"/>
      <c r="P177" s="54"/>
      <c r="Q177" s="171"/>
      <c r="R177" s="54"/>
      <c r="S177" s="171"/>
      <c r="T177" s="54"/>
      <c r="U177" s="171"/>
      <c r="V177" s="54"/>
      <c r="W177" s="171"/>
      <c r="X177" s="54"/>
      <c r="Y177" s="171"/>
      <c r="Z177" s="54"/>
      <c r="AA177" s="171"/>
      <c r="AB177" s="54"/>
      <c r="AC177" s="171"/>
      <c r="AD177" s="54"/>
      <c r="AE177" s="171"/>
      <c r="AF177" s="54"/>
      <c r="AG177" s="171"/>
      <c r="AH177" s="54"/>
      <c r="AI177" s="171"/>
      <c r="AJ177" s="521">
        <f t="shared" si="26"/>
        <v>0</v>
      </c>
    </row>
    <row r="178" spans="2:36" x14ac:dyDescent="0.25">
      <c r="B178" s="157">
        <v>200</v>
      </c>
      <c r="C178" s="761"/>
      <c r="D178" s="68" t="str">
        <f>HDG_6</f>
        <v>DCG</v>
      </c>
      <c r="E178" s="171"/>
      <c r="F178" s="54"/>
      <c r="G178" s="171"/>
      <c r="H178" s="54"/>
      <c r="I178" s="171"/>
      <c r="J178" s="54"/>
      <c r="K178" s="171"/>
      <c r="L178" s="54"/>
      <c r="M178" s="171"/>
      <c r="N178" s="54"/>
      <c r="O178" s="171"/>
      <c r="P178" s="54"/>
      <c r="Q178" s="171"/>
      <c r="R178" s="54"/>
      <c r="S178" s="171"/>
      <c r="T178" s="54"/>
      <c r="U178" s="171"/>
      <c r="V178" s="54"/>
      <c r="W178" s="171"/>
      <c r="X178" s="54"/>
      <c r="Y178" s="171"/>
      <c r="Z178" s="54"/>
      <c r="AA178" s="171"/>
      <c r="AB178" s="54"/>
      <c r="AC178" s="171"/>
      <c r="AD178" s="54"/>
      <c r="AE178" s="171"/>
      <c r="AF178" s="54"/>
      <c r="AG178" s="171"/>
      <c r="AH178" s="54"/>
      <c r="AI178" s="171"/>
      <c r="AJ178" s="521">
        <f t="shared" si="26"/>
        <v>0</v>
      </c>
    </row>
    <row r="179" spans="2:36" x14ac:dyDescent="0.25">
      <c r="B179" s="157">
        <v>201</v>
      </c>
      <c r="C179" s="761"/>
      <c r="D179" s="68" t="str">
        <f>HDG_7</f>
        <v>SFS</v>
      </c>
      <c r="E179" s="171"/>
      <c r="F179" s="54"/>
      <c r="G179" s="171"/>
      <c r="H179" s="54"/>
      <c r="I179" s="171"/>
      <c r="J179" s="54"/>
      <c r="K179" s="171"/>
      <c r="L179" s="54"/>
      <c r="M179" s="171"/>
      <c r="N179" s="54"/>
      <c r="O179" s="171"/>
      <c r="P179" s="54"/>
      <c r="Q179" s="171"/>
      <c r="R179" s="54"/>
      <c r="S179" s="171"/>
      <c r="T179" s="54"/>
      <c r="U179" s="171"/>
      <c r="V179" s="54"/>
      <c r="W179" s="171"/>
      <c r="X179" s="54"/>
      <c r="Y179" s="171"/>
      <c r="Z179" s="54"/>
      <c r="AA179" s="171"/>
      <c r="AB179" s="54"/>
      <c r="AC179" s="171"/>
      <c r="AD179" s="54"/>
      <c r="AE179" s="171"/>
      <c r="AF179" s="54"/>
      <c r="AG179" s="171"/>
      <c r="AH179" s="54"/>
      <c r="AI179" s="171"/>
      <c r="AJ179" s="521">
        <f t="shared" si="26"/>
        <v>0</v>
      </c>
    </row>
    <row r="180" spans="2:36" x14ac:dyDescent="0.25">
      <c r="B180" s="157">
        <v>202</v>
      </c>
      <c r="C180" s="761"/>
      <c r="D180" s="68" t="str">
        <f>HDG_8</f>
        <v>AZH</v>
      </c>
      <c r="E180" s="171"/>
      <c r="F180" s="54"/>
      <c r="G180" s="171"/>
      <c r="H180" s="54"/>
      <c r="I180" s="171"/>
      <c r="J180" s="54"/>
      <c r="K180" s="171"/>
      <c r="L180" s="54"/>
      <c r="M180" s="171"/>
      <c r="N180" s="54"/>
      <c r="O180" s="171"/>
      <c r="P180" s="54"/>
      <c r="Q180" s="171"/>
      <c r="R180" s="54"/>
      <c r="S180" s="171"/>
      <c r="T180" s="54"/>
      <c r="U180" s="171"/>
      <c r="V180" s="54"/>
      <c r="W180" s="171"/>
      <c r="X180" s="54"/>
      <c r="Y180" s="171"/>
      <c r="Z180" s="54"/>
      <c r="AA180" s="171"/>
      <c r="AB180" s="54"/>
      <c r="AC180" s="171"/>
      <c r="AD180" s="54"/>
      <c r="AE180" s="171"/>
      <c r="AF180" s="54"/>
      <c r="AG180" s="171"/>
      <c r="AH180" s="54"/>
      <c r="AI180" s="171"/>
      <c r="AJ180" s="521">
        <f t="shared" si="26"/>
        <v>0</v>
      </c>
    </row>
    <row r="181" spans="2:36" x14ac:dyDescent="0.25">
      <c r="B181" s="157">
        <v>203</v>
      </c>
      <c r="C181" s="761"/>
      <c r="D181" s="68" t="str">
        <f>HDG_9</f>
        <v>HLI</v>
      </c>
      <c r="E181" s="171"/>
      <c r="F181" s="54"/>
      <c r="G181" s="171"/>
      <c r="H181" s="54"/>
      <c r="I181" s="171"/>
      <c r="J181" s="54"/>
      <c r="K181" s="171"/>
      <c r="L181" s="54"/>
      <c r="M181" s="171"/>
      <c r="N181" s="54"/>
      <c r="O181" s="171"/>
      <c r="P181" s="54"/>
      <c r="Q181" s="171"/>
      <c r="R181" s="54"/>
      <c r="S181" s="171"/>
      <c r="T181" s="54"/>
      <c r="U181" s="171"/>
      <c r="V181" s="54"/>
      <c r="W181" s="171"/>
      <c r="X181" s="54"/>
      <c r="Y181" s="171"/>
      <c r="Z181" s="54"/>
      <c r="AA181" s="171"/>
      <c r="AB181" s="54"/>
      <c r="AC181" s="171"/>
      <c r="AD181" s="54"/>
      <c r="AE181" s="171"/>
      <c r="AF181" s="54"/>
      <c r="AG181" s="171"/>
      <c r="AH181" s="54"/>
      <c r="AI181" s="171"/>
      <c r="AJ181" s="521">
        <f t="shared" si="26"/>
        <v>0</v>
      </c>
    </row>
    <row r="182" spans="2:36" x14ac:dyDescent="0.25">
      <c r="B182" s="157">
        <v>204</v>
      </c>
      <c r="C182" s="761"/>
      <c r="D182" s="68" t="str">
        <f>HDG_10</f>
        <v>MCM</v>
      </c>
      <c r="E182" s="171"/>
      <c r="F182" s="54"/>
      <c r="G182" s="171"/>
      <c r="H182" s="54"/>
      <c r="I182" s="171"/>
      <c r="J182" s="54"/>
      <c r="K182" s="171"/>
      <c r="L182" s="54"/>
      <c r="M182" s="171"/>
      <c r="N182" s="54"/>
      <c r="O182" s="171"/>
      <c r="P182" s="54"/>
      <c r="Q182" s="171"/>
      <c r="R182" s="54"/>
      <c r="S182" s="171"/>
      <c r="T182" s="54"/>
      <c r="U182" s="171"/>
      <c r="V182" s="54"/>
      <c r="W182" s="171"/>
      <c r="X182" s="54"/>
      <c r="Y182" s="171"/>
      <c r="Z182" s="54"/>
      <c r="AA182" s="171"/>
      <c r="AB182" s="54"/>
      <c r="AC182" s="171"/>
      <c r="AD182" s="54"/>
      <c r="AE182" s="171"/>
      <c r="AF182" s="54"/>
      <c r="AG182" s="171"/>
      <c r="AH182" s="54"/>
      <c r="AI182" s="171"/>
      <c r="AJ182" s="521">
        <f t="shared" si="26"/>
        <v>0</v>
      </c>
    </row>
    <row r="183" spans="2:36" x14ac:dyDescent="0.25">
      <c r="B183" s="157">
        <v>205</v>
      </c>
      <c r="C183" s="761"/>
      <c r="D183" s="68" t="str">
        <f>HDG_11</f>
        <v>MCR</v>
      </c>
      <c r="E183" s="171"/>
      <c r="F183" s="54"/>
      <c r="G183" s="171"/>
      <c r="H183" s="54"/>
      <c r="I183" s="171"/>
      <c r="J183" s="54"/>
      <c r="K183" s="171"/>
      <c r="L183" s="54"/>
      <c r="M183" s="171"/>
      <c r="N183" s="54"/>
      <c r="O183" s="171"/>
      <c r="P183" s="54"/>
      <c r="Q183" s="171"/>
      <c r="R183" s="54"/>
      <c r="S183" s="171"/>
      <c r="T183" s="54"/>
      <c r="U183" s="171"/>
      <c r="V183" s="54"/>
      <c r="W183" s="171"/>
      <c r="X183" s="54"/>
      <c r="Y183" s="171"/>
      <c r="Z183" s="54"/>
      <c r="AA183" s="171"/>
      <c r="AB183" s="54"/>
      <c r="AC183" s="171"/>
      <c r="AD183" s="54"/>
      <c r="AE183" s="171"/>
      <c r="AF183" s="54"/>
      <c r="AG183" s="171"/>
      <c r="AH183" s="54"/>
      <c r="AI183" s="171"/>
      <c r="AJ183" s="521">
        <f t="shared" si="26"/>
        <v>0</v>
      </c>
    </row>
    <row r="184" spans="2:36" ht="15.75" thickBot="1" x14ac:dyDescent="0.3">
      <c r="B184" s="157">
        <v>206</v>
      </c>
      <c r="C184" s="762"/>
      <c r="D184" s="69" t="s">
        <v>406</v>
      </c>
      <c r="E184" s="171"/>
      <c r="F184" s="54"/>
      <c r="G184" s="171"/>
      <c r="H184" s="54"/>
      <c r="I184" s="171"/>
      <c r="J184" s="54"/>
      <c r="K184" s="171"/>
      <c r="L184" s="54"/>
      <c r="M184" s="171"/>
      <c r="N184" s="54"/>
      <c r="O184" s="171"/>
      <c r="P184" s="54"/>
      <c r="Q184" s="171"/>
      <c r="R184" s="54"/>
      <c r="S184" s="171"/>
      <c r="T184" s="54"/>
      <c r="U184" s="171"/>
      <c r="V184" s="54"/>
      <c r="W184" s="171"/>
      <c r="X184" s="54"/>
      <c r="Y184" s="171"/>
      <c r="Z184" s="54"/>
      <c r="AA184" s="171"/>
      <c r="AB184" s="54"/>
      <c r="AC184" s="171"/>
      <c r="AD184" s="54"/>
      <c r="AE184" s="171"/>
      <c r="AF184" s="54"/>
      <c r="AG184" s="171"/>
      <c r="AH184" s="54"/>
      <c r="AI184" s="171"/>
      <c r="AJ184" s="521">
        <f t="shared" si="26"/>
        <v>0</v>
      </c>
    </row>
    <row r="185" spans="2:36" ht="15.75" thickBot="1" x14ac:dyDescent="0.3">
      <c r="B185" s="157"/>
      <c r="C185" s="366"/>
      <c r="D185" s="366"/>
      <c r="E185" s="366"/>
      <c r="F185" s="366"/>
      <c r="G185" s="366"/>
      <c r="H185" s="366"/>
      <c r="I185" s="181"/>
      <c r="J185" s="61"/>
      <c r="K185" s="181"/>
      <c r="L185" s="61"/>
      <c r="M185" s="181"/>
      <c r="N185" s="61"/>
      <c r="O185" s="181"/>
      <c r="P185" s="61"/>
      <c r="Q185" s="181"/>
      <c r="R185" s="61"/>
      <c r="S185" s="181"/>
      <c r="T185" s="61"/>
      <c r="U185" s="181"/>
      <c r="V185" s="61"/>
      <c r="W185" s="181"/>
      <c r="X185" s="61"/>
      <c r="Y185" s="181"/>
      <c r="Z185" s="61"/>
      <c r="AA185" s="181"/>
      <c r="AB185" s="61"/>
      <c r="AC185" s="181"/>
      <c r="AD185" s="61"/>
      <c r="AE185" s="181"/>
      <c r="AF185" s="61"/>
      <c r="AG185" s="181"/>
      <c r="AH185" s="61"/>
      <c r="AI185" s="181"/>
      <c r="AJ185" s="308"/>
    </row>
    <row r="186" spans="2:36" ht="15.75" thickBot="1" x14ac:dyDescent="0.3">
      <c r="B186" s="157">
        <v>112</v>
      </c>
      <c r="C186" s="749" t="s">
        <v>63</v>
      </c>
      <c r="D186" s="750"/>
      <c r="E186" s="171"/>
      <c r="F186" s="28"/>
      <c r="G186" s="171"/>
      <c r="H186" s="28"/>
      <c r="I186" s="171"/>
      <c r="J186" s="28"/>
      <c r="K186" s="171">
        <v>1</v>
      </c>
      <c r="L186" s="28"/>
      <c r="M186" s="171"/>
      <c r="N186" s="28"/>
      <c r="O186" s="171"/>
      <c r="P186" s="28"/>
      <c r="Q186" s="171"/>
      <c r="R186" s="28"/>
      <c r="S186" s="171"/>
      <c r="T186" s="28"/>
      <c r="U186" s="171"/>
      <c r="V186" s="28"/>
      <c r="W186" s="171"/>
      <c r="X186" s="28"/>
      <c r="Y186" s="171"/>
      <c r="Z186" s="28"/>
      <c r="AA186" s="171"/>
      <c r="AB186" s="28"/>
      <c r="AC186" s="171"/>
      <c r="AD186" s="28"/>
      <c r="AE186" s="171"/>
      <c r="AF186" s="28"/>
      <c r="AG186" s="171"/>
      <c r="AH186" s="28"/>
      <c r="AI186" s="171"/>
      <c r="AJ186" s="74">
        <f>SUM(E186:AI186)</f>
        <v>1</v>
      </c>
    </row>
    <row r="187" spans="2:36" ht="15.75" thickBot="1" x14ac:dyDescent="0.3">
      <c r="B187" s="157"/>
      <c r="C187" s="828" t="s">
        <v>56</v>
      </c>
      <c r="D187" s="829"/>
      <c r="E187" s="181"/>
      <c r="F187" s="61"/>
      <c r="G187" s="181"/>
      <c r="H187" s="61"/>
      <c r="I187" s="181"/>
      <c r="J187" s="61"/>
      <c r="K187" s="181"/>
      <c r="L187" s="61"/>
      <c r="M187" s="181"/>
      <c r="N187" s="61"/>
      <c r="O187" s="181"/>
      <c r="P187" s="61"/>
      <c r="Q187" s="181"/>
      <c r="R187" s="61"/>
      <c r="S187" s="181"/>
      <c r="T187" s="61"/>
      <c r="U187" s="181"/>
      <c r="V187" s="61"/>
      <c r="W187" s="181"/>
      <c r="X187" s="61"/>
      <c r="Y187" s="181"/>
      <c r="Z187" s="61"/>
      <c r="AA187" s="181"/>
      <c r="AB187" s="61"/>
      <c r="AC187" s="181"/>
      <c r="AD187" s="61"/>
      <c r="AE187" s="181"/>
      <c r="AF187" s="61"/>
      <c r="AG187" s="181"/>
      <c r="AH187" s="61"/>
      <c r="AI187" s="181"/>
      <c r="AJ187" s="308"/>
    </row>
    <row r="188" spans="2:36" x14ac:dyDescent="0.25">
      <c r="B188" s="157">
        <v>113</v>
      </c>
      <c r="C188" s="760"/>
      <c r="D188" s="110" t="str">
        <f>HDG_1</f>
        <v>AFR</v>
      </c>
      <c r="E188" s="171"/>
      <c r="F188" s="28"/>
      <c r="G188" s="171"/>
      <c r="H188" s="28"/>
      <c r="I188" s="171"/>
      <c r="J188" s="28"/>
      <c r="K188" s="171"/>
      <c r="L188" s="28"/>
      <c r="M188" s="171"/>
      <c r="N188" s="28"/>
      <c r="O188" s="171"/>
      <c r="P188" s="28"/>
      <c r="Q188" s="171"/>
      <c r="R188" s="28"/>
      <c r="S188" s="171"/>
      <c r="T188" s="28"/>
      <c r="U188" s="171"/>
      <c r="V188" s="28"/>
      <c r="W188" s="171"/>
      <c r="X188" s="28"/>
      <c r="Y188" s="171"/>
      <c r="Z188" s="28"/>
      <c r="AA188" s="171"/>
      <c r="AB188" s="28"/>
      <c r="AC188" s="171"/>
      <c r="AD188" s="28"/>
      <c r="AE188" s="171"/>
      <c r="AF188" s="28"/>
      <c r="AG188" s="171"/>
      <c r="AH188" s="28"/>
      <c r="AI188" s="171"/>
      <c r="AJ188" s="74">
        <f t="shared" ref="AJ188:AJ199" si="27">SUM(E188:AI188)</f>
        <v>0</v>
      </c>
    </row>
    <row r="189" spans="2:36" x14ac:dyDescent="0.25">
      <c r="B189" s="157">
        <v>114</v>
      </c>
      <c r="C189" s="761"/>
      <c r="D189" s="68" t="str">
        <f>HDG_2</f>
        <v>AVP</v>
      </c>
      <c r="E189" s="171"/>
      <c r="F189" s="28"/>
      <c r="G189" s="171"/>
      <c r="H189" s="28"/>
      <c r="I189" s="171"/>
      <c r="J189" s="28"/>
      <c r="K189" s="171"/>
      <c r="L189" s="28"/>
      <c r="M189" s="171"/>
      <c r="N189" s="28"/>
      <c r="O189" s="171"/>
      <c r="P189" s="28"/>
      <c r="Q189" s="171"/>
      <c r="R189" s="28"/>
      <c r="S189" s="171"/>
      <c r="T189" s="28"/>
      <c r="U189" s="171"/>
      <c r="V189" s="28"/>
      <c r="W189" s="171"/>
      <c r="X189" s="28"/>
      <c r="Y189" s="171"/>
      <c r="Z189" s="28"/>
      <c r="AA189" s="171"/>
      <c r="AB189" s="28"/>
      <c r="AC189" s="171"/>
      <c r="AD189" s="28"/>
      <c r="AE189" s="171"/>
      <c r="AF189" s="28"/>
      <c r="AG189" s="171"/>
      <c r="AH189" s="28"/>
      <c r="AI189" s="171"/>
      <c r="AJ189" s="74">
        <f t="shared" si="27"/>
        <v>0</v>
      </c>
    </row>
    <row r="190" spans="2:36" x14ac:dyDescent="0.25">
      <c r="B190" s="157">
        <v>115</v>
      </c>
      <c r="C190" s="761"/>
      <c r="D190" s="68" t="str">
        <f>HDG_3</f>
        <v>ALZ</v>
      </c>
      <c r="E190" s="171"/>
      <c r="F190" s="28"/>
      <c r="G190" s="171"/>
      <c r="H190" s="28"/>
      <c r="I190" s="171"/>
      <c r="J190" s="28"/>
      <c r="K190" s="171"/>
      <c r="L190" s="28"/>
      <c r="M190" s="171"/>
      <c r="N190" s="28"/>
      <c r="O190" s="171"/>
      <c r="P190" s="28"/>
      <c r="Q190" s="171"/>
      <c r="R190" s="28"/>
      <c r="S190" s="171"/>
      <c r="T190" s="28"/>
      <c r="U190" s="171"/>
      <c r="V190" s="28"/>
      <c r="W190" s="171"/>
      <c r="X190" s="28"/>
      <c r="Y190" s="171"/>
      <c r="Z190" s="28"/>
      <c r="AA190" s="171"/>
      <c r="AB190" s="28"/>
      <c r="AC190" s="171"/>
      <c r="AD190" s="28"/>
      <c r="AE190" s="171"/>
      <c r="AF190" s="28"/>
      <c r="AG190" s="171"/>
      <c r="AH190" s="28"/>
      <c r="AI190" s="171"/>
      <c r="AJ190" s="74">
        <f t="shared" si="27"/>
        <v>0</v>
      </c>
    </row>
    <row r="191" spans="2:36" x14ac:dyDescent="0.25">
      <c r="B191" s="157">
        <v>116</v>
      </c>
      <c r="C191" s="761"/>
      <c r="D191" s="68" t="str">
        <f>HDG_4</f>
        <v>MZS</v>
      </c>
      <c r="E191" s="171"/>
      <c r="F191" s="28"/>
      <c r="G191" s="171"/>
      <c r="H191" s="28"/>
      <c r="I191" s="171"/>
      <c r="J191" s="28"/>
      <c r="K191" s="171">
        <v>1</v>
      </c>
      <c r="L191" s="28"/>
      <c r="M191" s="171"/>
      <c r="N191" s="28"/>
      <c r="O191" s="171"/>
      <c r="P191" s="28"/>
      <c r="Q191" s="171"/>
      <c r="R191" s="28"/>
      <c r="S191" s="171"/>
      <c r="T191" s="28"/>
      <c r="U191" s="171"/>
      <c r="V191" s="28"/>
      <c r="W191" s="171"/>
      <c r="X191" s="28"/>
      <c r="Y191" s="171"/>
      <c r="Z191" s="28"/>
      <c r="AA191" s="171"/>
      <c r="AB191" s="28"/>
      <c r="AC191" s="171"/>
      <c r="AD191" s="28"/>
      <c r="AE191" s="171"/>
      <c r="AF191" s="28"/>
      <c r="AG191" s="171"/>
      <c r="AH191" s="28"/>
      <c r="AI191" s="171"/>
      <c r="AJ191" s="74">
        <f t="shared" si="27"/>
        <v>1</v>
      </c>
    </row>
    <row r="192" spans="2:36" x14ac:dyDescent="0.25">
      <c r="B192" s="157">
        <v>117</v>
      </c>
      <c r="C192" s="761"/>
      <c r="D192" s="68" t="str">
        <f>HDG_5</f>
        <v>APR</v>
      </c>
      <c r="E192" s="171"/>
      <c r="F192" s="28"/>
      <c r="G192" s="171"/>
      <c r="H192" s="28"/>
      <c r="I192" s="171"/>
      <c r="J192" s="28"/>
      <c r="K192" s="171"/>
      <c r="L192" s="28"/>
      <c r="M192" s="171"/>
      <c r="N192" s="28"/>
      <c r="O192" s="171"/>
      <c r="P192" s="28"/>
      <c r="Q192" s="171"/>
      <c r="R192" s="28"/>
      <c r="S192" s="171"/>
      <c r="T192" s="28"/>
      <c r="U192" s="171"/>
      <c r="V192" s="28"/>
      <c r="W192" s="171"/>
      <c r="X192" s="28"/>
      <c r="Y192" s="171"/>
      <c r="Z192" s="28"/>
      <c r="AA192" s="171"/>
      <c r="AB192" s="28"/>
      <c r="AC192" s="171"/>
      <c r="AD192" s="28"/>
      <c r="AE192" s="171"/>
      <c r="AF192" s="28"/>
      <c r="AG192" s="171"/>
      <c r="AH192" s="28"/>
      <c r="AI192" s="171"/>
      <c r="AJ192" s="74">
        <f t="shared" si="27"/>
        <v>0</v>
      </c>
    </row>
    <row r="193" spans="2:36" x14ac:dyDescent="0.25">
      <c r="B193" s="157">
        <v>118</v>
      </c>
      <c r="C193" s="761"/>
      <c r="D193" s="68" t="str">
        <f>HDG_6</f>
        <v>DCG</v>
      </c>
      <c r="E193" s="171"/>
      <c r="F193" s="28"/>
      <c r="G193" s="171"/>
      <c r="H193" s="28"/>
      <c r="I193" s="171"/>
      <c r="J193" s="28"/>
      <c r="K193" s="171"/>
      <c r="L193" s="28"/>
      <c r="M193" s="171"/>
      <c r="N193" s="28"/>
      <c r="O193" s="171"/>
      <c r="P193" s="28"/>
      <c r="Q193" s="171"/>
      <c r="R193" s="28"/>
      <c r="S193" s="171"/>
      <c r="T193" s="28"/>
      <c r="U193" s="171"/>
      <c r="V193" s="28"/>
      <c r="W193" s="171"/>
      <c r="X193" s="28"/>
      <c r="Y193" s="171"/>
      <c r="Z193" s="28"/>
      <c r="AA193" s="171"/>
      <c r="AB193" s="28"/>
      <c r="AC193" s="171"/>
      <c r="AD193" s="28"/>
      <c r="AE193" s="171"/>
      <c r="AF193" s="28"/>
      <c r="AG193" s="171"/>
      <c r="AH193" s="28"/>
      <c r="AI193" s="171"/>
      <c r="AJ193" s="74">
        <f t="shared" si="27"/>
        <v>0</v>
      </c>
    </row>
    <row r="194" spans="2:36" x14ac:dyDescent="0.25">
      <c r="B194" s="157">
        <v>119</v>
      </c>
      <c r="C194" s="761"/>
      <c r="D194" s="68" t="str">
        <f>HDG_7</f>
        <v>SFS</v>
      </c>
      <c r="E194" s="171"/>
      <c r="F194" s="28"/>
      <c r="G194" s="171"/>
      <c r="H194" s="28"/>
      <c r="I194" s="171"/>
      <c r="J194" s="28"/>
      <c r="K194" s="171"/>
      <c r="L194" s="28"/>
      <c r="M194" s="171"/>
      <c r="N194" s="28"/>
      <c r="O194" s="171"/>
      <c r="P194" s="28"/>
      <c r="Q194" s="171"/>
      <c r="R194" s="28"/>
      <c r="S194" s="171"/>
      <c r="T194" s="28"/>
      <c r="U194" s="171"/>
      <c r="V194" s="28"/>
      <c r="W194" s="171"/>
      <c r="X194" s="28"/>
      <c r="Y194" s="171"/>
      <c r="Z194" s="28"/>
      <c r="AA194" s="171"/>
      <c r="AB194" s="28"/>
      <c r="AC194" s="171"/>
      <c r="AD194" s="28"/>
      <c r="AE194" s="171"/>
      <c r="AF194" s="28"/>
      <c r="AG194" s="171"/>
      <c r="AH194" s="28"/>
      <c r="AI194" s="171"/>
      <c r="AJ194" s="74">
        <f t="shared" si="27"/>
        <v>0</v>
      </c>
    </row>
    <row r="195" spans="2:36" x14ac:dyDescent="0.25">
      <c r="B195" s="157">
        <v>120</v>
      </c>
      <c r="C195" s="761"/>
      <c r="D195" s="68" t="str">
        <f>HDG_8</f>
        <v>AZH</v>
      </c>
      <c r="E195" s="171"/>
      <c r="F195" s="28"/>
      <c r="G195" s="171"/>
      <c r="H195" s="28"/>
      <c r="I195" s="171"/>
      <c r="J195" s="28"/>
      <c r="K195" s="171"/>
      <c r="L195" s="28"/>
      <c r="M195" s="171"/>
      <c r="N195" s="28"/>
      <c r="O195" s="171"/>
      <c r="P195" s="28"/>
      <c r="Q195" s="171"/>
      <c r="R195" s="28"/>
      <c r="S195" s="171"/>
      <c r="T195" s="28"/>
      <c r="U195" s="171"/>
      <c r="V195" s="28"/>
      <c r="W195" s="171"/>
      <c r="X195" s="28"/>
      <c r="Y195" s="171"/>
      <c r="Z195" s="28"/>
      <c r="AA195" s="171"/>
      <c r="AB195" s="28"/>
      <c r="AC195" s="171"/>
      <c r="AD195" s="28"/>
      <c r="AE195" s="171"/>
      <c r="AF195" s="28"/>
      <c r="AG195" s="171"/>
      <c r="AH195" s="28"/>
      <c r="AI195" s="171"/>
      <c r="AJ195" s="74">
        <f t="shared" si="27"/>
        <v>0</v>
      </c>
    </row>
    <row r="196" spans="2:36" x14ac:dyDescent="0.25">
      <c r="B196" s="157">
        <v>121</v>
      </c>
      <c r="C196" s="761"/>
      <c r="D196" s="68" t="str">
        <f>HDG_9</f>
        <v>HLI</v>
      </c>
      <c r="E196" s="171"/>
      <c r="F196" s="28"/>
      <c r="G196" s="171"/>
      <c r="H196" s="28"/>
      <c r="I196" s="171"/>
      <c r="J196" s="28"/>
      <c r="K196" s="171"/>
      <c r="L196" s="28"/>
      <c r="M196" s="171"/>
      <c r="N196" s="28"/>
      <c r="O196" s="171"/>
      <c r="P196" s="28"/>
      <c r="Q196" s="171"/>
      <c r="R196" s="28"/>
      <c r="S196" s="171"/>
      <c r="T196" s="28"/>
      <c r="U196" s="171"/>
      <c r="V196" s="28"/>
      <c r="W196" s="171"/>
      <c r="X196" s="28"/>
      <c r="Y196" s="171"/>
      <c r="Z196" s="28"/>
      <c r="AA196" s="171"/>
      <c r="AB196" s="28"/>
      <c r="AC196" s="171"/>
      <c r="AD196" s="28"/>
      <c r="AE196" s="171"/>
      <c r="AF196" s="28"/>
      <c r="AG196" s="171"/>
      <c r="AH196" s="28"/>
      <c r="AI196" s="171"/>
      <c r="AJ196" s="74">
        <f t="shared" si="27"/>
        <v>0</v>
      </c>
    </row>
    <row r="197" spans="2:36" x14ac:dyDescent="0.25">
      <c r="B197" s="157">
        <v>122</v>
      </c>
      <c r="C197" s="761"/>
      <c r="D197" s="68" t="str">
        <f>HDG_10</f>
        <v>MCM</v>
      </c>
      <c r="E197" s="171"/>
      <c r="F197" s="28"/>
      <c r="G197" s="171"/>
      <c r="H197" s="28"/>
      <c r="I197" s="171"/>
      <c r="J197" s="28"/>
      <c r="K197" s="171"/>
      <c r="L197" s="28"/>
      <c r="M197" s="171"/>
      <c r="N197" s="28"/>
      <c r="O197" s="171"/>
      <c r="P197" s="28"/>
      <c r="Q197" s="171"/>
      <c r="R197" s="28"/>
      <c r="S197" s="171"/>
      <c r="T197" s="28"/>
      <c r="U197" s="171"/>
      <c r="V197" s="28"/>
      <c r="W197" s="171"/>
      <c r="X197" s="28"/>
      <c r="Y197" s="171"/>
      <c r="Z197" s="28"/>
      <c r="AA197" s="171"/>
      <c r="AB197" s="28"/>
      <c r="AC197" s="171"/>
      <c r="AD197" s="28"/>
      <c r="AE197" s="171"/>
      <c r="AF197" s="28"/>
      <c r="AG197" s="171"/>
      <c r="AH197" s="28"/>
      <c r="AI197" s="171"/>
      <c r="AJ197" s="74">
        <f t="shared" si="27"/>
        <v>0</v>
      </c>
    </row>
    <row r="198" spans="2:36" x14ac:dyDescent="0.25">
      <c r="B198" s="157">
        <v>123</v>
      </c>
      <c r="C198" s="761"/>
      <c r="D198" s="68" t="str">
        <f>HDG_11</f>
        <v>MCR</v>
      </c>
      <c r="E198" s="171"/>
      <c r="F198" s="28"/>
      <c r="G198" s="171"/>
      <c r="H198" s="28"/>
      <c r="I198" s="171"/>
      <c r="J198" s="28"/>
      <c r="K198" s="171"/>
      <c r="L198" s="28"/>
      <c r="M198" s="171"/>
      <c r="N198" s="28"/>
      <c r="O198" s="171"/>
      <c r="P198" s="28"/>
      <c r="Q198" s="171"/>
      <c r="R198" s="28"/>
      <c r="S198" s="171"/>
      <c r="T198" s="28"/>
      <c r="U198" s="171"/>
      <c r="V198" s="28"/>
      <c r="W198" s="171"/>
      <c r="X198" s="28"/>
      <c r="Y198" s="171"/>
      <c r="Z198" s="28"/>
      <c r="AA198" s="171"/>
      <c r="AB198" s="28"/>
      <c r="AC198" s="171"/>
      <c r="AD198" s="28"/>
      <c r="AE198" s="171"/>
      <c r="AF198" s="28"/>
      <c r="AG198" s="171"/>
      <c r="AH198" s="28"/>
      <c r="AI198" s="171"/>
      <c r="AJ198" s="74">
        <f t="shared" si="27"/>
        <v>0</v>
      </c>
    </row>
    <row r="199" spans="2:36" ht="15.75" thickBot="1" x14ac:dyDescent="0.3">
      <c r="B199" s="157">
        <v>124</v>
      </c>
      <c r="C199" s="762"/>
      <c r="D199" s="69" t="s">
        <v>406</v>
      </c>
      <c r="E199" s="171"/>
      <c r="F199" s="28"/>
      <c r="G199" s="171"/>
      <c r="H199" s="28"/>
      <c r="I199" s="171"/>
      <c r="J199" s="28"/>
      <c r="K199" s="171"/>
      <c r="L199" s="28"/>
      <c r="M199" s="171"/>
      <c r="N199" s="28"/>
      <c r="O199" s="171"/>
      <c r="P199" s="28"/>
      <c r="Q199" s="171"/>
      <c r="R199" s="28"/>
      <c r="S199" s="171"/>
      <c r="T199" s="28"/>
      <c r="U199" s="171"/>
      <c r="V199" s="28"/>
      <c r="W199" s="171"/>
      <c r="X199" s="28"/>
      <c r="Y199" s="171"/>
      <c r="Z199" s="28"/>
      <c r="AA199" s="171"/>
      <c r="AB199" s="28"/>
      <c r="AC199" s="171"/>
      <c r="AD199" s="28"/>
      <c r="AE199" s="171"/>
      <c r="AF199" s="28"/>
      <c r="AG199" s="171"/>
      <c r="AH199" s="28"/>
      <c r="AI199" s="171"/>
      <c r="AJ199" s="74">
        <f t="shared" si="27"/>
        <v>0</v>
      </c>
    </row>
    <row r="200" spans="2:36" ht="15.75" thickBot="1" x14ac:dyDescent="0.3">
      <c r="B200" s="157"/>
      <c r="C200" s="366"/>
      <c r="D200" s="366"/>
      <c r="E200" s="366"/>
      <c r="F200" s="366"/>
      <c r="G200" s="366"/>
      <c r="H200" s="366"/>
      <c r="I200" s="366"/>
      <c r="J200" s="366"/>
      <c r="K200" s="366"/>
      <c r="L200" s="366"/>
      <c r="M200" s="366"/>
      <c r="N200" s="366"/>
      <c r="O200" s="366"/>
      <c r="P200" s="366"/>
      <c r="Q200" s="366"/>
      <c r="R200" s="366"/>
      <c r="S200" s="366"/>
      <c r="T200" s="366"/>
      <c r="U200" s="366"/>
      <c r="V200" s="366"/>
      <c r="W200" s="366"/>
      <c r="X200" s="366"/>
      <c r="Y200" s="366"/>
      <c r="Z200" s="366"/>
      <c r="AA200" s="366"/>
      <c r="AB200" s="366"/>
      <c r="AC200" s="366"/>
      <c r="AD200" s="366"/>
      <c r="AE200" s="366"/>
      <c r="AF200" s="366"/>
      <c r="AG200" s="366"/>
      <c r="AH200" s="366"/>
      <c r="AI200" s="366"/>
      <c r="AJ200" s="363"/>
    </row>
    <row r="201" spans="2:36" ht="15.75" thickBot="1" x14ac:dyDescent="0.3">
      <c r="B201" s="157">
        <v>125</v>
      </c>
      <c r="C201" s="749" t="s">
        <v>66</v>
      </c>
      <c r="D201" s="750"/>
      <c r="E201" s="171"/>
      <c r="F201" s="28"/>
      <c r="G201" s="171"/>
      <c r="H201" s="28"/>
      <c r="I201" s="171"/>
      <c r="J201" s="28"/>
      <c r="K201" s="171"/>
      <c r="L201" s="28"/>
      <c r="M201" s="171"/>
      <c r="N201" s="28"/>
      <c r="O201" s="171"/>
      <c r="P201" s="28"/>
      <c r="Q201" s="171"/>
      <c r="R201" s="28"/>
      <c r="S201" s="171"/>
      <c r="T201" s="28"/>
      <c r="U201" s="171"/>
      <c r="V201" s="28"/>
      <c r="W201" s="171"/>
      <c r="X201" s="28"/>
      <c r="Y201" s="171"/>
      <c r="Z201" s="28"/>
      <c r="AA201" s="171"/>
      <c r="AB201" s="28"/>
      <c r="AC201" s="171"/>
      <c r="AD201" s="28"/>
      <c r="AE201" s="171"/>
      <c r="AF201" s="28"/>
      <c r="AG201" s="171"/>
      <c r="AH201" s="28"/>
      <c r="AI201" s="171"/>
      <c r="AJ201" s="74">
        <f>SUM(E201:AI201)</f>
        <v>0</v>
      </c>
    </row>
    <row r="202" spans="2:36" ht="15.75" thickBot="1" x14ac:dyDescent="0.3">
      <c r="B202" s="157"/>
      <c r="C202" s="828" t="s">
        <v>56</v>
      </c>
      <c r="D202" s="829"/>
      <c r="E202" s="181"/>
      <c r="F202" s="61"/>
      <c r="G202" s="181"/>
      <c r="H202" s="61"/>
      <c r="I202" s="181"/>
      <c r="J202" s="61"/>
      <c r="K202" s="181"/>
      <c r="L202" s="61"/>
      <c r="M202" s="181"/>
      <c r="N202" s="61"/>
      <c r="O202" s="181"/>
      <c r="P202" s="61"/>
      <c r="Q202" s="181"/>
      <c r="R202" s="61"/>
      <c r="S202" s="181"/>
      <c r="T202" s="61"/>
      <c r="U202" s="181"/>
      <c r="V202" s="61"/>
      <c r="W202" s="181"/>
      <c r="X202" s="61"/>
      <c r="Y202" s="181"/>
      <c r="Z202" s="61"/>
      <c r="AA202" s="181"/>
      <c r="AB202" s="61"/>
      <c r="AC202" s="181"/>
      <c r="AD202" s="61"/>
      <c r="AE202" s="181"/>
      <c r="AF202" s="61"/>
      <c r="AG202" s="181"/>
      <c r="AH202" s="61"/>
      <c r="AI202" s="181"/>
      <c r="AJ202" s="308"/>
    </row>
    <row r="203" spans="2:36" x14ac:dyDescent="0.25">
      <c r="B203" s="157">
        <v>126</v>
      </c>
      <c r="C203" s="832"/>
      <c r="D203" s="110" t="str">
        <f>HDG_1</f>
        <v>AFR</v>
      </c>
      <c r="E203" s="171"/>
      <c r="F203" s="28"/>
      <c r="G203" s="171"/>
      <c r="H203" s="28"/>
      <c r="I203" s="171"/>
      <c r="J203" s="28"/>
      <c r="K203" s="171"/>
      <c r="L203" s="28"/>
      <c r="M203" s="171"/>
      <c r="N203" s="28"/>
      <c r="O203" s="171"/>
      <c r="P203" s="28"/>
      <c r="Q203" s="171"/>
      <c r="R203" s="28"/>
      <c r="S203" s="171"/>
      <c r="T203" s="28"/>
      <c r="U203" s="171"/>
      <c r="V203" s="28"/>
      <c r="W203" s="171"/>
      <c r="X203" s="28"/>
      <c r="Y203" s="171"/>
      <c r="Z203" s="28"/>
      <c r="AA203" s="171"/>
      <c r="AB203" s="28"/>
      <c r="AC203" s="171"/>
      <c r="AD203" s="28"/>
      <c r="AE203" s="171"/>
      <c r="AF203" s="28"/>
      <c r="AG203" s="171"/>
      <c r="AH203" s="28"/>
      <c r="AI203" s="171"/>
      <c r="AJ203" s="74">
        <f t="shared" ref="AJ203:AJ214" si="28">SUM(E203:AI203)</f>
        <v>0</v>
      </c>
    </row>
    <row r="204" spans="2:36" x14ac:dyDescent="0.25">
      <c r="B204" s="157">
        <v>127</v>
      </c>
      <c r="C204" s="833"/>
      <c r="D204" s="68" t="str">
        <f>HDG_2</f>
        <v>AVP</v>
      </c>
      <c r="E204" s="171"/>
      <c r="F204" s="28"/>
      <c r="G204" s="171"/>
      <c r="H204" s="28"/>
      <c r="I204" s="171"/>
      <c r="J204" s="28"/>
      <c r="K204" s="171"/>
      <c r="L204" s="28"/>
      <c r="M204" s="171"/>
      <c r="N204" s="28"/>
      <c r="O204" s="171"/>
      <c r="P204" s="28"/>
      <c r="Q204" s="171"/>
      <c r="R204" s="28"/>
      <c r="S204" s="171"/>
      <c r="T204" s="28"/>
      <c r="U204" s="171"/>
      <c r="V204" s="28"/>
      <c r="W204" s="171"/>
      <c r="X204" s="28"/>
      <c r="Y204" s="171"/>
      <c r="Z204" s="28"/>
      <c r="AA204" s="171"/>
      <c r="AB204" s="28"/>
      <c r="AC204" s="171"/>
      <c r="AD204" s="28"/>
      <c r="AE204" s="171"/>
      <c r="AF204" s="28"/>
      <c r="AG204" s="171"/>
      <c r="AH204" s="28"/>
      <c r="AI204" s="171"/>
      <c r="AJ204" s="74">
        <f t="shared" si="28"/>
        <v>0</v>
      </c>
    </row>
    <row r="205" spans="2:36" x14ac:dyDescent="0.25">
      <c r="B205" s="157">
        <v>128</v>
      </c>
      <c r="C205" s="833"/>
      <c r="D205" s="68" t="str">
        <f>HDG_3</f>
        <v>ALZ</v>
      </c>
      <c r="E205" s="171"/>
      <c r="F205" s="28"/>
      <c r="G205" s="171"/>
      <c r="H205" s="28"/>
      <c r="I205" s="171"/>
      <c r="J205" s="28"/>
      <c r="K205" s="171"/>
      <c r="L205" s="28"/>
      <c r="M205" s="171"/>
      <c r="N205" s="28"/>
      <c r="O205" s="171"/>
      <c r="P205" s="28"/>
      <c r="Q205" s="171"/>
      <c r="R205" s="28"/>
      <c r="S205" s="171"/>
      <c r="T205" s="28"/>
      <c r="U205" s="171"/>
      <c r="V205" s="28"/>
      <c r="W205" s="171"/>
      <c r="X205" s="28"/>
      <c r="Y205" s="171"/>
      <c r="Z205" s="28"/>
      <c r="AA205" s="171"/>
      <c r="AB205" s="28"/>
      <c r="AC205" s="171"/>
      <c r="AD205" s="28"/>
      <c r="AE205" s="171"/>
      <c r="AF205" s="28"/>
      <c r="AG205" s="171"/>
      <c r="AH205" s="28"/>
      <c r="AI205" s="171"/>
      <c r="AJ205" s="74">
        <f t="shared" si="28"/>
        <v>0</v>
      </c>
    </row>
    <row r="206" spans="2:36" x14ac:dyDescent="0.25">
      <c r="B206" s="157">
        <v>129</v>
      </c>
      <c r="C206" s="833"/>
      <c r="D206" s="68" t="str">
        <f>HDG_4</f>
        <v>MZS</v>
      </c>
      <c r="E206" s="171"/>
      <c r="F206" s="28"/>
      <c r="G206" s="171"/>
      <c r="H206" s="28"/>
      <c r="I206" s="171"/>
      <c r="J206" s="28"/>
      <c r="K206" s="171"/>
      <c r="L206" s="28"/>
      <c r="M206" s="171"/>
      <c r="N206" s="28"/>
      <c r="O206" s="171"/>
      <c r="P206" s="28"/>
      <c r="Q206" s="171"/>
      <c r="R206" s="28"/>
      <c r="S206" s="171"/>
      <c r="T206" s="28"/>
      <c r="U206" s="171"/>
      <c r="V206" s="28"/>
      <c r="W206" s="171"/>
      <c r="X206" s="28"/>
      <c r="Y206" s="171"/>
      <c r="Z206" s="28"/>
      <c r="AA206" s="171"/>
      <c r="AB206" s="28"/>
      <c r="AC206" s="171"/>
      <c r="AD206" s="28"/>
      <c r="AE206" s="171"/>
      <c r="AF206" s="28"/>
      <c r="AG206" s="171"/>
      <c r="AH206" s="28"/>
      <c r="AI206" s="171"/>
      <c r="AJ206" s="74">
        <f t="shared" si="28"/>
        <v>0</v>
      </c>
    </row>
    <row r="207" spans="2:36" x14ac:dyDescent="0.25">
      <c r="B207" s="157">
        <v>130</v>
      </c>
      <c r="C207" s="833"/>
      <c r="D207" s="68" t="str">
        <f>HDG_5</f>
        <v>APR</v>
      </c>
      <c r="E207" s="171"/>
      <c r="F207" s="28"/>
      <c r="G207" s="171"/>
      <c r="H207" s="28"/>
      <c r="I207" s="171"/>
      <c r="J207" s="28"/>
      <c r="K207" s="171"/>
      <c r="L207" s="28"/>
      <c r="M207" s="171"/>
      <c r="N207" s="28"/>
      <c r="O207" s="171"/>
      <c r="P207" s="28"/>
      <c r="Q207" s="171"/>
      <c r="R207" s="28"/>
      <c r="S207" s="171"/>
      <c r="T207" s="28"/>
      <c r="U207" s="171"/>
      <c r="V207" s="28"/>
      <c r="W207" s="171"/>
      <c r="X207" s="28"/>
      <c r="Y207" s="171"/>
      <c r="Z207" s="28"/>
      <c r="AA207" s="171"/>
      <c r="AB207" s="28"/>
      <c r="AC207" s="171"/>
      <c r="AD207" s="28"/>
      <c r="AE207" s="171"/>
      <c r="AF207" s="28"/>
      <c r="AG207" s="171"/>
      <c r="AH207" s="28"/>
      <c r="AI207" s="171"/>
      <c r="AJ207" s="74">
        <f t="shared" si="28"/>
        <v>0</v>
      </c>
    </row>
    <row r="208" spans="2:36" x14ac:dyDescent="0.25">
      <c r="B208" s="157">
        <v>131</v>
      </c>
      <c r="C208" s="833"/>
      <c r="D208" s="68" t="str">
        <f>HDG_6</f>
        <v>DCG</v>
      </c>
      <c r="E208" s="171"/>
      <c r="F208" s="28"/>
      <c r="G208" s="171"/>
      <c r="H208" s="28"/>
      <c r="I208" s="171"/>
      <c r="J208" s="28"/>
      <c r="K208" s="171"/>
      <c r="L208" s="28"/>
      <c r="M208" s="171"/>
      <c r="N208" s="28"/>
      <c r="O208" s="171"/>
      <c r="P208" s="28"/>
      <c r="Q208" s="171"/>
      <c r="R208" s="28"/>
      <c r="S208" s="171"/>
      <c r="T208" s="28"/>
      <c r="U208" s="171"/>
      <c r="V208" s="28"/>
      <c r="W208" s="171"/>
      <c r="X208" s="28"/>
      <c r="Y208" s="171"/>
      <c r="Z208" s="28"/>
      <c r="AA208" s="171"/>
      <c r="AB208" s="28"/>
      <c r="AC208" s="171"/>
      <c r="AD208" s="28"/>
      <c r="AE208" s="171"/>
      <c r="AF208" s="28"/>
      <c r="AG208" s="171"/>
      <c r="AH208" s="28"/>
      <c r="AI208" s="171"/>
      <c r="AJ208" s="74">
        <f t="shared" si="28"/>
        <v>0</v>
      </c>
    </row>
    <row r="209" spans="2:36" x14ac:dyDescent="0.25">
      <c r="B209" s="157">
        <v>132</v>
      </c>
      <c r="C209" s="833"/>
      <c r="D209" s="68" t="str">
        <f>HDG_7</f>
        <v>SFS</v>
      </c>
      <c r="E209" s="171"/>
      <c r="F209" s="28"/>
      <c r="G209" s="171"/>
      <c r="H209" s="28"/>
      <c r="I209" s="171"/>
      <c r="J209" s="28"/>
      <c r="K209" s="171"/>
      <c r="L209" s="28"/>
      <c r="M209" s="171"/>
      <c r="N209" s="28"/>
      <c r="O209" s="171"/>
      <c r="P209" s="28"/>
      <c r="Q209" s="171"/>
      <c r="R209" s="28"/>
      <c r="S209" s="171"/>
      <c r="T209" s="28"/>
      <c r="U209" s="171"/>
      <c r="V209" s="28"/>
      <c r="W209" s="171"/>
      <c r="X209" s="28"/>
      <c r="Y209" s="171"/>
      <c r="Z209" s="28"/>
      <c r="AA209" s="171"/>
      <c r="AB209" s="28"/>
      <c r="AC209" s="171"/>
      <c r="AD209" s="28"/>
      <c r="AE209" s="171"/>
      <c r="AF209" s="28"/>
      <c r="AG209" s="171"/>
      <c r="AH209" s="28"/>
      <c r="AI209" s="171"/>
      <c r="AJ209" s="74">
        <f t="shared" si="28"/>
        <v>0</v>
      </c>
    </row>
    <row r="210" spans="2:36" x14ac:dyDescent="0.25">
      <c r="B210" s="157">
        <v>133</v>
      </c>
      <c r="C210" s="833"/>
      <c r="D210" s="68" t="str">
        <f>HDG_8</f>
        <v>AZH</v>
      </c>
      <c r="E210" s="171"/>
      <c r="F210" s="28"/>
      <c r="G210" s="171"/>
      <c r="H210" s="28"/>
      <c r="I210" s="171"/>
      <c r="J210" s="28"/>
      <c r="K210" s="171"/>
      <c r="L210" s="28"/>
      <c r="M210" s="171"/>
      <c r="N210" s="28"/>
      <c r="O210" s="171"/>
      <c r="P210" s="28"/>
      <c r="Q210" s="171"/>
      <c r="R210" s="28"/>
      <c r="S210" s="171"/>
      <c r="T210" s="28"/>
      <c r="U210" s="171"/>
      <c r="V210" s="28"/>
      <c r="W210" s="171"/>
      <c r="X210" s="28"/>
      <c r="Y210" s="171"/>
      <c r="Z210" s="28"/>
      <c r="AA210" s="171"/>
      <c r="AB210" s="28"/>
      <c r="AC210" s="171"/>
      <c r="AD210" s="28"/>
      <c r="AE210" s="171"/>
      <c r="AF210" s="28"/>
      <c r="AG210" s="171"/>
      <c r="AH210" s="28"/>
      <c r="AI210" s="171"/>
      <c r="AJ210" s="74">
        <f t="shared" si="28"/>
        <v>0</v>
      </c>
    </row>
    <row r="211" spans="2:36" x14ac:dyDescent="0.25">
      <c r="B211" s="157">
        <v>134</v>
      </c>
      <c r="C211" s="833"/>
      <c r="D211" s="68" t="str">
        <f>HDG_9</f>
        <v>HLI</v>
      </c>
      <c r="E211" s="171"/>
      <c r="F211" s="28"/>
      <c r="G211" s="171"/>
      <c r="H211" s="28"/>
      <c r="I211" s="171"/>
      <c r="J211" s="28"/>
      <c r="K211" s="171"/>
      <c r="L211" s="28"/>
      <c r="M211" s="171"/>
      <c r="N211" s="28"/>
      <c r="O211" s="171"/>
      <c r="P211" s="28"/>
      <c r="Q211" s="171"/>
      <c r="R211" s="28"/>
      <c r="S211" s="171"/>
      <c r="T211" s="28"/>
      <c r="U211" s="171"/>
      <c r="V211" s="28"/>
      <c r="W211" s="171"/>
      <c r="X211" s="28"/>
      <c r="Y211" s="171"/>
      <c r="Z211" s="28"/>
      <c r="AA211" s="171"/>
      <c r="AB211" s="28"/>
      <c r="AC211" s="171"/>
      <c r="AD211" s="28"/>
      <c r="AE211" s="171"/>
      <c r="AF211" s="28"/>
      <c r="AG211" s="171"/>
      <c r="AH211" s="28"/>
      <c r="AI211" s="171"/>
      <c r="AJ211" s="74">
        <f t="shared" si="28"/>
        <v>0</v>
      </c>
    </row>
    <row r="212" spans="2:36" x14ac:dyDescent="0.25">
      <c r="B212" s="157">
        <v>135</v>
      </c>
      <c r="C212" s="833"/>
      <c r="D212" s="68" t="str">
        <f>HDG_10</f>
        <v>MCM</v>
      </c>
      <c r="E212" s="171"/>
      <c r="F212" s="28"/>
      <c r="G212" s="171"/>
      <c r="H212" s="28"/>
      <c r="I212" s="171"/>
      <c r="J212" s="28"/>
      <c r="K212" s="171"/>
      <c r="L212" s="28"/>
      <c r="M212" s="171"/>
      <c r="N212" s="28"/>
      <c r="O212" s="171"/>
      <c r="P212" s="28"/>
      <c r="Q212" s="171"/>
      <c r="R212" s="28"/>
      <c r="S212" s="171"/>
      <c r="T212" s="28"/>
      <c r="U212" s="171"/>
      <c r="V212" s="28"/>
      <c r="W212" s="171"/>
      <c r="X212" s="28"/>
      <c r="Y212" s="171"/>
      <c r="Z212" s="28"/>
      <c r="AA212" s="171"/>
      <c r="AB212" s="28"/>
      <c r="AC212" s="171"/>
      <c r="AD212" s="28"/>
      <c r="AE212" s="171"/>
      <c r="AF212" s="28"/>
      <c r="AG212" s="171"/>
      <c r="AH212" s="28"/>
      <c r="AI212" s="171"/>
      <c r="AJ212" s="74">
        <f t="shared" si="28"/>
        <v>0</v>
      </c>
    </row>
    <row r="213" spans="2:36" x14ac:dyDescent="0.25">
      <c r="B213" s="157">
        <v>136</v>
      </c>
      <c r="C213" s="833"/>
      <c r="D213" s="68" t="str">
        <f>HDG_11</f>
        <v>MCR</v>
      </c>
      <c r="E213" s="171"/>
      <c r="F213" s="28"/>
      <c r="G213" s="171"/>
      <c r="H213" s="28"/>
      <c r="I213" s="171"/>
      <c r="J213" s="28"/>
      <c r="K213" s="171"/>
      <c r="L213" s="28"/>
      <c r="M213" s="171"/>
      <c r="N213" s="28"/>
      <c r="O213" s="171"/>
      <c r="P213" s="28"/>
      <c r="Q213" s="171"/>
      <c r="R213" s="28"/>
      <c r="S213" s="171"/>
      <c r="T213" s="28"/>
      <c r="U213" s="171"/>
      <c r="V213" s="28"/>
      <c r="W213" s="171"/>
      <c r="X213" s="28"/>
      <c r="Y213" s="171"/>
      <c r="Z213" s="28"/>
      <c r="AA213" s="171"/>
      <c r="AB213" s="28"/>
      <c r="AC213" s="171"/>
      <c r="AD213" s="28"/>
      <c r="AE213" s="171"/>
      <c r="AF213" s="28"/>
      <c r="AG213" s="171"/>
      <c r="AH213" s="28"/>
      <c r="AI213" s="171"/>
      <c r="AJ213" s="74">
        <f t="shared" si="28"/>
        <v>0</v>
      </c>
    </row>
    <row r="214" spans="2:36" ht="15.75" thickBot="1" x14ac:dyDescent="0.3">
      <c r="B214" s="157">
        <v>137</v>
      </c>
      <c r="C214" s="833"/>
      <c r="D214" s="68" t="s">
        <v>406</v>
      </c>
      <c r="E214" s="171"/>
      <c r="F214" s="28"/>
      <c r="G214" s="171"/>
      <c r="H214" s="28"/>
      <c r="I214" s="171"/>
      <c r="J214" s="28"/>
      <c r="K214" s="171"/>
      <c r="L214" s="28"/>
      <c r="M214" s="171"/>
      <c r="N214" s="28"/>
      <c r="O214" s="171"/>
      <c r="P214" s="28"/>
      <c r="Q214" s="171"/>
      <c r="R214" s="28"/>
      <c r="S214" s="171"/>
      <c r="T214" s="28"/>
      <c r="U214" s="171"/>
      <c r="V214" s="28"/>
      <c r="W214" s="171"/>
      <c r="X214" s="28"/>
      <c r="Y214" s="171"/>
      <c r="Z214" s="28"/>
      <c r="AA214" s="171"/>
      <c r="AB214" s="28"/>
      <c r="AC214" s="171"/>
      <c r="AD214" s="28"/>
      <c r="AE214" s="171"/>
      <c r="AF214" s="28"/>
      <c r="AG214" s="171"/>
      <c r="AH214" s="28"/>
      <c r="AI214" s="171"/>
      <c r="AJ214" s="74">
        <f t="shared" si="28"/>
        <v>0</v>
      </c>
    </row>
    <row r="215" spans="2:36" ht="15" customHeight="1" x14ac:dyDescent="0.25">
      <c r="B215" s="157"/>
      <c r="C215" s="842" t="s">
        <v>175</v>
      </c>
      <c r="D215" s="843"/>
      <c r="E215" s="843"/>
      <c r="F215" s="843"/>
      <c r="G215" s="843"/>
      <c r="H215" s="843"/>
      <c r="I215" s="843"/>
      <c r="J215" s="843"/>
      <c r="K215" s="843"/>
      <c r="L215" s="843"/>
      <c r="M215" s="843"/>
      <c r="N215" s="843"/>
      <c r="O215" s="843"/>
      <c r="P215" s="843"/>
      <c r="Q215" s="843"/>
      <c r="R215" s="843"/>
      <c r="S215" s="843"/>
      <c r="T215" s="843"/>
      <c r="U215" s="843"/>
      <c r="V215" s="843"/>
      <c r="W215" s="843"/>
      <c r="X215" s="843"/>
      <c r="Y215" s="843"/>
      <c r="Z215" s="843"/>
      <c r="AA215" s="843"/>
      <c r="AB215" s="843"/>
      <c r="AC215" s="843"/>
      <c r="AD215" s="843"/>
      <c r="AE215" s="843"/>
      <c r="AF215" s="843"/>
      <c r="AG215" s="843"/>
      <c r="AH215" s="843"/>
      <c r="AI215" s="843"/>
      <c r="AJ215" s="844"/>
    </row>
    <row r="216" spans="2:36" ht="15.75" customHeight="1" thickBot="1" x14ac:dyDescent="0.3">
      <c r="B216" s="157"/>
      <c r="C216" s="845"/>
      <c r="D216" s="846"/>
      <c r="E216" s="846"/>
      <c r="F216" s="846"/>
      <c r="G216" s="846"/>
      <c r="H216" s="846"/>
      <c r="I216" s="846"/>
      <c r="J216" s="846"/>
      <c r="K216" s="846"/>
      <c r="L216" s="846"/>
      <c r="M216" s="846"/>
      <c r="N216" s="846"/>
      <c r="O216" s="846"/>
      <c r="P216" s="846"/>
      <c r="Q216" s="846"/>
      <c r="R216" s="846"/>
      <c r="S216" s="846"/>
      <c r="T216" s="846"/>
      <c r="U216" s="846"/>
      <c r="V216" s="846"/>
      <c r="W216" s="846"/>
      <c r="X216" s="846"/>
      <c r="Y216" s="846"/>
      <c r="Z216" s="846"/>
      <c r="AA216" s="846"/>
      <c r="AB216" s="846"/>
      <c r="AC216" s="846"/>
      <c r="AD216" s="846"/>
      <c r="AE216" s="846"/>
      <c r="AF216" s="846"/>
      <c r="AG216" s="846"/>
      <c r="AH216" s="846"/>
      <c r="AI216" s="846"/>
      <c r="AJ216" s="847"/>
    </row>
    <row r="217" spans="2:36" ht="15.75" customHeight="1" thickBot="1" x14ac:dyDescent="0.3">
      <c r="B217" s="157"/>
      <c r="C217" s="535"/>
      <c r="D217" s="535"/>
      <c r="E217" s="536"/>
      <c r="F217" s="61"/>
      <c r="G217" s="181"/>
      <c r="H217" s="61"/>
      <c r="I217" s="181"/>
      <c r="J217" s="61"/>
      <c r="K217" s="181"/>
      <c r="L217" s="61"/>
      <c r="M217" s="181"/>
      <c r="N217" s="61"/>
      <c r="O217" s="181"/>
      <c r="P217" s="61"/>
      <c r="Q217" s="181"/>
      <c r="R217" s="61"/>
      <c r="S217" s="181"/>
      <c r="T217" s="61"/>
      <c r="U217" s="181"/>
      <c r="V217" s="61"/>
      <c r="W217" s="181"/>
      <c r="X217" s="61"/>
      <c r="Y217" s="181"/>
      <c r="Z217" s="61"/>
      <c r="AA217" s="181"/>
      <c r="AB217" s="61"/>
      <c r="AC217" s="181"/>
      <c r="AD217" s="61"/>
      <c r="AE217" s="181"/>
      <c r="AF217" s="61"/>
      <c r="AG217" s="181"/>
      <c r="AH217" s="61"/>
      <c r="AI217" s="181"/>
      <c r="AJ217" s="61"/>
    </row>
    <row r="218" spans="2:36" x14ac:dyDescent="0.25">
      <c r="B218" s="157">
        <v>138</v>
      </c>
      <c r="C218" s="874" t="s">
        <v>75</v>
      </c>
      <c r="D218" s="875"/>
      <c r="E218" s="182"/>
      <c r="F218" s="123"/>
      <c r="G218" s="182"/>
      <c r="H218" s="123"/>
      <c r="I218" s="182"/>
      <c r="J218" s="123"/>
      <c r="K218" s="182"/>
      <c r="L218" s="123"/>
      <c r="M218" s="182"/>
      <c r="N218" s="123"/>
      <c r="O218" s="182"/>
      <c r="P218" s="123"/>
      <c r="Q218" s="182"/>
      <c r="R218" s="123"/>
      <c r="S218" s="182"/>
      <c r="T218" s="123"/>
      <c r="U218" s="182"/>
      <c r="V218" s="123"/>
      <c r="W218" s="182"/>
      <c r="X218" s="123"/>
      <c r="Y218" s="182"/>
      <c r="Z218" s="123"/>
      <c r="AA218" s="182"/>
      <c r="AB218" s="123"/>
      <c r="AC218" s="182"/>
      <c r="AD218" s="123"/>
      <c r="AE218" s="182"/>
      <c r="AF218" s="123"/>
      <c r="AG218" s="182"/>
      <c r="AH218" s="123"/>
      <c r="AI218" s="182"/>
      <c r="AJ218" s="41"/>
    </row>
    <row r="219" spans="2:36" x14ac:dyDescent="0.25">
      <c r="B219" s="157">
        <v>139</v>
      </c>
      <c r="C219" s="834" t="s">
        <v>76</v>
      </c>
      <c r="D219" s="835"/>
      <c r="E219" s="182"/>
      <c r="F219" s="123"/>
      <c r="G219" s="182"/>
      <c r="H219" s="123"/>
      <c r="I219" s="182"/>
      <c r="J219" s="123"/>
      <c r="K219" s="182"/>
      <c r="L219" s="123"/>
      <c r="M219" s="182"/>
      <c r="N219" s="123"/>
      <c r="O219" s="182"/>
      <c r="P219" s="123"/>
      <c r="Q219" s="182"/>
      <c r="R219" s="123"/>
      <c r="S219" s="182"/>
      <c r="T219" s="123"/>
      <c r="U219" s="182"/>
      <c r="V219" s="123"/>
      <c r="W219" s="182"/>
      <c r="X219" s="123"/>
      <c r="Y219" s="182"/>
      <c r="Z219" s="123"/>
      <c r="AA219" s="182"/>
      <c r="AB219" s="123"/>
      <c r="AC219" s="182"/>
      <c r="AD219" s="123"/>
      <c r="AE219" s="182"/>
      <c r="AF219" s="123"/>
      <c r="AG219" s="182"/>
      <c r="AH219" s="123"/>
      <c r="AI219" s="182"/>
      <c r="AJ219" s="74"/>
    </row>
    <row r="220" spans="2:36" x14ac:dyDescent="0.25">
      <c r="B220" s="157">
        <v>140</v>
      </c>
      <c r="C220" s="834" t="s">
        <v>77</v>
      </c>
      <c r="D220" s="835"/>
      <c r="E220" s="182"/>
      <c r="F220" s="123"/>
      <c r="G220" s="182"/>
      <c r="H220" s="123"/>
      <c r="I220" s="182"/>
      <c r="J220" s="123"/>
      <c r="K220" s="182"/>
      <c r="L220" s="123"/>
      <c r="M220" s="182"/>
      <c r="N220" s="123"/>
      <c r="O220" s="182"/>
      <c r="P220" s="123"/>
      <c r="Q220" s="182"/>
      <c r="R220" s="123"/>
      <c r="S220" s="182"/>
      <c r="T220" s="123"/>
      <c r="U220" s="182"/>
      <c r="V220" s="123"/>
      <c r="W220" s="182"/>
      <c r="X220" s="123"/>
      <c r="Y220" s="182"/>
      <c r="Z220" s="123"/>
      <c r="AA220" s="182"/>
      <c r="AB220" s="123"/>
      <c r="AC220" s="182"/>
      <c r="AD220" s="123"/>
      <c r="AE220" s="182"/>
      <c r="AF220" s="123"/>
      <c r="AG220" s="182"/>
      <c r="AH220" s="123"/>
      <c r="AI220" s="182"/>
      <c r="AJ220" s="74"/>
    </row>
    <row r="221" spans="2:36" x14ac:dyDescent="0.25">
      <c r="B221" s="157">
        <v>141</v>
      </c>
      <c r="C221" s="834" t="s">
        <v>78</v>
      </c>
      <c r="D221" s="835"/>
      <c r="E221" s="182"/>
      <c r="F221" s="123"/>
      <c r="G221" s="182"/>
      <c r="H221" s="123"/>
      <c r="I221" s="182"/>
      <c r="J221" s="123"/>
      <c r="K221" s="182"/>
      <c r="L221" s="123"/>
      <c r="M221" s="182"/>
      <c r="N221" s="123"/>
      <c r="O221" s="182"/>
      <c r="P221" s="123"/>
      <c r="Q221" s="182"/>
      <c r="R221" s="123"/>
      <c r="S221" s="182"/>
      <c r="T221" s="123"/>
      <c r="U221" s="182"/>
      <c r="V221" s="123"/>
      <c r="W221" s="182"/>
      <c r="X221" s="123"/>
      <c r="Y221" s="182"/>
      <c r="Z221" s="123"/>
      <c r="AA221" s="182"/>
      <c r="AB221" s="123"/>
      <c r="AC221" s="182"/>
      <c r="AD221" s="123"/>
      <c r="AE221" s="182"/>
      <c r="AF221" s="123"/>
      <c r="AG221" s="182"/>
      <c r="AH221" s="123"/>
      <c r="AI221" s="182"/>
      <c r="AJ221" s="74"/>
    </row>
    <row r="222" spans="2:36" x14ac:dyDescent="0.25">
      <c r="B222" s="157">
        <v>142</v>
      </c>
      <c r="C222" s="834" t="s">
        <v>669</v>
      </c>
      <c r="D222" s="835"/>
      <c r="E222" s="182"/>
      <c r="F222" s="123"/>
      <c r="G222" s="182"/>
      <c r="H222" s="123"/>
      <c r="I222" s="182"/>
      <c r="J222" s="123"/>
      <c r="K222" s="182"/>
      <c r="L222" s="123"/>
      <c r="M222" s="182"/>
      <c r="N222" s="123"/>
      <c r="O222" s="182"/>
      <c r="P222" s="123"/>
      <c r="Q222" s="182"/>
      <c r="R222" s="123"/>
      <c r="S222" s="182"/>
      <c r="T222" s="123"/>
      <c r="U222" s="182"/>
      <c r="V222" s="123"/>
      <c r="W222" s="182"/>
      <c r="X222" s="123"/>
      <c r="Y222" s="182"/>
      <c r="Z222" s="123"/>
      <c r="AA222" s="182"/>
      <c r="AB222" s="123"/>
      <c r="AC222" s="182"/>
      <c r="AD222" s="123"/>
      <c r="AE222" s="182"/>
      <c r="AF222" s="123"/>
      <c r="AG222" s="182"/>
      <c r="AH222" s="123"/>
      <c r="AI222" s="182"/>
      <c r="AJ222" s="74"/>
    </row>
    <row r="223" spans="2:36" x14ac:dyDescent="0.25">
      <c r="B223" s="157">
        <v>143</v>
      </c>
      <c r="C223" s="834" t="s">
        <v>670</v>
      </c>
      <c r="D223" s="835"/>
      <c r="E223" s="182"/>
      <c r="F223" s="123"/>
      <c r="G223" s="182"/>
      <c r="H223" s="123"/>
      <c r="I223" s="182"/>
      <c r="J223" s="123"/>
      <c r="K223" s="182"/>
      <c r="L223" s="123"/>
      <c r="M223" s="182"/>
      <c r="N223" s="123"/>
      <c r="O223" s="182"/>
      <c r="P223" s="123"/>
      <c r="Q223" s="182"/>
      <c r="R223" s="123"/>
      <c r="S223" s="182"/>
      <c r="T223" s="123"/>
      <c r="U223" s="182"/>
      <c r="V223" s="123"/>
      <c r="W223" s="182"/>
      <c r="X223" s="123"/>
      <c r="Y223" s="182"/>
      <c r="Z223" s="123"/>
      <c r="AA223" s="182"/>
      <c r="AB223" s="123"/>
      <c r="AC223" s="182"/>
      <c r="AD223" s="123"/>
      <c r="AE223" s="182"/>
      <c r="AF223" s="123"/>
      <c r="AG223" s="182"/>
      <c r="AH223" s="123"/>
      <c r="AI223" s="182"/>
      <c r="AJ223" s="74"/>
    </row>
    <row r="224" spans="2:36" ht="15.75" thickBot="1" x14ac:dyDescent="0.3">
      <c r="B224" s="157">
        <v>144</v>
      </c>
      <c r="C224" s="743" t="s">
        <v>187</v>
      </c>
      <c r="D224" s="744"/>
      <c r="E224" s="171">
        <v>0</v>
      </c>
      <c r="F224" s="28"/>
      <c r="G224" s="171"/>
      <c r="H224" s="28"/>
      <c r="I224" s="171"/>
      <c r="J224" s="28"/>
      <c r="K224" s="171"/>
      <c r="L224" s="28"/>
      <c r="M224" s="171"/>
      <c r="N224" s="28"/>
      <c r="O224" s="171"/>
      <c r="P224" s="28"/>
      <c r="Q224" s="171"/>
      <c r="R224" s="28"/>
      <c r="S224" s="171"/>
      <c r="T224" s="28"/>
      <c r="U224" s="171"/>
      <c r="V224" s="28"/>
      <c r="W224" s="171"/>
      <c r="X224" s="28"/>
      <c r="Y224" s="171"/>
      <c r="Z224" s="28"/>
      <c r="AA224" s="171"/>
      <c r="AB224" s="28"/>
      <c r="AC224" s="171"/>
      <c r="AD224" s="28"/>
      <c r="AE224" s="171"/>
      <c r="AF224" s="28"/>
      <c r="AG224" s="171"/>
      <c r="AH224" s="28"/>
      <c r="AI224" s="171"/>
      <c r="AJ224" s="42">
        <f>SUM(E224:AI224)</f>
        <v>0</v>
      </c>
    </row>
    <row r="225" spans="2:36" ht="15.75" thickBot="1" x14ac:dyDescent="0.3">
      <c r="B225" s="157"/>
      <c r="C225" s="535"/>
      <c r="D225" s="535"/>
      <c r="E225" s="181"/>
      <c r="F225" s="61"/>
      <c r="G225" s="181"/>
      <c r="H225" s="61"/>
      <c r="I225" s="181"/>
      <c r="J225" s="61"/>
      <c r="K225" s="181"/>
      <c r="L225" s="61"/>
      <c r="M225" s="181"/>
      <c r="N225" s="61"/>
      <c r="O225" s="181"/>
      <c r="P225" s="61"/>
      <c r="Q225" s="181"/>
      <c r="R225" s="61"/>
      <c r="S225" s="181"/>
      <c r="T225" s="61"/>
      <c r="U225" s="181"/>
      <c r="V225" s="61"/>
      <c r="W225" s="181"/>
      <c r="X225" s="61"/>
      <c r="Y225" s="181"/>
      <c r="Z225" s="61"/>
      <c r="AA225" s="181"/>
      <c r="AB225" s="61"/>
      <c r="AC225" s="181"/>
      <c r="AD225" s="61"/>
      <c r="AE225" s="181"/>
      <c r="AF225" s="61"/>
      <c r="AG225" s="181"/>
      <c r="AH225" s="61"/>
      <c r="AI225" s="181"/>
      <c r="AJ225" s="61"/>
    </row>
    <row r="226" spans="2:36" ht="15" customHeight="1" x14ac:dyDescent="0.25">
      <c r="B226" s="157"/>
      <c r="C226" s="842" t="s">
        <v>71</v>
      </c>
      <c r="D226" s="843"/>
      <c r="E226" s="843"/>
      <c r="F226" s="843"/>
      <c r="G226" s="843"/>
      <c r="H226" s="843"/>
      <c r="I226" s="843"/>
      <c r="J226" s="843"/>
      <c r="K226" s="843"/>
      <c r="L226" s="843"/>
      <c r="M226" s="843"/>
      <c r="N226" s="843"/>
      <c r="O226" s="843"/>
      <c r="P226" s="843"/>
      <c r="Q226" s="843"/>
      <c r="R226" s="843"/>
      <c r="S226" s="843"/>
      <c r="T226" s="843"/>
      <c r="U226" s="843"/>
      <c r="V226" s="843"/>
      <c r="W226" s="843"/>
      <c r="X226" s="843"/>
      <c r="Y226" s="843"/>
      <c r="Z226" s="843"/>
      <c r="AA226" s="843"/>
      <c r="AB226" s="843"/>
      <c r="AC226" s="843"/>
      <c r="AD226" s="843"/>
      <c r="AE226" s="843"/>
      <c r="AF226" s="843"/>
      <c r="AG226" s="843"/>
      <c r="AH226" s="843"/>
      <c r="AI226" s="843"/>
      <c r="AJ226" s="844"/>
    </row>
    <row r="227" spans="2:36" ht="15.75" customHeight="1" thickBot="1" x14ac:dyDescent="0.3">
      <c r="B227" s="157"/>
      <c r="C227" s="845"/>
      <c r="D227" s="846"/>
      <c r="E227" s="846"/>
      <c r="F227" s="846"/>
      <c r="G227" s="846"/>
      <c r="H227" s="846"/>
      <c r="I227" s="846"/>
      <c r="J227" s="846"/>
      <c r="K227" s="846"/>
      <c r="L227" s="846"/>
      <c r="M227" s="846"/>
      <c r="N227" s="846"/>
      <c r="O227" s="846"/>
      <c r="P227" s="846"/>
      <c r="Q227" s="846"/>
      <c r="R227" s="846"/>
      <c r="S227" s="846"/>
      <c r="T227" s="846"/>
      <c r="U227" s="846"/>
      <c r="V227" s="846"/>
      <c r="W227" s="846"/>
      <c r="X227" s="846"/>
      <c r="Y227" s="846"/>
      <c r="Z227" s="846"/>
      <c r="AA227" s="846"/>
      <c r="AB227" s="846"/>
      <c r="AC227" s="846"/>
      <c r="AD227" s="846"/>
      <c r="AE227" s="846"/>
      <c r="AF227" s="846"/>
      <c r="AG227" s="846"/>
      <c r="AH227" s="846"/>
      <c r="AI227" s="846"/>
      <c r="AJ227" s="847"/>
    </row>
    <row r="228" spans="2:36" x14ac:dyDescent="0.25">
      <c r="B228" s="157">
        <v>145</v>
      </c>
      <c r="C228" s="727" t="s">
        <v>72</v>
      </c>
      <c r="D228" s="728"/>
      <c r="E228" s="171"/>
      <c r="F228" s="28"/>
      <c r="G228" s="171"/>
      <c r="H228" s="28"/>
      <c r="I228" s="171"/>
      <c r="J228" s="28"/>
      <c r="K228" s="171"/>
      <c r="L228" s="28"/>
      <c r="M228" s="171"/>
      <c r="N228" s="28"/>
      <c r="O228" s="171"/>
      <c r="P228" s="28"/>
      <c r="Q228" s="171"/>
      <c r="R228" s="28"/>
      <c r="S228" s="171"/>
      <c r="T228" s="28"/>
      <c r="U228" s="171"/>
      <c r="V228" s="28"/>
      <c r="W228" s="171"/>
      <c r="X228" s="28"/>
      <c r="Y228" s="171"/>
      <c r="Z228" s="28"/>
      <c r="AA228" s="171"/>
      <c r="AB228" s="28"/>
      <c r="AC228" s="171"/>
      <c r="AD228" s="28"/>
      <c r="AE228" s="171"/>
      <c r="AF228" s="28"/>
      <c r="AG228" s="171"/>
      <c r="AH228" s="28"/>
      <c r="AI228" s="171"/>
      <c r="AJ228" s="74">
        <f t="shared" ref="AJ228:AJ234" si="29">SUM(E228:AI228)</f>
        <v>0</v>
      </c>
    </row>
    <row r="229" spans="2:36" x14ac:dyDescent="0.25">
      <c r="B229" s="157">
        <v>146</v>
      </c>
      <c r="C229" s="727" t="s">
        <v>73</v>
      </c>
      <c r="D229" s="728"/>
      <c r="E229" s="171">
        <v>2</v>
      </c>
      <c r="F229" s="28"/>
      <c r="G229" s="171"/>
      <c r="H229" s="28"/>
      <c r="I229" s="171"/>
      <c r="J229" s="28"/>
      <c r="K229" s="171"/>
      <c r="L229" s="28">
        <v>1</v>
      </c>
      <c r="M229" s="171"/>
      <c r="N229" s="28"/>
      <c r="O229" s="171"/>
      <c r="P229" s="28"/>
      <c r="Q229" s="171"/>
      <c r="R229" s="28"/>
      <c r="S229" s="171"/>
      <c r="T229" s="28"/>
      <c r="U229" s="171"/>
      <c r="V229" s="28"/>
      <c r="W229" s="171"/>
      <c r="X229" s="28"/>
      <c r="Y229" s="171"/>
      <c r="Z229" s="28"/>
      <c r="AA229" s="171"/>
      <c r="AB229" s="28"/>
      <c r="AC229" s="171"/>
      <c r="AD229" s="28"/>
      <c r="AE229" s="171"/>
      <c r="AF229" s="28"/>
      <c r="AG229" s="171"/>
      <c r="AH229" s="28"/>
      <c r="AI229" s="171"/>
      <c r="AJ229" s="74">
        <f t="shared" si="29"/>
        <v>3</v>
      </c>
    </row>
    <row r="230" spans="2:36" x14ac:dyDescent="0.25">
      <c r="B230" s="157">
        <v>147</v>
      </c>
      <c r="C230" s="727" t="s">
        <v>180</v>
      </c>
      <c r="D230" s="728"/>
      <c r="E230" s="171"/>
      <c r="F230" s="28"/>
      <c r="G230" s="171"/>
      <c r="H230" s="28"/>
      <c r="I230" s="171"/>
      <c r="J230" s="28"/>
      <c r="K230" s="171"/>
      <c r="L230" s="28"/>
      <c r="M230" s="171"/>
      <c r="N230" s="28"/>
      <c r="O230" s="171"/>
      <c r="P230" s="28"/>
      <c r="Q230" s="171"/>
      <c r="R230" s="28"/>
      <c r="S230" s="171"/>
      <c r="T230" s="28"/>
      <c r="U230" s="171"/>
      <c r="V230" s="28"/>
      <c r="W230" s="171"/>
      <c r="X230" s="28"/>
      <c r="Y230" s="171"/>
      <c r="Z230" s="28"/>
      <c r="AA230" s="171"/>
      <c r="AB230" s="28"/>
      <c r="AC230" s="171"/>
      <c r="AD230" s="28"/>
      <c r="AE230" s="171"/>
      <c r="AF230" s="28"/>
      <c r="AG230" s="171"/>
      <c r="AH230" s="28"/>
      <c r="AI230" s="171"/>
      <c r="AJ230" s="74">
        <f t="shared" si="29"/>
        <v>0</v>
      </c>
    </row>
    <row r="231" spans="2:36" ht="15.75" thickBot="1" x14ac:dyDescent="0.3">
      <c r="B231" s="157">
        <v>148</v>
      </c>
      <c r="C231" s="727" t="s">
        <v>74</v>
      </c>
      <c r="D231" s="728"/>
      <c r="E231" s="171"/>
      <c r="F231" s="28"/>
      <c r="G231" s="171"/>
      <c r="H231" s="28"/>
      <c r="I231" s="171"/>
      <c r="J231" s="28"/>
      <c r="K231" s="171"/>
      <c r="L231" s="28"/>
      <c r="M231" s="171"/>
      <c r="N231" s="28"/>
      <c r="O231" s="171"/>
      <c r="P231" s="28"/>
      <c r="Q231" s="171"/>
      <c r="R231" s="28"/>
      <c r="S231" s="171"/>
      <c r="T231" s="28"/>
      <c r="U231" s="171"/>
      <c r="V231" s="28"/>
      <c r="W231" s="171"/>
      <c r="X231" s="28"/>
      <c r="Y231" s="171"/>
      <c r="Z231" s="28"/>
      <c r="AA231" s="171"/>
      <c r="AB231" s="28"/>
      <c r="AC231" s="171"/>
      <c r="AD231" s="28"/>
      <c r="AE231" s="171"/>
      <c r="AF231" s="28"/>
      <c r="AG231" s="171"/>
      <c r="AH231" s="28"/>
      <c r="AI231" s="171"/>
      <c r="AJ231" s="74">
        <f t="shared" si="29"/>
        <v>0</v>
      </c>
    </row>
    <row r="232" spans="2:36" ht="15.75" thickBot="1" x14ac:dyDescent="0.3">
      <c r="B232" s="157">
        <v>149</v>
      </c>
      <c r="C232" s="749" t="s">
        <v>181</v>
      </c>
      <c r="D232" s="750"/>
      <c r="E232" s="171"/>
      <c r="F232" s="28"/>
      <c r="G232" s="171"/>
      <c r="H232" s="28"/>
      <c r="I232" s="171"/>
      <c r="J232" s="28"/>
      <c r="K232" s="171"/>
      <c r="L232" s="28"/>
      <c r="M232" s="171"/>
      <c r="N232" s="28"/>
      <c r="O232" s="171"/>
      <c r="P232" s="28"/>
      <c r="Q232" s="171"/>
      <c r="R232" s="28"/>
      <c r="S232" s="171"/>
      <c r="T232" s="28"/>
      <c r="U232" s="171"/>
      <c r="V232" s="28"/>
      <c r="W232" s="171"/>
      <c r="X232" s="28"/>
      <c r="Y232" s="171"/>
      <c r="Z232" s="28"/>
      <c r="AA232" s="171"/>
      <c r="AB232" s="28"/>
      <c r="AC232" s="171"/>
      <c r="AD232" s="28"/>
      <c r="AE232" s="171"/>
      <c r="AF232" s="28"/>
      <c r="AG232" s="171"/>
      <c r="AH232" s="28"/>
      <c r="AI232" s="171"/>
      <c r="AJ232" s="74">
        <f t="shared" si="29"/>
        <v>0</v>
      </c>
    </row>
    <row r="233" spans="2:36" ht="15.75" thickBot="1" x14ac:dyDescent="0.3">
      <c r="B233" s="157">
        <v>150</v>
      </c>
      <c r="C233" s="102"/>
      <c r="D233" s="57" t="s">
        <v>620</v>
      </c>
      <c r="E233" s="171"/>
      <c r="F233" s="28"/>
      <c r="G233" s="171"/>
      <c r="H233" s="28"/>
      <c r="I233" s="171"/>
      <c r="J233" s="28"/>
      <c r="K233" s="171"/>
      <c r="L233" s="28"/>
      <c r="M233" s="171"/>
      <c r="N233" s="28"/>
      <c r="O233" s="171"/>
      <c r="P233" s="28"/>
      <c r="Q233" s="171"/>
      <c r="R233" s="28"/>
      <c r="S233" s="171"/>
      <c r="T233" s="28"/>
      <c r="U233" s="171"/>
      <c r="V233" s="28"/>
      <c r="W233" s="171"/>
      <c r="X233" s="28"/>
      <c r="Y233" s="171"/>
      <c r="Z233" s="28"/>
      <c r="AA233" s="171"/>
      <c r="AB233" s="28"/>
      <c r="AC233" s="171"/>
      <c r="AD233" s="28"/>
      <c r="AE233" s="171"/>
      <c r="AF233" s="28"/>
      <c r="AG233" s="171"/>
      <c r="AH233" s="28"/>
      <c r="AI233" s="171"/>
      <c r="AJ233" s="74">
        <f t="shared" si="29"/>
        <v>0</v>
      </c>
    </row>
    <row r="234" spans="2:36" ht="15.75" thickBot="1" x14ac:dyDescent="0.3">
      <c r="B234" s="157">
        <v>151</v>
      </c>
      <c r="C234" s="103"/>
      <c r="D234" s="74" t="s">
        <v>621</v>
      </c>
      <c r="E234" s="171"/>
      <c r="F234" s="28"/>
      <c r="G234" s="171"/>
      <c r="H234" s="28"/>
      <c r="I234" s="171"/>
      <c r="J234" s="28"/>
      <c r="K234" s="171"/>
      <c r="L234" s="28"/>
      <c r="M234" s="171"/>
      <c r="N234" s="28"/>
      <c r="O234" s="171"/>
      <c r="P234" s="28"/>
      <c r="Q234" s="171"/>
      <c r="R234" s="28"/>
      <c r="S234" s="171"/>
      <c r="T234" s="28"/>
      <c r="U234" s="171"/>
      <c r="V234" s="28"/>
      <c r="W234" s="171"/>
      <c r="X234" s="28"/>
      <c r="Y234" s="171"/>
      <c r="Z234" s="28"/>
      <c r="AA234" s="171"/>
      <c r="AB234" s="28"/>
      <c r="AC234" s="171"/>
      <c r="AD234" s="28"/>
      <c r="AE234" s="171"/>
      <c r="AF234" s="28"/>
      <c r="AG234" s="171"/>
      <c r="AH234" s="28"/>
      <c r="AI234" s="171"/>
      <c r="AJ234" s="74">
        <f t="shared" si="29"/>
        <v>0</v>
      </c>
    </row>
    <row r="235" spans="2:36" x14ac:dyDescent="0.25">
      <c r="B235" s="157"/>
      <c r="C235" s="842" t="s">
        <v>953</v>
      </c>
      <c r="D235" s="843"/>
      <c r="E235" s="843"/>
      <c r="F235" s="843"/>
      <c r="G235" s="843"/>
      <c r="H235" s="843"/>
      <c r="I235" s="843"/>
      <c r="J235" s="843"/>
      <c r="K235" s="843"/>
      <c r="L235" s="843"/>
      <c r="M235" s="843"/>
      <c r="N235" s="843"/>
      <c r="O235" s="843"/>
      <c r="P235" s="843"/>
      <c r="Q235" s="843"/>
      <c r="R235" s="843"/>
      <c r="S235" s="843"/>
      <c r="T235" s="843"/>
      <c r="U235" s="843"/>
      <c r="V235" s="843"/>
      <c r="W235" s="843"/>
      <c r="X235" s="843"/>
      <c r="Y235" s="843"/>
      <c r="Z235" s="843"/>
      <c r="AA235" s="843"/>
      <c r="AB235" s="843"/>
      <c r="AC235" s="843"/>
      <c r="AD235" s="843"/>
      <c r="AE235" s="843"/>
      <c r="AF235" s="843"/>
      <c r="AG235" s="843"/>
      <c r="AH235" s="843"/>
      <c r="AI235" s="843"/>
      <c r="AJ235" s="844"/>
    </row>
    <row r="236" spans="2:36" ht="15.75" thickBot="1" x14ac:dyDescent="0.3">
      <c r="B236" s="157"/>
      <c r="C236" s="845"/>
      <c r="D236" s="846"/>
      <c r="E236" s="846"/>
      <c r="F236" s="846"/>
      <c r="G236" s="846"/>
      <c r="H236" s="846"/>
      <c r="I236" s="846"/>
      <c r="J236" s="846"/>
      <c r="K236" s="846"/>
      <c r="L236" s="846"/>
      <c r="M236" s="846"/>
      <c r="N236" s="846"/>
      <c r="O236" s="846"/>
      <c r="P236" s="846"/>
      <c r="Q236" s="846"/>
      <c r="R236" s="846"/>
      <c r="S236" s="846"/>
      <c r="T236" s="846"/>
      <c r="U236" s="846"/>
      <c r="V236" s="846"/>
      <c r="W236" s="846"/>
      <c r="X236" s="846"/>
      <c r="Y236" s="846"/>
      <c r="Z236" s="846"/>
      <c r="AA236" s="846"/>
      <c r="AB236" s="846"/>
      <c r="AC236" s="846"/>
      <c r="AD236" s="846"/>
      <c r="AE236" s="846"/>
      <c r="AF236" s="846"/>
      <c r="AG236" s="846"/>
      <c r="AH236" s="846"/>
      <c r="AI236" s="846"/>
      <c r="AJ236" s="847"/>
    </row>
    <row r="237" spans="2:36" ht="15.75" thickBot="1" x14ac:dyDescent="0.3">
      <c r="B237" s="157"/>
      <c r="C237" s="836" t="s">
        <v>79</v>
      </c>
      <c r="D237" s="837"/>
      <c r="E237" s="182"/>
      <c r="F237" s="123"/>
      <c r="G237" s="182"/>
      <c r="H237" s="123"/>
      <c r="I237" s="182"/>
      <c r="J237" s="123"/>
      <c r="K237" s="182"/>
      <c r="L237" s="123"/>
      <c r="M237" s="182"/>
      <c r="N237" s="123"/>
      <c r="O237" s="182"/>
      <c r="P237" s="123"/>
      <c r="Q237" s="182"/>
      <c r="R237" s="123"/>
      <c r="S237" s="182"/>
      <c r="T237" s="123"/>
      <c r="U237" s="182"/>
      <c r="V237" s="123"/>
      <c r="W237" s="182"/>
      <c r="X237" s="123"/>
      <c r="Y237" s="182"/>
      <c r="Z237" s="123"/>
      <c r="AA237" s="182"/>
      <c r="AB237" s="123"/>
      <c r="AC237" s="182"/>
      <c r="AD237" s="123"/>
      <c r="AE237" s="182"/>
      <c r="AF237" s="123"/>
      <c r="AG237" s="182"/>
      <c r="AH237" s="123"/>
      <c r="AI237" s="182"/>
      <c r="AJ237" s="74"/>
    </row>
    <row r="238" spans="2:36" x14ac:dyDescent="0.25">
      <c r="B238" s="157">
        <v>152</v>
      </c>
      <c r="C238" s="727" t="s">
        <v>80</v>
      </c>
      <c r="D238" s="728"/>
      <c r="E238" s="182"/>
      <c r="F238" s="123"/>
      <c r="G238" s="182"/>
      <c r="H238" s="123"/>
      <c r="I238" s="182"/>
      <c r="J238" s="123"/>
      <c r="K238" s="182"/>
      <c r="L238" s="123"/>
      <c r="M238" s="182"/>
      <c r="N238" s="123"/>
      <c r="O238" s="182"/>
      <c r="P238" s="123"/>
      <c r="Q238" s="182"/>
      <c r="R238" s="123"/>
      <c r="S238" s="182"/>
      <c r="T238" s="123"/>
      <c r="U238" s="182"/>
      <c r="V238" s="123"/>
      <c r="W238" s="182"/>
      <c r="X238" s="123"/>
      <c r="Y238" s="182"/>
      <c r="Z238" s="123"/>
      <c r="AA238" s="182"/>
      <c r="AB238" s="123"/>
      <c r="AC238" s="182"/>
      <c r="AD238" s="123"/>
      <c r="AE238" s="182"/>
      <c r="AF238" s="123"/>
      <c r="AG238" s="182"/>
      <c r="AH238" s="123"/>
      <c r="AI238" s="182"/>
      <c r="AJ238" s="74"/>
    </row>
    <row r="239" spans="2:36" x14ac:dyDescent="0.25">
      <c r="B239" s="157">
        <v>153</v>
      </c>
      <c r="C239" s="727" t="s">
        <v>81</v>
      </c>
      <c r="D239" s="728"/>
      <c r="E239" s="182"/>
      <c r="F239" s="123"/>
      <c r="G239" s="182"/>
      <c r="H239" s="123"/>
      <c r="I239" s="182"/>
      <c r="J239" s="123"/>
      <c r="K239" s="182"/>
      <c r="L239" s="123"/>
      <c r="M239" s="182"/>
      <c r="N239" s="123"/>
      <c r="O239" s="182"/>
      <c r="P239" s="123"/>
      <c r="Q239" s="182"/>
      <c r="R239" s="123"/>
      <c r="S239" s="182"/>
      <c r="T239" s="123"/>
      <c r="U239" s="182"/>
      <c r="V239" s="123"/>
      <c r="W239" s="182"/>
      <c r="X239" s="123"/>
      <c r="Y239" s="182"/>
      <c r="Z239" s="123"/>
      <c r="AA239" s="182"/>
      <c r="AB239" s="123"/>
      <c r="AC239" s="182"/>
      <c r="AD239" s="123"/>
      <c r="AE239" s="182"/>
      <c r="AF239" s="123"/>
      <c r="AG239" s="182"/>
      <c r="AH239" s="123"/>
      <c r="AI239" s="182"/>
      <c r="AJ239" s="74"/>
    </row>
    <row r="240" spans="2:36" x14ac:dyDescent="0.25">
      <c r="B240" s="157">
        <v>154</v>
      </c>
      <c r="C240" s="727" t="s">
        <v>82</v>
      </c>
      <c r="D240" s="728"/>
      <c r="E240" s="182"/>
      <c r="F240" s="123"/>
      <c r="G240" s="182"/>
      <c r="H240" s="123"/>
      <c r="I240" s="182"/>
      <c r="J240" s="123"/>
      <c r="K240" s="182"/>
      <c r="L240" s="123"/>
      <c r="M240" s="182"/>
      <c r="N240" s="123"/>
      <c r="O240" s="182"/>
      <c r="P240" s="123"/>
      <c r="Q240" s="182"/>
      <c r="R240" s="123"/>
      <c r="S240" s="182"/>
      <c r="T240" s="123"/>
      <c r="U240" s="182"/>
      <c r="V240" s="123"/>
      <c r="W240" s="182"/>
      <c r="X240" s="123"/>
      <c r="Y240" s="182"/>
      <c r="Z240" s="123"/>
      <c r="AA240" s="182"/>
      <c r="AB240" s="123"/>
      <c r="AC240" s="182"/>
      <c r="AD240" s="123"/>
      <c r="AE240" s="182"/>
      <c r="AF240" s="123"/>
      <c r="AG240" s="182"/>
      <c r="AH240" s="123"/>
      <c r="AI240" s="182"/>
      <c r="AJ240" s="74"/>
    </row>
    <row r="241" spans="2:36" x14ac:dyDescent="0.25">
      <c r="B241" s="157">
        <v>155</v>
      </c>
      <c r="C241" s="727" t="s">
        <v>83</v>
      </c>
      <c r="D241" s="728"/>
      <c r="E241" s="182"/>
      <c r="F241" s="123"/>
      <c r="G241" s="182"/>
      <c r="H241" s="123"/>
      <c r="I241" s="182"/>
      <c r="J241" s="123"/>
      <c r="K241" s="182"/>
      <c r="L241" s="123"/>
      <c r="M241" s="182"/>
      <c r="N241" s="123"/>
      <c r="O241" s="182"/>
      <c r="P241" s="123"/>
      <c r="Q241" s="182"/>
      <c r="R241" s="123"/>
      <c r="S241" s="182"/>
      <c r="T241" s="123"/>
      <c r="U241" s="182"/>
      <c r="V241" s="123"/>
      <c r="W241" s="182"/>
      <c r="X241" s="123"/>
      <c r="Y241" s="182"/>
      <c r="Z241" s="123"/>
      <c r="AA241" s="182"/>
      <c r="AB241" s="123"/>
      <c r="AC241" s="182"/>
      <c r="AD241" s="123"/>
      <c r="AE241" s="182"/>
      <c r="AF241" s="123"/>
      <c r="AG241" s="182"/>
      <c r="AH241" s="123"/>
      <c r="AI241" s="182"/>
      <c r="AJ241" s="74"/>
    </row>
    <row r="242" spans="2:36" x14ac:dyDescent="0.25">
      <c r="B242" s="157">
        <v>156</v>
      </c>
      <c r="C242" s="727" t="s">
        <v>84</v>
      </c>
      <c r="D242" s="728"/>
      <c r="E242" s="182"/>
      <c r="F242" s="123"/>
      <c r="G242" s="182"/>
      <c r="H242" s="123"/>
      <c r="I242" s="182"/>
      <c r="J242" s="123"/>
      <c r="K242" s="182"/>
      <c r="L242" s="123"/>
      <c r="M242" s="182"/>
      <c r="N242" s="123"/>
      <c r="O242" s="182"/>
      <c r="P242" s="123"/>
      <c r="Q242" s="182"/>
      <c r="R242" s="123"/>
      <c r="S242" s="182"/>
      <c r="T242" s="123"/>
      <c r="U242" s="182"/>
      <c r="V242" s="123"/>
      <c r="W242" s="182"/>
      <c r="X242" s="123"/>
      <c r="Y242" s="182"/>
      <c r="Z242" s="123"/>
      <c r="AA242" s="182"/>
      <c r="AB242" s="123"/>
      <c r="AC242" s="182"/>
      <c r="AD242" s="123"/>
      <c r="AE242" s="182"/>
      <c r="AF242" s="123"/>
      <c r="AG242" s="182"/>
      <c r="AH242" s="123"/>
      <c r="AI242" s="182"/>
      <c r="AJ242" s="74"/>
    </row>
    <row r="243" spans="2:36" ht="15.75" thickBot="1" x14ac:dyDescent="0.3">
      <c r="B243" s="157">
        <v>157</v>
      </c>
      <c r="C243" s="727" t="s">
        <v>85</v>
      </c>
      <c r="D243" s="728"/>
      <c r="E243" s="182"/>
      <c r="F243" s="123"/>
      <c r="G243" s="182"/>
      <c r="H243" s="123"/>
      <c r="I243" s="182"/>
      <c r="J243" s="123"/>
      <c r="K243" s="182"/>
      <c r="L243" s="123"/>
      <c r="M243" s="182"/>
      <c r="N243" s="123"/>
      <c r="O243" s="182"/>
      <c r="P243" s="123"/>
      <c r="Q243" s="182"/>
      <c r="R243" s="123"/>
      <c r="S243" s="182"/>
      <c r="T243" s="123"/>
      <c r="U243" s="182"/>
      <c r="V243" s="123"/>
      <c r="W243" s="182"/>
      <c r="X243" s="123"/>
      <c r="Y243" s="182"/>
      <c r="Z243" s="123"/>
      <c r="AA243" s="182"/>
      <c r="AB243" s="123"/>
      <c r="AC243" s="182"/>
      <c r="AD243" s="123"/>
      <c r="AE243" s="182"/>
      <c r="AF243" s="123"/>
      <c r="AG243" s="182"/>
      <c r="AH243" s="123"/>
      <c r="AI243" s="182"/>
      <c r="AJ243" s="74"/>
    </row>
    <row r="244" spans="2:36" ht="15.75" thickBot="1" x14ac:dyDescent="0.3">
      <c r="B244" s="157"/>
      <c r="C244" s="806" t="s">
        <v>86</v>
      </c>
      <c r="D244" s="807"/>
      <c r="E244" s="182"/>
      <c r="F244" s="123"/>
      <c r="G244" s="182"/>
      <c r="H244" s="123"/>
      <c r="I244" s="182"/>
      <c r="J244" s="123"/>
      <c r="K244" s="182"/>
      <c r="L244" s="123"/>
      <c r="M244" s="182"/>
      <c r="N244" s="123"/>
      <c r="O244" s="182"/>
      <c r="P244" s="123"/>
      <c r="Q244" s="182"/>
      <c r="R244" s="123"/>
      <c r="S244" s="182"/>
      <c r="T244" s="123"/>
      <c r="U244" s="182"/>
      <c r="V244" s="123"/>
      <c r="W244" s="182"/>
      <c r="X244" s="123"/>
      <c r="Y244" s="182"/>
      <c r="Z244" s="123"/>
      <c r="AA244" s="182"/>
      <c r="AB244" s="123"/>
      <c r="AC244" s="182"/>
      <c r="AD244" s="123"/>
      <c r="AE244" s="182"/>
      <c r="AF244" s="123"/>
      <c r="AG244" s="182"/>
      <c r="AH244" s="123"/>
      <c r="AI244" s="182"/>
      <c r="AJ244" s="74"/>
    </row>
    <row r="245" spans="2:36" x14ac:dyDescent="0.25">
      <c r="B245" s="157">
        <v>158</v>
      </c>
      <c r="C245" s="727" t="s">
        <v>87</v>
      </c>
      <c r="D245" s="728"/>
      <c r="E245" s="182"/>
      <c r="F245" s="123"/>
      <c r="G245" s="182"/>
      <c r="H245" s="123"/>
      <c r="I245" s="182"/>
      <c r="J245" s="123"/>
      <c r="K245" s="182"/>
      <c r="L245" s="123"/>
      <c r="M245" s="182"/>
      <c r="N245" s="123"/>
      <c r="O245" s="182"/>
      <c r="P245" s="123"/>
      <c r="Q245" s="182"/>
      <c r="R245" s="123"/>
      <c r="S245" s="182"/>
      <c r="T245" s="123"/>
      <c r="U245" s="182"/>
      <c r="V245" s="123"/>
      <c r="W245" s="182"/>
      <c r="X245" s="123"/>
      <c r="Y245" s="182"/>
      <c r="Z245" s="123"/>
      <c r="AA245" s="182"/>
      <c r="AB245" s="123"/>
      <c r="AC245" s="182"/>
      <c r="AD245" s="123"/>
      <c r="AE245" s="182"/>
      <c r="AF245" s="123"/>
      <c r="AG245" s="182"/>
      <c r="AH245" s="123"/>
      <c r="AI245" s="182"/>
      <c r="AJ245" s="74"/>
    </row>
    <row r="246" spans="2:36" x14ac:dyDescent="0.25">
      <c r="B246" s="157">
        <v>159</v>
      </c>
      <c r="C246" s="727" t="s">
        <v>88</v>
      </c>
      <c r="D246" s="728"/>
      <c r="E246" s="182"/>
      <c r="F246" s="123"/>
      <c r="G246" s="182"/>
      <c r="H246" s="123"/>
      <c r="I246" s="182"/>
      <c r="J246" s="123"/>
      <c r="K246" s="182"/>
      <c r="L246" s="123"/>
      <c r="M246" s="182"/>
      <c r="N246" s="123"/>
      <c r="O246" s="182"/>
      <c r="P246" s="123"/>
      <c r="Q246" s="182"/>
      <c r="R246" s="123"/>
      <c r="S246" s="182"/>
      <c r="T246" s="123"/>
      <c r="U246" s="182"/>
      <c r="V246" s="123"/>
      <c r="W246" s="182"/>
      <c r="X246" s="123"/>
      <c r="Y246" s="182"/>
      <c r="Z246" s="123"/>
      <c r="AA246" s="182"/>
      <c r="AB246" s="123"/>
      <c r="AC246" s="182"/>
      <c r="AD246" s="123"/>
      <c r="AE246" s="182"/>
      <c r="AF246" s="123"/>
      <c r="AG246" s="182"/>
      <c r="AH246" s="123"/>
      <c r="AI246" s="182"/>
      <c r="AJ246" s="74"/>
    </row>
    <row r="247" spans="2:36" x14ac:dyDescent="0.25">
      <c r="B247" s="157">
        <v>160</v>
      </c>
      <c r="C247" s="727" t="s">
        <v>89</v>
      </c>
      <c r="D247" s="728"/>
      <c r="E247" s="182"/>
      <c r="F247" s="123"/>
      <c r="G247" s="182"/>
      <c r="H247" s="123"/>
      <c r="I247" s="182"/>
      <c r="J247" s="123"/>
      <c r="K247" s="182"/>
      <c r="L247" s="123"/>
      <c r="M247" s="182"/>
      <c r="N247" s="123"/>
      <c r="O247" s="182"/>
      <c r="P247" s="123"/>
      <c r="Q247" s="182"/>
      <c r="R247" s="123"/>
      <c r="S247" s="182"/>
      <c r="T247" s="123"/>
      <c r="U247" s="182"/>
      <c r="V247" s="123"/>
      <c r="W247" s="182"/>
      <c r="X247" s="123"/>
      <c r="Y247" s="182"/>
      <c r="Z247" s="123"/>
      <c r="AA247" s="182"/>
      <c r="AB247" s="123"/>
      <c r="AC247" s="182"/>
      <c r="AD247" s="123"/>
      <c r="AE247" s="182"/>
      <c r="AF247" s="123"/>
      <c r="AG247" s="182"/>
      <c r="AH247" s="123"/>
      <c r="AI247" s="182"/>
      <c r="AJ247" s="74"/>
    </row>
    <row r="248" spans="2:36" ht="15.75" thickBot="1" x14ac:dyDescent="0.3">
      <c r="B248" s="157">
        <v>161</v>
      </c>
      <c r="C248" s="727" t="s">
        <v>90</v>
      </c>
      <c r="D248" s="728"/>
      <c r="E248" s="182"/>
      <c r="F248" s="123"/>
      <c r="G248" s="182"/>
      <c r="H248" s="123"/>
      <c r="I248" s="182"/>
      <c r="J248" s="123"/>
      <c r="K248" s="182"/>
      <c r="L248" s="123"/>
      <c r="M248" s="182"/>
      <c r="N248" s="123"/>
      <c r="O248" s="182"/>
      <c r="P248" s="123"/>
      <c r="Q248" s="182"/>
      <c r="R248" s="123"/>
      <c r="S248" s="182"/>
      <c r="T248" s="123"/>
      <c r="U248" s="182"/>
      <c r="V248" s="123"/>
      <c r="W248" s="182"/>
      <c r="X248" s="123"/>
      <c r="Y248" s="182"/>
      <c r="Z248" s="123"/>
      <c r="AA248" s="182"/>
      <c r="AB248" s="123"/>
      <c r="AC248" s="182"/>
      <c r="AD248" s="123"/>
      <c r="AE248" s="182"/>
      <c r="AF248" s="123"/>
      <c r="AG248" s="182"/>
      <c r="AH248" s="123"/>
      <c r="AI248" s="182"/>
      <c r="AJ248" s="74"/>
    </row>
    <row r="249" spans="2:36" x14ac:dyDescent="0.25">
      <c r="B249" s="157"/>
      <c r="C249" s="842" t="s">
        <v>742</v>
      </c>
      <c r="D249" s="843"/>
      <c r="E249" s="843"/>
      <c r="F249" s="843"/>
      <c r="G249" s="843"/>
      <c r="H249" s="843"/>
      <c r="I249" s="843"/>
      <c r="J249" s="843"/>
      <c r="K249" s="843"/>
      <c r="L249" s="843"/>
      <c r="M249" s="843"/>
      <c r="N249" s="843"/>
      <c r="O249" s="843"/>
      <c r="P249" s="843"/>
      <c r="Q249" s="843"/>
      <c r="R249" s="843"/>
      <c r="S249" s="843"/>
      <c r="T249" s="843"/>
      <c r="U249" s="843"/>
      <c r="V249" s="843"/>
      <c r="W249" s="843"/>
      <c r="X249" s="843"/>
      <c r="Y249" s="843"/>
      <c r="Z249" s="843"/>
      <c r="AA249" s="843"/>
      <c r="AB249" s="843"/>
      <c r="AC249" s="843"/>
      <c r="AD249" s="843"/>
      <c r="AE249" s="843"/>
      <c r="AF249" s="843"/>
      <c r="AG249" s="843"/>
      <c r="AH249" s="843"/>
      <c r="AI249" s="843"/>
      <c r="AJ249" s="844"/>
    </row>
    <row r="250" spans="2:36" ht="15.75" thickBot="1" x14ac:dyDescent="0.3">
      <c r="B250" s="157"/>
      <c r="C250" s="845"/>
      <c r="D250" s="846"/>
      <c r="E250" s="846"/>
      <c r="F250" s="846"/>
      <c r="G250" s="846"/>
      <c r="H250" s="846"/>
      <c r="I250" s="846"/>
      <c r="J250" s="846"/>
      <c r="K250" s="846"/>
      <c r="L250" s="846"/>
      <c r="M250" s="846"/>
      <c r="N250" s="846"/>
      <c r="O250" s="846"/>
      <c r="P250" s="846"/>
      <c r="Q250" s="846"/>
      <c r="R250" s="846"/>
      <c r="S250" s="846"/>
      <c r="T250" s="846"/>
      <c r="U250" s="846"/>
      <c r="V250" s="846"/>
      <c r="W250" s="846"/>
      <c r="X250" s="846"/>
      <c r="Y250" s="846"/>
      <c r="Z250" s="846"/>
      <c r="AA250" s="846"/>
      <c r="AB250" s="846"/>
      <c r="AC250" s="846"/>
      <c r="AD250" s="846"/>
      <c r="AE250" s="846"/>
      <c r="AF250" s="846"/>
      <c r="AG250" s="846"/>
      <c r="AH250" s="846"/>
      <c r="AI250" s="846"/>
      <c r="AJ250" s="847"/>
    </row>
    <row r="251" spans="2:36" x14ac:dyDescent="0.25">
      <c r="B251" s="157">
        <v>162</v>
      </c>
      <c r="C251" s="854" t="s">
        <v>646</v>
      </c>
      <c r="D251" s="855"/>
      <c r="E251" s="182"/>
      <c r="F251" s="123"/>
      <c r="G251" s="182"/>
      <c r="H251" s="123"/>
      <c r="I251" s="182"/>
      <c r="J251" s="123"/>
      <c r="K251" s="182"/>
      <c r="L251" s="123"/>
      <c r="M251" s="182"/>
      <c r="N251" s="123"/>
      <c r="O251" s="182"/>
      <c r="P251" s="123"/>
      <c r="Q251" s="182"/>
      <c r="R251" s="123"/>
      <c r="S251" s="182"/>
      <c r="T251" s="123"/>
      <c r="U251" s="182"/>
      <c r="V251" s="123"/>
      <c r="W251" s="182"/>
      <c r="X251" s="123"/>
      <c r="Y251" s="182"/>
      <c r="Z251" s="123"/>
      <c r="AA251" s="182"/>
      <c r="AB251" s="123"/>
      <c r="AC251" s="182"/>
      <c r="AD251" s="123"/>
      <c r="AE251" s="182"/>
      <c r="AF251" s="123"/>
      <c r="AG251" s="182"/>
      <c r="AH251" s="123"/>
      <c r="AI251" s="182"/>
      <c r="AJ251" s="74"/>
    </row>
    <row r="252" spans="2:36" x14ac:dyDescent="0.25">
      <c r="B252" s="157">
        <v>163</v>
      </c>
      <c r="C252" s="854" t="s">
        <v>647</v>
      </c>
      <c r="D252" s="855"/>
      <c r="E252" s="182"/>
      <c r="F252" s="123"/>
      <c r="G252" s="182"/>
      <c r="H252" s="123"/>
      <c r="I252" s="182"/>
      <c r="J252" s="123"/>
      <c r="K252" s="182"/>
      <c r="L252" s="123"/>
      <c r="M252" s="182"/>
      <c r="N252" s="123"/>
      <c r="O252" s="182"/>
      <c r="P252" s="123"/>
      <c r="Q252" s="182"/>
      <c r="R252" s="123"/>
      <c r="S252" s="182"/>
      <c r="T252" s="123"/>
      <c r="U252" s="182"/>
      <c r="V252" s="123"/>
      <c r="W252" s="182"/>
      <c r="X252" s="123"/>
      <c r="Y252" s="182"/>
      <c r="Z252" s="123"/>
      <c r="AA252" s="182"/>
      <c r="AB252" s="123"/>
      <c r="AC252" s="182"/>
      <c r="AD252" s="123"/>
      <c r="AE252" s="182"/>
      <c r="AF252" s="123"/>
      <c r="AG252" s="182"/>
      <c r="AH252" s="123"/>
      <c r="AI252" s="182"/>
      <c r="AJ252" s="74"/>
    </row>
    <row r="253" spans="2:36" x14ac:dyDescent="0.25">
      <c r="B253" s="157">
        <v>164</v>
      </c>
      <c r="C253" s="854" t="s">
        <v>648</v>
      </c>
      <c r="D253" s="855"/>
      <c r="E253" s="182"/>
      <c r="F253" s="123"/>
      <c r="G253" s="182"/>
      <c r="H253" s="123"/>
      <c r="I253" s="182"/>
      <c r="J253" s="123"/>
      <c r="K253" s="182"/>
      <c r="L253" s="123"/>
      <c r="M253" s="182"/>
      <c r="N253" s="123"/>
      <c r="O253" s="182"/>
      <c r="P253" s="123"/>
      <c r="Q253" s="182"/>
      <c r="R253" s="123"/>
      <c r="S253" s="182"/>
      <c r="T253" s="123"/>
      <c r="U253" s="182"/>
      <c r="V253" s="123"/>
      <c r="W253" s="182"/>
      <c r="X253" s="123"/>
      <c r="Y253" s="182"/>
      <c r="Z253" s="123"/>
      <c r="AA253" s="182"/>
      <c r="AB253" s="123"/>
      <c r="AC253" s="182"/>
      <c r="AD253" s="123"/>
      <c r="AE253" s="182"/>
      <c r="AF253" s="123"/>
      <c r="AG253" s="182"/>
      <c r="AH253" s="123"/>
      <c r="AI253" s="182"/>
      <c r="AJ253" s="74"/>
    </row>
    <row r="254" spans="2:36" x14ac:dyDescent="0.25">
      <c r="B254" s="157">
        <v>165</v>
      </c>
      <c r="C254" s="854" t="s">
        <v>814</v>
      </c>
      <c r="D254" s="855"/>
      <c r="E254" s="182"/>
      <c r="F254" s="123"/>
      <c r="G254" s="182"/>
      <c r="H254" s="123"/>
      <c r="I254" s="182"/>
      <c r="J254" s="123"/>
      <c r="K254" s="182"/>
      <c r="L254" s="123"/>
      <c r="M254" s="182"/>
      <c r="N254" s="123"/>
      <c r="O254" s="182"/>
      <c r="P254" s="123"/>
      <c r="Q254" s="182"/>
      <c r="R254" s="123"/>
      <c r="S254" s="182"/>
      <c r="T254" s="123"/>
      <c r="U254" s="182"/>
      <c r="V254" s="123"/>
      <c r="W254" s="182"/>
      <c r="X254" s="123"/>
      <c r="Y254" s="182"/>
      <c r="Z254" s="123"/>
      <c r="AA254" s="182"/>
      <c r="AB254" s="123"/>
      <c r="AC254" s="182"/>
      <c r="AD254" s="123"/>
      <c r="AE254" s="182"/>
      <c r="AF254" s="123"/>
      <c r="AG254" s="182"/>
      <c r="AH254" s="123"/>
      <c r="AI254" s="182"/>
      <c r="AJ254" s="74"/>
    </row>
    <row r="255" spans="2:36" ht="15.75" thickBot="1" x14ac:dyDescent="0.3">
      <c r="B255" s="157">
        <v>166</v>
      </c>
      <c r="C255" s="856" t="s">
        <v>649</v>
      </c>
      <c r="D255" s="857"/>
      <c r="E255" s="182"/>
      <c r="F255" s="123"/>
      <c r="G255" s="182"/>
      <c r="H255" s="123"/>
      <c r="I255" s="182"/>
      <c r="J255" s="123"/>
      <c r="K255" s="182"/>
      <c r="L255" s="123"/>
      <c r="M255" s="182"/>
      <c r="N255" s="123"/>
      <c r="O255" s="182"/>
      <c r="P255" s="123"/>
      <c r="Q255" s="182"/>
      <c r="R255" s="123"/>
      <c r="S255" s="182"/>
      <c r="T255" s="123"/>
      <c r="U255" s="182"/>
      <c r="V255" s="123"/>
      <c r="W255" s="182"/>
      <c r="X255" s="123"/>
      <c r="Y255" s="182"/>
      <c r="Z255" s="123"/>
      <c r="AA255" s="182"/>
      <c r="AB255" s="123"/>
      <c r="AC255" s="182"/>
      <c r="AD255" s="123"/>
      <c r="AE255" s="182"/>
      <c r="AF255" s="123"/>
      <c r="AG255" s="182"/>
      <c r="AH255" s="123"/>
      <c r="AI255" s="182"/>
      <c r="AJ255" s="74"/>
    </row>
    <row r="256" spans="2:36" ht="15.75" thickBot="1" x14ac:dyDescent="0.3">
      <c r="B256" s="157"/>
      <c r="C256" s="858" t="s">
        <v>662</v>
      </c>
      <c r="D256" s="859"/>
      <c r="E256" s="182"/>
      <c r="F256" s="123"/>
      <c r="G256" s="182"/>
      <c r="H256" s="123"/>
      <c r="I256" s="182"/>
      <c r="J256" s="123"/>
      <c r="K256" s="182"/>
      <c r="L256" s="123"/>
      <c r="M256" s="182"/>
      <c r="N256" s="123"/>
      <c r="O256" s="182"/>
      <c r="P256" s="123"/>
      <c r="Q256" s="182"/>
      <c r="R256" s="123"/>
      <c r="S256" s="182"/>
      <c r="T256" s="123"/>
      <c r="U256" s="182"/>
      <c r="V256" s="123"/>
      <c r="W256" s="182"/>
      <c r="X256" s="123"/>
      <c r="Y256" s="182"/>
      <c r="Z256" s="123"/>
      <c r="AA256" s="182"/>
      <c r="AB256" s="123"/>
      <c r="AC256" s="182"/>
      <c r="AD256" s="123"/>
      <c r="AE256" s="182"/>
      <c r="AF256" s="123"/>
      <c r="AG256" s="182"/>
      <c r="AH256" s="123"/>
      <c r="AI256" s="182"/>
      <c r="AJ256" s="8">
        <f>SUM(AJ251:AJ255)</f>
        <v>0</v>
      </c>
    </row>
    <row r="257" spans="2:36" x14ac:dyDescent="0.25">
      <c r="B257" s="157">
        <v>167</v>
      </c>
      <c r="C257" s="852" t="s">
        <v>650</v>
      </c>
      <c r="D257" s="853"/>
      <c r="E257" s="182"/>
      <c r="F257" s="123"/>
      <c r="G257" s="182"/>
      <c r="H257" s="123"/>
      <c r="I257" s="182"/>
      <c r="J257" s="123"/>
      <c r="K257" s="182"/>
      <c r="L257" s="123"/>
      <c r="M257" s="182"/>
      <c r="N257" s="123"/>
      <c r="O257" s="182"/>
      <c r="P257" s="123"/>
      <c r="Q257" s="182"/>
      <c r="R257" s="123"/>
      <c r="S257" s="182"/>
      <c r="T257" s="123"/>
      <c r="U257" s="182"/>
      <c r="V257" s="123"/>
      <c r="W257" s="182"/>
      <c r="X257" s="123"/>
      <c r="Y257" s="182"/>
      <c r="Z257" s="123"/>
      <c r="AA257" s="182"/>
      <c r="AB257" s="123"/>
      <c r="AC257" s="182"/>
      <c r="AD257" s="123"/>
      <c r="AE257" s="182"/>
      <c r="AF257" s="123"/>
      <c r="AG257" s="182"/>
      <c r="AH257" s="123"/>
      <c r="AI257" s="182"/>
      <c r="AJ257" s="74"/>
    </row>
    <row r="258" spans="2:36" x14ac:dyDescent="0.25">
      <c r="B258" s="157">
        <v>168</v>
      </c>
      <c r="C258" s="854" t="s">
        <v>651</v>
      </c>
      <c r="D258" s="855"/>
      <c r="E258" s="182"/>
      <c r="F258" s="123"/>
      <c r="G258" s="182"/>
      <c r="H258" s="123"/>
      <c r="I258" s="182"/>
      <c r="J258" s="123"/>
      <c r="K258" s="182"/>
      <c r="L258" s="123"/>
      <c r="M258" s="182"/>
      <c r="N258" s="123"/>
      <c r="O258" s="182"/>
      <c r="P258" s="123"/>
      <c r="Q258" s="182"/>
      <c r="R258" s="123"/>
      <c r="S258" s="182"/>
      <c r="T258" s="123"/>
      <c r="U258" s="182"/>
      <c r="V258" s="123"/>
      <c r="W258" s="182"/>
      <c r="X258" s="123"/>
      <c r="Y258" s="182"/>
      <c r="Z258" s="123"/>
      <c r="AA258" s="182"/>
      <c r="AB258" s="123"/>
      <c r="AC258" s="182"/>
      <c r="AD258" s="123"/>
      <c r="AE258" s="182"/>
      <c r="AF258" s="123"/>
      <c r="AG258" s="182"/>
      <c r="AH258" s="123"/>
      <c r="AI258" s="182"/>
      <c r="AJ258" s="74"/>
    </row>
    <row r="259" spans="2:36" x14ac:dyDescent="0.25">
      <c r="B259" s="157">
        <v>169</v>
      </c>
      <c r="C259" s="854" t="s">
        <v>652</v>
      </c>
      <c r="D259" s="855"/>
      <c r="E259" s="182"/>
      <c r="F259" s="123"/>
      <c r="G259" s="182"/>
      <c r="H259" s="123"/>
      <c r="I259" s="182"/>
      <c r="J259" s="123"/>
      <c r="K259" s="182"/>
      <c r="L259" s="123"/>
      <c r="M259" s="182"/>
      <c r="N259" s="123"/>
      <c r="O259" s="182"/>
      <c r="P259" s="123"/>
      <c r="Q259" s="182"/>
      <c r="R259" s="123"/>
      <c r="S259" s="182"/>
      <c r="T259" s="123"/>
      <c r="U259" s="182"/>
      <c r="V259" s="123"/>
      <c r="W259" s="182"/>
      <c r="X259" s="123"/>
      <c r="Y259" s="182"/>
      <c r="Z259" s="123"/>
      <c r="AA259" s="182"/>
      <c r="AB259" s="123"/>
      <c r="AC259" s="182"/>
      <c r="AD259" s="123"/>
      <c r="AE259" s="182"/>
      <c r="AF259" s="123"/>
      <c r="AG259" s="182"/>
      <c r="AH259" s="123"/>
      <c r="AI259" s="182"/>
      <c r="AJ259" s="74"/>
    </row>
    <row r="260" spans="2:36" x14ac:dyDescent="0.25">
      <c r="B260" s="157">
        <v>170</v>
      </c>
      <c r="C260" s="854" t="s">
        <v>815</v>
      </c>
      <c r="D260" s="855"/>
      <c r="E260" s="182"/>
      <c r="F260" s="123"/>
      <c r="G260" s="182"/>
      <c r="H260" s="123"/>
      <c r="I260" s="182"/>
      <c r="J260" s="123"/>
      <c r="K260" s="182"/>
      <c r="L260" s="123"/>
      <c r="M260" s="182"/>
      <c r="N260" s="123"/>
      <c r="O260" s="182"/>
      <c r="P260" s="123"/>
      <c r="Q260" s="182"/>
      <c r="R260" s="123"/>
      <c r="S260" s="182"/>
      <c r="T260" s="123"/>
      <c r="U260" s="182"/>
      <c r="V260" s="123"/>
      <c r="W260" s="182"/>
      <c r="X260" s="123"/>
      <c r="Y260" s="182"/>
      <c r="Z260" s="123"/>
      <c r="AA260" s="182"/>
      <c r="AB260" s="123"/>
      <c r="AC260" s="182"/>
      <c r="AD260" s="123"/>
      <c r="AE260" s="182"/>
      <c r="AF260" s="123"/>
      <c r="AG260" s="182"/>
      <c r="AH260" s="123"/>
      <c r="AI260" s="182"/>
      <c r="AJ260" s="74"/>
    </row>
    <row r="261" spans="2:36" ht="15.75" thickBot="1" x14ac:dyDescent="0.3">
      <c r="B261" s="157">
        <v>171</v>
      </c>
      <c r="C261" s="856" t="s">
        <v>649</v>
      </c>
      <c r="D261" s="857"/>
      <c r="E261" s="182"/>
      <c r="F261" s="123"/>
      <c r="G261" s="182"/>
      <c r="H261" s="123"/>
      <c r="I261" s="182"/>
      <c r="J261" s="123"/>
      <c r="K261" s="182"/>
      <c r="L261" s="123"/>
      <c r="M261" s="182"/>
      <c r="N261" s="123"/>
      <c r="O261" s="182"/>
      <c r="P261" s="123"/>
      <c r="Q261" s="182"/>
      <c r="R261" s="123"/>
      <c r="S261" s="182"/>
      <c r="T261" s="123"/>
      <c r="U261" s="182"/>
      <c r="V261" s="123"/>
      <c r="W261" s="182"/>
      <c r="X261" s="123"/>
      <c r="Y261" s="182"/>
      <c r="Z261" s="123"/>
      <c r="AA261" s="182"/>
      <c r="AB261" s="123"/>
      <c r="AC261" s="182"/>
      <c r="AD261" s="123"/>
      <c r="AE261" s="182"/>
      <c r="AF261" s="123"/>
      <c r="AG261" s="182"/>
      <c r="AH261" s="123"/>
      <c r="AI261" s="182"/>
      <c r="AJ261" s="74"/>
    </row>
    <row r="262" spans="2:36" ht="15.75" thickBot="1" x14ac:dyDescent="0.3">
      <c r="B262" s="157"/>
      <c r="C262" s="858" t="s">
        <v>662</v>
      </c>
      <c r="D262" s="859"/>
      <c r="E262" s="182"/>
      <c r="F262" s="123"/>
      <c r="G262" s="182"/>
      <c r="H262" s="123"/>
      <c r="I262" s="182"/>
      <c r="J262" s="123"/>
      <c r="K262" s="182"/>
      <c r="L262" s="123"/>
      <c r="M262" s="182"/>
      <c r="N262" s="123"/>
      <c r="O262" s="182"/>
      <c r="P262" s="123"/>
      <c r="Q262" s="182"/>
      <c r="R262" s="123"/>
      <c r="S262" s="182"/>
      <c r="T262" s="123"/>
      <c r="U262" s="182"/>
      <c r="V262" s="123"/>
      <c r="W262" s="182"/>
      <c r="X262" s="123"/>
      <c r="Y262" s="182"/>
      <c r="Z262" s="123"/>
      <c r="AA262" s="182"/>
      <c r="AB262" s="123"/>
      <c r="AC262" s="182"/>
      <c r="AD262" s="123"/>
      <c r="AE262" s="182"/>
      <c r="AF262" s="123"/>
      <c r="AG262" s="182"/>
      <c r="AH262" s="123"/>
      <c r="AI262" s="182"/>
      <c r="AJ262" s="8">
        <f>SUM(AJ257:AJ261)</f>
        <v>0</v>
      </c>
    </row>
    <row r="263" spans="2:36" ht="15.75" thickBot="1" x14ac:dyDescent="0.3">
      <c r="B263" s="157">
        <v>172</v>
      </c>
      <c r="C263" s="850" t="s">
        <v>816</v>
      </c>
      <c r="D263" s="851"/>
      <c r="E263" s="182"/>
      <c r="F263" s="123"/>
      <c r="G263" s="182"/>
      <c r="H263" s="123"/>
      <c r="I263" s="182"/>
      <c r="J263" s="123"/>
      <c r="K263" s="182"/>
      <c r="L263" s="123"/>
      <c r="M263" s="182"/>
      <c r="N263" s="123"/>
      <c r="O263" s="182"/>
      <c r="P263" s="123"/>
      <c r="Q263" s="182"/>
      <c r="R263" s="123"/>
      <c r="S263" s="182"/>
      <c r="T263" s="123"/>
      <c r="U263" s="182"/>
      <c r="V263" s="123"/>
      <c r="W263" s="182"/>
      <c r="X263" s="123"/>
      <c r="Y263" s="182"/>
      <c r="Z263" s="123"/>
      <c r="AA263" s="182"/>
      <c r="AB263" s="123"/>
      <c r="AC263" s="182"/>
      <c r="AD263" s="123"/>
      <c r="AE263" s="182"/>
      <c r="AF263" s="123"/>
      <c r="AG263" s="182"/>
      <c r="AH263" s="123"/>
      <c r="AI263" s="182"/>
      <c r="AJ263" s="42"/>
    </row>
    <row r="264" spans="2:36" ht="15.75" thickBot="1" x14ac:dyDescent="0.3">
      <c r="B264" s="157"/>
      <c r="C264" s="182"/>
      <c r="D264" s="182"/>
      <c r="E264" s="182"/>
      <c r="F264" s="123"/>
      <c r="G264" s="182"/>
      <c r="H264" s="123"/>
      <c r="I264" s="182"/>
      <c r="J264" s="123"/>
      <c r="K264" s="182"/>
      <c r="L264" s="123"/>
      <c r="M264" s="182"/>
      <c r="N264" s="123"/>
      <c r="O264" s="182"/>
      <c r="P264" s="123"/>
      <c r="Q264" s="182"/>
      <c r="R264" s="123"/>
      <c r="S264" s="182"/>
      <c r="T264" s="123"/>
      <c r="U264" s="182"/>
      <c r="V264" s="123"/>
      <c r="W264" s="182"/>
      <c r="X264" s="123"/>
      <c r="Y264" s="182"/>
      <c r="Z264" s="123"/>
      <c r="AA264" s="182"/>
      <c r="AB264" s="123"/>
      <c r="AC264" s="182"/>
      <c r="AD264" s="123"/>
      <c r="AE264" s="182"/>
      <c r="AF264" s="123"/>
      <c r="AG264" s="182"/>
      <c r="AH264" s="123"/>
      <c r="AI264" s="182"/>
      <c r="AJ264" s="182"/>
    </row>
    <row r="265" spans="2:36" x14ac:dyDescent="0.25">
      <c r="B265" s="157">
        <v>173</v>
      </c>
      <c r="C265" s="787" t="s">
        <v>398</v>
      </c>
      <c r="D265" s="788"/>
      <c r="E265" s="182"/>
      <c r="F265" s="123"/>
      <c r="G265" s="182"/>
      <c r="H265" s="123"/>
      <c r="I265" s="182"/>
      <c r="J265" s="123"/>
      <c r="K265" s="182"/>
      <c r="L265" s="123"/>
      <c r="M265" s="182"/>
      <c r="N265" s="123"/>
      <c r="O265" s="182"/>
      <c r="P265" s="123"/>
      <c r="Q265" s="182"/>
      <c r="R265" s="123"/>
      <c r="S265" s="182"/>
      <c r="T265" s="123"/>
      <c r="U265" s="182"/>
      <c r="V265" s="123"/>
      <c r="W265" s="182"/>
      <c r="X265" s="123"/>
      <c r="Y265" s="182"/>
      <c r="Z265" s="123"/>
      <c r="AA265" s="182"/>
      <c r="AB265" s="123"/>
      <c r="AC265" s="182"/>
      <c r="AD265" s="123"/>
      <c r="AE265" s="182"/>
      <c r="AF265" s="123"/>
      <c r="AG265" s="182"/>
      <c r="AH265" s="123"/>
      <c r="AI265" s="182"/>
      <c r="AJ265" s="41"/>
    </row>
    <row r="266" spans="2:36" x14ac:dyDescent="0.25">
      <c r="B266" s="157">
        <v>174</v>
      </c>
      <c r="C266" s="789" t="s">
        <v>399</v>
      </c>
      <c r="D266" s="790"/>
      <c r="E266" s="182"/>
      <c r="F266" s="123"/>
      <c r="G266" s="182"/>
      <c r="H266" s="123"/>
      <c r="I266" s="182"/>
      <c r="J266" s="123"/>
      <c r="K266" s="182"/>
      <c r="L266" s="123"/>
      <c r="M266" s="182"/>
      <c r="N266" s="123"/>
      <c r="O266" s="182"/>
      <c r="P266" s="123"/>
      <c r="Q266" s="182"/>
      <c r="R266" s="123"/>
      <c r="S266" s="182"/>
      <c r="T266" s="123"/>
      <c r="U266" s="182"/>
      <c r="V266" s="123"/>
      <c r="W266" s="182"/>
      <c r="X266" s="123"/>
      <c r="Y266" s="182"/>
      <c r="Z266" s="123"/>
      <c r="AA266" s="182"/>
      <c r="AB266" s="123"/>
      <c r="AC266" s="182"/>
      <c r="AD266" s="123"/>
      <c r="AE266" s="182"/>
      <c r="AF266" s="123"/>
      <c r="AG266" s="182"/>
      <c r="AH266" s="123"/>
      <c r="AI266" s="182"/>
      <c r="AJ266" s="74"/>
    </row>
    <row r="267" spans="2:36" x14ac:dyDescent="0.25">
      <c r="B267" s="157">
        <v>175</v>
      </c>
      <c r="C267" s="789" t="s">
        <v>400</v>
      </c>
      <c r="D267" s="790"/>
      <c r="E267" s="182"/>
      <c r="F267" s="123"/>
      <c r="G267" s="182"/>
      <c r="H267" s="123"/>
      <c r="I267" s="182"/>
      <c r="J267" s="123"/>
      <c r="K267" s="182"/>
      <c r="L267" s="123"/>
      <c r="M267" s="182"/>
      <c r="N267" s="123"/>
      <c r="O267" s="182"/>
      <c r="P267" s="123"/>
      <c r="Q267" s="182"/>
      <c r="R267" s="123"/>
      <c r="S267" s="182"/>
      <c r="T267" s="123"/>
      <c r="U267" s="182"/>
      <c r="V267" s="123"/>
      <c r="W267" s="182"/>
      <c r="X267" s="123"/>
      <c r="Y267" s="182"/>
      <c r="Z267" s="123"/>
      <c r="AA267" s="182"/>
      <c r="AB267" s="123"/>
      <c r="AC267" s="182"/>
      <c r="AD267" s="123"/>
      <c r="AE267" s="182"/>
      <c r="AF267" s="123"/>
      <c r="AG267" s="182"/>
      <c r="AH267" s="123"/>
      <c r="AI267" s="182"/>
      <c r="AJ267" s="74"/>
    </row>
    <row r="268" spans="2:36" x14ac:dyDescent="0.25">
      <c r="B268" s="157">
        <v>176</v>
      </c>
      <c r="C268" s="789" t="s">
        <v>401</v>
      </c>
      <c r="D268" s="790"/>
      <c r="E268" s="182"/>
      <c r="F268" s="123"/>
      <c r="G268" s="182"/>
      <c r="H268" s="123"/>
      <c r="I268" s="182"/>
      <c r="J268" s="123"/>
      <c r="K268" s="182"/>
      <c r="L268" s="123"/>
      <c r="M268" s="182"/>
      <c r="N268" s="123"/>
      <c r="O268" s="182"/>
      <c r="P268" s="123"/>
      <c r="Q268" s="182"/>
      <c r="R268" s="123"/>
      <c r="S268" s="182"/>
      <c r="T268" s="123"/>
      <c r="U268" s="182"/>
      <c r="V268" s="123"/>
      <c r="W268" s="182"/>
      <c r="X268" s="123"/>
      <c r="Y268" s="182"/>
      <c r="Z268" s="123"/>
      <c r="AA268" s="182"/>
      <c r="AB268" s="123"/>
      <c r="AC268" s="182"/>
      <c r="AD268" s="123"/>
      <c r="AE268" s="182"/>
      <c r="AF268" s="123"/>
      <c r="AG268" s="182"/>
      <c r="AH268" s="123"/>
      <c r="AI268" s="182"/>
      <c r="AJ268" s="74"/>
    </row>
    <row r="269" spans="2:36" x14ac:dyDescent="0.25">
      <c r="B269" s="157">
        <v>177</v>
      </c>
      <c r="C269" s="789" t="s">
        <v>402</v>
      </c>
      <c r="D269" s="790"/>
      <c r="E269" s="182"/>
      <c r="F269" s="123"/>
      <c r="G269" s="182"/>
      <c r="H269" s="123"/>
      <c r="I269" s="182"/>
      <c r="J269" s="123"/>
      <c r="K269" s="182"/>
      <c r="L269" s="123"/>
      <c r="M269" s="182"/>
      <c r="N269" s="123"/>
      <c r="O269" s="182"/>
      <c r="P269" s="123"/>
      <c r="Q269" s="182"/>
      <c r="R269" s="123"/>
      <c r="S269" s="182"/>
      <c r="T269" s="123"/>
      <c r="U269" s="182"/>
      <c r="V269" s="123"/>
      <c r="W269" s="182"/>
      <c r="X269" s="123"/>
      <c r="Y269" s="182"/>
      <c r="Z269" s="123"/>
      <c r="AA269" s="182"/>
      <c r="AB269" s="123"/>
      <c r="AC269" s="182"/>
      <c r="AD269" s="123"/>
      <c r="AE269" s="182"/>
      <c r="AF269" s="123"/>
      <c r="AG269" s="182"/>
      <c r="AH269" s="123"/>
      <c r="AI269" s="182"/>
      <c r="AJ269" s="74"/>
    </row>
    <row r="270" spans="2:36" x14ac:dyDescent="0.25">
      <c r="B270" s="157">
        <v>178</v>
      </c>
      <c r="C270" s="789" t="s">
        <v>730</v>
      </c>
      <c r="D270" s="790"/>
      <c r="E270" s="182"/>
      <c r="F270" s="123"/>
      <c r="G270" s="182"/>
      <c r="H270" s="123"/>
      <c r="I270" s="182"/>
      <c r="J270" s="123"/>
      <c r="K270" s="182"/>
      <c r="L270" s="123"/>
      <c r="M270" s="182"/>
      <c r="N270" s="123"/>
      <c r="O270" s="182"/>
      <c r="P270" s="123"/>
      <c r="Q270" s="182"/>
      <c r="R270" s="123"/>
      <c r="S270" s="182"/>
      <c r="T270" s="123"/>
      <c r="U270" s="182"/>
      <c r="V270" s="123"/>
      <c r="W270" s="182"/>
      <c r="X270" s="123"/>
      <c r="Y270" s="182"/>
      <c r="Z270" s="123"/>
      <c r="AA270" s="182"/>
      <c r="AB270" s="123"/>
      <c r="AC270" s="182"/>
      <c r="AD270" s="123"/>
      <c r="AE270" s="182"/>
      <c r="AF270" s="123"/>
      <c r="AG270" s="182"/>
      <c r="AH270" s="123"/>
      <c r="AI270" s="182"/>
      <c r="AJ270" s="74"/>
    </row>
    <row r="271" spans="2:36" x14ac:dyDescent="0.25">
      <c r="B271" s="157">
        <v>179</v>
      </c>
      <c r="C271" s="789" t="s">
        <v>731</v>
      </c>
      <c r="D271" s="790"/>
      <c r="E271" s="182"/>
      <c r="F271" s="123"/>
      <c r="G271" s="182"/>
      <c r="H271" s="123"/>
      <c r="I271" s="182"/>
      <c r="J271" s="123"/>
      <c r="K271" s="182"/>
      <c r="L271" s="123"/>
      <c r="M271" s="182"/>
      <c r="N271" s="123"/>
      <c r="O271" s="182"/>
      <c r="P271" s="123"/>
      <c r="Q271" s="182"/>
      <c r="R271" s="123"/>
      <c r="S271" s="182"/>
      <c r="T271" s="123"/>
      <c r="U271" s="182"/>
      <c r="V271" s="123"/>
      <c r="W271" s="182"/>
      <c r="X271" s="123"/>
      <c r="Y271" s="182"/>
      <c r="Z271" s="123"/>
      <c r="AA271" s="182"/>
      <c r="AB271" s="123"/>
      <c r="AC271" s="182"/>
      <c r="AD271" s="123"/>
      <c r="AE271" s="182"/>
      <c r="AF271" s="123"/>
      <c r="AG271" s="182"/>
      <c r="AH271" s="123"/>
      <c r="AI271" s="182"/>
      <c r="AJ271" s="74"/>
    </row>
    <row r="272" spans="2:36" x14ac:dyDescent="0.25">
      <c r="B272" s="157">
        <v>180</v>
      </c>
      <c r="C272" s="789" t="s">
        <v>732</v>
      </c>
      <c r="D272" s="790"/>
      <c r="E272" s="182"/>
      <c r="F272" s="123"/>
      <c r="G272" s="182"/>
      <c r="H272" s="123"/>
      <c r="I272" s="182"/>
      <c r="J272" s="123"/>
      <c r="K272" s="182"/>
      <c r="L272" s="123"/>
      <c r="M272" s="182"/>
      <c r="N272" s="123"/>
      <c r="O272" s="182"/>
      <c r="P272" s="123"/>
      <c r="Q272" s="182"/>
      <c r="R272" s="123"/>
      <c r="S272" s="182"/>
      <c r="T272" s="123"/>
      <c r="U272" s="182"/>
      <c r="V272" s="123"/>
      <c r="W272" s="182"/>
      <c r="X272" s="123"/>
      <c r="Y272" s="182"/>
      <c r="Z272" s="123"/>
      <c r="AA272" s="182"/>
      <c r="AB272" s="123"/>
      <c r="AC272" s="182"/>
      <c r="AD272" s="123"/>
      <c r="AE272" s="182"/>
      <c r="AF272" s="123"/>
      <c r="AG272" s="182"/>
      <c r="AH272" s="123"/>
      <c r="AI272" s="182"/>
      <c r="AJ272" s="74"/>
    </row>
    <row r="273" spans="2:36" x14ac:dyDescent="0.25">
      <c r="B273" s="157">
        <v>181</v>
      </c>
      <c r="C273" s="789" t="s">
        <v>733</v>
      </c>
      <c r="D273" s="790"/>
      <c r="E273" s="182"/>
      <c r="F273" s="123"/>
      <c r="G273" s="182"/>
      <c r="H273" s="123"/>
      <c r="I273" s="182"/>
      <c r="J273" s="123"/>
      <c r="K273" s="182"/>
      <c r="L273" s="123"/>
      <c r="M273" s="182"/>
      <c r="N273" s="123"/>
      <c r="O273" s="182"/>
      <c r="P273" s="123"/>
      <c r="Q273" s="182"/>
      <c r="R273" s="123"/>
      <c r="S273" s="182"/>
      <c r="T273" s="123"/>
      <c r="U273" s="182"/>
      <c r="V273" s="123"/>
      <c r="W273" s="182"/>
      <c r="X273" s="123"/>
      <c r="Y273" s="182"/>
      <c r="Z273" s="123"/>
      <c r="AA273" s="182"/>
      <c r="AB273" s="123"/>
      <c r="AC273" s="182"/>
      <c r="AD273" s="123"/>
      <c r="AE273" s="182"/>
      <c r="AF273" s="123"/>
      <c r="AG273" s="182"/>
      <c r="AH273" s="123"/>
      <c r="AI273" s="182"/>
      <c r="AJ273" s="74"/>
    </row>
    <row r="274" spans="2:36" ht="15.75" thickBot="1" x14ac:dyDescent="0.3">
      <c r="B274" s="157">
        <v>182</v>
      </c>
      <c r="C274" s="785" t="s">
        <v>967</v>
      </c>
      <c r="D274" s="786"/>
      <c r="E274" s="182"/>
      <c r="F274" s="123"/>
      <c r="G274" s="182"/>
      <c r="H274" s="123"/>
      <c r="I274" s="182"/>
      <c r="J274" s="123"/>
      <c r="K274" s="182"/>
      <c r="L274" s="123"/>
      <c r="M274" s="182"/>
      <c r="N274" s="123"/>
      <c r="O274" s="182"/>
      <c r="P274" s="123"/>
      <c r="Q274" s="182"/>
      <c r="R274" s="123"/>
      <c r="S274" s="182"/>
      <c r="T274" s="123"/>
      <c r="U274" s="182"/>
      <c r="V274" s="123"/>
      <c r="W274" s="182"/>
      <c r="X274" s="123"/>
      <c r="Y274" s="182"/>
      <c r="Z274" s="123"/>
      <c r="AA274" s="182"/>
      <c r="AB274" s="123"/>
      <c r="AC274" s="182"/>
      <c r="AD274" s="123"/>
      <c r="AE274" s="182"/>
      <c r="AF274" s="123"/>
      <c r="AG274" s="182"/>
      <c r="AH274" s="123"/>
      <c r="AI274" s="182"/>
      <c r="AJ274" s="42"/>
    </row>
  </sheetData>
  <mergeCells count="168">
    <mergeCell ref="C258:D258"/>
    <mergeCell ref="C259:D259"/>
    <mergeCell ref="C260:D260"/>
    <mergeCell ref="C261:D261"/>
    <mergeCell ref="C262:D262"/>
    <mergeCell ref="C248:D248"/>
    <mergeCell ref="C249:AJ250"/>
    <mergeCell ref="C263:D263"/>
    <mergeCell ref="C251:D251"/>
    <mergeCell ref="C252:D252"/>
    <mergeCell ref="C253:D253"/>
    <mergeCell ref="C254:D254"/>
    <mergeCell ref="C255:D255"/>
    <mergeCell ref="C256:D256"/>
    <mergeCell ref="C257:D257"/>
    <mergeCell ref="C242:D242"/>
    <mergeCell ref="C243:D243"/>
    <mergeCell ref="C244:D244"/>
    <mergeCell ref="C245:D245"/>
    <mergeCell ref="C246:D246"/>
    <mergeCell ref="C247:D247"/>
    <mergeCell ref="C235:AJ236"/>
    <mergeCell ref="C237:D237"/>
    <mergeCell ref="C238:D238"/>
    <mergeCell ref="C239:D239"/>
    <mergeCell ref="C240:D240"/>
    <mergeCell ref="C241:D241"/>
    <mergeCell ref="C230:D230"/>
    <mergeCell ref="C231:D231"/>
    <mergeCell ref="C232:D232"/>
    <mergeCell ref="C215:AJ216"/>
    <mergeCell ref="C218:D218"/>
    <mergeCell ref="C219:D219"/>
    <mergeCell ref="C220:D220"/>
    <mergeCell ref="C223:D223"/>
    <mergeCell ref="C224:D224"/>
    <mergeCell ref="C221:D221"/>
    <mergeCell ref="C222:D222"/>
    <mergeCell ref="C203:C214"/>
    <mergeCell ref="C147:D147"/>
    <mergeCell ref="C148:D148"/>
    <mergeCell ref="C149:D149"/>
    <mergeCell ref="C150:C161"/>
    <mergeCell ref="C162:AJ163"/>
    <mergeCell ref="C226:AJ227"/>
    <mergeCell ref="C228:D228"/>
    <mergeCell ref="C229:D229"/>
    <mergeCell ref="C201:D201"/>
    <mergeCell ref="C202:D202"/>
    <mergeCell ref="C188:C199"/>
    <mergeCell ref="C168:D168"/>
    <mergeCell ref="C169:D169"/>
    <mergeCell ref="C171:D171"/>
    <mergeCell ref="C172:D172"/>
    <mergeCell ref="C173:C184"/>
    <mergeCell ref="C100:D100"/>
    <mergeCell ref="C101:D101"/>
    <mergeCell ref="C102:C113"/>
    <mergeCell ref="C186:D186"/>
    <mergeCell ref="C187:D187"/>
    <mergeCell ref="C81:D81"/>
    <mergeCell ref="C82:D82"/>
    <mergeCell ref="C83:D83"/>
    <mergeCell ref="C84:D84"/>
    <mergeCell ref="C99:D99"/>
    <mergeCell ref="C132:D132"/>
    <mergeCell ref="C133:D133"/>
    <mergeCell ref="C134:C145"/>
    <mergeCell ref="C115:D115"/>
    <mergeCell ref="C116:D116"/>
    <mergeCell ref="C117:D117"/>
    <mergeCell ref="C118:C129"/>
    <mergeCell ref="C131:D131"/>
    <mergeCell ref="C164:D164"/>
    <mergeCell ref="C165:D165"/>
    <mergeCell ref="C166:D166"/>
    <mergeCell ref="C167:D167"/>
    <mergeCell ref="C56:C57"/>
    <mergeCell ref="C59:D59"/>
    <mergeCell ref="C77:AJ78"/>
    <mergeCell ref="C79:D79"/>
    <mergeCell ref="C80:D80"/>
    <mergeCell ref="C50:D50"/>
    <mergeCell ref="C51:D51"/>
    <mergeCell ref="C52:D52"/>
    <mergeCell ref="C53:D53"/>
    <mergeCell ref="C54:D54"/>
    <mergeCell ref="C55:D55"/>
    <mergeCell ref="C41:C43"/>
    <mergeCell ref="C44:D44"/>
    <mergeCell ref="C46:D46"/>
    <mergeCell ref="C47:D47"/>
    <mergeCell ref="C48:D48"/>
    <mergeCell ref="C49:D49"/>
    <mergeCell ref="C33:D33"/>
    <mergeCell ref="C34:D34"/>
    <mergeCell ref="C35:D35"/>
    <mergeCell ref="C36:D36"/>
    <mergeCell ref="C38:D38"/>
    <mergeCell ref="C39:C40"/>
    <mergeCell ref="C25:D25"/>
    <mergeCell ref="C26:D26"/>
    <mergeCell ref="C27:D27"/>
    <mergeCell ref="C29:D29"/>
    <mergeCell ref="C31:D31"/>
    <mergeCell ref="C32:D32"/>
    <mergeCell ref="C18:D18"/>
    <mergeCell ref="C19:D19"/>
    <mergeCell ref="C20:D20"/>
    <mergeCell ref="C21:D21"/>
    <mergeCell ref="C23:D23"/>
    <mergeCell ref="C24:D24"/>
    <mergeCell ref="C12:D12"/>
    <mergeCell ref="C13:D13"/>
    <mergeCell ref="C14:D14"/>
    <mergeCell ref="C15:D15"/>
    <mergeCell ref="C16:D16"/>
    <mergeCell ref="C17:D17"/>
    <mergeCell ref="C6:D6"/>
    <mergeCell ref="C7:D7"/>
    <mergeCell ref="C8:D8"/>
    <mergeCell ref="C9:D9"/>
    <mergeCell ref="C10:D10"/>
    <mergeCell ref="C11:D11"/>
    <mergeCell ref="AG4:AG5"/>
    <mergeCell ref="AH4:AH5"/>
    <mergeCell ref="AI4:AI5"/>
    <mergeCell ref="AJ4:AJ5"/>
    <mergeCell ref="Y4:Y5"/>
    <mergeCell ref="Z4:Z5"/>
    <mergeCell ref="AA4:AA5"/>
    <mergeCell ref="AB4:AB5"/>
    <mergeCell ref="AC4:AC5"/>
    <mergeCell ref="AD4:AD5"/>
    <mergeCell ref="C2:AJ3"/>
    <mergeCell ref="C4:D5"/>
    <mergeCell ref="E4:E5"/>
    <mergeCell ref="F4:F5"/>
    <mergeCell ref="G4:G5"/>
    <mergeCell ref="H4:H5"/>
    <mergeCell ref="I4:I5"/>
    <mergeCell ref="J4:J5"/>
    <mergeCell ref="K4:K5"/>
    <mergeCell ref="L4:L5"/>
    <mergeCell ref="S4:S5"/>
    <mergeCell ref="T4:T5"/>
    <mergeCell ref="U4:U5"/>
    <mergeCell ref="V4:V5"/>
    <mergeCell ref="W4:W5"/>
    <mergeCell ref="X4:X5"/>
    <mergeCell ref="M4:M5"/>
    <mergeCell ref="N4:N5"/>
    <mergeCell ref="O4:O5"/>
    <mergeCell ref="P4:P5"/>
    <mergeCell ref="Q4:Q5"/>
    <mergeCell ref="R4:R5"/>
    <mergeCell ref="AE4:AE5"/>
    <mergeCell ref="AF4:AF5"/>
    <mergeCell ref="C274:D274"/>
    <mergeCell ref="C265:D265"/>
    <mergeCell ref="C266:D266"/>
    <mergeCell ref="C267:D267"/>
    <mergeCell ref="C268:D268"/>
    <mergeCell ref="C269:D269"/>
    <mergeCell ref="C270:D270"/>
    <mergeCell ref="C271:D271"/>
    <mergeCell ref="C272:D272"/>
    <mergeCell ref="C273:D273"/>
  </mergeCells>
  <conditionalFormatting sqref="E146:AJ147 E80:AI83 E85:AI96 E7:AI17 AK85:AK96">
    <cfRule type="cellIs" dxfId="107" priority="70" operator="notEqual">
      <formula>0</formula>
    </cfRule>
    <cfRule type="cellIs" dxfId="106" priority="71" operator="equal">
      <formula>0</formula>
    </cfRule>
  </conditionalFormatting>
  <conditionalFormatting sqref="K47:AI54 E61:AI75">
    <cfRule type="cellIs" dxfId="105" priority="69" operator="equal">
      <formula>0</formula>
    </cfRule>
  </conditionalFormatting>
  <conditionalFormatting sqref="K47:AI47 K49:AI49">
    <cfRule type="cellIs" dxfId="104" priority="68" operator="notEqual">
      <formula>0</formula>
    </cfRule>
  </conditionalFormatting>
  <conditionalFormatting sqref="K48:AI48 K50:AI54">
    <cfRule type="cellIs" dxfId="103" priority="67" operator="notEqual">
      <formula>0</formula>
    </cfRule>
  </conditionalFormatting>
  <conditionalFormatting sqref="E56:AI57">
    <cfRule type="cellIs" dxfId="102" priority="65" operator="notEqual">
      <formula>0</formula>
    </cfRule>
    <cfRule type="cellIs" dxfId="101" priority="66" operator="equal">
      <formula>0</formula>
    </cfRule>
  </conditionalFormatting>
  <conditionalFormatting sqref="E61:AI64">
    <cfRule type="cellIs" dxfId="100" priority="63" operator="notEqual">
      <formula>0</formula>
    </cfRule>
  </conditionalFormatting>
  <conditionalFormatting sqref="E66:AI73">
    <cfRule type="cellIs" dxfId="99" priority="62" operator="notEqual">
      <formula>0</formula>
    </cfRule>
  </conditionalFormatting>
  <conditionalFormatting sqref="E19:AI22 E29:AI29 E28:AJ28 E24:AI27 E31:AI36 E38:AI44">
    <cfRule type="cellIs" dxfId="98" priority="60" operator="notEqual">
      <formula>0</formula>
    </cfRule>
    <cfRule type="cellIs" dxfId="97" priority="61" operator="equal">
      <formula>0</formula>
    </cfRule>
  </conditionalFormatting>
  <conditionalFormatting sqref="E100:AI100 E186:AI186 E116:AI116 E102:AI113 E118:AI129 E132:AI132 E188:AI199 E203:AI214 E148:AI148 E150:AI161 E134:AI145 E201:AI201">
    <cfRule type="cellIs" dxfId="96" priority="58" operator="notEqual">
      <formula>0</formula>
    </cfRule>
    <cfRule type="cellIs" dxfId="95" priority="59" operator="equal">
      <formula>0</formula>
    </cfRule>
  </conditionalFormatting>
  <conditionalFormatting sqref="E228:AI234">
    <cfRule type="cellIs" dxfId="94" priority="56" operator="notEqual">
      <formula>0</formula>
    </cfRule>
    <cfRule type="cellIs" dxfId="93" priority="57" operator="equal">
      <formula>0</formula>
    </cfRule>
  </conditionalFormatting>
  <conditionalFormatting sqref="E37:AJ37">
    <cfRule type="cellIs" dxfId="92" priority="54" operator="notEqual">
      <formula>0</formula>
    </cfRule>
    <cfRule type="cellIs" dxfId="91" priority="55" operator="equal">
      <formula>0</formula>
    </cfRule>
  </conditionalFormatting>
  <conditionalFormatting sqref="E45:AJ45">
    <cfRule type="cellIs" dxfId="90" priority="52" operator="notEqual">
      <formula>0</formula>
    </cfRule>
    <cfRule type="cellIs" dxfId="89" priority="53" operator="equal">
      <formula>0</formula>
    </cfRule>
  </conditionalFormatting>
  <conditionalFormatting sqref="E58:AJ58">
    <cfRule type="cellIs" dxfId="88" priority="50" operator="notEqual">
      <formula>0</formula>
    </cfRule>
    <cfRule type="cellIs" dxfId="87" priority="51" operator="equal">
      <formula>0</formula>
    </cfRule>
  </conditionalFormatting>
  <conditionalFormatting sqref="E76:AJ76">
    <cfRule type="cellIs" dxfId="86" priority="48" operator="notEqual">
      <formula>0</formula>
    </cfRule>
    <cfRule type="cellIs" dxfId="85" priority="49" operator="equal">
      <formula>0</formula>
    </cfRule>
  </conditionalFormatting>
  <conditionalFormatting sqref="E79:AJ79">
    <cfRule type="cellIs" dxfId="84" priority="46" operator="notEqual">
      <formula>0</formula>
    </cfRule>
    <cfRule type="cellIs" dxfId="83" priority="47" operator="equal">
      <formula>0</formula>
    </cfRule>
  </conditionalFormatting>
  <conditionalFormatting sqref="E97:AJ97">
    <cfRule type="cellIs" dxfId="82" priority="44" operator="notEqual">
      <formula>0</formula>
    </cfRule>
    <cfRule type="cellIs" dxfId="81" priority="45" operator="equal">
      <formula>0</formula>
    </cfRule>
  </conditionalFormatting>
  <conditionalFormatting sqref="E98:AJ98">
    <cfRule type="cellIs" dxfId="80" priority="42" operator="notEqual">
      <formula>0</formula>
    </cfRule>
    <cfRule type="cellIs" dxfId="79" priority="43" operator="equal">
      <formula>0</formula>
    </cfRule>
  </conditionalFormatting>
  <conditionalFormatting sqref="E114:AJ114">
    <cfRule type="cellIs" dxfId="78" priority="40" operator="notEqual">
      <formula>0</formula>
    </cfRule>
    <cfRule type="cellIs" dxfId="77" priority="41" operator="equal">
      <formula>0</formula>
    </cfRule>
  </conditionalFormatting>
  <conditionalFormatting sqref="E187:AJ187">
    <cfRule type="cellIs" dxfId="76" priority="38" operator="notEqual">
      <formula>0</formula>
    </cfRule>
    <cfRule type="cellIs" dxfId="75" priority="39" operator="equal">
      <formula>0</formula>
    </cfRule>
  </conditionalFormatting>
  <conditionalFormatting sqref="E30:AJ30">
    <cfRule type="cellIs" dxfId="74" priority="34" operator="notEqual">
      <formula>0</formula>
    </cfRule>
    <cfRule type="cellIs" dxfId="73" priority="35" operator="equal">
      <formula>0</formula>
    </cfRule>
  </conditionalFormatting>
  <conditionalFormatting sqref="E59:AJ59">
    <cfRule type="cellIs" dxfId="72" priority="32" operator="notEqual">
      <formula>0</formula>
    </cfRule>
    <cfRule type="cellIs" dxfId="71" priority="33" operator="equal">
      <formula>0</formula>
    </cfRule>
  </conditionalFormatting>
  <conditionalFormatting sqref="E60:AJ60">
    <cfRule type="cellIs" dxfId="70" priority="30" operator="notEqual">
      <formula>0</formula>
    </cfRule>
    <cfRule type="cellIs" dxfId="69" priority="31" operator="equal">
      <formula>0</formula>
    </cfRule>
  </conditionalFormatting>
  <conditionalFormatting sqref="E46:AJ46">
    <cfRule type="cellIs" dxfId="68" priority="28" operator="notEqual">
      <formula>0</formula>
    </cfRule>
    <cfRule type="cellIs" dxfId="67" priority="29" operator="equal">
      <formula>0</formula>
    </cfRule>
  </conditionalFormatting>
  <conditionalFormatting sqref="AJ75">
    <cfRule type="cellIs" dxfId="66" priority="24" operator="notEqual">
      <formula>0</formula>
    </cfRule>
    <cfRule type="cellIs" dxfId="65" priority="25" operator="equal">
      <formula>0</formula>
    </cfRule>
  </conditionalFormatting>
  <conditionalFormatting sqref="AJ44">
    <cfRule type="cellIs" dxfId="64" priority="22" operator="notEqual">
      <formula>0</formula>
    </cfRule>
    <cfRule type="cellIs" dxfId="63" priority="23" operator="equal">
      <formula>0</formula>
    </cfRule>
  </conditionalFormatting>
  <conditionalFormatting sqref="AJ22">
    <cfRule type="cellIs" dxfId="62" priority="20" operator="notEqual">
      <formula>0</formula>
    </cfRule>
    <cfRule type="cellIs" dxfId="61" priority="21" operator="equal">
      <formula>0</formula>
    </cfRule>
  </conditionalFormatting>
  <conditionalFormatting sqref="E65:AI65">
    <cfRule type="cellIs" dxfId="60" priority="19" operator="notEqual">
      <formula>0</formula>
    </cfRule>
  </conditionalFormatting>
  <conditionalFormatting sqref="E74:AI74">
    <cfRule type="cellIs" dxfId="59" priority="18" operator="notEqual">
      <formula>0</formula>
    </cfRule>
  </conditionalFormatting>
  <conditionalFormatting sqref="E224:AI224">
    <cfRule type="cellIs" dxfId="58" priority="16" operator="notEqual">
      <formula>0</formula>
    </cfRule>
    <cfRule type="cellIs" dxfId="57" priority="17" operator="equal">
      <formula>0</formula>
    </cfRule>
  </conditionalFormatting>
  <conditionalFormatting sqref="E164:AI169">
    <cfRule type="cellIs" dxfId="56" priority="14" operator="notEqual">
      <formula>0</formula>
    </cfRule>
    <cfRule type="cellIs" dxfId="55" priority="15" operator="equal">
      <formula>0</formula>
    </cfRule>
  </conditionalFormatting>
  <conditionalFormatting sqref="E84:AJ84">
    <cfRule type="cellIs" dxfId="54" priority="12" operator="notEqual">
      <formula>0</formula>
    </cfRule>
    <cfRule type="cellIs" dxfId="53" priority="13" operator="equal">
      <formula>0</formula>
    </cfRule>
  </conditionalFormatting>
  <conditionalFormatting sqref="E55:AJ55">
    <cfRule type="cellIs" dxfId="52" priority="10" operator="notEqual">
      <formula>0</formula>
    </cfRule>
    <cfRule type="cellIs" dxfId="51" priority="11" operator="equal">
      <formula>0</formula>
    </cfRule>
  </conditionalFormatting>
  <conditionalFormatting sqref="E23:AJ23">
    <cfRule type="cellIs" dxfId="50" priority="8" operator="notEqual">
      <formula>0</formula>
    </cfRule>
    <cfRule type="cellIs" dxfId="49" priority="9" operator="equal">
      <formula>0</formula>
    </cfRule>
  </conditionalFormatting>
  <conditionalFormatting sqref="E18:AJ18">
    <cfRule type="cellIs" dxfId="48" priority="6" operator="notEqual">
      <formula>0</formula>
    </cfRule>
    <cfRule type="cellIs" dxfId="47" priority="7" operator="equal">
      <formula>0</formula>
    </cfRule>
  </conditionalFormatting>
  <conditionalFormatting sqref="E6:AJ6">
    <cfRule type="cellIs" dxfId="46" priority="4" operator="notEqual">
      <formula>0</formula>
    </cfRule>
    <cfRule type="cellIs" dxfId="45" priority="5" operator="equal">
      <formula>0</formula>
    </cfRule>
  </conditionalFormatting>
  <conditionalFormatting sqref="E47:J54">
    <cfRule type="cellIs" dxfId="44" priority="3" operator="equal">
      <formula>0</formula>
    </cfRule>
  </conditionalFormatting>
  <conditionalFormatting sqref="E47:J47 E49:J49">
    <cfRule type="cellIs" dxfId="43" priority="2" operator="notEqual">
      <formula>0</formula>
    </cfRule>
  </conditionalFormatting>
  <conditionalFormatting sqref="E48:J48 E50:J54">
    <cfRule type="cellIs" dxfId="42" priority="1" operator="notEqual">
      <formula>0</formula>
    </cfRule>
  </conditionalFormatting>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dimension ref="B1:AJ283"/>
  <sheetViews>
    <sheetView topLeftCell="A25" zoomScaleNormal="100" workbookViewId="0">
      <selection activeCell="R58" sqref="R58"/>
    </sheetView>
  </sheetViews>
  <sheetFormatPr baseColWidth="10" defaultRowHeight="15" x14ac:dyDescent="0.25"/>
  <cols>
    <col min="2" max="2" width="4" bestFit="1" customWidth="1"/>
    <col min="5" max="5" width="11.7109375" style="48" customWidth="1"/>
    <col min="6" max="6" width="11.7109375" customWidth="1"/>
    <col min="7" max="7" width="11.7109375" style="48" customWidth="1"/>
    <col min="8" max="8" width="11.7109375" customWidth="1"/>
    <col min="9" max="9" width="11.7109375" style="48" customWidth="1"/>
    <col min="10" max="10" width="11.7109375" customWidth="1"/>
    <col min="11" max="11" width="11.7109375" style="48" customWidth="1"/>
    <col min="12" max="12" width="11.7109375" customWidth="1"/>
    <col min="13" max="13" width="11.7109375" style="48" customWidth="1"/>
    <col min="14" max="14" width="11.7109375" customWidth="1"/>
    <col min="15" max="15" width="11.7109375" style="48" customWidth="1"/>
    <col min="16" max="16" width="11.7109375" customWidth="1"/>
    <col min="17" max="17" width="11.7109375" style="48" customWidth="1"/>
    <col min="18" max="18" width="11.7109375" customWidth="1"/>
    <col min="19" max="19" width="5.28515625" style="48" customWidth="1"/>
    <col min="20" max="20" width="5.28515625" customWidth="1"/>
    <col min="21" max="21" width="5.28515625" style="48" customWidth="1"/>
    <col min="22" max="22" width="5.28515625" customWidth="1"/>
    <col min="23" max="23" width="5.28515625" style="48" customWidth="1"/>
    <col min="24" max="24" width="5.28515625" customWidth="1"/>
    <col min="25" max="25" width="5.28515625" style="48" customWidth="1"/>
    <col min="26" max="26" width="5.28515625" customWidth="1"/>
    <col min="27" max="27" width="5.28515625" style="48" customWidth="1"/>
    <col min="28" max="28" width="5.28515625" customWidth="1"/>
    <col min="29" max="29" width="5.28515625" style="48" customWidth="1"/>
    <col min="30" max="30" width="5.28515625" customWidth="1"/>
    <col min="31" max="31" width="5.28515625" style="48" customWidth="1"/>
    <col min="32" max="32" width="5.28515625" customWidth="1"/>
    <col min="33" max="33" width="5.28515625" style="48" customWidth="1"/>
    <col min="34" max="34" width="5.28515625" customWidth="1"/>
    <col min="35" max="35" width="5.28515625" style="48" customWidth="1"/>
    <col min="36" max="36" width="11.42578125" style="28"/>
  </cols>
  <sheetData>
    <row r="1" spans="2:36" ht="15.75" thickBot="1" x14ac:dyDescent="0.3"/>
    <row r="2" spans="2:36" ht="15" customHeight="1" x14ac:dyDescent="0.25">
      <c r="C2" s="885" t="str">
        <f>"DONNEES OPS PISTE "</f>
        <v xml:space="preserve">DONNEES OPS PISTE </v>
      </c>
      <c r="D2" s="886"/>
      <c r="E2" s="886"/>
      <c r="F2" s="886"/>
      <c r="G2" s="886"/>
      <c r="H2" s="886"/>
      <c r="I2" s="886"/>
      <c r="J2" s="886"/>
      <c r="K2" s="886"/>
      <c r="L2" s="886"/>
      <c r="M2" s="886"/>
      <c r="N2" s="886"/>
      <c r="O2" s="886"/>
      <c r="P2" s="886"/>
      <c r="Q2" s="886"/>
      <c r="R2" s="889"/>
      <c r="S2" s="367"/>
      <c r="T2" s="367"/>
      <c r="U2" s="367"/>
      <c r="V2" s="367"/>
      <c r="W2" s="367"/>
      <c r="X2" s="367"/>
      <c r="Y2" s="367"/>
      <c r="Z2" s="367"/>
      <c r="AA2" s="367"/>
      <c r="AB2" s="367"/>
      <c r="AC2" s="367"/>
      <c r="AD2" s="367"/>
      <c r="AE2" s="367"/>
      <c r="AF2" s="367"/>
      <c r="AG2" s="367"/>
      <c r="AH2" s="367"/>
      <c r="AI2" s="367"/>
      <c r="AJ2" s="367"/>
    </row>
    <row r="3" spans="2:36" ht="15.75" customHeight="1" thickBot="1" x14ac:dyDescent="0.3">
      <c r="C3" s="887"/>
      <c r="D3" s="888"/>
      <c r="E3" s="888"/>
      <c r="F3" s="888"/>
      <c r="G3" s="888"/>
      <c r="H3" s="888"/>
      <c r="I3" s="888"/>
      <c r="J3" s="888"/>
      <c r="K3" s="888"/>
      <c r="L3" s="888"/>
      <c r="M3" s="888"/>
      <c r="N3" s="888"/>
      <c r="O3" s="888"/>
      <c r="P3" s="888"/>
      <c r="Q3" s="888"/>
      <c r="R3" s="890"/>
      <c r="S3" s="367"/>
      <c r="T3" s="367"/>
      <c r="U3" s="367"/>
      <c r="V3" s="367"/>
      <c r="W3" s="367"/>
      <c r="X3" s="367"/>
      <c r="Y3" s="367"/>
      <c r="Z3" s="367"/>
      <c r="AA3" s="367"/>
      <c r="AB3" s="367"/>
      <c r="AC3" s="367"/>
      <c r="AD3" s="367"/>
      <c r="AE3" s="367"/>
      <c r="AF3" s="367"/>
      <c r="AG3" s="367"/>
      <c r="AH3" s="367"/>
      <c r="AI3" s="367"/>
      <c r="AJ3" s="367"/>
    </row>
    <row r="4" spans="2:36" ht="15.75" customHeight="1" thickBot="1" x14ac:dyDescent="0.3">
      <c r="C4" s="415"/>
      <c r="D4" s="414"/>
      <c r="E4" s="414"/>
      <c r="F4" s="414"/>
      <c r="G4" s="414"/>
      <c r="H4" s="798" t="s">
        <v>960</v>
      </c>
      <c r="I4" s="799"/>
      <c r="J4" s="799"/>
      <c r="K4" s="799"/>
      <c r="L4" s="799"/>
      <c r="M4" s="799"/>
      <c r="N4" s="800"/>
      <c r="O4" s="414"/>
      <c r="P4" s="414"/>
      <c r="Q4" s="414"/>
      <c r="R4" s="416"/>
      <c r="S4" s="367"/>
      <c r="T4" s="367"/>
      <c r="U4" s="367"/>
      <c r="V4" s="367"/>
      <c r="W4" s="367"/>
      <c r="X4" s="367"/>
      <c r="Y4" s="367"/>
      <c r="Z4" s="367"/>
      <c r="AA4" s="367"/>
      <c r="AB4" s="367"/>
      <c r="AC4" s="367"/>
      <c r="AD4" s="367"/>
      <c r="AE4" s="367"/>
      <c r="AF4" s="367"/>
      <c r="AG4" s="367"/>
      <c r="AH4" s="367"/>
      <c r="AI4" s="367"/>
      <c r="AJ4" s="367"/>
    </row>
    <row r="5" spans="2:36" x14ac:dyDescent="0.25">
      <c r="C5" s="737"/>
      <c r="D5" s="810"/>
      <c r="E5" s="794" t="s">
        <v>0</v>
      </c>
      <c r="F5" s="794" t="s">
        <v>44</v>
      </c>
      <c r="G5" s="794" t="s">
        <v>45</v>
      </c>
      <c r="H5" s="796" t="s">
        <v>46</v>
      </c>
      <c r="I5" s="796" t="s">
        <v>47</v>
      </c>
      <c r="J5" s="796" t="s">
        <v>48</v>
      </c>
      <c r="K5" s="796" t="s">
        <v>49</v>
      </c>
      <c r="L5" s="796" t="s">
        <v>50</v>
      </c>
      <c r="M5" s="796" t="s">
        <v>51</v>
      </c>
      <c r="N5" s="796" t="s">
        <v>52</v>
      </c>
      <c r="O5" s="794" t="s">
        <v>53</v>
      </c>
      <c r="P5" s="794" t="s">
        <v>54</v>
      </c>
      <c r="Q5" s="751" t="s">
        <v>41</v>
      </c>
      <c r="R5" s="808" t="s">
        <v>954</v>
      </c>
      <c r="S5" s="801"/>
      <c r="T5" s="801"/>
      <c r="U5" s="801"/>
      <c r="V5" s="801"/>
      <c r="W5" s="801"/>
      <c r="X5" s="801"/>
      <c r="Y5" s="801"/>
      <c r="Z5" s="801"/>
      <c r="AA5" s="801"/>
      <c r="AB5" s="801"/>
      <c r="AC5" s="801"/>
      <c r="AD5" s="801"/>
      <c r="AE5" s="801"/>
      <c r="AF5" s="801"/>
      <c r="AG5" s="801"/>
      <c r="AH5" s="801"/>
      <c r="AI5" s="801"/>
      <c r="AJ5" s="712"/>
    </row>
    <row r="6" spans="2:36" ht="15.75" thickBot="1" x14ac:dyDescent="0.3">
      <c r="C6" s="743"/>
      <c r="D6" s="811"/>
      <c r="E6" s="795"/>
      <c r="F6" s="795"/>
      <c r="G6" s="795"/>
      <c r="H6" s="797"/>
      <c r="I6" s="797"/>
      <c r="J6" s="797"/>
      <c r="K6" s="797"/>
      <c r="L6" s="797"/>
      <c r="M6" s="797"/>
      <c r="N6" s="797"/>
      <c r="O6" s="795"/>
      <c r="P6" s="795"/>
      <c r="Q6" s="752"/>
      <c r="R6" s="809"/>
      <c r="S6" s="801"/>
      <c r="T6" s="801"/>
      <c r="U6" s="801"/>
      <c r="V6" s="801"/>
      <c r="W6" s="801"/>
      <c r="X6" s="801"/>
      <c r="Y6" s="801"/>
      <c r="Z6" s="801"/>
      <c r="AA6" s="801"/>
      <c r="AB6" s="801"/>
      <c r="AC6" s="801"/>
      <c r="AD6" s="801"/>
      <c r="AE6" s="801"/>
      <c r="AF6" s="801"/>
      <c r="AG6" s="801"/>
      <c r="AH6" s="801"/>
      <c r="AI6" s="801"/>
      <c r="AJ6" s="712"/>
    </row>
    <row r="7" spans="2:36" ht="15.75" thickBot="1" x14ac:dyDescent="0.3">
      <c r="C7" s="891" t="s">
        <v>1</v>
      </c>
      <c r="D7" s="892"/>
      <c r="E7" s="180"/>
      <c r="F7" s="180"/>
      <c r="G7" s="180"/>
      <c r="H7" s="180"/>
      <c r="I7" s="180"/>
      <c r="J7" s="180"/>
      <c r="K7" s="180"/>
      <c r="L7" s="180"/>
      <c r="M7" s="180"/>
      <c r="N7" s="180"/>
      <c r="O7" s="180"/>
      <c r="P7" s="180"/>
      <c r="Q7" s="370"/>
      <c r="R7" s="370"/>
      <c r="S7"/>
      <c r="U7"/>
      <c r="W7"/>
      <c r="Y7"/>
      <c r="AA7"/>
      <c r="AC7"/>
      <c r="AE7"/>
      <c r="AG7"/>
      <c r="AI7"/>
    </row>
    <row r="8" spans="2:36" x14ac:dyDescent="0.25">
      <c r="B8">
        <v>1</v>
      </c>
      <c r="C8" s="727" t="s">
        <v>2</v>
      </c>
      <c r="D8" s="728"/>
      <c r="E8" s="171">
        <v>93</v>
      </c>
      <c r="F8" s="28">
        <v>87</v>
      </c>
      <c r="G8" s="171">
        <v>93</v>
      </c>
      <c r="H8" s="413">
        <v>90</v>
      </c>
      <c r="I8" s="413">
        <v>93</v>
      </c>
      <c r="J8" s="413">
        <v>90</v>
      </c>
      <c r="K8" s="413">
        <v>93</v>
      </c>
      <c r="L8" s="413">
        <v>93</v>
      </c>
      <c r="M8" s="413">
        <v>90</v>
      </c>
      <c r="N8" s="413">
        <v>90</v>
      </c>
      <c r="O8" s="171">
        <v>90</v>
      </c>
      <c r="P8" s="28">
        <v>93</v>
      </c>
      <c r="Q8" s="371">
        <f>SUM(E8:P8)</f>
        <v>1095</v>
      </c>
      <c r="R8" s="375">
        <f>SUM(H8:N8)</f>
        <v>639</v>
      </c>
      <c r="S8" s="28"/>
      <c r="T8" s="28"/>
      <c r="U8" s="28"/>
      <c r="V8" s="28"/>
      <c r="W8" s="28"/>
      <c r="X8" s="28"/>
      <c r="Y8" s="28"/>
      <c r="Z8" s="28"/>
      <c r="AA8" s="28"/>
      <c r="AB8" s="28"/>
      <c r="AC8" s="28"/>
      <c r="AD8" s="28"/>
      <c r="AE8" s="28"/>
      <c r="AF8" s="28"/>
      <c r="AG8" s="28"/>
      <c r="AH8" s="28"/>
      <c r="AI8" s="28"/>
    </row>
    <row r="9" spans="2:36" ht="15.75" thickBot="1" x14ac:dyDescent="0.3">
      <c r="B9">
        <v>2</v>
      </c>
      <c r="C9" s="727" t="s">
        <v>3</v>
      </c>
      <c r="D9" s="728"/>
      <c r="E9" s="171">
        <v>4</v>
      </c>
      <c r="F9" s="28">
        <v>5</v>
      </c>
      <c r="G9" s="171">
        <v>12</v>
      </c>
      <c r="H9" s="413">
        <v>12</v>
      </c>
      <c r="I9" s="413">
        <v>17</v>
      </c>
      <c r="J9" s="413">
        <v>30</v>
      </c>
      <c r="K9" s="413">
        <v>52</v>
      </c>
      <c r="L9" s="413">
        <v>40</v>
      </c>
      <c r="M9" s="413">
        <v>31</v>
      </c>
      <c r="N9" s="413">
        <v>34</v>
      </c>
      <c r="O9" s="171">
        <v>12</v>
      </c>
      <c r="P9" s="28">
        <v>17</v>
      </c>
      <c r="Q9" s="371">
        <f t="shared" ref="Q9:Q18" si="0">SUM(E9:P9)</f>
        <v>266</v>
      </c>
      <c r="R9" s="375">
        <f t="shared" ref="R9:R18" si="1">SUM(H9:N9)</f>
        <v>216</v>
      </c>
      <c r="S9" s="28"/>
      <c r="T9" s="28"/>
      <c r="U9" s="28"/>
      <c r="V9" s="28"/>
      <c r="W9" s="28"/>
      <c r="X9" s="28"/>
      <c r="Y9" s="28"/>
      <c r="Z9" s="28"/>
      <c r="AA9" s="28"/>
      <c r="AB9" s="28"/>
      <c r="AC9" s="28"/>
      <c r="AD9" s="28"/>
      <c r="AE9" s="28"/>
      <c r="AF9" s="28"/>
      <c r="AG9" s="28"/>
      <c r="AH9" s="28"/>
      <c r="AI9" s="28"/>
    </row>
    <row r="10" spans="2:36" x14ac:dyDescent="0.25">
      <c r="B10">
        <v>3</v>
      </c>
      <c r="C10" s="771" t="s">
        <v>23</v>
      </c>
      <c r="D10" s="772"/>
      <c r="E10" s="171">
        <v>0</v>
      </c>
      <c r="F10" s="28">
        <v>2</v>
      </c>
      <c r="G10" s="171">
        <v>6</v>
      </c>
      <c r="H10" s="413">
        <v>7</v>
      </c>
      <c r="I10" s="413">
        <v>10</v>
      </c>
      <c r="J10" s="413">
        <v>17</v>
      </c>
      <c r="K10" s="413">
        <v>27</v>
      </c>
      <c r="L10" s="413">
        <v>24</v>
      </c>
      <c r="M10" s="413">
        <v>15</v>
      </c>
      <c r="N10" s="413">
        <v>17</v>
      </c>
      <c r="O10" s="171">
        <v>4</v>
      </c>
      <c r="P10" s="28">
        <v>5</v>
      </c>
      <c r="Q10" s="371">
        <f t="shared" si="0"/>
        <v>134</v>
      </c>
      <c r="R10" s="375">
        <f t="shared" si="1"/>
        <v>117</v>
      </c>
      <c r="S10" s="28"/>
      <c r="T10" s="28"/>
      <c r="U10" s="28"/>
      <c r="V10" s="28"/>
      <c r="W10" s="28"/>
      <c r="X10" s="28"/>
      <c r="Y10" s="28"/>
      <c r="Z10" s="28"/>
      <c r="AA10" s="28"/>
      <c r="AB10" s="28"/>
      <c r="AC10" s="28"/>
      <c r="AD10" s="28"/>
      <c r="AE10" s="28"/>
      <c r="AF10" s="28"/>
      <c r="AG10" s="28"/>
      <c r="AH10" s="28"/>
      <c r="AI10" s="28"/>
    </row>
    <row r="11" spans="2:36" x14ac:dyDescent="0.25">
      <c r="B11">
        <v>4</v>
      </c>
      <c r="C11" s="773" t="s">
        <v>24</v>
      </c>
      <c r="D11" s="774"/>
      <c r="E11" s="171">
        <v>0</v>
      </c>
      <c r="F11" s="28">
        <v>0</v>
      </c>
      <c r="G11" s="171">
        <v>3</v>
      </c>
      <c r="H11" s="413">
        <v>1</v>
      </c>
      <c r="I11" s="413">
        <v>5</v>
      </c>
      <c r="J11" s="413">
        <v>8</v>
      </c>
      <c r="K11" s="413">
        <v>15</v>
      </c>
      <c r="L11" s="413">
        <v>9</v>
      </c>
      <c r="M11" s="413">
        <v>8</v>
      </c>
      <c r="N11" s="413">
        <v>10</v>
      </c>
      <c r="O11" s="171">
        <v>3</v>
      </c>
      <c r="P11" s="28">
        <v>2</v>
      </c>
      <c r="Q11" s="371">
        <f t="shared" si="0"/>
        <v>64</v>
      </c>
      <c r="R11" s="375">
        <f t="shared" si="1"/>
        <v>56</v>
      </c>
      <c r="S11" s="28"/>
      <c r="T11" s="28"/>
      <c r="U11" s="28"/>
      <c r="V11" s="28"/>
      <c r="W11" s="28"/>
      <c r="X11" s="28"/>
      <c r="Y11" s="28"/>
      <c r="Z11" s="28"/>
      <c r="AA11" s="28"/>
      <c r="AB11" s="28"/>
      <c r="AC11" s="28"/>
      <c r="AD11" s="28"/>
      <c r="AE11" s="28"/>
      <c r="AF11" s="28"/>
      <c r="AG11" s="28"/>
      <c r="AH11" s="28"/>
      <c r="AI11" s="28"/>
    </row>
    <row r="12" spans="2:36" x14ac:dyDescent="0.25">
      <c r="B12">
        <v>5</v>
      </c>
      <c r="C12" s="773" t="s">
        <v>25</v>
      </c>
      <c r="D12" s="774"/>
      <c r="E12" s="171">
        <v>1</v>
      </c>
      <c r="F12" s="28">
        <v>1</v>
      </c>
      <c r="G12" s="171">
        <v>0</v>
      </c>
      <c r="H12" s="413">
        <v>0</v>
      </c>
      <c r="I12" s="413">
        <v>1</v>
      </c>
      <c r="J12" s="413">
        <v>2</v>
      </c>
      <c r="K12" s="413">
        <v>5</v>
      </c>
      <c r="L12" s="413">
        <v>0</v>
      </c>
      <c r="M12" s="413">
        <v>3</v>
      </c>
      <c r="N12" s="413">
        <v>2</v>
      </c>
      <c r="O12" s="171">
        <v>2</v>
      </c>
      <c r="P12" s="28">
        <v>3</v>
      </c>
      <c r="Q12" s="371">
        <f t="shared" si="0"/>
        <v>20</v>
      </c>
      <c r="R12" s="375">
        <f t="shared" si="1"/>
        <v>13</v>
      </c>
      <c r="S12" s="28"/>
      <c r="T12" s="28"/>
      <c r="U12" s="28"/>
      <c r="V12" s="28"/>
      <c r="W12" s="28"/>
      <c r="X12" s="28"/>
      <c r="Y12" s="28"/>
      <c r="Z12" s="28"/>
      <c r="AA12" s="28"/>
      <c r="AB12" s="28"/>
      <c r="AC12" s="28"/>
      <c r="AD12" s="28"/>
      <c r="AE12" s="28"/>
      <c r="AF12" s="28"/>
      <c r="AG12" s="28"/>
      <c r="AH12" s="28"/>
      <c r="AI12" s="28"/>
    </row>
    <row r="13" spans="2:36" x14ac:dyDescent="0.25">
      <c r="B13">
        <v>6</v>
      </c>
      <c r="C13" s="773" t="s">
        <v>26</v>
      </c>
      <c r="D13" s="774"/>
      <c r="E13" s="171">
        <v>0</v>
      </c>
      <c r="F13" s="28">
        <v>0</v>
      </c>
      <c r="G13" s="171">
        <v>0</v>
      </c>
      <c r="H13" s="413">
        <v>2</v>
      </c>
      <c r="I13" s="413">
        <v>0</v>
      </c>
      <c r="J13" s="413">
        <v>0</v>
      </c>
      <c r="K13" s="413">
        <v>2</v>
      </c>
      <c r="L13" s="413">
        <v>1</v>
      </c>
      <c r="M13" s="413">
        <v>0</v>
      </c>
      <c r="N13" s="413">
        <v>1</v>
      </c>
      <c r="O13" s="171">
        <v>0</v>
      </c>
      <c r="P13" s="28">
        <v>2</v>
      </c>
      <c r="Q13" s="371">
        <f t="shared" si="0"/>
        <v>8</v>
      </c>
      <c r="R13" s="375">
        <f t="shared" si="1"/>
        <v>6</v>
      </c>
      <c r="S13" s="28"/>
      <c r="T13" s="28"/>
      <c r="U13" s="28"/>
      <c r="V13" s="28"/>
      <c r="W13" s="28"/>
      <c r="X13" s="28"/>
      <c r="Y13" s="28"/>
      <c r="Z13" s="28"/>
      <c r="AA13" s="28"/>
      <c r="AB13" s="28"/>
      <c r="AC13" s="28"/>
      <c r="AD13" s="28"/>
      <c r="AE13" s="28"/>
      <c r="AF13" s="28"/>
      <c r="AG13" s="28"/>
      <c r="AH13" s="28"/>
      <c r="AI13" s="28"/>
    </row>
    <row r="14" spans="2:36" x14ac:dyDescent="0.25">
      <c r="B14">
        <v>7</v>
      </c>
      <c r="C14" s="773" t="s">
        <v>27</v>
      </c>
      <c r="D14" s="774"/>
      <c r="E14" s="171">
        <v>2</v>
      </c>
      <c r="F14" s="28">
        <v>1</v>
      </c>
      <c r="G14" s="171">
        <v>2</v>
      </c>
      <c r="H14" s="413">
        <v>1</v>
      </c>
      <c r="I14" s="413">
        <v>1</v>
      </c>
      <c r="J14" s="413">
        <v>3</v>
      </c>
      <c r="K14" s="413">
        <v>3</v>
      </c>
      <c r="L14" s="413">
        <v>3</v>
      </c>
      <c r="M14" s="413">
        <v>2</v>
      </c>
      <c r="N14" s="413">
        <v>0</v>
      </c>
      <c r="O14" s="171">
        <v>2</v>
      </c>
      <c r="P14" s="28">
        <v>2</v>
      </c>
      <c r="Q14" s="371">
        <f t="shared" si="0"/>
        <v>22</v>
      </c>
      <c r="R14" s="375">
        <f t="shared" si="1"/>
        <v>13</v>
      </c>
      <c r="S14" s="28"/>
      <c r="T14" s="28"/>
      <c r="U14" s="28"/>
      <c r="V14" s="28"/>
      <c r="W14" s="28"/>
      <c r="X14" s="28"/>
      <c r="Y14" s="28"/>
      <c r="Z14" s="28"/>
      <c r="AA14" s="28"/>
      <c r="AB14" s="28"/>
      <c r="AC14" s="28"/>
      <c r="AD14" s="28"/>
      <c r="AE14" s="28"/>
      <c r="AF14" s="28"/>
      <c r="AG14" s="28"/>
      <c r="AH14" s="28"/>
      <c r="AI14" s="28"/>
    </row>
    <row r="15" spans="2:36" x14ac:dyDescent="0.25">
      <c r="B15">
        <v>8</v>
      </c>
      <c r="C15" s="773" t="s">
        <v>28</v>
      </c>
      <c r="D15" s="774"/>
      <c r="E15" s="171">
        <v>0</v>
      </c>
      <c r="F15" s="28">
        <v>0</v>
      </c>
      <c r="G15" s="171">
        <v>0</v>
      </c>
      <c r="H15" s="413">
        <v>0</v>
      </c>
      <c r="I15" s="413">
        <v>0</v>
      </c>
      <c r="J15" s="413">
        <v>0</v>
      </c>
      <c r="K15" s="413">
        <v>0</v>
      </c>
      <c r="L15" s="413">
        <v>0</v>
      </c>
      <c r="M15" s="413">
        <v>0</v>
      </c>
      <c r="N15" s="413">
        <v>0</v>
      </c>
      <c r="O15" s="171">
        <v>0</v>
      </c>
      <c r="P15" s="28">
        <v>0</v>
      </c>
      <c r="Q15" s="371">
        <f t="shared" si="0"/>
        <v>0</v>
      </c>
      <c r="R15" s="375">
        <f t="shared" si="1"/>
        <v>0</v>
      </c>
      <c r="S15" s="28"/>
      <c r="T15" s="28"/>
      <c r="U15" s="28"/>
      <c r="V15" s="28"/>
      <c r="W15" s="28"/>
      <c r="X15" s="28"/>
      <c r="Y15" s="28"/>
      <c r="Z15" s="28"/>
      <c r="AA15" s="28"/>
      <c r="AB15" s="28"/>
      <c r="AC15" s="28"/>
      <c r="AD15" s="28"/>
      <c r="AE15" s="28"/>
      <c r="AF15" s="28"/>
      <c r="AG15" s="28"/>
      <c r="AH15" s="28"/>
      <c r="AI15" s="28"/>
    </row>
    <row r="16" spans="2:36" x14ac:dyDescent="0.25">
      <c r="B16">
        <v>9</v>
      </c>
      <c r="C16" s="773" t="s">
        <v>29</v>
      </c>
      <c r="D16" s="774"/>
      <c r="E16" s="171">
        <v>0</v>
      </c>
      <c r="F16" s="28">
        <v>0</v>
      </c>
      <c r="G16" s="171">
        <v>0</v>
      </c>
      <c r="H16" s="413">
        <v>0</v>
      </c>
      <c r="I16" s="413">
        <v>0</v>
      </c>
      <c r="J16" s="413">
        <v>0</v>
      </c>
      <c r="K16" s="413">
        <v>0</v>
      </c>
      <c r="L16" s="413">
        <v>1</v>
      </c>
      <c r="M16" s="413">
        <v>1</v>
      </c>
      <c r="N16" s="413">
        <v>0</v>
      </c>
      <c r="O16" s="171">
        <v>0</v>
      </c>
      <c r="P16" s="28">
        <v>0</v>
      </c>
      <c r="Q16" s="371">
        <f t="shared" si="0"/>
        <v>2</v>
      </c>
      <c r="R16" s="375">
        <f t="shared" si="1"/>
        <v>2</v>
      </c>
      <c r="S16" s="28"/>
      <c r="T16" s="28"/>
      <c r="U16" s="28"/>
      <c r="V16" s="28"/>
      <c r="W16" s="28"/>
      <c r="X16" s="28"/>
      <c r="Y16" s="28"/>
      <c r="Z16" s="28"/>
      <c r="AA16" s="28"/>
      <c r="AB16" s="28"/>
      <c r="AC16" s="28"/>
      <c r="AD16" s="28"/>
      <c r="AE16" s="28"/>
      <c r="AF16" s="28"/>
      <c r="AG16" s="28"/>
      <c r="AH16" s="28"/>
      <c r="AI16" s="28"/>
    </row>
    <row r="17" spans="2:35" x14ac:dyDescent="0.25">
      <c r="B17">
        <v>10</v>
      </c>
      <c r="C17" s="773" t="s">
        <v>30</v>
      </c>
      <c r="D17" s="774"/>
      <c r="E17" s="171">
        <v>0</v>
      </c>
      <c r="F17" s="28">
        <v>1</v>
      </c>
      <c r="G17" s="171">
        <v>0</v>
      </c>
      <c r="H17" s="413">
        <v>0</v>
      </c>
      <c r="I17" s="413">
        <v>0</v>
      </c>
      <c r="J17" s="413">
        <v>0</v>
      </c>
      <c r="K17" s="413">
        <v>0</v>
      </c>
      <c r="L17" s="413">
        <v>0</v>
      </c>
      <c r="M17" s="413">
        <v>1</v>
      </c>
      <c r="N17" s="413">
        <v>0</v>
      </c>
      <c r="O17" s="171">
        <v>0</v>
      </c>
      <c r="P17" s="28">
        <v>1</v>
      </c>
      <c r="Q17" s="371">
        <f t="shared" si="0"/>
        <v>3</v>
      </c>
      <c r="R17" s="375">
        <f t="shared" si="1"/>
        <v>1</v>
      </c>
      <c r="S17" s="28"/>
      <c r="T17" s="28"/>
      <c r="U17" s="28"/>
      <c r="V17" s="28"/>
      <c r="W17" s="28"/>
      <c r="X17" s="28"/>
      <c r="Y17" s="28"/>
      <c r="Z17" s="28"/>
      <c r="AA17" s="28"/>
      <c r="AB17" s="28"/>
      <c r="AC17" s="28"/>
      <c r="AD17" s="28"/>
      <c r="AE17" s="28"/>
      <c r="AF17" s="28"/>
      <c r="AG17" s="28"/>
      <c r="AH17" s="28"/>
      <c r="AI17" s="28"/>
    </row>
    <row r="18" spans="2:35" ht="15.75" thickBot="1" x14ac:dyDescent="0.3">
      <c r="B18">
        <v>11</v>
      </c>
      <c r="C18" s="781" t="s">
        <v>31</v>
      </c>
      <c r="D18" s="782"/>
      <c r="E18" s="171">
        <v>1</v>
      </c>
      <c r="F18" s="28">
        <v>0</v>
      </c>
      <c r="G18" s="171">
        <v>1</v>
      </c>
      <c r="H18" s="413">
        <v>1</v>
      </c>
      <c r="I18" s="413">
        <v>0</v>
      </c>
      <c r="J18" s="413">
        <v>0</v>
      </c>
      <c r="K18" s="413">
        <v>0</v>
      </c>
      <c r="L18" s="413">
        <v>2</v>
      </c>
      <c r="M18" s="413">
        <v>1</v>
      </c>
      <c r="N18" s="413">
        <v>4</v>
      </c>
      <c r="O18" s="171">
        <v>1</v>
      </c>
      <c r="P18" s="28">
        <v>2</v>
      </c>
      <c r="Q18" s="371">
        <f t="shared" si="0"/>
        <v>13</v>
      </c>
      <c r="R18" s="375">
        <f t="shared" si="1"/>
        <v>8</v>
      </c>
      <c r="S18" s="28"/>
      <c r="T18" s="28"/>
      <c r="U18" s="28"/>
      <c r="V18" s="28"/>
      <c r="W18" s="28"/>
      <c r="X18" s="28"/>
      <c r="Y18" s="28"/>
      <c r="Z18" s="28"/>
      <c r="AA18" s="28"/>
      <c r="AB18" s="28"/>
      <c r="AC18" s="28"/>
      <c r="AD18" s="28"/>
      <c r="AE18" s="28"/>
      <c r="AF18" s="28"/>
      <c r="AG18" s="28"/>
      <c r="AH18" s="28"/>
      <c r="AI18" s="28"/>
    </row>
    <row r="19" spans="2:35" ht="15.75" thickBot="1" x14ac:dyDescent="0.3">
      <c r="C19" s="729" t="s">
        <v>4</v>
      </c>
      <c r="D19" s="730"/>
      <c r="E19" s="180"/>
      <c r="F19" s="180"/>
      <c r="G19" s="180"/>
      <c r="H19" s="180"/>
      <c r="I19" s="180"/>
      <c r="J19" s="180"/>
      <c r="K19" s="180"/>
      <c r="L19" s="180"/>
      <c r="M19" s="180"/>
      <c r="N19" s="180"/>
      <c r="O19" s="180"/>
      <c r="P19" s="180"/>
      <c r="Q19" s="370"/>
      <c r="R19" s="370"/>
      <c r="S19"/>
      <c r="U19"/>
      <c r="W19"/>
      <c r="Y19"/>
      <c r="AA19"/>
      <c r="AC19"/>
      <c r="AE19"/>
      <c r="AG19"/>
      <c r="AI19"/>
    </row>
    <row r="20" spans="2:35" x14ac:dyDescent="0.25">
      <c r="B20">
        <v>12</v>
      </c>
      <c r="C20" s="727" t="s">
        <v>5</v>
      </c>
      <c r="D20" s="728"/>
      <c r="E20" s="171">
        <v>9</v>
      </c>
      <c r="F20" s="28">
        <v>3</v>
      </c>
      <c r="G20" s="171">
        <v>8</v>
      </c>
      <c r="H20" s="28">
        <v>2</v>
      </c>
      <c r="I20" s="171">
        <v>6</v>
      </c>
      <c r="J20" s="28">
        <v>2</v>
      </c>
      <c r="K20" s="171">
        <v>9</v>
      </c>
      <c r="L20" s="28">
        <v>2</v>
      </c>
      <c r="M20" s="171">
        <v>5</v>
      </c>
      <c r="N20" s="28">
        <v>3</v>
      </c>
      <c r="O20" s="171">
        <v>6</v>
      </c>
      <c r="P20" s="28">
        <v>12</v>
      </c>
      <c r="Q20" s="371">
        <f>SUM(E20:P20)</f>
        <v>67</v>
      </c>
      <c r="R20" s="375">
        <f>SUM(H20:N20)</f>
        <v>29</v>
      </c>
      <c r="S20" s="28"/>
      <c r="T20" s="28"/>
      <c r="U20" s="28"/>
      <c r="V20" s="28"/>
      <c r="W20" s="28"/>
      <c r="X20" s="28"/>
      <c r="Y20" s="28"/>
      <c r="Z20" s="28"/>
      <c r="AA20" s="28"/>
      <c r="AB20" s="28"/>
      <c r="AC20" s="28"/>
      <c r="AD20" s="28"/>
      <c r="AE20" s="28"/>
      <c r="AF20" s="28"/>
      <c r="AG20" s="28"/>
      <c r="AH20" s="28"/>
      <c r="AI20" s="28"/>
    </row>
    <row r="21" spans="2:35" x14ac:dyDescent="0.25">
      <c r="B21">
        <v>13</v>
      </c>
      <c r="C21" s="727" t="s">
        <v>6</v>
      </c>
      <c r="D21" s="728"/>
      <c r="E21" s="171">
        <v>13</v>
      </c>
      <c r="F21" s="28">
        <v>12</v>
      </c>
      <c r="G21" s="171">
        <v>16</v>
      </c>
      <c r="H21" s="28">
        <v>11</v>
      </c>
      <c r="I21" s="171">
        <v>11</v>
      </c>
      <c r="J21" s="28">
        <v>10</v>
      </c>
      <c r="K21" s="171">
        <v>11</v>
      </c>
      <c r="L21" s="28">
        <v>19</v>
      </c>
      <c r="M21" s="171">
        <v>6</v>
      </c>
      <c r="N21" s="28">
        <v>10</v>
      </c>
      <c r="O21" s="171">
        <v>10</v>
      </c>
      <c r="P21" s="28">
        <v>12</v>
      </c>
      <c r="Q21" s="371">
        <f t="shared" ref="Q21:Q22" si="2">SUM(E21:P21)</f>
        <v>141</v>
      </c>
      <c r="R21" s="375">
        <f t="shared" ref="R21:R22" si="3">SUM(H21:N21)</f>
        <v>78</v>
      </c>
      <c r="S21" s="28"/>
      <c r="T21" s="28"/>
      <c r="U21" s="28"/>
      <c r="V21" s="28"/>
      <c r="W21" s="28"/>
      <c r="X21" s="28"/>
      <c r="Y21" s="28"/>
      <c r="Z21" s="28"/>
      <c r="AA21" s="28"/>
      <c r="AB21" s="28"/>
      <c r="AC21" s="28"/>
      <c r="AD21" s="28"/>
      <c r="AE21" s="28"/>
      <c r="AF21" s="28"/>
      <c r="AG21" s="28"/>
      <c r="AH21" s="28"/>
      <c r="AI21" s="28"/>
    </row>
    <row r="22" spans="2:35" ht="15.75" thickBot="1" x14ac:dyDescent="0.3">
      <c r="B22">
        <v>14</v>
      </c>
      <c r="C22" s="743" t="s">
        <v>352</v>
      </c>
      <c r="D22" s="744"/>
      <c r="E22" s="171">
        <v>1</v>
      </c>
      <c r="F22" s="28">
        <v>0</v>
      </c>
      <c r="G22" s="171">
        <v>3</v>
      </c>
      <c r="H22" s="28">
        <v>3</v>
      </c>
      <c r="I22" s="171">
        <v>3</v>
      </c>
      <c r="J22" s="28">
        <v>1</v>
      </c>
      <c r="K22" s="171">
        <v>4</v>
      </c>
      <c r="L22" s="28">
        <v>0</v>
      </c>
      <c r="M22" s="171">
        <v>1</v>
      </c>
      <c r="N22" s="28">
        <v>2</v>
      </c>
      <c r="O22" s="171">
        <v>2</v>
      </c>
      <c r="P22" s="28">
        <v>1</v>
      </c>
      <c r="Q22" s="371">
        <f t="shared" si="2"/>
        <v>21</v>
      </c>
      <c r="R22" s="375">
        <f t="shared" si="3"/>
        <v>14</v>
      </c>
      <c r="S22" s="28"/>
      <c r="T22" s="28"/>
      <c r="U22" s="28"/>
      <c r="V22" s="28"/>
      <c r="W22" s="28"/>
      <c r="X22" s="28"/>
      <c r="Y22" s="28"/>
      <c r="Z22" s="28"/>
      <c r="AA22" s="28"/>
      <c r="AB22" s="28"/>
      <c r="AC22" s="28"/>
      <c r="AD22" s="28"/>
      <c r="AE22" s="28"/>
      <c r="AF22" s="28"/>
      <c r="AG22" s="28"/>
      <c r="AH22" s="28"/>
      <c r="AI22" s="28"/>
    </row>
    <row r="23" spans="2:35" ht="15.75" thickBot="1" x14ac:dyDescent="0.3">
      <c r="B23">
        <v>15</v>
      </c>
      <c r="C23" s="62"/>
      <c r="D23" s="64" t="s">
        <v>353</v>
      </c>
      <c r="E23" s="171"/>
      <c r="F23" s="28"/>
      <c r="G23" s="171"/>
      <c r="H23" s="413"/>
      <c r="I23" s="413"/>
      <c r="J23" s="413"/>
      <c r="K23" s="413"/>
      <c r="L23" s="413"/>
      <c r="M23" s="413"/>
      <c r="N23" s="413"/>
      <c r="O23" s="171"/>
      <c r="P23" s="28"/>
      <c r="Q23" s="371"/>
      <c r="R23" s="375"/>
      <c r="S23" s="28"/>
      <c r="T23" s="28"/>
      <c r="U23" s="28"/>
      <c r="V23" s="28"/>
      <c r="W23" s="28"/>
      <c r="X23" s="28"/>
      <c r="Y23" s="28"/>
      <c r="Z23" s="28"/>
      <c r="AA23" s="28"/>
      <c r="AB23" s="28"/>
      <c r="AC23" s="28"/>
      <c r="AD23" s="28"/>
      <c r="AE23" s="28"/>
      <c r="AF23" s="28"/>
      <c r="AG23" s="28"/>
      <c r="AH23" s="28"/>
      <c r="AI23" s="28"/>
    </row>
    <row r="24" spans="2:35" ht="15.75" thickBot="1" x14ac:dyDescent="0.3">
      <c r="C24" s="729" t="s">
        <v>7</v>
      </c>
      <c r="D24" s="730"/>
      <c r="E24" s="180"/>
      <c r="F24" s="180"/>
      <c r="G24" s="180"/>
      <c r="H24" s="180"/>
      <c r="I24" s="180"/>
      <c r="J24" s="180"/>
      <c r="K24" s="180"/>
      <c r="L24" s="180"/>
      <c r="M24" s="180"/>
      <c r="N24" s="180"/>
      <c r="O24" s="180"/>
      <c r="P24" s="180"/>
      <c r="Q24" s="370"/>
      <c r="R24" s="370"/>
      <c r="S24"/>
      <c r="U24"/>
      <c r="W24"/>
      <c r="Y24"/>
      <c r="AA24"/>
      <c r="AC24"/>
      <c r="AE24"/>
      <c r="AG24"/>
      <c r="AI24"/>
    </row>
    <row r="25" spans="2:35" x14ac:dyDescent="0.25">
      <c r="B25">
        <v>16</v>
      </c>
      <c r="C25" s="727" t="s">
        <v>8</v>
      </c>
      <c r="D25" s="728"/>
      <c r="E25" s="171">
        <v>3</v>
      </c>
      <c r="F25" s="28">
        <v>0</v>
      </c>
      <c r="G25" s="171">
        <v>1</v>
      </c>
      <c r="H25" s="28">
        <v>2</v>
      </c>
      <c r="I25" s="171">
        <v>0</v>
      </c>
      <c r="J25" s="28">
        <v>1</v>
      </c>
      <c r="K25" s="171">
        <v>4</v>
      </c>
      <c r="L25" s="28">
        <v>4</v>
      </c>
      <c r="M25" s="171">
        <v>1</v>
      </c>
      <c r="N25" s="28">
        <v>2</v>
      </c>
      <c r="O25" s="171">
        <v>2</v>
      </c>
      <c r="P25" s="28">
        <v>4</v>
      </c>
      <c r="Q25" s="371">
        <f>SUM(E25:P25)</f>
        <v>24</v>
      </c>
      <c r="R25" s="375">
        <f>SUM(H25:N25)</f>
        <v>14</v>
      </c>
      <c r="S25" s="28"/>
      <c r="T25" s="28"/>
      <c r="U25" s="28"/>
      <c r="V25" s="28"/>
      <c r="W25" s="28"/>
      <c r="X25" s="28"/>
      <c r="Y25" s="28"/>
      <c r="Z25" s="28"/>
      <c r="AA25" s="28"/>
      <c r="AB25" s="28"/>
      <c r="AC25" s="28"/>
      <c r="AD25" s="28"/>
      <c r="AE25" s="28"/>
      <c r="AF25" s="28"/>
      <c r="AG25" s="28"/>
      <c r="AH25" s="28"/>
      <c r="AI25" s="28"/>
    </row>
    <row r="26" spans="2:35" x14ac:dyDescent="0.25">
      <c r="B26">
        <v>17</v>
      </c>
      <c r="C26" s="727" t="s">
        <v>9</v>
      </c>
      <c r="D26" s="728"/>
      <c r="E26" s="171">
        <v>2</v>
      </c>
      <c r="F26" s="28">
        <v>3</v>
      </c>
      <c r="G26" s="171">
        <v>2</v>
      </c>
      <c r="H26" s="28">
        <v>1</v>
      </c>
      <c r="I26" s="171">
        <v>1</v>
      </c>
      <c r="J26" s="28">
        <v>3</v>
      </c>
      <c r="K26" s="171">
        <v>3</v>
      </c>
      <c r="L26" s="28">
        <v>4</v>
      </c>
      <c r="M26" s="171">
        <v>4</v>
      </c>
      <c r="N26" s="28">
        <v>0</v>
      </c>
      <c r="O26" s="171">
        <v>3</v>
      </c>
      <c r="P26" s="28">
        <v>6</v>
      </c>
      <c r="Q26" s="371">
        <f t="shared" ref="Q26:Q28" si="4">SUM(E26:P26)</f>
        <v>32</v>
      </c>
      <c r="R26" s="375">
        <f t="shared" ref="R26:R28" si="5">SUM(H26:N26)</f>
        <v>16</v>
      </c>
      <c r="S26" s="28"/>
      <c r="T26" s="28"/>
      <c r="U26" s="28"/>
      <c r="V26" s="28"/>
      <c r="W26" s="28"/>
      <c r="X26" s="28"/>
      <c r="Y26" s="28"/>
      <c r="Z26" s="28"/>
      <c r="AA26" s="28"/>
      <c r="AB26" s="28"/>
      <c r="AC26" s="28"/>
      <c r="AD26" s="28"/>
      <c r="AE26" s="28"/>
      <c r="AF26" s="28"/>
      <c r="AG26" s="28"/>
      <c r="AH26" s="28"/>
      <c r="AI26" s="28"/>
    </row>
    <row r="27" spans="2:35" x14ac:dyDescent="0.25">
      <c r="B27">
        <v>18</v>
      </c>
      <c r="C27" s="727" t="s">
        <v>10</v>
      </c>
      <c r="D27" s="728"/>
      <c r="E27" s="171">
        <v>0</v>
      </c>
      <c r="F27" s="28">
        <v>0</v>
      </c>
      <c r="G27" s="171">
        <v>0</v>
      </c>
      <c r="H27" s="28">
        <v>0</v>
      </c>
      <c r="I27" s="171">
        <v>0</v>
      </c>
      <c r="J27" s="28">
        <v>0</v>
      </c>
      <c r="K27" s="171">
        <v>0</v>
      </c>
      <c r="L27" s="28">
        <v>0</v>
      </c>
      <c r="M27" s="171">
        <v>0</v>
      </c>
      <c r="N27" s="28">
        <v>0</v>
      </c>
      <c r="O27" s="171">
        <v>0</v>
      </c>
      <c r="P27" s="28">
        <v>0</v>
      </c>
      <c r="Q27" s="371">
        <f t="shared" si="4"/>
        <v>0</v>
      </c>
      <c r="R27" s="375">
        <f t="shared" si="5"/>
        <v>0</v>
      </c>
      <c r="S27" s="28"/>
      <c r="T27" s="28"/>
      <c r="U27" s="28"/>
      <c r="V27" s="28"/>
      <c r="W27" s="28"/>
      <c r="X27" s="28"/>
      <c r="Y27" s="28"/>
      <c r="Z27" s="28"/>
      <c r="AA27" s="28"/>
      <c r="AB27" s="28"/>
      <c r="AC27" s="28"/>
      <c r="AD27" s="28"/>
      <c r="AE27" s="28"/>
      <c r="AF27" s="28"/>
      <c r="AG27" s="28"/>
      <c r="AH27" s="28"/>
      <c r="AI27" s="28"/>
    </row>
    <row r="28" spans="2:35" x14ac:dyDescent="0.25">
      <c r="B28">
        <v>19</v>
      </c>
      <c r="C28" s="727" t="s">
        <v>11</v>
      </c>
      <c r="D28" s="728"/>
      <c r="E28" s="171">
        <v>0</v>
      </c>
      <c r="F28" s="28">
        <v>0</v>
      </c>
      <c r="G28" s="171">
        <v>0</v>
      </c>
      <c r="H28" s="28">
        <v>0</v>
      </c>
      <c r="I28" s="171">
        <v>0</v>
      </c>
      <c r="J28" s="28">
        <v>0</v>
      </c>
      <c r="K28" s="171">
        <v>0</v>
      </c>
      <c r="L28" s="28">
        <v>0</v>
      </c>
      <c r="M28" s="171">
        <v>0</v>
      </c>
      <c r="N28" s="28">
        <v>0</v>
      </c>
      <c r="O28" s="171">
        <v>0</v>
      </c>
      <c r="P28" s="28">
        <v>0</v>
      </c>
      <c r="Q28" s="371">
        <f t="shared" si="4"/>
        <v>0</v>
      </c>
      <c r="R28" s="375">
        <f t="shared" si="5"/>
        <v>0</v>
      </c>
      <c r="S28" s="28"/>
      <c r="T28" s="28"/>
      <c r="U28" s="28"/>
      <c r="V28" s="28"/>
      <c r="W28" s="28"/>
      <c r="X28" s="28"/>
      <c r="Y28" s="28"/>
      <c r="Z28" s="28"/>
      <c r="AA28" s="28"/>
      <c r="AB28" s="28"/>
      <c r="AC28" s="28"/>
      <c r="AD28" s="28"/>
      <c r="AE28" s="28"/>
      <c r="AF28" s="28"/>
      <c r="AG28" s="28"/>
      <c r="AH28" s="28"/>
      <c r="AI28" s="28"/>
    </row>
    <row r="29" spans="2:35" ht="15.75" thickBot="1" x14ac:dyDescent="0.3">
      <c r="C29" s="12"/>
      <c r="D29" s="13"/>
      <c r="E29" s="181"/>
      <c r="F29" s="61"/>
      <c r="G29" s="181"/>
      <c r="H29" s="61"/>
      <c r="I29" s="181"/>
      <c r="J29" s="61"/>
      <c r="K29" s="181"/>
      <c r="L29" s="61"/>
      <c r="M29" s="181"/>
      <c r="N29" s="61"/>
      <c r="O29" s="181"/>
      <c r="P29" s="61"/>
      <c r="Q29" s="372"/>
      <c r="R29" s="308"/>
      <c r="S29" s="28"/>
      <c r="T29" s="28"/>
      <c r="U29" s="28"/>
      <c r="V29" s="28"/>
      <c r="W29" s="28"/>
      <c r="X29" s="28"/>
      <c r="Y29" s="28"/>
      <c r="Z29" s="28"/>
      <c r="AA29" s="28"/>
      <c r="AB29" s="28"/>
      <c r="AC29" s="28"/>
      <c r="AD29" s="28"/>
      <c r="AE29" s="28"/>
      <c r="AF29" s="28"/>
      <c r="AG29" s="28"/>
      <c r="AH29" s="28"/>
      <c r="AI29" s="28"/>
    </row>
    <row r="30" spans="2:35" ht="15.75" thickBot="1" x14ac:dyDescent="0.3">
      <c r="B30">
        <v>20</v>
      </c>
      <c r="C30" s="729" t="s">
        <v>12</v>
      </c>
      <c r="D30" s="730"/>
      <c r="E30" s="171">
        <v>7</v>
      </c>
      <c r="F30" s="28">
        <v>10</v>
      </c>
      <c r="G30" s="171">
        <v>12</v>
      </c>
      <c r="H30" s="28">
        <v>12</v>
      </c>
      <c r="I30" s="171">
        <v>19</v>
      </c>
      <c r="J30" s="28">
        <v>34</v>
      </c>
      <c r="K30" s="171">
        <v>47</v>
      </c>
      <c r="L30" s="28">
        <v>32</v>
      </c>
      <c r="M30" s="171">
        <v>28</v>
      </c>
      <c r="N30" s="28">
        <v>35</v>
      </c>
      <c r="O30" s="171">
        <v>12</v>
      </c>
      <c r="P30" s="28">
        <v>11</v>
      </c>
      <c r="Q30" s="371">
        <f>SUM(E30:P30)</f>
        <v>259</v>
      </c>
      <c r="R30" s="375">
        <f>SUM(H30:N30)</f>
        <v>207</v>
      </c>
      <c r="S30" s="28"/>
      <c r="T30" s="28"/>
      <c r="U30" s="28"/>
      <c r="V30" s="28"/>
      <c r="W30" s="28"/>
      <c r="X30" s="28"/>
      <c r="Y30" s="28"/>
      <c r="Z30" s="28"/>
      <c r="AA30" s="28"/>
      <c r="AB30" s="28"/>
      <c r="AC30" s="28"/>
      <c r="AD30" s="28"/>
      <c r="AE30" s="28"/>
      <c r="AF30" s="28"/>
      <c r="AG30" s="28"/>
      <c r="AH30" s="28"/>
      <c r="AI30" s="28"/>
    </row>
    <row r="31" spans="2:35" ht="15.75" thickBot="1" x14ac:dyDescent="0.3">
      <c r="C31" s="12"/>
      <c r="D31" s="13"/>
      <c r="E31" s="181"/>
      <c r="F31" s="61"/>
      <c r="G31" s="181"/>
      <c r="H31" s="61"/>
      <c r="I31" s="181"/>
      <c r="J31" s="61"/>
      <c r="K31" s="181"/>
      <c r="L31" s="61"/>
      <c r="M31" s="181"/>
      <c r="N31" s="61"/>
      <c r="O31" s="181"/>
      <c r="P31" s="61"/>
      <c r="Q31" s="372"/>
      <c r="R31" s="308"/>
      <c r="S31" s="28"/>
      <c r="T31" s="28"/>
      <c r="U31" s="28"/>
      <c r="V31" s="28"/>
      <c r="W31" s="28"/>
      <c r="X31" s="28"/>
      <c r="Y31" s="28"/>
      <c r="Z31" s="28"/>
      <c r="AA31" s="28"/>
      <c r="AB31" s="28"/>
      <c r="AC31" s="28"/>
      <c r="AD31" s="28"/>
      <c r="AE31" s="28"/>
      <c r="AF31" s="28"/>
      <c r="AG31" s="28"/>
      <c r="AH31" s="28"/>
      <c r="AI31" s="28"/>
    </row>
    <row r="32" spans="2:35" ht="15.75" thickBot="1" x14ac:dyDescent="0.3">
      <c r="C32" s="729" t="s">
        <v>16</v>
      </c>
      <c r="D32" s="730"/>
      <c r="E32" s="171">
        <v>0</v>
      </c>
      <c r="F32" s="28">
        <v>0</v>
      </c>
      <c r="G32" s="171">
        <v>1</v>
      </c>
      <c r="H32" s="28">
        <v>0</v>
      </c>
      <c r="I32" s="171">
        <v>0</v>
      </c>
      <c r="J32" s="28">
        <v>0</v>
      </c>
      <c r="K32" s="171">
        <v>0</v>
      </c>
      <c r="L32" s="28">
        <v>0</v>
      </c>
      <c r="M32" s="171">
        <v>0</v>
      </c>
      <c r="N32" s="28">
        <v>1</v>
      </c>
      <c r="O32" s="171">
        <v>0</v>
      </c>
      <c r="P32" s="28">
        <v>1</v>
      </c>
      <c r="Q32" s="371">
        <f>SUM(E32:P32)</f>
        <v>3</v>
      </c>
      <c r="R32" s="375">
        <f>SUM(H32:N32)</f>
        <v>1</v>
      </c>
      <c r="S32" s="28"/>
      <c r="T32" s="28"/>
      <c r="U32" s="28"/>
      <c r="V32" s="28"/>
      <c r="W32" s="28"/>
      <c r="X32" s="28"/>
      <c r="Y32" s="28"/>
      <c r="Z32" s="28"/>
      <c r="AA32" s="28"/>
      <c r="AB32" s="28"/>
      <c r="AC32" s="28"/>
      <c r="AD32" s="28"/>
      <c r="AE32" s="28"/>
      <c r="AF32" s="28"/>
      <c r="AG32" s="28"/>
      <c r="AH32" s="28"/>
      <c r="AI32" s="28"/>
    </row>
    <row r="33" spans="2:35" x14ac:dyDescent="0.25">
      <c r="B33">
        <v>21</v>
      </c>
      <c r="C33" s="727" t="s">
        <v>13</v>
      </c>
      <c r="D33" s="728"/>
      <c r="E33" s="171">
        <v>2</v>
      </c>
      <c r="F33" s="28">
        <v>0</v>
      </c>
      <c r="G33" s="171">
        <v>0</v>
      </c>
      <c r="H33" s="28">
        <v>0</v>
      </c>
      <c r="I33" s="171">
        <v>5</v>
      </c>
      <c r="J33" s="28">
        <v>0</v>
      </c>
      <c r="K33" s="171">
        <v>3</v>
      </c>
      <c r="L33" s="28">
        <v>0</v>
      </c>
      <c r="M33" s="171">
        <v>4</v>
      </c>
      <c r="N33" s="28">
        <v>4</v>
      </c>
      <c r="O33" s="171">
        <v>0</v>
      </c>
      <c r="P33" s="28">
        <v>0</v>
      </c>
      <c r="Q33" s="371">
        <f t="shared" ref="Q33:Q37" si="6">SUM(E33:P33)</f>
        <v>18</v>
      </c>
      <c r="R33" s="375">
        <f t="shared" ref="R33:R37" si="7">SUM(H33:N33)</f>
        <v>16</v>
      </c>
      <c r="S33" s="28"/>
      <c r="T33" s="28"/>
      <c r="U33" s="28"/>
      <c r="V33" s="28"/>
      <c r="W33" s="28"/>
      <c r="X33" s="28"/>
      <c r="Y33" s="28"/>
      <c r="Z33" s="28"/>
      <c r="AA33" s="28"/>
      <c r="AB33" s="28"/>
      <c r="AC33" s="28"/>
      <c r="AD33" s="28"/>
      <c r="AE33" s="28"/>
      <c r="AF33" s="28"/>
      <c r="AG33" s="28"/>
      <c r="AH33" s="28"/>
      <c r="AI33" s="28"/>
    </row>
    <row r="34" spans="2:35" x14ac:dyDescent="0.25">
      <c r="B34">
        <v>22</v>
      </c>
      <c r="C34" s="727" t="s">
        <v>14</v>
      </c>
      <c r="D34" s="728"/>
      <c r="E34" s="171">
        <v>0</v>
      </c>
      <c r="F34" s="28">
        <v>0</v>
      </c>
      <c r="G34" s="171">
        <v>0</v>
      </c>
      <c r="H34" s="28">
        <v>0</v>
      </c>
      <c r="I34" s="171">
        <v>1</v>
      </c>
      <c r="J34" s="28">
        <v>0</v>
      </c>
      <c r="K34" s="171">
        <v>0</v>
      </c>
      <c r="L34" s="28">
        <v>0</v>
      </c>
      <c r="M34" s="171">
        <v>0</v>
      </c>
      <c r="N34" s="28">
        <v>0</v>
      </c>
      <c r="O34" s="171">
        <v>0</v>
      </c>
      <c r="P34" s="28">
        <v>0</v>
      </c>
      <c r="Q34" s="371">
        <f t="shared" si="6"/>
        <v>1</v>
      </c>
      <c r="R34" s="375">
        <f t="shared" si="7"/>
        <v>1</v>
      </c>
      <c r="S34" s="28"/>
      <c r="T34" s="28"/>
      <c r="U34" s="28"/>
      <c r="V34" s="28"/>
      <c r="W34" s="28"/>
      <c r="X34" s="28"/>
      <c r="Y34" s="28"/>
      <c r="Z34" s="28"/>
      <c r="AA34" s="28"/>
      <c r="AB34" s="28"/>
      <c r="AC34" s="28"/>
      <c r="AD34" s="28"/>
      <c r="AE34" s="28"/>
      <c r="AF34" s="28"/>
      <c r="AG34" s="28"/>
      <c r="AH34" s="28"/>
      <c r="AI34" s="28"/>
    </row>
    <row r="35" spans="2:35" x14ac:dyDescent="0.25">
      <c r="B35">
        <v>23</v>
      </c>
      <c r="C35" s="727" t="s">
        <v>15</v>
      </c>
      <c r="D35" s="728"/>
      <c r="E35" s="171">
        <v>0</v>
      </c>
      <c r="F35" s="28">
        <v>0</v>
      </c>
      <c r="G35" s="171">
        <v>0</v>
      </c>
      <c r="H35" s="28">
        <v>0</v>
      </c>
      <c r="I35" s="171">
        <v>1</v>
      </c>
      <c r="J35" s="28">
        <v>5</v>
      </c>
      <c r="K35" s="171">
        <v>7</v>
      </c>
      <c r="L35" s="28">
        <v>0</v>
      </c>
      <c r="M35" s="171">
        <v>5</v>
      </c>
      <c r="N35" s="28">
        <v>5</v>
      </c>
      <c r="O35" s="171">
        <v>0</v>
      </c>
      <c r="P35" s="28">
        <v>0</v>
      </c>
      <c r="Q35" s="371">
        <f t="shared" si="6"/>
        <v>23</v>
      </c>
      <c r="R35" s="375">
        <f t="shared" si="7"/>
        <v>23</v>
      </c>
      <c r="S35" s="28"/>
      <c r="T35" s="28"/>
      <c r="U35" s="28"/>
      <c r="V35" s="28"/>
      <c r="W35" s="28"/>
      <c r="X35" s="28"/>
      <c r="Y35" s="28"/>
      <c r="Z35" s="28"/>
      <c r="AA35" s="28"/>
      <c r="AB35" s="28"/>
      <c r="AC35" s="28"/>
      <c r="AD35" s="28"/>
      <c r="AE35" s="28"/>
      <c r="AF35" s="28"/>
      <c r="AG35" s="28"/>
      <c r="AH35" s="28"/>
      <c r="AI35" s="28"/>
    </row>
    <row r="36" spans="2:35" x14ac:dyDescent="0.25">
      <c r="B36">
        <v>24</v>
      </c>
      <c r="C36" s="727" t="s">
        <v>18</v>
      </c>
      <c r="D36" s="728"/>
      <c r="E36" s="171">
        <v>0</v>
      </c>
      <c r="F36" s="28">
        <v>0</v>
      </c>
      <c r="G36" s="171">
        <v>0</v>
      </c>
      <c r="H36" s="28">
        <v>0</v>
      </c>
      <c r="I36" s="171">
        <v>0</v>
      </c>
      <c r="J36" s="28">
        <v>0</v>
      </c>
      <c r="K36" s="171">
        <v>0</v>
      </c>
      <c r="L36" s="28">
        <v>0</v>
      </c>
      <c r="M36" s="171">
        <v>0</v>
      </c>
      <c r="N36" s="28">
        <v>0</v>
      </c>
      <c r="O36" s="171">
        <v>0</v>
      </c>
      <c r="P36" s="28">
        <v>0</v>
      </c>
      <c r="Q36" s="371">
        <f t="shared" si="6"/>
        <v>0</v>
      </c>
      <c r="R36" s="375">
        <f t="shared" si="7"/>
        <v>0</v>
      </c>
      <c r="S36" s="28"/>
      <c r="T36" s="28"/>
      <c r="U36" s="28"/>
      <c r="V36" s="28"/>
      <c r="W36" s="28"/>
      <c r="X36" s="28"/>
      <c r="Y36" s="28"/>
      <c r="Z36" s="28"/>
      <c r="AA36" s="28"/>
      <c r="AB36" s="28"/>
      <c r="AC36" s="28"/>
      <c r="AD36" s="28"/>
      <c r="AE36" s="28"/>
      <c r="AF36" s="28"/>
      <c r="AG36" s="28"/>
      <c r="AH36" s="28"/>
      <c r="AI36" s="28"/>
    </row>
    <row r="37" spans="2:35" ht="15.75" thickBot="1" x14ac:dyDescent="0.3">
      <c r="B37">
        <v>25</v>
      </c>
      <c r="C37" s="743" t="s">
        <v>19</v>
      </c>
      <c r="D37" s="744"/>
      <c r="E37" s="171">
        <v>0</v>
      </c>
      <c r="F37" s="28">
        <v>0</v>
      </c>
      <c r="G37" s="171">
        <v>0</v>
      </c>
      <c r="H37" s="28">
        <v>0</v>
      </c>
      <c r="I37" s="171">
        <v>0</v>
      </c>
      <c r="J37" s="28">
        <v>0</v>
      </c>
      <c r="K37" s="171">
        <v>0</v>
      </c>
      <c r="L37" s="28">
        <v>0</v>
      </c>
      <c r="M37" s="171">
        <v>0</v>
      </c>
      <c r="N37" s="28">
        <v>0</v>
      </c>
      <c r="O37" s="171">
        <v>0</v>
      </c>
      <c r="P37" s="28">
        <v>0</v>
      </c>
      <c r="Q37" s="371">
        <f t="shared" si="6"/>
        <v>0</v>
      </c>
      <c r="R37" s="375">
        <f t="shared" si="7"/>
        <v>0</v>
      </c>
      <c r="S37" s="28"/>
      <c r="T37" s="28"/>
      <c r="U37" s="28"/>
      <c r="V37" s="28"/>
      <c r="W37" s="28"/>
      <c r="X37" s="28"/>
      <c r="Y37" s="28"/>
      <c r="Z37" s="28"/>
      <c r="AA37" s="28"/>
      <c r="AB37" s="28"/>
      <c r="AC37" s="28"/>
      <c r="AD37" s="28"/>
      <c r="AE37" s="28"/>
      <c r="AF37" s="28"/>
      <c r="AG37" s="28"/>
      <c r="AH37" s="28"/>
      <c r="AI37" s="28"/>
    </row>
    <row r="38" spans="2:35" ht="15.75" thickBot="1" x14ac:dyDescent="0.3">
      <c r="C38" s="12"/>
      <c r="D38" s="13"/>
      <c r="E38" s="181"/>
      <c r="F38" s="61"/>
      <c r="G38" s="181"/>
      <c r="H38" s="61"/>
      <c r="I38" s="181"/>
      <c r="J38" s="61"/>
      <c r="K38" s="181"/>
      <c r="L38" s="61"/>
      <c r="M38" s="181"/>
      <c r="N38" s="61"/>
      <c r="O38" s="181"/>
      <c r="P38" s="61"/>
      <c r="Q38" s="372"/>
      <c r="R38" s="308"/>
      <c r="S38" s="28"/>
      <c r="T38" s="28"/>
      <c r="U38" s="28"/>
      <c r="V38" s="28"/>
      <c r="W38" s="28"/>
      <c r="X38" s="28"/>
      <c r="Y38" s="28"/>
      <c r="Z38" s="28"/>
      <c r="AA38" s="28"/>
      <c r="AB38" s="28"/>
      <c r="AC38" s="28"/>
      <c r="AD38" s="28"/>
      <c r="AE38" s="28"/>
      <c r="AF38" s="28"/>
      <c r="AG38" s="28"/>
      <c r="AH38" s="28"/>
      <c r="AI38" s="28"/>
    </row>
    <row r="39" spans="2:35" ht="15.75" thickBot="1" x14ac:dyDescent="0.3">
      <c r="C39" s="729" t="s">
        <v>20</v>
      </c>
      <c r="D39" s="730"/>
      <c r="E39" s="171">
        <v>9</v>
      </c>
      <c r="F39" s="28">
        <v>10</v>
      </c>
      <c r="G39" s="171">
        <v>15</v>
      </c>
      <c r="H39" s="28">
        <v>11</v>
      </c>
      <c r="I39" s="171">
        <v>21</v>
      </c>
      <c r="J39" s="28">
        <v>19</v>
      </c>
      <c r="K39" s="171">
        <v>15</v>
      </c>
      <c r="L39" s="28">
        <v>9</v>
      </c>
      <c r="M39" s="171">
        <v>13</v>
      </c>
      <c r="N39" s="28">
        <v>14</v>
      </c>
      <c r="O39" s="171">
        <v>7</v>
      </c>
      <c r="P39" s="28">
        <v>14</v>
      </c>
      <c r="Q39" s="371">
        <f>SUM(E39:P39)</f>
        <v>157</v>
      </c>
      <c r="R39" s="375">
        <f>SUM(H39:N39)</f>
        <v>102</v>
      </c>
      <c r="S39" s="28"/>
      <c r="T39" s="28"/>
      <c r="U39" s="28"/>
      <c r="V39" s="28"/>
      <c r="W39" s="28"/>
      <c r="X39" s="28"/>
      <c r="Y39" s="28"/>
      <c r="Z39" s="28"/>
      <c r="AA39" s="28"/>
      <c r="AB39" s="28"/>
      <c r="AC39" s="28"/>
      <c r="AD39" s="28"/>
      <c r="AE39" s="28"/>
      <c r="AF39" s="28"/>
      <c r="AG39" s="28"/>
      <c r="AH39" s="28"/>
      <c r="AI39" s="28"/>
    </row>
    <row r="40" spans="2:35" x14ac:dyDescent="0.25">
      <c r="B40">
        <v>26</v>
      </c>
      <c r="C40" s="804" t="s">
        <v>174</v>
      </c>
      <c r="D40" s="78" t="s">
        <v>172</v>
      </c>
      <c r="E40" s="171">
        <v>4</v>
      </c>
      <c r="F40" s="28">
        <v>3</v>
      </c>
      <c r="G40" s="171">
        <v>5</v>
      </c>
      <c r="H40" s="28">
        <v>3</v>
      </c>
      <c r="I40" s="171">
        <v>9</v>
      </c>
      <c r="J40" s="28">
        <v>7</v>
      </c>
      <c r="K40" s="171">
        <v>7</v>
      </c>
      <c r="L40" s="28">
        <v>3</v>
      </c>
      <c r="M40" s="171">
        <v>5</v>
      </c>
      <c r="N40" s="28">
        <v>5</v>
      </c>
      <c r="O40" s="171">
        <v>2</v>
      </c>
      <c r="P40" s="28">
        <v>7</v>
      </c>
      <c r="Q40" s="371">
        <f t="shared" ref="Q40:Q44" si="8">SUM(E40:P40)</f>
        <v>60</v>
      </c>
      <c r="R40" s="375">
        <f t="shared" ref="R40:R45" si="9">SUM(H40:N40)</f>
        <v>39</v>
      </c>
      <c r="S40" s="28"/>
      <c r="T40" s="28"/>
      <c r="U40" s="28"/>
      <c r="V40" s="28"/>
      <c r="W40" s="28"/>
      <c r="X40" s="28"/>
      <c r="Y40" s="28"/>
      <c r="Z40" s="28"/>
      <c r="AA40" s="28"/>
      <c r="AB40" s="28"/>
      <c r="AC40" s="28"/>
      <c r="AD40" s="28"/>
      <c r="AE40" s="28"/>
      <c r="AF40" s="28"/>
      <c r="AG40" s="28"/>
      <c r="AH40" s="28"/>
      <c r="AI40" s="28"/>
    </row>
    <row r="41" spans="2:35" x14ac:dyDescent="0.25">
      <c r="B41">
        <v>27</v>
      </c>
      <c r="C41" s="812"/>
      <c r="D41" s="35" t="s">
        <v>173</v>
      </c>
      <c r="E41" s="171">
        <v>5</v>
      </c>
      <c r="F41" s="28">
        <v>7</v>
      </c>
      <c r="G41" s="171">
        <v>10</v>
      </c>
      <c r="H41" s="28">
        <v>8</v>
      </c>
      <c r="I41" s="171">
        <v>13</v>
      </c>
      <c r="J41" s="28">
        <v>10</v>
      </c>
      <c r="K41" s="171">
        <v>8</v>
      </c>
      <c r="L41" s="28">
        <v>6</v>
      </c>
      <c r="M41" s="171">
        <v>8</v>
      </c>
      <c r="N41" s="28">
        <v>8</v>
      </c>
      <c r="O41" s="171">
        <v>6</v>
      </c>
      <c r="P41" s="28">
        <v>7</v>
      </c>
      <c r="Q41" s="371">
        <f t="shared" si="8"/>
        <v>96</v>
      </c>
      <c r="R41" s="375">
        <f t="shared" si="9"/>
        <v>61</v>
      </c>
      <c r="S41" s="28"/>
      <c r="T41" s="28"/>
      <c r="U41" s="28"/>
      <c r="V41" s="28"/>
      <c r="W41" s="28"/>
      <c r="X41" s="28"/>
      <c r="Y41" s="28"/>
      <c r="Z41" s="28"/>
      <c r="AA41" s="28"/>
      <c r="AB41" s="28"/>
      <c r="AC41" s="28"/>
      <c r="AD41" s="28"/>
      <c r="AE41" s="28"/>
      <c r="AF41" s="28"/>
      <c r="AG41" s="28"/>
      <c r="AH41" s="28"/>
      <c r="AI41" s="28"/>
    </row>
    <row r="42" spans="2:35" x14ac:dyDescent="0.25">
      <c r="B42">
        <v>28</v>
      </c>
      <c r="C42" s="823" t="s">
        <v>168</v>
      </c>
      <c r="D42" s="38" t="s">
        <v>169</v>
      </c>
      <c r="E42" s="171">
        <v>9</v>
      </c>
      <c r="F42" s="28">
        <v>7</v>
      </c>
      <c r="G42" s="171">
        <v>13</v>
      </c>
      <c r="H42" s="28">
        <v>5</v>
      </c>
      <c r="I42" s="171">
        <v>22</v>
      </c>
      <c r="J42" s="28">
        <v>14</v>
      </c>
      <c r="K42" s="171">
        <v>14</v>
      </c>
      <c r="L42" s="28">
        <v>9</v>
      </c>
      <c r="M42" s="171">
        <v>13</v>
      </c>
      <c r="N42" s="28">
        <v>12</v>
      </c>
      <c r="O42" s="171">
        <v>6</v>
      </c>
      <c r="P42" s="28">
        <v>14</v>
      </c>
      <c r="Q42" s="371">
        <f t="shared" si="8"/>
        <v>138</v>
      </c>
      <c r="R42" s="375">
        <f t="shared" si="9"/>
        <v>89</v>
      </c>
      <c r="S42" s="28"/>
      <c r="T42" s="28"/>
      <c r="U42" s="28"/>
      <c r="V42" s="28"/>
      <c r="W42" s="28"/>
      <c r="X42" s="28"/>
      <c r="Y42" s="28"/>
      <c r="Z42" s="28"/>
      <c r="AA42" s="28"/>
      <c r="AB42" s="28"/>
      <c r="AC42" s="28"/>
      <c r="AD42" s="28"/>
      <c r="AE42" s="28"/>
      <c r="AF42" s="28"/>
      <c r="AG42" s="28"/>
      <c r="AH42" s="28"/>
      <c r="AI42" s="28"/>
    </row>
    <row r="43" spans="2:35" x14ac:dyDescent="0.25">
      <c r="B43">
        <v>29</v>
      </c>
      <c r="C43" s="804"/>
      <c r="D43" s="37" t="s">
        <v>185</v>
      </c>
      <c r="E43" s="171">
        <v>0</v>
      </c>
      <c r="F43" s="28">
        <v>3</v>
      </c>
      <c r="G43" s="171">
        <v>2</v>
      </c>
      <c r="H43" s="28">
        <v>5</v>
      </c>
      <c r="I43" s="171">
        <v>0</v>
      </c>
      <c r="J43" s="28">
        <v>3</v>
      </c>
      <c r="K43" s="171">
        <v>1</v>
      </c>
      <c r="L43" s="28">
        <v>0</v>
      </c>
      <c r="M43" s="171">
        <v>0</v>
      </c>
      <c r="N43" s="28">
        <v>1</v>
      </c>
      <c r="O43" s="171">
        <v>1</v>
      </c>
      <c r="P43" s="28">
        <v>0</v>
      </c>
      <c r="Q43" s="371">
        <f t="shared" si="8"/>
        <v>16</v>
      </c>
      <c r="R43" s="375">
        <f t="shared" si="9"/>
        <v>10</v>
      </c>
      <c r="S43" s="28"/>
      <c r="T43" s="28"/>
      <c r="U43" s="28"/>
      <c r="V43" s="28"/>
      <c r="W43" s="28"/>
      <c r="X43" s="28"/>
      <c r="Y43" s="28"/>
      <c r="Z43" s="28"/>
      <c r="AA43" s="28"/>
      <c r="AB43" s="28"/>
      <c r="AC43" s="28"/>
      <c r="AD43" s="28"/>
      <c r="AE43" s="28"/>
      <c r="AF43" s="28"/>
      <c r="AG43" s="28"/>
      <c r="AH43" s="28"/>
      <c r="AI43" s="28"/>
    </row>
    <row r="44" spans="2:35" x14ac:dyDescent="0.25">
      <c r="B44">
        <v>30</v>
      </c>
      <c r="C44" s="812"/>
      <c r="D44" s="39" t="s">
        <v>170</v>
      </c>
      <c r="E44" s="171">
        <v>0</v>
      </c>
      <c r="F44" s="28">
        <v>0</v>
      </c>
      <c r="G44" s="171">
        <v>0</v>
      </c>
      <c r="H44" s="28">
        <v>1</v>
      </c>
      <c r="I44" s="171">
        <v>0</v>
      </c>
      <c r="J44" s="28">
        <v>0</v>
      </c>
      <c r="K44" s="171">
        <v>0</v>
      </c>
      <c r="L44" s="28">
        <v>0</v>
      </c>
      <c r="M44" s="171">
        <v>0</v>
      </c>
      <c r="N44" s="28">
        <v>0</v>
      </c>
      <c r="O44" s="171">
        <v>0</v>
      </c>
      <c r="P44" s="28">
        <v>0</v>
      </c>
      <c r="Q44" s="371">
        <f t="shared" si="8"/>
        <v>1</v>
      </c>
      <c r="R44" s="375">
        <f t="shared" si="9"/>
        <v>1</v>
      </c>
      <c r="S44" s="28"/>
      <c r="T44" s="28"/>
      <c r="U44" s="28"/>
      <c r="V44" s="28"/>
      <c r="W44" s="28"/>
      <c r="X44" s="28"/>
      <c r="Y44" s="28"/>
      <c r="Z44" s="28"/>
      <c r="AA44" s="28"/>
      <c r="AB44" s="28"/>
      <c r="AC44" s="28"/>
      <c r="AD44" s="28"/>
      <c r="AE44" s="28"/>
      <c r="AF44" s="28"/>
      <c r="AG44" s="28"/>
      <c r="AH44" s="28"/>
      <c r="AI44" s="28"/>
    </row>
    <row r="45" spans="2:35" ht="15.75" thickBot="1" x14ac:dyDescent="0.3">
      <c r="B45">
        <v>31</v>
      </c>
      <c r="C45" s="714" t="s">
        <v>171</v>
      </c>
      <c r="D45" s="716"/>
      <c r="E45" s="181"/>
      <c r="F45" s="61"/>
      <c r="G45" s="181"/>
      <c r="H45" s="61"/>
      <c r="I45" s="181"/>
      <c r="J45" s="61"/>
      <c r="K45" s="181"/>
      <c r="L45" s="61"/>
      <c r="M45" s="181"/>
      <c r="N45" s="61"/>
      <c r="O45" s="181"/>
      <c r="P45" s="61"/>
      <c r="Q45" s="371"/>
      <c r="R45" s="375">
        <f t="shared" si="9"/>
        <v>0</v>
      </c>
      <c r="S45" s="28"/>
      <c r="T45" s="28"/>
      <c r="U45" s="28"/>
      <c r="V45" s="28"/>
      <c r="W45" s="28"/>
      <c r="X45" s="28"/>
      <c r="Y45" s="28"/>
      <c r="Z45" s="28"/>
      <c r="AA45" s="28"/>
      <c r="AB45" s="28"/>
      <c r="AC45" s="28"/>
      <c r="AD45" s="28"/>
      <c r="AE45" s="28"/>
      <c r="AF45" s="28"/>
      <c r="AG45" s="28"/>
      <c r="AH45" s="28"/>
      <c r="AI45" s="28"/>
    </row>
    <row r="46" spans="2:35" ht="15.75" thickBot="1" x14ac:dyDescent="0.3">
      <c r="C46" s="12"/>
      <c r="D46" s="13"/>
      <c r="E46" s="181"/>
      <c r="F46" s="61"/>
      <c r="G46" s="181"/>
      <c r="H46" s="61"/>
      <c r="I46" s="181"/>
      <c r="J46" s="61"/>
      <c r="K46" s="181"/>
      <c r="L46" s="61"/>
      <c r="M46" s="181"/>
      <c r="N46" s="61"/>
      <c r="O46" s="181"/>
      <c r="P46" s="61"/>
      <c r="Q46" s="372"/>
      <c r="R46" s="308"/>
      <c r="S46" s="28"/>
      <c r="T46" s="28"/>
      <c r="U46" s="28"/>
      <c r="V46" s="28"/>
      <c r="W46" s="28"/>
      <c r="X46" s="28"/>
      <c r="Y46" s="28"/>
      <c r="Z46" s="28"/>
      <c r="AA46" s="28"/>
      <c r="AB46" s="28"/>
      <c r="AC46" s="28"/>
      <c r="AD46" s="28"/>
      <c r="AE46" s="28"/>
      <c r="AF46" s="28"/>
      <c r="AG46" s="28"/>
      <c r="AH46" s="28"/>
      <c r="AI46" s="28"/>
    </row>
    <row r="47" spans="2:35" ht="15.75" thickBot="1" x14ac:dyDescent="0.3">
      <c r="C47" s="729" t="s">
        <v>21</v>
      </c>
      <c r="D47" s="730"/>
      <c r="E47" s="181"/>
      <c r="F47" s="61"/>
      <c r="G47" s="181"/>
      <c r="H47" s="61"/>
      <c r="I47" s="181"/>
      <c r="J47" s="61"/>
      <c r="K47" s="181"/>
      <c r="L47" s="61"/>
      <c r="M47" s="181"/>
      <c r="N47" s="61"/>
      <c r="O47" s="181"/>
      <c r="P47" s="61"/>
      <c r="Q47" s="372"/>
      <c r="R47" s="308"/>
      <c r="S47" s="28"/>
      <c r="T47" s="28"/>
      <c r="U47" s="28"/>
      <c r="V47" s="28"/>
      <c r="W47" s="28"/>
      <c r="X47" s="28"/>
      <c r="Y47" s="28"/>
      <c r="Z47" s="28"/>
      <c r="AA47" s="28"/>
      <c r="AB47" s="28"/>
      <c r="AC47" s="28"/>
      <c r="AD47" s="28"/>
      <c r="AE47" s="28"/>
      <c r="AF47" s="28"/>
      <c r="AG47" s="28"/>
      <c r="AH47" s="28"/>
      <c r="AI47" s="28"/>
    </row>
    <row r="48" spans="2:35" ht="15.75" customHeight="1" thickBot="1" x14ac:dyDescent="0.3">
      <c r="B48">
        <v>32</v>
      </c>
      <c r="C48" s="783" t="s">
        <v>617</v>
      </c>
      <c r="D48" s="784"/>
      <c r="E48" s="171">
        <v>0</v>
      </c>
      <c r="F48" s="28">
        <v>0</v>
      </c>
      <c r="G48" s="171">
        <v>0</v>
      </c>
      <c r="H48" s="28">
        <v>1</v>
      </c>
      <c r="I48" s="171">
        <v>0</v>
      </c>
      <c r="J48" s="28">
        <v>0</v>
      </c>
      <c r="K48" s="171">
        <v>2</v>
      </c>
      <c r="L48" s="28">
        <v>1</v>
      </c>
      <c r="M48" s="171">
        <v>0</v>
      </c>
      <c r="N48" s="28">
        <v>1</v>
      </c>
      <c r="O48" s="171">
        <v>0</v>
      </c>
      <c r="P48" s="28">
        <v>0</v>
      </c>
      <c r="Q48" s="371">
        <f>SUM(E48:P48)</f>
        <v>5</v>
      </c>
      <c r="R48" s="375">
        <f>SUM(H48:N48)</f>
        <v>5</v>
      </c>
      <c r="S48" s="28"/>
      <c r="T48" s="28"/>
      <c r="U48" s="28"/>
      <c r="V48" s="28"/>
      <c r="W48" s="28"/>
      <c r="X48" s="28"/>
      <c r="Y48" s="28"/>
      <c r="Z48" s="28"/>
      <c r="AA48" s="28"/>
      <c r="AB48" s="28"/>
      <c r="AC48" s="28"/>
      <c r="AD48" s="28"/>
      <c r="AE48" s="28"/>
      <c r="AF48" s="28"/>
      <c r="AG48" s="28"/>
      <c r="AH48" s="28"/>
      <c r="AI48" s="28"/>
    </row>
    <row r="49" spans="2:35" ht="15.75" thickBot="1" x14ac:dyDescent="0.3">
      <c r="B49">
        <v>33</v>
      </c>
      <c r="C49" s="735" t="s">
        <v>42</v>
      </c>
      <c r="D49" s="736"/>
      <c r="E49" s="171">
        <v>2</v>
      </c>
      <c r="F49" s="28">
        <v>0</v>
      </c>
      <c r="G49" s="171">
        <v>0</v>
      </c>
      <c r="H49" s="28">
        <v>0</v>
      </c>
      <c r="I49" s="171">
        <v>1</v>
      </c>
      <c r="J49" s="28">
        <v>4</v>
      </c>
      <c r="K49" s="171">
        <v>4</v>
      </c>
      <c r="L49" s="28">
        <v>9</v>
      </c>
      <c r="M49" s="171">
        <v>4</v>
      </c>
      <c r="N49" s="28">
        <v>0</v>
      </c>
      <c r="O49" s="171">
        <v>0</v>
      </c>
      <c r="P49" s="28">
        <v>0</v>
      </c>
      <c r="Q49" s="371">
        <f t="shared" ref="Q49:Q55" si="10">SUM(E49:P49)</f>
        <v>24</v>
      </c>
      <c r="R49" s="375">
        <f t="shared" ref="R49:R55" si="11">SUM(H49:N49)</f>
        <v>22</v>
      </c>
      <c r="S49" s="28"/>
      <c r="T49" s="28"/>
      <c r="U49" s="28"/>
      <c r="V49" s="28"/>
      <c r="W49" s="28"/>
      <c r="X49" s="28"/>
      <c r="Y49" s="28"/>
      <c r="Z49" s="28"/>
      <c r="AA49" s="28"/>
      <c r="AB49" s="28"/>
      <c r="AC49" s="28"/>
      <c r="AD49" s="28"/>
      <c r="AE49" s="28"/>
      <c r="AF49" s="28"/>
      <c r="AG49" s="28"/>
      <c r="AH49" s="28"/>
      <c r="AI49" s="28"/>
    </row>
    <row r="50" spans="2:35" ht="15.75" customHeight="1" thickBot="1" x14ac:dyDescent="0.3">
      <c r="B50">
        <v>34</v>
      </c>
      <c r="C50" s="775" t="s">
        <v>166</v>
      </c>
      <c r="D50" s="776"/>
      <c r="E50" s="171">
        <v>41</v>
      </c>
      <c r="F50" s="28">
        <v>36</v>
      </c>
      <c r="G50" s="171">
        <v>42</v>
      </c>
      <c r="H50" s="28">
        <v>42</v>
      </c>
      <c r="I50" s="171">
        <v>47</v>
      </c>
      <c r="J50" s="28">
        <v>72</v>
      </c>
      <c r="K50" s="171">
        <v>81</v>
      </c>
      <c r="L50" s="28">
        <v>93</v>
      </c>
      <c r="M50" s="171">
        <v>54</v>
      </c>
      <c r="N50" s="28">
        <v>59</v>
      </c>
      <c r="O50" s="171">
        <v>48</v>
      </c>
      <c r="P50" s="28">
        <v>44</v>
      </c>
      <c r="Q50" s="371">
        <f t="shared" si="10"/>
        <v>659</v>
      </c>
      <c r="R50" s="375">
        <f t="shared" si="11"/>
        <v>448</v>
      </c>
      <c r="S50" s="28"/>
      <c r="T50" s="28"/>
      <c r="U50" s="28"/>
      <c r="V50" s="28"/>
      <c r="W50" s="28"/>
      <c r="X50" s="28"/>
      <c r="Y50" s="28"/>
      <c r="Z50" s="28"/>
      <c r="AA50" s="28"/>
      <c r="AB50" s="28"/>
      <c r="AC50" s="28"/>
      <c r="AD50" s="28"/>
      <c r="AE50" s="28"/>
      <c r="AF50" s="28"/>
      <c r="AG50" s="28"/>
      <c r="AH50" s="28"/>
      <c r="AI50" s="28"/>
    </row>
    <row r="51" spans="2:35" ht="15.75" thickBot="1" x14ac:dyDescent="0.3">
      <c r="B51">
        <v>35</v>
      </c>
      <c r="C51" s="777" t="s">
        <v>618</v>
      </c>
      <c r="D51" s="778"/>
      <c r="E51" s="171">
        <v>7</v>
      </c>
      <c r="F51" s="28">
        <v>3</v>
      </c>
      <c r="G51" s="171">
        <v>7</v>
      </c>
      <c r="H51" s="28">
        <v>12</v>
      </c>
      <c r="I51" s="171">
        <v>19</v>
      </c>
      <c r="J51" s="28">
        <v>23</v>
      </c>
      <c r="K51" s="171">
        <v>38</v>
      </c>
      <c r="L51" s="28">
        <v>25</v>
      </c>
      <c r="M51" s="171">
        <v>18</v>
      </c>
      <c r="N51" s="28">
        <v>10</v>
      </c>
      <c r="O51" s="171">
        <v>3</v>
      </c>
      <c r="P51" s="28">
        <v>11</v>
      </c>
      <c r="Q51" s="371">
        <f t="shared" si="10"/>
        <v>176</v>
      </c>
      <c r="R51" s="375">
        <f t="shared" si="11"/>
        <v>145</v>
      </c>
      <c r="S51" s="28"/>
      <c r="T51" s="28"/>
      <c r="U51" s="28"/>
      <c r="V51" s="28"/>
      <c r="W51" s="28"/>
      <c r="X51" s="28"/>
      <c r="Y51" s="28"/>
      <c r="Z51" s="28"/>
      <c r="AA51" s="28"/>
      <c r="AB51" s="28"/>
      <c r="AC51" s="28"/>
      <c r="AD51" s="28"/>
      <c r="AE51" s="28"/>
      <c r="AF51" s="28"/>
      <c r="AG51" s="28"/>
      <c r="AH51" s="28"/>
      <c r="AI51" s="28"/>
    </row>
    <row r="52" spans="2:35" ht="15.75" thickBot="1" x14ac:dyDescent="0.3">
      <c r="B52">
        <v>36</v>
      </c>
      <c r="C52" s="779" t="s">
        <v>175</v>
      </c>
      <c r="D52" s="780"/>
      <c r="E52" s="171">
        <v>0</v>
      </c>
      <c r="F52" s="28">
        <v>0</v>
      </c>
      <c r="G52" s="171">
        <v>0</v>
      </c>
      <c r="H52" s="28">
        <v>0</v>
      </c>
      <c r="I52" s="171">
        <v>0</v>
      </c>
      <c r="J52" s="28">
        <v>0</v>
      </c>
      <c r="K52" s="171">
        <v>0</v>
      </c>
      <c r="L52" s="28">
        <v>0</v>
      </c>
      <c r="M52" s="171">
        <v>0</v>
      </c>
      <c r="N52" s="28">
        <v>0</v>
      </c>
      <c r="O52" s="171">
        <v>0</v>
      </c>
      <c r="P52" s="28">
        <v>0</v>
      </c>
      <c r="Q52" s="371">
        <f t="shared" si="10"/>
        <v>0</v>
      </c>
      <c r="R52" s="375">
        <f t="shared" si="11"/>
        <v>0</v>
      </c>
      <c r="S52" s="28"/>
      <c r="T52" s="28"/>
      <c r="U52" s="28"/>
      <c r="V52" s="28"/>
      <c r="W52" s="28"/>
      <c r="X52" s="28"/>
      <c r="Y52" s="28"/>
      <c r="Z52" s="28"/>
      <c r="AA52" s="28"/>
      <c r="AB52" s="28"/>
      <c r="AC52" s="28"/>
      <c r="AD52" s="28"/>
      <c r="AE52" s="28"/>
      <c r="AF52" s="28"/>
      <c r="AG52" s="28"/>
      <c r="AH52" s="28"/>
      <c r="AI52" s="28"/>
    </row>
    <row r="53" spans="2:35" ht="15.75" thickBot="1" x14ac:dyDescent="0.3">
      <c r="B53">
        <v>37</v>
      </c>
      <c r="C53" s="735" t="s">
        <v>619</v>
      </c>
      <c r="D53" s="736"/>
      <c r="E53" s="171">
        <v>4</v>
      </c>
      <c r="F53" s="28">
        <v>11</v>
      </c>
      <c r="G53" s="171">
        <v>4</v>
      </c>
      <c r="H53" s="28">
        <v>19</v>
      </c>
      <c r="I53" s="171">
        <v>61</v>
      </c>
      <c r="J53" s="28">
        <v>97</v>
      </c>
      <c r="K53" s="171">
        <v>148</v>
      </c>
      <c r="L53" s="28">
        <v>107</v>
      </c>
      <c r="M53" s="171">
        <v>85</v>
      </c>
      <c r="N53" s="28">
        <v>18</v>
      </c>
      <c r="O53" s="171">
        <v>0</v>
      </c>
      <c r="P53" s="28">
        <v>6</v>
      </c>
      <c r="Q53" s="371">
        <f t="shared" si="10"/>
        <v>560</v>
      </c>
      <c r="R53" s="375">
        <f t="shared" si="11"/>
        <v>535</v>
      </c>
      <c r="S53" s="28"/>
      <c r="T53" s="28"/>
      <c r="U53" s="28"/>
      <c r="V53" s="28"/>
      <c r="W53" s="28"/>
      <c r="X53" s="28"/>
      <c r="Y53" s="28"/>
      <c r="Z53" s="28"/>
      <c r="AA53" s="28"/>
      <c r="AB53" s="28"/>
      <c r="AC53" s="28"/>
      <c r="AD53" s="28"/>
      <c r="AE53" s="28"/>
      <c r="AF53" s="28"/>
      <c r="AG53" s="28"/>
      <c r="AH53" s="28"/>
      <c r="AI53" s="28"/>
    </row>
    <row r="54" spans="2:35" ht="15.75" customHeight="1" thickBot="1" x14ac:dyDescent="0.3">
      <c r="B54">
        <v>38</v>
      </c>
      <c r="C54" s="779" t="s">
        <v>167</v>
      </c>
      <c r="D54" s="780"/>
      <c r="E54" s="171">
        <v>4</v>
      </c>
      <c r="F54" s="28">
        <v>1</v>
      </c>
      <c r="G54" s="171">
        <v>4</v>
      </c>
      <c r="H54" s="28">
        <v>7</v>
      </c>
      <c r="I54" s="171">
        <v>1</v>
      </c>
      <c r="J54" s="28">
        <v>6</v>
      </c>
      <c r="K54" s="171">
        <v>8</v>
      </c>
      <c r="L54" s="28">
        <v>9</v>
      </c>
      <c r="M54" s="171">
        <v>8</v>
      </c>
      <c r="N54" s="28">
        <v>6</v>
      </c>
      <c r="O54" s="171">
        <v>4</v>
      </c>
      <c r="P54" s="28">
        <v>2</v>
      </c>
      <c r="Q54" s="371">
        <f t="shared" si="10"/>
        <v>60</v>
      </c>
      <c r="R54" s="375">
        <f t="shared" si="11"/>
        <v>45</v>
      </c>
      <c r="S54" s="28"/>
      <c r="T54" s="28"/>
      <c r="U54" s="28"/>
      <c r="V54" s="28"/>
      <c r="W54" s="28"/>
      <c r="X54" s="28"/>
      <c r="Y54" s="28"/>
      <c r="Z54" s="28"/>
      <c r="AA54" s="28"/>
      <c r="AB54" s="28"/>
      <c r="AC54" s="28"/>
      <c r="AD54" s="28"/>
      <c r="AE54" s="28"/>
      <c r="AF54" s="28"/>
      <c r="AG54" s="28"/>
      <c r="AH54" s="28"/>
      <c r="AI54" s="28"/>
    </row>
    <row r="55" spans="2:35" ht="15.75" thickBot="1" x14ac:dyDescent="0.3">
      <c r="B55">
        <v>39</v>
      </c>
      <c r="C55" s="735" t="s">
        <v>43</v>
      </c>
      <c r="D55" s="736"/>
      <c r="E55" s="171">
        <v>8</v>
      </c>
      <c r="F55" s="28">
        <v>5</v>
      </c>
      <c r="G55" s="171">
        <v>21</v>
      </c>
      <c r="H55" s="28">
        <v>16</v>
      </c>
      <c r="I55" s="171">
        <v>17</v>
      </c>
      <c r="J55" s="28">
        <v>30</v>
      </c>
      <c r="K55" s="171">
        <v>29</v>
      </c>
      <c r="L55" s="28">
        <v>37</v>
      </c>
      <c r="M55" s="171">
        <v>25</v>
      </c>
      <c r="N55" s="28">
        <v>26</v>
      </c>
      <c r="O55" s="171">
        <v>25</v>
      </c>
      <c r="P55" s="28">
        <v>13</v>
      </c>
      <c r="Q55" s="371">
        <f t="shared" si="10"/>
        <v>252</v>
      </c>
      <c r="R55" s="375">
        <f t="shared" si="11"/>
        <v>180</v>
      </c>
      <c r="S55" s="28"/>
      <c r="T55" s="28"/>
      <c r="U55" s="28"/>
      <c r="V55" s="28"/>
      <c r="W55" s="28"/>
      <c r="X55" s="28"/>
      <c r="Y55" s="28"/>
      <c r="Z55" s="28"/>
      <c r="AA55" s="28"/>
      <c r="AB55" s="28"/>
      <c r="AC55" s="28"/>
      <c r="AD55" s="28"/>
      <c r="AE55" s="28"/>
      <c r="AF55" s="28"/>
      <c r="AG55" s="28"/>
      <c r="AH55" s="28"/>
      <c r="AI55" s="28"/>
    </row>
    <row r="56" spans="2:35" ht="15.75" thickBot="1" x14ac:dyDescent="0.3">
      <c r="B56">
        <v>40</v>
      </c>
      <c r="C56" s="729" t="s">
        <v>41</v>
      </c>
      <c r="D56" s="730"/>
      <c r="E56" s="180"/>
      <c r="F56" s="180"/>
      <c r="G56" s="180"/>
      <c r="H56" s="180"/>
      <c r="I56" s="180"/>
      <c r="J56" s="180"/>
      <c r="K56" s="180"/>
      <c r="L56" s="180"/>
      <c r="M56" s="180"/>
      <c r="N56" s="180"/>
      <c r="O56" s="180"/>
      <c r="P56" s="180"/>
      <c r="Q56" s="370"/>
      <c r="R56" s="370"/>
      <c r="S56"/>
      <c r="U56"/>
      <c r="W56"/>
      <c r="Y56"/>
      <c r="AA56"/>
      <c r="AC56"/>
      <c r="AE56"/>
      <c r="AG56"/>
      <c r="AI56"/>
    </row>
    <row r="57" spans="2:35" x14ac:dyDescent="0.25">
      <c r="B57">
        <v>41</v>
      </c>
      <c r="C57" s="751" t="s">
        <v>178</v>
      </c>
      <c r="D57" s="41" t="s">
        <v>176</v>
      </c>
      <c r="E57" s="171">
        <v>50</v>
      </c>
      <c r="F57" s="28">
        <v>51</v>
      </c>
      <c r="G57" s="171">
        <v>70</v>
      </c>
      <c r="H57" s="28">
        <v>86</v>
      </c>
      <c r="I57" s="171">
        <v>140</v>
      </c>
      <c r="J57" s="28">
        <v>227</v>
      </c>
      <c r="K57" s="171">
        <v>294</v>
      </c>
      <c r="L57" s="28">
        <v>260</v>
      </c>
      <c r="M57" s="171">
        <v>176</v>
      </c>
      <c r="N57" s="28">
        <v>117</v>
      </c>
      <c r="O57" s="171">
        <v>63</v>
      </c>
      <c r="P57" s="28">
        <v>68</v>
      </c>
      <c r="Q57" s="371">
        <f>SUM(E57:P57)</f>
        <v>1602</v>
      </c>
      <c r="R57" s="375">
        <f>SUM(H57:N57)</f>
        <v>1300</v>
      </c>
      <c r="S57" s="28"/>
      <c r="T57" s="28"/>
      <c r="U57" s="28"/>
      <c r="V57" s="28"/>
      <c r="W57" s="28"/>
      <c r="X57" s="28"/>
      <c r="Y57" s="28"/>
      <c r="Z57" s="28"/>
      <c r="AA57" s="28"/>
      <c r="AB57" s="28"/>
      <c r="AC57" s="28"/>
      <c r="AD57" s="28"/>
      <c r="AE57" s="28"/>
      <c r="AF57" s="28"/>
      <c r="AG57" s="28"/>
      <c r="AH57" s="28"/>
      <c r="AI57" s="28"/>
    </row>
    <row r="58" spans="2:35" ht="15.75" thickBot="1" x14ac:dyDescent="0.3">
      <c r="B58">
        <v>42</v>
      </c>
      <c r="C58" s="752"/>
      <c r="D58" s="42" t="s">
        <v>177</v>
      </c>
      <c r="E58" s="171">
        <v>16</v>
      </c>
      <c r="F58" s="28">
        <v>5</v>
      </c>
      <c r="G58" s="171">
        <v>8</v>
      </c>
      <c r="H58" s="28">
        <v>11</v>
      </c>
      <c r="I58" s="171">
        <v>6</v>
      </c>
      <c r="J58" s="28">
        <v>5</v>
      </c>
      <c r="K58" s="171">
        <v>15</v>
      </c>
      <c r="L58" s="28">
        <v>18</v>
      </c>
      <c r="M58" s="171">
        <v>15</v>
      </c>
      <c r="N58" s="28">
        <v>3</v>
      </c>
      <c r="O58" s="171">
        <v>12</v>
      </c>
      <c r="P58" s="28">
        <v>8</v>
      </c>
      <c r="Q58" s="371">
        <f>SUM(E58:P58)</f>
        <v>122</v>
      </c>
      <c r="R58" s="375">
        <f>SUM(H58:N58)</f>
        <v>73</v>
      </c>
      <c r="S58" s="28"/>
      <c r="T58" s="28"/>
      <c r="U58" s="28"/>
      <c r="V58" s="28"/>
      <c r="W58" s="28"/>
      <c r="X58" s="28"/>
      <c r="Y58" s="28"/>
      <c r="Z58" s="28"/>
      <c r="AA58" s="28"/>
      <c r="AB58" s="28"/>
      <c r="AC58" s="28"/>
      <c r="AD58" s="28"/>
      <c r="AE58" s="28"/>
      <c r="AF58" s="28"/>
      <c r="AG58" s="28"/>
      <c r="AH58" s="28"/>
      <c r="AI58" s="28"/>
    </row>
    <row r="59" spans="2:35" ht="15.75" thickBot="1" x14ac:dyDescent="0.3">
      <c r="C59" s="12"/>
      <c r="D59" s="13"/>
      <c r="E59" s="181"/>
      <c r="F59" s="61"/>
      <c r="G59" s="181"/>
      <c r="H59" s="61"/>
      <c r="I59" s="181"/>
      <c r="J59" s="61"/>
      <c r="K59" s="181"/>
      <c r="L59" s="61"/>
      <c r="M59" s="181"/>
      <c r="N59" s="61"/>
      <c r="O59" s="181"/>
      <c r="P59" s="61"/>
      <c r="Q59" s="372"/>
      <c r="R59" s="308"/>
      <c r="S59" s="28"/>
      <c r="T59" s="28"/>
      <c r="U59" s="28"/>
      <c r="V59" s="28"/>
      <c r="W59" s="28"/>
      <c r="X59" s="28"/>
      <c r="Y59" s="28"/>
      <c r="Z59" s="28"/>
      <c r="AA59" s="28"/>
      <c r="AB59" s="28"/>
      <c r="AC59" s="28"/>
      <c r="AD59" s="28"/>
      <c r="AE59" s="28"/>
      <c r="AF59" s="28"/>
      <c r="AG59" s="28"/>
      <c r="AH59" s="28"/>
      <c r="AI59" s="28"/>
    </row>
    <row r="60" spans="2:35" ht="15.75" thickBot="1" x14ac:dyDescent="0.3">
      <c r="C60" s="729" t="s">
        <v>421</v>
      </c>
      <c r="D60" s="730"/>
      <c r="E60" s="181"/>
      <c r="F60" s="61"/>
      <c r="G60" s="181"/>
      <c r="H60" s="61"/>
      <c r="I60" s="181"/>
      <c r="J60" s="61"/>
      <c r="K60" s="181"/>
      <c r="L60" s="61"/>
      <c r="M60" s="181"/>
      <c r="N60" s="61"/>
      <c r="O60" s="181"/>
      <c r="P60" s="61"/>
      <c r="Q60" s="372"/>
      <c r="R60" s="308"/>
      <c r="S60" s="28"/>
      <c r="T60" s="28"/>
      <c r="U60" s="28"/>
      <c r="V60" s="28"/>
      <c r="W60" s="28"/>
      <c r="X60" s="28"/>
      <c r="Y60" s="28"/>
      <c r="Z60" s="28"/>
      <c r="AA60" s="28"/>
      <c r="AB60" s="28"/>
      <c r="AC60" s="28"/>
      <c r="AD60" s="28"/>
      <c r="AE60" s="28"/>
      <c r="AF60" s="28"/>
      <c r="AG60" s="28"/>
      <c r="AH60" s="28"/>
      <c r="AI60" s="28"/>
    </row>
    <row r="61" spans="2:35" ht="15.75" thickBot="1" x14ac:dyDescent="0.3">
      <c r="C61" s="50"/>
      <c r="D61" s="59" t="s">
        <v>422</v>
      </c>
      <c r="E61" s="181"/>
      <c r="F61" s="61"/>
      <c r="G61" s="181"/>
      <c r="H61" s="61"/>
      <c r="I61" s="181"/>
      <c r="J61" s="61"/>
      <c r="K61" s="181"/>
      <c r="L61" s="61"/>
      <c r="M61" s="181"/>
      <c r="N61" s="61"/>
      <c r="O61" s="181"/>
      <c r="P61" s="61"/>
      <c r="Q61" s="372"/>
      <c r="R61" s="308"/>
      <c r="S61" s="28"/>
      <c r="T61" s="28"/>
      <c r="U61" s="28"/>
      <c r="V61" s="28"/>
      <c r="W61" s="28"/>
      <c r="X61" s="28"/>
      <c r="Y61" s="28"/>
      <c r="Z61" s="28"/>
      <c r="AA61" s="28"/>
      <c r="AB61" s="28"/>
      <c r="AC61" s="28"/>
      <c r="AD61" s="28"/>
      <c r="AE61" s="28"/>
      <c r="AF61" s="28"/>
      <c r="AG61" s="28"/>
      <c r="AH61" s="28"/>
      <c r="AI61" s="28"/>
    </row>
    <row r="62" spans="2:35" x14ac:dyDescent="0.25">
      <c r="B62">
        <v>43</v>
      </c>
      <c r="C62" s="95"/>
      <c r="D62" s="104">
        <v>1</v>
      </c>
      <c r="E62" s="171">
        <v>1</v>
      </c>
      <c r="F62" s="28">
        <v>0</v>
      </c>
      <c r="G62" s="171">
        <v>0</v>
      </c>
      <c r="H62" s="28">
        <v>0</v>
      </c>
      <c r="I62" s="171">
        <v>0</v>
      </c>
      <c r="J62" s="28">
        <v>1</v>
      </c>
      <c r="K62" s="171">
        <v>0</v>
      </c>
      <c r="L62" s="28">
        <v>2</v>
      </c>
      <c r="M62" s="171">
        <v>0</v>
      </c>
      <c r="N62" s="28">
        <v>0</v>
      </c>
      <c r="O62" s="171">
        <v>0</v>
      </c>
      <c r="P62" s="28">
        <v>0</v>
      </c>
      <c r="Q62" s="374">
        <f>SUM(E62:P62)</f>
        <v>4</v>
      </c>
      <c r="R62" s="417">
        <f>SUM(H62:N62)</f>
        <v>3</v>
      </c>
      <c r="S62" s="28"/>
      <c r="T62" s="28"/>
      <c r="U62" s="28"/>
      <c r="V62" s="28"/>
      <c r="W62" s="28"/>
      <c r="X62" s="28"/>
      <c r="Y62" s="28"/>
      <c r="Z62" s="28"/>
      <c r="AA62" s="28"/>
      <c r="AB62" s="28"/>
      <c r="AC62" s="28"/>
      <c r="AD62" s="28"/>
      <c r="AE62" s="28"/>
      <c r="AF62" s="28"/>
      <c r="AG62" s="28"/>
      <c r="AH62" s="28"/>
      <c r="AI62" s="28"/>
    </row>
    <row r="63" spans="2:35" x14ac:dyDescent="0.25">
      <c r="B63">
        <v>44</v>
      </c>
      <c r="C63" s="70"/>
      <c r="D63" s="104">
        <v>2</v>
      </c>
      <c r="E63" s="171">
        <v>0</v>
      </c>
      <c r="F63" s="28">
        <v>1</v>
      </c>
      <c r="G63" s="171">
        <v>0</v>
      </c>
      <c r="H63" s="28">
        <v>0</v>
      </c>
      <c r="I63" s="171">
        <v>0</v>
      </c>
      <c r="J63" s="28">
        <v>1</v>
      </c>
      <c r="K63" s="171">
        <v>3</v>
      </c>
      <c r="L63" s="28">
        <v>1</v>
      </c>
      <c r="M63" s="171">
        <v>1</v>
      </c>
      <c r="N63" s="28">
        <v>1</v>
      </c>
      <c r="O63" s="171">
        <v>0</v>
      </c>
      <c r="P63" s="28">
        <v>1</v>
      </c>
      <c r="Q63" s="371">
        <f t="shared" ref="Q63:Q75" si="12">SUM(E63:P63)</f>
        <v>9</v>
      </c>
      <c r="R63" s="375">
        <f t="shared" ref="R63:R75" si="13">SUM(H63:N63)</f>
        <v>7</v>
      </c>
      <c r="S63" s="28"/>
      <c r="T63" s="28"/>
      <c r="U63" s="28"/>
      <c r="V63" s="28"/>
      <c r="W63" s="28"/>
      <c r="X63" s="28"/>
      <c r="Y63" s="28"/>
      <c r="Z63" s="28"/>
      <c r="AA63" s="28"/>
      <c r="AB63" s="28"/>
      <c r="AC63" s="28"/>
      <c r="AD63" s="28"/>
      <c r="AE63" s="28"/>
      <c r="AF63" s="28"/>
      <c r="AG63" s="28"/>
      <c r="AH63" s="28"/>
      <c r="AI63" s="28"/>
    </row>
    <row r="64" spans="2:35" x14ac:dyDescent="0.25">
      <c r="B64">
        <v>45</v>
      </c>
      <c r="C64" s="70"/>
      <c r="D64" s="104">
        <v>3</v>
      </c>
      <c r="E64" s="171">
        <v>0</v>
      </c>
      <c r="F64" s="28">
        <v>0</v>
      </c>
      <c r="G64" s="171">
        <v>0</v>
      </c>
      <c r="H64" s="28">
        <v>0</v>
      </c>
      <c r="I64" s="171">
        <v>0</v>
      </c>
      <c r="J64" s="28">
        <v>0</v>
      </c>
      <c r="K64" s="171">
        <v>0</v>
      </c>
      <c r="L64" s="28">
        <v>1</v>
      </c>
      <c r="M64" s="171">
        <v>0</v>
      </c>
      <c r="N64" s="28">
        <v>0</v>
      </c>
      <c r="O64" s="171">
        <v>0</v>
      </c>
      <c r="P64" s="28">
        <v>0</v>
      </c>
      <c r="Q64" s="371">
        <f t="shared" si="12"/>
        <v>1</v>
      </c>
      <c r="R64" s="375">
        <f t="shared" si="13"/>
        <v>1</v>
      </c>
      <c r="S64" s="28"/>
      <c r="T64" s="28"/>
      <c r="U64" s="28"/>
      <c r="V64" s="28"/>
      <c r="W64" s="28"/>
      <c r="X64" s="28"/>
      <c r="Y64" s="28"/>
      <c r="Z64" s="28"/>
      <c r="AA64" s="28"/>
      <c r="AB64" s="28"/>
      <c r="AC64" s="28"/>
      <c r="AD64" s="28"/>
      <c r="AE64" s="28"/>
      <c r="AF64" s="28"/>
      <c r="AG64" s="28"/>
      <c r="AH64" s="28"/>
      <c r="AI64" s="28"/>
    </row>
    <row r="65" spans="2:36" x14ac:dyDescent="0.25">
      <c r="B65">
        <v>46</v>
      </c>
      <c r="C65" s="70"/>
      <c r="D65" s="104">
        <v>4</v>
      </c>
      <c r="E65" s="171">
        <v>1</v>
      </c>
      <c r="F65" s="28">
        <v>0</v>
      </c>
      <c r="G65" s="171">
        <v>0</v>
      </c>
      <c r="H65" s="28">
        <v>1</v>
      </c>
      <c r="I65" s="171">
        <v>2</v>
      </c>
      <c r="J65" s="28">
        <v>1</v>
      </c>
      <c r="K65" s="171">
        <v>1</v>
      </c>
      <c r="L65" s="28">
        <v>2</v>
      </c>
      <c r="M65" s="171">
        <v>1</v>
      </c>
      <c r="N65" s="28">
        <v>2</v>
      </c>
      <c r="O65" s="171">
        <v>1</v>
      </c>
      <c r="P65" s="28">
        <v>1</v>
      </c>
      <c r="Q65" s="371">
        <f t="shared" si="12"/>
        <v>13</v>
      </c>
      <c r="R65" s="375">
        <f t="shared" si="13"/>
        <v>10</v>
      </c>
      <c r="S65" s="28"/>
      <c r="T65" s="28"/>
      <c r="U65" s="28"/>
      <c r="V65" s="28"/>
      <c r="W65" s="28"/>
      <c r="X65" s="28"/>
      <c r="Y65" s="28"/>
      <c r="Z65" s="28"/>
      <c r="AA65" s="28"/>
      <c r="AB65" s="28"/>
      <c r="AC65" s="28"/>
      <c r="AD65" s="28"/>
      <c r="AE65" s="28"/>
      <c r="AF65" s="28"/>
      <c r="AG65" s="28"/>
      <c r="AH65" s="28"/>
      <c r="AI65" s="28"/>
    </row>
    <row r="66" spans="2:36" x14ac:dyDescent="0.25">
      <c r="C66" s="70"/>
      <c r="D66" s="96" t="s">
        <v>182</v>
      </c>
      <c r="E66" s="171">
        <f>SUM(E62:E65)</f>
        <v>2</v>
      </c>
      <c r="F66" s="171">
        <f t="shared" ref="F66:P66" si="14">SUM(F62:F65)</f>
        <v>1</v>
      </c>
      <c r="G66" s="171">
        <f t="shared" si="14"/>
        <v>0</v>
      </c>
      <c r="H66" s="413">
        <f t="shared" si="14"/>
        <v>1</v>
      </c>
      <c r="I66" s="413">
        <f t="shared" si="14"/>
        <v>2</v>
      </c>
      <c r="J66" s="413">
        <f t="shared" si="14"/>
        <v>3</v>
      </c>
      <c r="K66" s="413">
        <f t="shared" si="14"/>
        <v>4</v>
      </c>
      <c r="L66" s="413">
        <f t="shared" si="14"/>
        <v>6</v>
      </c>
      <c r="M66" s="413">
        <f t="shared" si="14"/>
        <v>2</v>
      </c>
      <c r="N66" s="413">
        <f t="shared" si="14"/>
        <v>3</v>
      </c>
      <c r="O66" s="171">
        <f t="shared" si="14"/>
        <v>1</v>
      </c>
      <c r="P66" s="171">
        <f t="shared" si="14"/>
        <v>2</v>
      </c>
      <c r="Q66" s="371">
        <f t="shared" si="12"/>
        <v>27</v>
      </c>
      <c r="R66" s="375">
        <f t="shared" si="13"/>
        <v>21</v>
      </c>
      <c r="S66" s="28"/>
      <c r="T66" s="28"/>
      <c r="U66" s="28"/>
      <c r="V66" s="28"/>
      <c r="W66" s="28"/>
      <c r="X66" s="28"/>
      <c r="Y66" s="28"/>
      <c r="Z66" s="28"/>
      <c r="AA66" s="28"/>
      <c r="AB66" s="28"/>
      <c r="AC66" s="28"/>
      <c r="AD66" s="28"/>
      <c r="AE66" s="28"/>
      <c r="AF66" s="28"/>
      <c r="AG66" s="28"/>
      <c r="AH66" s="28"/>
      <c r="AI66" s="28"/>
    </row>
    <row r="67" spans="2:36" x14ac:dyDescent="0.25">
      <c r="B67">
        <v>47</v>
      </c>
      <c r="C67" s="70"/>
      <c r="D67" s="105">
        <v>5</v>
      </c>
      <c r="E67" s="171">
        <v>0</v>
      </c>
      <c r="F67" s="28">
        <v>0</v>
      </c>
      <c r="G67" s="171">
        <v>0</v>
      </c>
      <c r="H67" s="28">
        <v>0</v>
      </c>
      <c r="I67" s="171">
        <v>0</v>
      </c>
      <c r="J67" s="28">
        <v>0</v>
      </c>
      <c r="K67" s="171">
        <v>0</v>
      </c>
      <c r="L67" s="28">
        <v>3</v>
      </c>
      <c r="M67" s="171">
        <v>0</v>
      </c>
      <c r="N67" s="28">
        <v>1</v>
      </c>
      <c r="O67" s="171">
        <v>0</v>
      </c>
      <c r="P67" s="28">
        <v>1</v>
      </c>
      <c r="Q67" s="371">
        <f t="shared" si="12"/>
        <v>5</v>
      </c>
      <c r="R67" s="375">
        <f t="shared" si="13"/>
        <v>4</v>
      </c>
      <c r="S67" s="28"/>
      <c r="T67" s="28"/>
      <c r="U67" s="28"/>
      <c r="V67" s="28"/>
      <c r="W67" s="28"/>
      <c r="X67" s="28"/>
      <c r="Y67" s="28"/>
      <c r="Z67" s="28"/>
      <c r="AA67" s="28"/>
      <c r="AB67" s="28"/>
      <c r="AC67" s="28"/>
      <c r="AD67" s="28"/>
      <c r="AE67" s="28"/>
      <c r="AF67" s="28"/>
      <c r="AG67" s="28"/>
      <c r="AH67" s="28"/>
      <c r="AI67" s="28"/>
    </row>
    <row r="68" spans="2:36" x14ac:dyDescent="0.25">
      <c r="B68">
        <v>48</v>
      </c>
      <c r="C68" s="70"/>
      <c r="D68" s="105">
        <v>6</v>
      </c>
      <c r="E68" s="171">
        <v>0</v>
      </c>
      <c r="F68" s="28">
        <v>0</v>
      </c>
      <c r="G68" s="171">
        <v>0</v>
      </c>
      <c r="H68" s="28">
        <v>0</v>
      </c>
      <c r="I68" s="171">
        <v>0</v>
      </c>
      <c r="J68" s="28">
        <v>0</v>
      </c>
      <c r="K68" s="171">
        <v>0</v>
      </c>
      <c r="L68" s="28">
        <v>0</v>
      </c>
      <c r="M68" s="171">
        <v>0</v>
      </c>
      <c r="N68" s="28">
        <v>0</v>
      </c>
      <c r="O68" s="171">
        <v>0</v>
      </c>
      <c r="P68" s="28">
        <v>0</v>
      </c>
      <c r="Q68" s="371">
        <f t="shared" si="12"/>
        <v>0</v>
      </c>
      <c r="R68" s="375">
        <f t="shared" si="13"/>
        <v>0</v>
      </c>
      <c r="S68" s="28"/>
      <c r="T68" s="28"/>
      <c r="U68" s="28"/>
      <c r="V68" s="28"/>
      <c r="W68" s="28"/>
      <c r="X68" s="28"/>
      <c r="Y68" s="28"/>
      <c r="Z68" s="28"/>
      <c r="AA68" s="28"/>
      <c r="AB68" s="28"/>
      <c r="AC68" s="28"/>
      <c r="AD68" s="28"/>
      <c r="AE68" s="28"/>
      <c r="AF68" s="28"/>
      <c r="AG68" s="28"/>
      <c r="AH68" s="28"/>
      <c r="AI68" s="28"/>
    </row>
    <row r="69" spans="2:36" x14ac:dyDescent="0.25">
      <c r="B69">
        <v>49</v>
      </c>
      <c r="C69" s="70"/>
      <c r="D69" s="105">
        <v>7</v>
      </c>
      <c r="E69" s="171">
        <v>0</v>
      </c>
      <c r="F69" s="28">
        <v>0</v>
      </c>
      <c r="G69" s="171">
        <v>0</v>
      </c>
      <c r="H69" s="28">
        <v>0</v>
      </c>
      <c r="I69" s="171">
        <v>0</v>
      </c>
      <c r="J69" s="28">
        <v>0</v>
      </c>
      <c r="K69" s="171">
        <v>0</v>
      </c>
      <c r="L69" s="28">
        <v>0</v>
      </c>
      <c r="M69" s="171">
        <v>0</v>
      </c>
      <c r="N69" s="28">
        <v>0</v>
      </c>
      <c r="O69" s="171">
        <v>0</v>
      </c>
      <c r="P69" s="28">
        <v>0</v>
      </c>
      <c r="Q69" s="371">
        <f t="shared" si="12"/>
        <v>0</v>
      </c>
      <c r="R69" s="375">
        <f t="shared" si="13"/>
        <v>0</v>
      </c>
      <c r="S69" s="28"/>
      <c r="T69" s="28"/>
      <c r="U69" s="28"/>
      <c r="V69" s="28"/>
      <c r="W69" s="28"/>
      <c r="X69" s="28"/>
      <c r="Y69" s="28"/>
      <c r="Z69" s="28"/>
      <c r="AA69" s="28"/>
      <c r="AB69" s="28"/>
      <c r="AC69" s="28"/>
      <c r="AD69" s="28"/>
      <c r="AE69" s="28"/>
      <c r="AF69" s="28"/>
      <c r="AG69" s="28"/>
      <c r="AH69" s="28"/>
      <c r="AI69" s="28"/>
    </row>
    <row r="70" spans="2:36" x14ac:dyDescent="0.25">
      <c r="B70">
        <v>50</v>
      </c>
      <c r="C70" s="70"/>
      <c r="D70" s="105">
        <v>8</v>
      </c>
      <c r="E70" s="171">
        <v>0</v>
      </c>
      <c r="F70" s="28">
        <v>0</v>
      </c>
      <c r="G70" s="171">
        <v>0</v>
      </c>
      <c r="H70" s="28">
        <v>0</v>
      </c>
      <c r="I70" s="171">
        <v>0</v>
      </c>
      <c r="J70" s="28">
        <v>0</v>
      </c>
      <c r="K70" s="171">
        <v>0</v>
      </c>
      <c r="L70" s="28">
        <v>0</v>
      </c>
      <c r="M70" s="171">
        <v>0</v>
      </c>
      <c r="N70" s="28">
        <v>0</v>
      </c>
      <c r="O70" s="171">
        <v>0</v>
      </c>
      <c r="P70" s="28">
        <v>0</v>
      </c>
      <c r="Q70" s="371">
        <f t="shared" si="12"/>
        <v>0</v>
      </c>
      <c r="R70" s="375">
        <f t="shared" si="13"/>
        <v>0</v>
      </c>
      <c r="S70" s="28"/>
      <c r="T70" s="28"/>
      <c r="U70" s="28"/>
      <c r="V70" s="28"/>
      <c r="W70" s="28"/>
      <c r="X70" s="28"/>
      <c r="Y70" s="28"/>
      <c r="Z70" s="28"/>
      <c r="AA70" s="28"/>
      <c r="AB70" s="28"/>
      <c r="AC70" s="28"/>
      <c r="AD70" s="28"/>
      <c r="AE70" s="28"/>
      <c r="AF70" s="28"/>
      <c r="AG70" s="28"/>
      <c r="AH70" s="28"/>
      <c r="AI70" s="28"/>
    </row>
    <row r="71" spans="2:36" x14ac:dyDescent="0.25">
      <c r="B71">
        <v>51</v>
      </c>
      <c r="C71" s="70"/>
      <c r="D71" s="105">
        <v>9</v>
      </c>
      <c r="E71" s="171">
        <v>0</v>
      </c>
      <c r="F71" s="28">
        <v>0</v>
      </c>
      <c r="G71" s="171">
        <v>0</v>
      </c>
      <c r="H71" s="28">
        <v>0</v>
      </c>
      <c r="I71" s="171">
        <v>1</v>
      </c>
      <c r="J71" s="28">
        <v>0</v>
      </c>
      <c r="K71" s="171">
        <v>0</v>
      </c>
      <c r="L71" s="28">
        <v>0</v>
      </c>
      <c r="M71" s="171">
        <v>2</v>
      </c>
      <c r="N71" s="28">
        <v>0</v>
      </c>
      <c r="O71" s="171">
        <v>0</v>
      </c>
      <c r="P71" s="28">
        <v>0</v>
      </c>
      <c r="Q71" s="371">
        <f t="shared" si="12"/>
        <v>3</v>
      </c>
      <c r="R71" s="375">
        <f t="shared" si="13"/>
        <v>3</v>
      </c>
      <c r="S71" s="28"/>
      <c r="T71" s="28"/>
      <c r="U71" s="28"/>
      <c r="V71" s="28"/>
      <c r="W71" s="28"/>
      <c r="X71" s="28"/>
      <c r="Y71" s="28"/>
      <c r="Z71" s="28"/>
      <c r="AA71" s="28"/>
      <c r="AB71" s="28"/>
      <c r="AC71" s="28"/>
      <c r="AD71" s="28"/>
      <c r="AE71" s="28"/>
      <c r="AF71" s="28"/>
      <c r="AG71" s="28"/>
      <c r="AH71" s="28"/>
      <c r="AI71" s="28"/>
    </row>
    <row r="72" spans="2:36" x14ac:dyDescent="0.25">
      <c r="B72">
        <v>52</v>
      </c>
      <c r="C72" s="70"/>
      <c r="D72" s="105">
        <v>10</v>
      </c>
      <c r="E72" s="171">
        <v>0</v>
      </c>
      <c r="F72" s="28">
        <v>0</v>
      </c>
      <c r="G72" s="171">
        <v>0</v>
      </c>
      <c r="H72" s="28">
        <v>0</v>
      </c>
      <c r="I72" s="171">
        <v>1</v>
      </c>
      <c r="J72" s="28">
        <v>2</v>
      </c>
      <c r="K72" s="171">
        <v>0</v>
      </c>
      <c r="L72" s="28">
        <v>0</v>
      </c>
      <c r="M72" s="171">
        <v>0</v>
      </c>
      <c r="N72" s="28">
        <v>0</v>
      </c>
      <c r="O72" s="171">
        <v>0</v>
      </c>
      <c r="P72" s="28">
        <v>0</v>
      </c>
      <c r="Q72" s="371">
        <f t="shared" si="12"/>
        <v>3</v>
      </c>
      <c r="R72" s="375">
        <f t="shared" si="13"/>
        <v>3</v>
      </c>
      <c r="S72" s="28"/>
      <c r="T72" s="28"/>
      <c r="U72" s="28"/>
      <c r="V72" s="28"/>
      <c r="W72" s="28"/>
      <c r="X72" s="28"/>
      <c r="Y72" s="28"/>
      <c r="Z72" s="28"/>
      <c r="AA72" s="28"/>
      <c r="AB72" s="28"/>
      <c r="AC72" s="28"/>
      <c r="AD72" s="28"/>
      <c r="AE72" s="28"/>
      <c r="AF72" s="28"/>
      <c r="AG72" s="28"/>
      <c r="AH72" s="28"/>
      <c r="AI72" s="28"/>
    </row>
    <row r="73" spans="2:36" x14ac:dyDescent="0.25">
      <c r="B73">
        <v>53</v>
      </c>
      <c r="C73" s="70"/>
      <c r="D73" s="105">
        <v>11</v>
      </c>
      <c r="E73" s="171">
        <v>0</v>
      </c>
      <c r="F73" s="28">
        <v>0</v>
      </c>
      <c r="G73" s="171">
        <v>0</v>
      </c>
      <c r="H73" s="28">
        <v>0</v>
      </c>
      <c r="I73" s="171">
        <v>0</v>
      </c>
      <c r="J73" s="28">
        <v>0</v>
      </c>
      <c r="K73" s="171">
        <v>0</v>
      </c>
      <c r="L73" s="28">
        <v>0</v>
      </c>
      <c r="M73" s="171">
        <v>0</v>
      </c>
      <c r="N73" s="28">
        <v>0</v>
      </c>
      <c r="O73" s="171">
        <v>0</v>
      </c>
      <c r="P73" s="28">
        <v>0</v>
      </c>
      <c r="Q73" s="371">
        <f t="shared" si="12"/>
        <v>0</v>
      </c>
      <c r="R73" s="375">
        <f t="shared" si="13"/>
        <v>0</v>
      </c>
      <c r="S73" s="28"/>
      <c r="T73" s="28"/>
      <c r="U73" s="28"/>
      <c r="V73" s="28"/>
      <c r="W73" s="28"/>
      <c r="X73" s="28"/>
      <c r="Y73" s="28"/>
      <c r="Z73" s="28"/>
      <c r="AA73" s="28"/>
      <c r="AB73" s="28"/>
      <c r="AC73" s="28"/>
      <c r="AD73" s="28"/>
      <c r="AE73" s="28"/>
      <c r="AF73" s="28"/>
      <c r="AG73" s="28"/>
      <c r="AH73" s="28"/>
      <c r="AI73" s="28"/>
    </row>
    <row r="74" spans="2:36" x14ac:dyDescent="0.25">
      <c r="B74">
        <v>54</v>
      </c>
      <c r="C74" s="70"/>
      <c r="D74" s="105">
        <v>12</v>
      </c>
      <c r="E74" s="171">
        <v>0</v>
      </c>
      <c r="F74" s="28">
        <v>0</v>
      </c>
      <c r="G74" s="171">
        <v>0</v>
      </c>
      <c r="H74" s="28">
        <v>0</v>
      </c>
      <c r="I74" s="171">
        <v>0</v>
      </c>
      <c r="J74" s="28">
        <v>0</v>
      </c>
      <c r="K74" s="171">
        <v>0</v>
      </c>
      <c r="L74" s="28">
        <v>0</v>
      </c>
      <c r="M74" s="171">
        <v>0</v>
      </c>
      <c r="N74" s="28">
        <v>0</v>
      </c>
      <c r="O74" s="171">
        <v>0</v>
      </c>
      <c r="P74" s="28">
        <v>0</v>
      </c>
      <c r="Q74" s="371">
        <f t="shared" si="12"/>
        <v>0</v>
      </c>
      <c r="R74" s="375">
        <f t="shared" si="13"/>
        <v>0</v>
      </c>
      <c r="S74" s="28"/>
      <c r="T74" s="28"/>
      <c r="U74" s="28"/>
      <c r="V74" s="28"/>
      <c r="W74" s="28"/>
      <c r="X74" s="28"/>
      <c r="Y74" s="28"/>
      <c r="Z74" s="28"/>
      <c r="AA74" s="28"/>
      <c r="AB74" s="28"/>
      <c r="AC74" s="28"/>
      <c r="AD74" s="28"/>
      <c r="AE74" s="28"/>
      <c r="AF74" s="28"/>
      <c r="AG74" s="28"/>
      <c r="AH74" s="28"/>
      <c r="AI74" s="28"/>
    </row>
    <row r="75" spans="2:36" ht="15.75" thickBot="1" x14ac:dyDescent="0.3">
      <c r="C75" s="70"/>
      <c r="D75" s="96" t="s">
        <v>182</v>
      </c>
      <c r="E75" s="171">
        <f>SUM(E67:E74)</f>
        <v>0</v>
      </c>
      <c r="F75" s="171">
        <f t="shared" ref="F75:P75" si="15">SUM(F67:F74)</f>
        <v>0</v>
      </c>
      <c r="G75" s="171">
        <f t="shared" si="15"/>
        <v>0</v>
      </c>
      <c r="H75" s="413">
        <f t="shared" si="15"/>
        <v>0</v>
      </c>
      <c r="I75" s="413">
        <f t="shared" si="15"/>
        <v>2</v>
      </c>
      <c r="J75" s="413">
        <f t="shared" si="15"/>
        <v>2</v>
      </c>
      <c r="K75" s="413">
        <f t="shared" si="15"/>
        <v>0</v>
      </c>
      <c r="L75" s="413">
        <f t="shared" si="15"/>
        <v>3</v>
      </c>
      <c r="M75" s="413">
        <f t="shared" si="15"/>
        <v>2</v>
      </c>
      <c r="N75" s="413">
        <f t="shared" si="15"/>
        <v>1</v>
      </c>
      <c r="O75" s="171">
        <f t="shared" si="15"/>
        <v>0</v>
      </c>
      <c r="P75" s="171">
        <f t="shared" si="15"/>
        <v>1</v>
      </c>
      <c r="Q75" s="373">
        <f t="shared" si="12"/>
        <v>11</v>
      </c>
      <c r="R75" s="418">
        <f t="shared" si="13"/>
        <v>10</v>
      </c>
      <c r="S75" s="28"/>
      <c r="T75" s="28"/>
      <c r="U75" s="28"/>
      <c r="V75" s="28"/>
      <c r="W75" s="28"/>
      <c r="X75" s="28"/>
      <c r="Y75" s="28"/>
      <c r="Z75" s="28"/>
      <c r="AA75" s="28"/>
      <c r="AB75" s="28"/>
      <c r="AC75" s="28"/>
      <c r="AD75" s="28"/>
      <c r="AE75" s="28"/>
      <c r="AF75" s="28"/>
      <c r="AG75" s="28"/>
      <c r="AH75" s="28"/>
      <c r="AI75" s="28"/>
    </row>
    <row r="76" spans="2:36" ht="15.75" thickBot="1" x14ac:dyDescent="0.3">
      <c r="B76">
        <v>55</v>
      </c>
      <c r="C76" s="97"/>
      <c r="D76" s="64" t="s">
        <v>184</v>
      </c>
      <c r="E76" s="181"/>
      <c r="F76" s="61"/>
      <c r="G76" s="181"/>
      <c r="H76" s="61"/>
      <c r="I76" s="181"/>
      <c r="J76" s="61"/>
      <c r="K76" s="181"/>
      <c r="L76" s="61"/>
      <c r="M76" s="181"/>
      <c r="N76" s="61"/>
      <c r="O76" s="181"/>
      <c r="P76" s="61"/>
      <c r="Q76" s="61"/>
      <c r="R76" s="61"/>
      <c r="S76" s="28"/>
      <c r="T76" s="28"/>
      <c r="U76" s="28"/>
      <c r="V76" s="28"/>
      <c r="W76" s="28"/>
      <c r="X76" s="28"/>
      <c r="Y76" s="28"/>
      <c r="Z76" s="28"/>
      <c r="AA76" s="28"/>
      <c r="AB76" s="28"/>
      <c r="AC76" s="28"/>
      <c r="AD76" s="28"/>
      <c r="AE76" s="28"/>
      <c r="AF76" s="28"/>
      <c r="AG76" s="28"/>
      <c r="AH76" s="28"/>
      <c r="AI76" s="28"/>
    </row>
    <row r="77" spans="2:36" ht="15.75" thickBot="1" x14ac:dyDescent="0.3">
      <c r="C77" s="176"/>
      <c r="D77" s="177"/>
      <c r="E77" s="181"/>
      <c r="F77" s="61"/>
      <c r="G77" s="181"/>
      <c r="H77" s="61"/>
      <c r="I77" s="181"/>
      <c r="J77" s="61"/>
      <c r="K77" s="181"/>
      <c r="L77" s="61"/>
      <c r="M77" s="181"/>
      <c r="N77" s="61"/>
      <c r="O77" s="181"/>
      <c r="P77" s="61"/>
      <c r="Q77" s="181"/>
      <c r="R77" s="61"/>
      <c r="S77" s="28"/>
      <c r="T77" s="28"/>
      <c r="U77" s="28"/>
      <c r="V77" s="28"/>
      <c r="W77" s="28"/>
      <c r="X77" s="28"/>
      <c r="Y77" s="28"/>
      <c r="Z77" s="28"/>
      <c r="AA77" s="28"/>
      <c r="AB77" s="28"/>
      <c r="AC77" s="28"/>
      <c r="AD77" s="28"/>
      <c r="AE77" s="28"/>
      <c r="AF77" s="28"/>
      <c r="AG77" s="28"/>
      <c r="AH77" s="28"/>
      <c r="AI77" s="28"/>
    </row>
    <row r="78" spans="2:36" ht="15" customHeight="1" x14ac:dyDescent="0.25">
      <c r="C78" s="885" t="s">
        <v>55</v>
      </c>
      <c r="D78" s="886"/>
      <c r="E78" s="886"/>
      <c r="F78" s="886"/>
      <c r="G78" s="886"/>
      <c r="H78" s="886"/>
      <c r="I78" s="886"/>
      <c r="J78" s="886"/>
      <c r="K78" s="886"/>
      <c r="L78" s="886"/>
      <c r="M78" s="886"/>
      <c r="N78" s="886"/>
      <c r="O78" s="886"/>
      <c r="P78" s="886"/>
      <c r="Q78" s="886"/>
      <c r="R78" s="886"/>
      <c r="S78" s="368"/>
      <c r="T78" s="368"/>
      <c r="U78" s="368"/>
      <c r="V78" s="368"/>
      <c r="W78" s="368"/>
      <c r="X78" s="368"/>
      <c r="Y78" s="368"/>
      <c r="Z78" s="368"/>
      <c r="AA78" s="368"/>
      <c r="AB78" s="368"/>
      <c r="AC78" s="368"/>
      <c r="AD78" s="368"/>
      <c r="AE78" s="368"/>
      <c r="AF78" s="368"/>
      <c r="AG78" s="368"/>
      <c r="AH78" s="368"/>
      <c r="AI78" s="368"/>
      <c r="AJ78" s="368"/>
    </row>
    <row r="79" spans="2:36" ht="15.75" customHeight="1" thickBot="1" x14ac:dyDescent="0.3">
      <c r="C79" s="887"/>
      <c r="D79" s="888"/>
      <c r="E79" s="888"/>
      <c r="F79" s="888"/>
      <c r="G79" s="888"/>
      <c r="H79" s="888"/>
      <c r="I79" s="888"/>
      <c r="J79" s="888"/>
      <c r="K79" s="888"/>
      <c r="L79" s="888"/>
      <c r="M79" s="888"/>
      <c r="N79" s="888"/>
      <c r="O79" s="888"/>
      <c r="P79" s="888"/>
      <c r="Q79" s="888"/>
      <c r="R79" s="888"/>
      <c r="S79" s="368"/>
      <c r="T79" s="368"/>
      <c r="U79" s="368"/>
      <c r="V79" s="368"/>
      <c r="W79" s="368"/>
      <c r="X79" s="368"/>
      <c r="Y79" s="368"/>
      <c r="Z79" s="368"/>
      <c r="AA79" s="368"/>
      <c r="AB79" s="368"/>
      <c r="AC79" s="368"/>
      <c r="AD79" s="368"/>
      <c r="AE79" s="368"/>
      <c r="AF79" s="368"/>
      <c r="AG79" s="368"/>
      <c r="AH79" s="368"/>
      <c r="AI79" s="368"/>
      <c r="AJ79" s="368"/>
    </row>
    <row r="80" spans="2:36" ht="15.75" thickBot="1" x14ac:dyDescent="0.3">
      <c r="C80" s="745" t="s">
        <v>623</v>
      </c>
      <c r="D80" s="746"/>
      <c r="E80" s="181"/>
      <c r="F80" s="61"/>
      <c r="G80" s="181"/>
      <c r="H80" s="61"/>
      <c r="I80" s="181"/>
      <c r="J80" s="61"/>
      <c r="K80" s="181"/>
      <c r="L80" s="61"/>
      <c r="M80" s="181"/>
      <c r="N80" s="61"/>
      <c r="O80" s="181"/>
      <c r="P80" s="61"/>
      <c r="Q80" s="181"/>
      <c r="R80" s="61"/>
      <c r="S80" s="28"/>
      <c r="T80" s="28"/>
      <c r="U80" s="28"/>
      <c r="V80" s="28"/>
      <c r="W80" s="28"/>
      <c r="X80" s="28"/>
      <c r="Y80" s="28"/>
      <c r="Z80" s="28"/>
      <c r="AA80" s="28"/>
      <c r="AB80" s="28"/>
      <c r="AC80" s="28"/>
      <c r="AD80" s="28"/>
      <c r="AE80" s="28"/>
      <c r="AF80" s="28"/>
      <c r="AG80" s="28"/>
      <c r="AH80" s="28"/>
      <c r="AI80" s="28"/>
    </row>
    <row r="81" spans="2:35" x14ac:dyDescent="0.25">
      <c r="C81" s="737" t="s">
        <v>425</v>
      </c>
      <c r="D81" s="738"/>
      <c r="E81" s="254">
        <f>E101</f>
        <v>0</v>
      </c>
      <c r="F81" s="254">
        <f t="shared" ref="F81:P81" si="16">F101</f>
        <v>0</v>
      </c>
      <c r="G81" s="254">
        <f t="shared" si="16"/>
        <v>0</v>
      </c>
      <c r="H81" s="422">
        <f t="shared" si="16"/>
        <v>0</v>
      </c>
      <c r="I81" s="422">
        <f t="shared" si="16"/>
        <v>0</v>
      </c>
      <c r="J81" s="422">
        <f t="shared" si="16"/>
        <v>0</v>
      </c>
      <c r="K81" s="422">
        <f t="shared" si="16"/>
        <v>0</v>
      </c>
      <c r="L81" s="422">
        <f t="shared" si="16"/>
        <v>0</v>
      </c>
      <c r="M81" s="422">
        <f t="shared" si="16"/>
        <v>0</v>
      </c>
      <c r="N81" s="422">
        <f t="shared" si="16"/>
        <v>0</v>
      </c>
      <c r="O81" s="254">
        <f t="shared" si="16"/>
        <v>0</v>
      </c>
      <c r="P81" s="254">
        <f t="shared" si="16"/>
        <v>0</v>
      </c>
      <c r="Q81" s="374">
        <f>SUM(E81:P81)</f>
        <v>0</v>
      </c>
      <c r="R81" s="425">
        <f>SUM(H81:N81)</f>
        <v>0</v>
      </c>
      <c r="S81" s="28"/>
      <c r="T81" s="28"/>
      <c r="U81" s="28"/>
      <c r="V81" s="28"/>
      <c r="W81" s="28"/>
      <c r="X81" s="28"/>
      <c r="Y81" s="28"/>
      <c r="Z81" s="28"/>
      <c r="AA81" s="28"/>
      <c r="AB81" s="28"/>
      <c r="AC81" s="28"/>
      <c r="AD81" s="28"/>
      <c r="AE81" s="28"/>
      <c r="AF81" s="28"/>
      <c r="AG81" s="28"/>
      <c r="AH81" s="28"/>
      <c r="AI81" s="28"/>
    </row>
    <row r="82" spans="2:35" x14ac:dyDescent="0.25">
      <c r="C82" s="727" t="s">
        <v>64</v>
      </c>
      <c r="D82" s="728"/>
      <c r="E82" s="171">
        <f>E117</f>
        <v>0</v>
      </c>
      <c r="F82" s="171">
        <f t="shared" ref="F82:P82" si="17">F117</f>
        <v>0</v>
      </c>
      <c r="G82" s="171">
        <f t="shared" si="17"/>
        <v>0</v>
      </c>
      <c r="H82" s="413">
        <f t="shared" si="17"/>
        <v>0</v>
      </c>
      <c r="I82" s="413">
        <f t="shared" si="17"/>
        <v>0</v>
      </c>
      <c r="J82" s="413">
        <f t="shared" si="17"/>
        <v>0</v>
      </c>
      <c r="K82" s="413">
        <f t="shared" si="17"/>
        <v>0</v>
      </c>
      <c r="L82" s="413">
        <f t="shared" si="17"/>
        <v>0</v>
      </c>
      <c r="M82" s="413">
        <f t="shared" si="17"/>
        <v>0</v>
      </c>
      <c r="N82" s="413">
        <f t="shared" si="17"/>
        <v>0</v>
      </c>
      <c r="O82" s="171">
        <f t="shared" si="17"/>
        <v>0</v>
      </c>
      <c r="P82" s="171">
        <f t="shared" si="17"/>
        <v>0</v>
      </c>
      <c r="Q82" s="371">
        <f t="shared" ref="Q82:Q97" si="18">SUM(E82:P82)</f>
        <v>0</v>
      </c>
      <c r="R82" s="426">
        <f t="shared" ref="R82:R84" si="19">SUM(H82:N82)</f>
        <v>0</v>
      </c>
      <c r="S82" s="28"/>
      <c r="T82" s="28"/>
      <c r="U82" s="28"/>
      <c r="V82" s="28"/>
      <c r="W82" s="28"/>
      <c r="X82" s="28"/>
      <c r="Y82" s="28"/>
      <c r="Z82" s="28"/>
      <c r="AA82" s="28"/>
      <c r="AB82" s="28"/>
      <c r="AC82" s="28"/>
      <c r="AD82" s="28"/>
      <c r="AE82" s="28"/>
      <c r="AF82" s="28"/>
      <c r="AG82" s="28"/>
      <c r="AH82" s="28"/>
      <c r="AI82" s="28"/>
    </row>
    <row r="83" spans="2:35" x14ac:dyDescent="0.25">
      <c r="C83" s="763" t="s">
        <v>65</v>
      </c>
      <c r="D83" s="764"/>
      <c r="E83" s="171">
        <f>E133</f>
        <v>0</v>
      </c>
      <c r="F83" s="171">
        <f t="shared" ref="F83:P83" si="20">F133</f>
        <v>0</v>
      </c>
      <c r="G83" s="171">
        <f t="shared" si="20"/>
        <v>0</v>
      </c>
      <c r="H83" s="413">
        <f t="shared" si="20"/>
        <v>0</v>
      </c>
      <c r="I83" s="413">
        <f t="shared" si="20"/>
        <v>0</v>
      </c>
      <c r="J83" s="413">
        <f t="shared" si="20"/>
        <v>0</v>
      </c>
      <c r="K83" s="413">
        <f t="shared" si="20"/>
        <v>0</v>
      </c>
      <c r="L83" s="413">
        <f t="shared" si="20"/>
        <v>0</v>
      </c>
      <c r="M83" s="413">
        <f t="shared" si="20"/>
        <v>0</v>
      </c>
      <c r="N83" s="413">
        <f t="shared" si="20"/>
        <v>0</v>
      </c>
      <c r="O83" s="171">
        <f t="shared" si="20"/>
        <v>0</v>
      </c>
      <c r="P83" s="171">
        <f t="shared" si="20"/>
        <v>0</v>
      </c>
      <c r="Q83" s="371">
        <f t="shared" si="18"/>
        <v>0</v>
      </c>
      <c r="R83" s="426">
        <f t="shared" si="19"/>
        <v>0</v>
      </c>
      <c r="S83" s="28"/>
      <c r="T83" s="28"/>
      <c r="U83" s="28"/>
      <c r="V83" s="28"/>
      <c r="W83" s="28"/>
      <c r="X83" s="28"/>
      <c r="Y83" s="28"/>
      <c r="Z83" s="28"/>
      <c r="AA83" s="28"/>
      <c r="AB83" s="28"/>
      <c r="AC83" s="28"/>
      <c r="AD83" s="28"/>
      <c r="AE83" s="28"/>
      <c r="AF83" s="28"/>
      <c r="AG83" s="28"/>
      <c r="AH83" s="28"/>
      <c r="AI83" s="28"/>
    </row>
    <row r="84" spans="2:35" ht="15.75" thickBot="1" x14ac:dyDescent="0.3">
      <c r="C84" s="765" t="s">
        <v>67</v>
      </c>
      <c r="D84" s="766"/>
      <c r="E84" s="171">
        <f>E149</f>
        <v>0</v>
      </c>
      <c r="F84" s="171">
        <f t="shared" ref="F84:P84" si="21">F149</f>
        <v>0</v>
      </c>
      <c r="G84" s="171">
        <f t="shared" si="21"/>
        <v>0</v>
      </c>
      <c r="H84" s="413">
        <f t="shared" si="21"/>
        <v>0</v>
      </c>
      <c r="I84" s="413">
        <f t="shared" si="21"/>
        <v>0</v>
      </c>
      <c r="J84" s="413">
        <f t="shared" si="21"/>
        <v>0</v>
      </c>
      <c r="K84" s="413">
        <f t="shared" si="21"/>
        <v>0</v>
      </c>
      <c r="L84" s="413">
        <f t="shared" si="21"/>
        <v>0</v>
      </c>
      <c r="M84" s="413">
        <f t="shared" si="21"/>
        <v>0</v>
      </c>
      <c r="N84" s="413">
        <f t="shared" si="21"/>
        <v>0</v>
      </c>
      <c r="O84" s="171">
        <f t="shared" si="21"/>
        <v>0</v>
      </c>
      <c r="P84" s="171">
        <f t="shared" si="21"/>
        <v>0</v>
      </c>
      <c r="Q84" s="371">
        <f t="shared" si="18"/>
        <v>0</v>
      </c>
      <c r="R84" s="426">
        <f t="shared" si="19"/>
        <v>0</v>
      </c>
      <c r="S84" s="28"/>
      <c r="T84" s="28"/>
      <c r="U84" s="28"/>
      <c r="V84" s="28"/>
      <c r="W84" s="28"/>
      <c r="X84" s="28"/>
      <c r="Y84" s="28"/>
      <c r="Z84" s="28"/>
      <c r="AA84" s="28"/>
      <c r="AB84" s="28"/>
      <c r="AC84" s="28"/>
      <c r="AD84" s="28"/>
      <c r="AE84" s="28"/>
      <c r="AF84" s="28"/>
      <c r="AG84" s="28"/>
      <c r="AH84" s="28"/>
      <c r="AI84" s="28"/>
    </row>
    <row r="85" spans="2:35" ht="15.75" thickBot="1" x14ac:dyDescent="0.3">
      <c r="C85" s="729" t="s">
        <v>624</v>
      </c>
      <c r="D85" s="730"/>
      <c r="E85" s="88"/>
      <c r="F85" s="88"/>
      <c r="G85" s="88"/>
      <c r="H85" s="88"/>
      <c r="I85" s="88"/>
      <c r="J85" s="88"/>
      <c r="K85" s="88"/>
      <c r="L85" s="88"/>
      <c r="M85" s="88"/>
      <c r="N85" s="88"/>
      <c r="O85" s="88"/>
      <c r="P85" s="88"/>
      <c r="Q85" s="307"/>
      <c r="R85" s="251"/>
      <c r="S85" s="28"/>
      <c r="T85" s="28"/>
      <c r="U85" s="28"/>
      <c r="V85" s="28"/>
      <c r="W85" s="28"/>
      <c r="X85" s="28"/>
      <c r="Y85" s="28"/>
      <c r="Z85" s="28"/>
      <c r="AA85" s="28"/>
      <c r="AB85" s="28"/>
      <c r="AC85" s="28"/>
      <c r="AD85" s="28"/>
      <c r="AE85" s="28"/>
      <c r="AF85" s="28"/>
      <c r="AG85" s="28"/>
      <c r="AH85" s="28"/>
      <c r="AI85" s="28"/>
    </row>
    <row r="86" spans="2:35" x14ac:dyDescent="0.25">
      <c r="B86">
        <v>183</v>
      </c>
      <c r="C86" s="102"/>
      <c r="D86" s="110" t="str">
        <f>HDG_1</f>
        <v>AFR</v>
      </c>
      <c r="E86" s="171">
        <f>E103+E119+E135+E151+E196+E211+E181</f>
        <v>0</v>
      </c>
      <c r="F86" s="171">
        <f t="shared" ref="F86:P86" si="22">F103+F119+F135+F151+F196+F211+F181</f>
        <v>0</v>
      </c>
      <c r="G86" s="171">
        <f t="shared" si="22"/>
        <v>0</v>
      </c>
      <c r="H86" s="413">
        <f t="shared" si="22"/>
        <v>0</v>
      </c>
      <c r="I86" s="413">
        <f t="shared" si="22"/>
        <v>0</v>
      </c>
      <c r="J86" s="413">
        <f t="shared" si="22"/>
        <v>0</v>
      </c>
      <c r="K86" s="413">
        <f t="shared" si="22"/>
        <v>0</v>
      </c>
      <c r="L86" s="413">
        <f t="shared" si="22"/>
        <v>0</v>
      </c>
      <c r="M86" s="413">
        <f t="shared" si="22"/>
        <v>0</v>
      </c>
      <c r="N86" s="413">
        <f t="shared" si="22"/>
        <v>0</v>
      </c>
      <c r="O86" s="171">
        <f t="shared" si="22"/>
        <v>0</v>
      </c>
      <c r="P86" s="171">
        <f t="shared" si="22"/>
        <v>0</v>
      </c>
      <c r="Q86" s="371">
        <f t="shared" si="18"/>
        <v>0</v>
      </c>
      <c r="R86" s="426">
        <f>SUM(H86:N86)</f>
        <v>0</v>
      </c>
      <c r="S86" s="28"/>
      <c r="T86" s="28"/>
      <c r="U86" s="28"/>
      <c r="V86" s="28"/>
      <c r="W86" s="28"/>
      <c r="X86" s="28"/>
      <c r="Y86" s="28"/>
      <c r="Z86" s="28"/>
      <c r="AA86" s="28"/>
      <c r="AB86" s="28"/>
      <c r="AC86" s="28"/>
      <c r="AD86" s="28"/>
      <c r="AE86" s="28"/>
      <c r="AF86" s="28"/>
      <c r="AG86" s="28"/>
      <c r="AH86" s="28"/>
      <c r="AI86" s="28"/>
    </row>
    <row r="87" spans="2:35" x14ac:dyDescent="0.25">
      <c r="B87">
        <v>184</v>
      </c>
      <c r="C87" s="103"/>
      <c r="D87" s="68" t="str">
        <f>HDG_2</f>
        <v>AVP</v>
      </c>
      <c r="E87" s="171">
        <f t="shared" ref="E87:P97" si="23">E104+E120+E136+E152+E197+E212+E182</f>
        <v>0</v>
      </c>
      <c r="F87" s="171">
        <f t="shared" si="23"/>
        <v>0</v>
      </c>
      <c r="G87" s="171">
        <f t="shared" si="23"/>
        <v>0</v>
      </c>
      <c r="H87" s="413">
        <f t="shared" si="23"/>
        <v>0</v>
      </c>
      <c r="I87" s="413">
        <f t="shared" si="23"/>
        <v>0</v>
      </c>
      <c r="J87" s="413">
        <f t="shared" si="23"/>
        <v>0</v>
      </c>
      <c r="K87" s="413">
        <f t="shared" si="23"/>
        <v>0</v>
      </c>
      <c r="L87" s="413">
        <f t="shared" si="23"/>
        <v>0</v>
      </c>
      <c r="M87" s="413">
        <f t="shared" si="23"/>
        <v>0</v>
      </c>
      <c r="N87" s="413">
        <f t="shared" si="23"/>
        <v>0</v>
      </c>
      <c r="O87" s="171">
        <f t="shared" si="23"/>
        <v>0</v>
      </c>
      <c r="P87" s="171">
        <f t="shared" si="23"/>
        <v>0</v>
      </c>
      <c r="Q87" s="371">
        <f t="shared" si="18"/>
        <v>0</v>
      </c>
      <c r="R87" s="426">
        <f t="shared" ref="R87:R97" si="24">SUM(H87:N87)</f>
        <v>0</v>
      </c>
      <c r="S87" s="28"/>
      <c r="T87" s="28"/>
      <c r="U87" s="28"/>
      <c r="V87" s="28"/>
      <c r="W87" s="28"/>
      <c r="X87" s="28"/>
      <c r="Y87" s="28"/>
      <c r="Z87" s="28"/>
      <c r="AA87" s="28"/>
      <c r="AB87" s="28"/>
      <c r="AC87" s="28"/>
      <c r="AD87" s="28"/>
      <c r="AE87" s="28"/>
      <c r="AF87" s="28"/>
      <c r="AG87" s="28"/>
      <c r="AH87" s="28"/>
      <c r="AI87" s="28"/>
    </row>
    <row r="88" spans="2:35" x14ac:dyDescent="0.25">
      <c r="B88">
        <v>185</v>
      </c>
      <c r="C88" s="103"/>
      <c r="D88" s="68" t="str">
        <f>HDG_3</f>
        <v>ALZ</v>
      </c>
      <c r="E88" s="171">
        <f t="shared" si="23"/>
        <v>0</v>
      </c>
      <c r="F88" s="171">
        <f t="shared" si="23"/>
        <v>0</v>
      </c>
      <c r="G88" s="171">
        <f t="shared" si="23"/>
        <v>0</v>
      </c>
      <c r="H88" s="413">
        <f t="shared" si="23"/>
        <v>0</v>
      </c>
      <c r="I88" s="413">
        <f t="shared" si="23"/>
        <v>0</v>
      </c>
      <c r="J88" s="413">
        <f t="shared" si="23"/>
        <v>0</v>
      </c>
      <c r="K88" s="413">
        <f t="shared" si="23"/>
        <v>0</v>
      </c>
      <c r="L88" s="413">
        <f t="shared" si="23"/>
        <v>0</v>
      </c>
      <c r="M88" s="413">
        <f t="shared" si="23"/>
        <v>0</v>
      </c>
      <c r="N88" s="413">
        <f t="shared" si="23"/>
        <v>0</v>
      </c>
      <c r="O88" s="171">
        <f t="shared" si="23"/>
        <v>0</v>
      </c>
      <c r="P88" s="171">
        <f t="shared" si="23"/>
        <v>0</v>
      </c>
      <c r="Q88" s="371">
        <f t="shared" si="18"/>
        <v>0</v>
      </c>
      <c r="R88" s="426">
        <f t="shared" si="24"/>
        <v>0</v>
      </c>
      <c r="S88" s="28"/>
      <c r="T88" s="28"/>
      <c r="U88" s="28"/>
      <c r="V88" s="28"/>
      <c r="W88" s="28"/>
      <c r="X88" s="28"/>
      <c r="Y88" s="28"/>
      <c r="Z88" s="28"/>
      <c r="AA88" s="28"/>
      <c r="AB88" s="28"/>
      <c r="AC88" s="28"/>
      <c r="AD88" s="28"/>
      <c r="AE88" s="28"/>
      <c r="AF88" s="28"/>
      <c r="AG88" s="28"/>
      <c r="AH88" s="28"/>
      <c r="AI88" s="28"/>
    </row>
    <row r="89" spans="2:35" x14ac:dyDescent="0.25">
      <c r="B89">
        <v>186</v>
      </c>
      <c r="C89" s="103"/>
      <c r="D89" s="68" t="str">
        <f>HDG_4</f>
        <v>MZS</v>
      </c>
      <c r="E89" s="171">
        <f t="shared" si="23"/>
        <v>0</v>
      </c>
      <c r="F89" s="171">
        <f t="shared" si="23"/>
        <v>0</v>
      </c>
      <c r="G89" s="171">
        <f t="shared" si="23"/>
        <v>0</v>
      </c>
      <c r="H89" s="413">
        <f t="shared" si="23"/>
        <v>0</v>
      </c>
      <c r="I89" s="413">
        <f t="shared" si="23"/>
        <v>0</v>
      </c>
      <c r="J89" s="413">
        <f t="shared" si="23"/>
        <v>0</v>
      </c>
      <c r="K89" s="413">
        <f t="shared" si="23"/>
        <v>0</v>
      </c>
      <c r="L89" s="413">
        <f t="shared" si="23"/>
        <v>0</v>
      </c>
      <c r="M89" s="413">
        <f t="shared" si="23"/>
        <v>0</v>
      </c>
      <c r="N89" s="413">
        <f t="shared" si="23"/>
        <v>0</v>
      </c>
      <c r="O89" s="171">
        <f t="shared" si="23"/>
        <v>0</v>
      </c>
      <c r="P89" s="171">
        <f t="shared" si="23"/>
        <v>0</v>
      </c>
      <c r="Q89" s="371">
        <f t="shared" si="18"/>
        <v>0</v>
      </c>
      <c r="R89" s="426">
        <f t="shared" si="24"/>
        <v>0</v>
      </c>
      <c r="S89" s="28"/>
      <c r="T89" s="28"/>
      <c r="U89" s="28"/>
      <c r="V89" s="28"/>
      <c r="W89" s="28"/>
      <c r="X89" s="28"/>
      <c r="Y89" s="28"/>
      <c r="Z89" s="28"/>
      <c r="AA89" s="28"/>
      <c r="AB89" s="28"/>
      <c r="AC89" s="28"/>
      <c r="AD89" s="28"/>
      <c r="AE89" s="28"/>
      <c r="AF89" s="28"/>
      <c r="AG89" s="28"/>
      <c r="AH89" s="28"/>
      <c r="AI89" s="28"/>
    </row>
    <row r="90" spans="2:35" x14ac:dyDescent="0.25">
      <c r="B90">
        <v>187</v>
      </c>
      <c r="C90" s="103"/>
      <c r="D90" s="68" t="str">
        <f>HDG_5</f>
        <v>APR</v>
      </c>
      <c r="E90" s="171">
        <f t="shared" si="23"/>
        <v>0</v>
      </c>
      <c r="F90" s="171">
        <f t="shared" si="23"/>
        <v>0</v>
      </c>
      <c r="G90" s="171">
        <f t="shared" si="23"/>
        <v>0</v>
      </c>
      <c r="H90" s="413">
        <f t="shared" si="23"/>
        <v>0</v>
      </c>
      <c r="I90" s="413">
        <f t="shared" si="23"/>
        <v>0</v>
      </c>
      <c r="J90" s="413">
        <f t="shared" si="23"/>
        <v>0</v>
      </c>
      <c r="K90" s="413">
        <f t="shared" si="23"/>
        <v>0</v>
      </c>
      <c r="L90" s="413">
        <f t="shared" si="23"/>
        <v>0</v>
      </c>
      <c r="M90" s="413">
        <f t="shared" si="23"/>
        <v>0</v>
      </c>
      <c r="N90" s="413">
        <f t="shared" si="23"/>
        <v>0</v>
      </c>
      <c r="O90" s="171">
        <f t="shared" si="23"/>
        <v>0</v>
      </c>
      <c r="P90" s="171">
        <f t="shared" si="23"/>
        <v>0</v>
      </c>
      <c r="Q90" s="371">
        <f t="shared" si="18"/>
        <v>0</v>
      </c>
      <c r="R90" s="426">
        <f t="shared" si="24"/>
        <v>0</v>
      </c>
      <c r="S90" s="28"/>
      <c r="T90" s="28"/>
      <c r="U90" s="28"/>
      <c r="V90" s="28"/>
      <c r="W90" s="28"/>
      <c r="X90" s="28"/>
      <c r="Y90" s="28"/>
      <c r="Z90" s="28"/>
      <c r="AA90" s="28"/>
      <c r="AB90" s="28"/>
      <c r="AC90" s="28"/>
      <c r="AD90" s="28"/>
      <c r="AE90" s="28"/>
      <c r="AF90" s="28"/>
      <c r="AG90" s="28"/>
      <c r="AH90" s="28"/>
      <c r="AI90" s="28"/>
    </row>
    <row r="91" spans="2:35" x14ac:dyDescent="0.25">
      <c r="B91">
        <v>188</v>
      </c>
      <c r="C91" s="103"/>
      <c r="D91" s="68" t="str">
        <f>HDG_6</f>
        <v>DCG</v>
      </c>
      <c r="E91" s="171">
        <f t="shared" si="23"/>
        <v>0</v>
      </c>
      <c r="F91" s="171">
        <f t="shared" si="23"/>
        <v>0</v>
      </c>
      <c r="G91" s="171">
        <f t="shared" si="23"/>
        <v>0</v>
      </c>
      <c r="H91" s="413">
        <f t="shared" si="23"/>
        <v>0</v>
      </c>
      <c r="I91" s="413">
        <f t="shared" si="23"/>
        <v>0</v>
      </c>
      <c r="J91" s="413">
        <f t="shared" si="23"/>
        <v>0</v>
      </c>
      <c r="K91" s="413">
        <f t="shared" si="23"/>
        <v>0</v>
      </c>
      <c r="L91" s="413">
        <f t="shared" si="23"/>
        <v>0</v>
      </c>
      <c r="M91" s="413">
        <f t="shared" si="23"/>
        <v>0</v>
      </c>
      <c r="N91" s="413">
        <f t="shared" si="23"/>
        <v>0</v>
      </c>
      <c r="O91" s="171">
        <f t="shared" si="23"/>
        <v>0</v>
      </c>
      <c r="P91" s="171">
        <f t="shared" si="23"/>
        <v>0</v>
      </c>
      <c r="Q91" s="371">
        <f t="shared" si="18"/>
        <v>0</v>
      </c>
      <c r="R91" s="426">
        <f t="shared" si="24"/>
        <v>0</v>
      </c>
      <c r="S91" s="28"/>
      <c r="T91" s="28"/>
      <c r="U91" s="28"/>
      <c r="V91" s="28"/>
      <c r="W91" s="28"/>
      <c r="X91" s="28"/>
      <c r="Y91" s="28"/>
      <c r="Z91" s="28"/>
      <c r="AA91" s="28"/>
      <c r="AB91" s="28"/>
      <c r="AC91" s="28"/>
      <c r="AD91" s="28"/>
      <c r="AE91" s="28"/>
      <c r="AF91" s="28"/>
      <c r="AG91" s="28"/>
      <c r="AH91" s="28"/>
      <c r="AI91" s="28"/>
    </row>
    <row r="92" spans="2:35" x14ac:dyDescent="0.25">
      <c r="B92">
        <v>189</v>
      </c>
      <c r="C92" s="103"/>
      <c r="D92" s="68" t="str">
        <f>HDG_7</f>
        <v>SFS</v>
      </c>
      <c r="E92" s="171">
        <f t="shared" si="23"/>
        <v>0</v>
      </c>
      <c r="F92" s="171">
        <f t="shared" si="23"/>
        <v>0</v>
      </c>
      <c r="G92" s="171">
        <f t="shared" si="23"/>
        <v>0</v>
      </c>
      <c r="H92" s="413">
        <f t="shared" si="23"/>
        <v>0</v>
      </c>
      <c r="I92" s="413">
        <f t="shared" si="23"/>
        <v>0</v>
      </c>
      <c r="J92" s="413">
        <f t="shared" si="23"/>
        <v>0</v>
      </c>
      <c r="K92" s="413">
        <f t="shared" si="23"/>
        <v>0</v>
      </c>
      <c r="L92" s="413">
        <f t="shared" si="23"/>
        <v>0</v>
      </c>
      <c r="M92" s="413">
        <f t="shared" si="23"/>
        <v>0</v>
      </c>
      <c r="N92" s="413">
        <f t="shared" si="23"/>
        <v>0</v>
      </c>
      <c r="O92" s="171">
        <f t="shared" si="23"/>
        <v>0</v>
      </c>
      <c r="P92" s="171">
        <f t="shared" si="23"/>
        <v>0</v>
      </c>
      <c r="Q92" s="371">
        <f t="shared" si="18"/>
        <v>0</v>
      </c>
      <c r="R92" s="426">
        <f t="shared" si="24"/>
        <v>0</v>
      </c>
      <c r="S92" s="28"/>
      <c r="T92" s="28"/>
      <c r="U92" s="28"/>
      <c r="V92" s="28"/>
      <c r="W92" s="28"/>
      <c r="X92" s="28"/>
      <c r="Y92" s="28"/>
      <c r="Z92" s="28"/>
      <c r="AA92" s="28"/>
      <c r="AB92" s="28"/>
      <c r="AC92" s="28"/>
      <c r="AD92" s="28"/>
      <c r="AE92" s="28"/>
      <c r="AF92" s="28"/>
      <c r="AG92" s="28"/>
      <c r="AH92" s="28"/>
      <c r="AI92" s="28"/>
    </row>
    <row r="93" spans="2:35" x14ac:dyDescent="0.25">
      <c r="B93">
        <v>190</v>
      </c>
      <c r="C93" s="103"/>
      <c r="D93" s="68" t="str">
        <f>HDG_8</f>
        <v>AZH</v>
      </c>
      <c r="E93" s="171">
        <f t="shared" si="23"/>
        <v>0</v>
      </c>
      <c r="F93" s="171">
        <f t="shared" si="23"/>
        <v>0</v>
      </c>
      <c r="G93" s="171">
        <f t="shared" si="23"/>
        <v>0</v>
      </c>
      <c r="H93" s="413">
        <f t="shared" si="23"/>
        <v>0</v>
      </c>
      <c r="I93" s="413">
        <f t="shared" si="23"/>
        <v>0</v>
      </c>
      <c r="J93" s="413">
        <f t="shared" si="23"/>
        <v>0</v>
      </c>
      <c r="K93" s="413">
        <f t="shared" si="23"/>
        <v>0</v>
      </c>
      <c r="L93" s="413">
        <f t="shared" si="23"/>
        <v>0</v>
      </c>
      <c r="M93" s="413">
        <f t="shared" si="23"/>
        <v>0</v>
      </c>
      <c r="N93" s="413">
        <f t="shared" si="23"/>
        <v>0</v>
      </c>
      <c r="O93" s="171">
        <f t="shared" si="23"/>
        <v>0</v>
      </c>
      <c r="P93" s="171">
        <f t="shared" si="23"/>
        <v>0</v>
      </c>
      <c r="Q93" s="371">
        <f t="shared" si="18"/>
        <v>0</v>
      </c>
      <c r="R93" s="426">
        <f t="shared" si="24"/>
        <v>0</v>
      </c>
      <c r="S93" s="28"/>
      <c r="T93" s="28"/>
      <c r="U93" s="28"/>
      <c r="V93" s="28"/>
      <c r="W93" s="28"/>
      <c r="X93" s="28"/>
      <c r="Y93" s="28"/>
      <c r="Z93" s="28"/>
      <c r="AA93" s="28"/>
      <c r="AB93" s="28"/>
      <c r="AC93" s="28"/>
      <c r="AD93" s="28"/>
      <c r="AE93" s="28"/>
      <c r="AF93" s="28"/>
      <c r="AG93" s="28"/>
      <c r="AH93" s="28"/>
      <c r="AI93" s="28"/>
    </row>
    <row r="94" spans="2:35" x14ac:dyDescent="0.25">
      <c r="B94">
        <v>191</v>
      </c>
      <c r="C94" s="103"/>
      <c r="D94" s="68" t="str">
        <f>HDG_9</f>
        <v>HLI</v>
      </c>
      <c r="E94" s="171">
        <f t="shared" si="23"/>
        <v>0</v>
      </c>
      <c r="F94" s="171">
        <f t="shared" si="23"/>
        <v>0</v>
      </c>
      <c r="G94" s="171">
        <f t="shared" si="23"/>
        <v>0</v>
      </c>
      <c r="H94" s="413">
        <f t="shared" si="23"/>
        <v>0</v>
      </c>
      <c r="I94" s="413">
        <f t="shared" si="23"/>
        <v>0</v>
      </c>
      <c r="J94" s="413">
        <f t="shared" si="23"/>
        <v>0</v>
      </c>
      <c r="K94" s="413">
        <f t="shared" si="23"/>
        <v>0</v>
      </c>
      <c r="L94" s="413">
        <f t="shared" si="23"/>
        <v>0</v>
      </c>
      <c r="M94" s="413">
        <f t="shared" si="23"/>
        <v>0</v>
      </c>
      <c r="N94" s="413">
        <f t="shared" si="23"/>
        <v>0</v>
      </c>
      <c r="O94" s="171">
        <f t="shared" si="23"/>
        <v>0</v>
      </c>
      <c r="P94" s="171">
        <f t="shared" si="23"/>
        <v>0</v>
      </c>
      <c r="Q94" s="371">
        <f t="shared" si="18"/>
        <v>0</v>
      </c>
      <c r="R94" s="426">
        <f t="shared" si="24"/>
        <v>0</v>
      </c>
      <c r="S94" s="28"/>
      <c r="T94" s="28"/>
      <c r="U94" s="28"/>
      <c r="V94" s="28"/>
      <c r="W94" s="28"/>
      <c r="X94" s="28"/>
      <c r="Y94" s="28"/>
      <c r="Z94" s="28"/>
      <c r="AA94" s="28"/>
      <c r="AB94" s="28"/>
      <c r="AC94" s="28"/>
      <c r="AD94" s="28"/>
      <c r="AE94" s="28"/>
      <c r="AF94" s="28"/>
      <c r="AG94" s="28"/>
      <c r="AH94" s="28"/>
      <c r="AI94" s="28"/>
    </row>
    <row r="95" spans="2:35" x14ac:dyDescent="0.25">
      <c r="B95">
        <v>192</v>
      </c>
      <c r="C95" s="103"/>
      <c r="D95" s="68" t="str">
        <f>HDG_10</f>
        <v>MCM</v>
      </c>
      <c r="E95" s="171">
        <f t="shared" si="23"/>
        <v>0</v>
      </c>
      <c r="F95" s="171">
        <f t="shared" si="23"/>
        <v>0</v>
      </c>
      <c r="G95" s="171">
        <f t="shared" si="23"/>
        <v>0</v>
      </c>
      <c r="H95" s="413">
        <f t="shared" si="23"/>
        <v>0</v>
      </c>
      <c r="I95" s="413">
        <f t="shared" si="23"/>
        <v>0</v>
      </c>
      <c r="J95" s="413">
        <f t="shared" si="23"/>
        <v>0</v>
      </c>
      <c r="K95" s="413">
        <f t="shared" si="23"/>
        <v>0</v>
      </c>
      <c r="L95" s="413">
        <f t="shared" si="23"/>
        <v>0</v>
      </c>
      <c r="M95" s="413">
        <f t="shared" si="23"/>
        <v>0</v>
      </c>
      <c r="N95" s="413">
        <f t="shared" si="23"/>
        <v>0</v>
      </c>
      <c r="O95" s="171">
        <f t="shared" si="23"/>
        <v>0</v>
      </c>
      <c r="P95" s="171">
        <f t="shared" si="23"/>
        <v>0</v>
      </c>
      <c r="Q95" s="371">
        <f t="shared" si="18"/>
        <v>0</v>
      </c>
      <c r="R95" s="426">
        <f t="shared" si="24"/>
        <v>0</v>
      </c>
      <c r="S95" s="28"/>
      <c r="T95" s="28"/>
      <c r="U95" s="28"/>
      <c r="V95" s="28"/>
      <c r="W95" s="28"/>
      <c r="X95" s="28"/>
      <c r="Y95" s="28"/>
      <c r="Z95" s="28"/>
      <c r="AA95" s="28"/>
      <c r="AB95" s="28"/>
      <c r="AC95" s="28"/>
      <c r="AD95" s="28"/>
      <c r="AE95" s="28"/>
      <c r="AF95" s="28"/>
      <c r="AG95" s="28"/>
      <c r="AH95" s="28"/>
      <c r="AI95" s="28"/>
    </row>
    <row r="96" spans="2:35" ht="15.75" thickBot="1" x14ac:dyDescent="0.3">
      <c r="B96">
        <v>193</v>
      </c>
      <c r="C96" s="103"/>
      <c r="D96" s="69" t="str">
        <f>HDG_11</f>
        <v>MCR</v>
      </c>
      <c r="E96" s="171">
        <f t="shared" si="23"/>
        <v>0</v>
      </c>
      <c r="F96" s="171">
        <f t="shared" si="23"/>
        <v>0</v>
      </c>
      <c r="G96" s="171">
        <f t="shared" si="23"/>
        <v>0</v>
      </c>
      <c r="H96" s="413">
        <f t="shared" si="23"/>
        <v>0</v>
      </c>
      <c r="I96" s="413">
        <f t="shared" si="23"/>
        <v>0</v>
      </c>
      <c r="J96" s="413">
        <f t="shared" si="23"/>
        <v>0</v>
      </c>
      <c r="K96" s="413">
        <f t="shared" si="23"/>
        <v>0</v>
      </c>
      <c r="L96" s="413">
        <f t="shared" si="23"/>
        <v>0</v>
      </c>
      <c r="M96" s="413">
        <f t="shared" si="23"/>
        <v>0</v>
      </c>
      <c r="N96" s="413">
        <f t="shared" si="23"/>
        <v>0</v>
      </c>
      <c r="O96" s="171">
        <f t="shared" si="23"/>
        <v>0</v>
      </c>
      <c r="P96" s="171">
        <f t="shared" si="23"/>
        <v>0</v>
      </c>
      <c r="Q96" s="371">
        <f t="shared" si="18"/>
        <v>0</v>
      </c>
      <c r="R96" s="426">
        <f t="shared" si="24"/>
        <v>0</v>
      </c>
      <c r="S96" s="28"/>
      <c r="T96" s="28"/>
      <c r="U96" s="28"/>
      <c r="V96" s="28"/>
      <c r="W96" s="28"/>
      <c r="X96" s="28"/>
      <c r="Y96" s="28"/>
      <c r="Z96" s="28"/>
      <c r="AA96" s="28"/>
      <c r="AB96" s="28"/>
      <c r="AC96" s="28"/>
      <c r="AD96" s="28"/>
      <c r="AE96" s="28"/>
      <c r="AF96" s="28"/>
      <c r="AG96" s="28"/>
      <c r="AH96" s="28"/>
      <c r="AI96" s="28"/>
    </row>
    <row r="97" spans="2:35" ht="15.75" thickBot="1" x14ac:dyDescent="0.3">
      <c r="B97">
        <v>194</v>
      </c>
      <c r="C97" s="103"/>
      <c r="D97" s="113" t="s">
        <v>406</v>
      </c>
      <c r="E97" s="171">
        <f t="shared" si="23"/>
        <v>0</v>
      </c>
      <c r="F97" s="171">
        <f t="shared" si="23"/>
        <v>0</v>
      </c>
      <c r="G97" s="171">
        <f t="shared" si="23"/>
        <v>0</v>
      </c>
      <c r="H97" s="413">
        <f t="shared" si="23"/>
        <v>0</v>
      </c>
      <c r="I97" s="413">
        <f t="shared" si="23"/>
        <v>0</v>
      </c>
      <c r="J97" s="413">
        <f t="shared" si="23"/>
        <v>0</v>
      </c>
      <c r="K97" s="413">
        <f t="shared" si="23"/>
        <v>0</v>
      </c>
      <c r="L97" s="413">
        <f t="shared" si="23"/>
        <v>0</v>
      </c>
      <c r="M97" s="413">
        <f t="shared" si="23"/>
        <v>0</v>
      </c>
      <c r="N97" s="413">
        <f t="shared" si="23"/>
        <v>0</v>
      </c>
      <c r="O97" s="171">
        <f t="shared" si="23"/>
        <v>0</v>
      </c>
      <c r="P97" s="171">
        <f t="shared" si="23"/>
        <v>0</v>
      </c>
      <c r="Q97" s="373">
        <f t="shared" si="18"/>
        <v>0</v>
      </c>
      <c r="R97" s="427">
        <f t="shared" si="24"/>
        <v>0</v>
      </c>
      <c r="S97" s="28"/>
      <c r="T97" s="28"/>
      <c r="U97" s="28"/>
      <c r="V97" s="28"/>
      <c r="W97" s="28"/>
      <c r="X97" s="28"/>
      <c r="Y97" s="28"/>
      <c r="Z97" s="28"/>
      <c r="AA97" s="28"/>
      <c r="AB97" s="28"/>
      <c r="AC97" s="28"/>
      <c r="AD97" s="28"/>
      <c r="AE97" s="28"/>
      <c r="AF97" s="28"/>
      <c r="AG97" s="28"/>
      <c r="AH97" s="28"/>
      <c r="AI97" s="28"/>
    </row>
    <row r="98" spans="2:35" x14ac:dyDescent="0.25">
      <c r="C98" s="176"/>
      <c r="D98" s="177"/>
      <c r="E98" s="181"/>
      <c r="F98" s="61"/>
      <c r="G98" s="181"/>
      <c r="H98" s="61"/>
      <c r="I98" s="181"/>
      <c r="J98" s="61"/>
      <c r="K98" s="181"/>
      <c r="L98" s="61"/>
      <c r="M98" s="181"/>
      <c r="N98" s="61"/>
      <c r="O98" s="181"/>
      <c r="P98" s="424"/>
      <c r="Q98" s="181"/>
      <c r="R98" s="61"/>
      <c r="S98" s="28"/>
      <c r="T98" s="28"/>
      <c r="U98" s="28"/>
      <c r="V98" s="28"/>
      <c r="W98" s="28"/>
      <c r="X98" s="28"/>
      <c r="Y98" s="28"/>
      <c r="Z98" s="28"/>
      <c r="AA98" s="28"/>
      <c r="AB98" s="28"/>
      <c r="AC98" s="28"/>
      <c r="AD98" s="28"/>
      <c r="AE98" s="28"/>
      <c r="AF98" s="28"/>
      <c r="AG98" s="28"/>
      <c r="AH98" s="28"/>
      <c r="AI98" s="28"/>
    </row>
    <row r="99" spans="2:35" ht="15.75" thickBot="1" x14ac:dyDescent="0.3">
      <c r="C99" s="178"/>
      <c r="D99" s="179"/>
      <c r="E99" s="181"/>
      <c r="F99" s="61"/>
      <c r="G99" s="181"/>
      <c r="H99" s="61"/>
      <c r="I99" s="181"/>
      <c r="J99" s="61"/>
      <c r="K99" s="181"/>
      <c r="L99" s="61"/>
      <c r="M99" s="181"/>
      <c r="N99" s="61"/>
      <c r="O99" s="181"/>
      <c r="P99" s="424"/>
      <c r="Q99" s="181"/>
      <c r="R99" s="61"/>
      <c r="S99" s="28"/>
      <c r="T99" s="28"/>
      <c r="U99" s="28"/>
      <c r="V99" s="28"/>
      <c r="W99" s="28"/>
      <c r="X99" s="28"/>
      <c r="Y99" s="28"/>
      <c r="Z99" s="28"/>
      <c r="AA99" s="28"/>
      <c r="AB99" s="28"/>
      <c r="AC99" s="28"/>
      <c r="AD99" s="28"/>
      <c r="AE99" s="28"/>
      <c r="AF99" s="28"/>
      <c r="AG99" s="28"/>
      <c r="AH99" s="28"/>
      <c r="AI99" s="28"/>
    </row>
    <row r="100" spans="2:35" ht="15.75" thickBot="1" x14ac:dyDescent="0.3">
      <c r="C100" s="883" t="s">
        <v>55</v>
      </c>
      <c r="D100" s="884"/>
      <c r="E100" s="181"/>
      <c r="F100" s="61"/>
      <c r="G100" s="181"/>
      <c r="H100" s="61"/>
      <c r="I100" s="181"/>
      <c r="J100" s="61"/>
      <c r="K100" s="181"/>
      <c r="L100" s="61"/>
      <c r="M100" s="181"/>
      <c r="N100" s="61"/>
      <c r="O100" s="181"/>
      <c r="P100" s="424"/>
      <c r="Q100" s="181"/>
      <c r="R100" s="61"/>
      <c r="S100" s="28"/>
      <c r="T100" s="28"/>
      <c r="U100" s="28"/>
      <c r="V100" s="28"/>
      <c r="W100" s="28"/>
      <c r="X100" s="28"/>
      <c r="Y100" s="28"/>
      <c r="Z100" s="28"/>
      <c r="AA100" s="28"/>
      <c r="AB100" s="28"/>
      <c r="AC100" s="28"/>
      <c r="AD100" s="28"/>
      <c r="AE100" s="28"/>
      <c r="AF100" s="28"/>
      <c r="AG100" s="28"/>
      <c r="AH100" s="28"/>
      <c r="AI100" s="28"/>
    </row>
    <row r="101" spans="2:35" ht="15.75" thickBot="1" x14ac:dyDescent="0.3">
      <c r="B101">
        <v>56</v>
      </c>
      <c r="C101" s="727" t="s">
        <v>425</v>
      </c>
      <c r="D101" s="728"/>
      <c r="E101" s="171"/>
      <c r="F101" s="28"/>
      <c r="G101" s="171"/>
      <c r="H101" s="413"/>
      <c r="I101" s="413"/>
      <c r="J101" s="413"/>
      <c r="K101" s="413"/>
      <c r="L101" s="413"/>
      <c r="M101" s="413"/>
      <c r="N101" s="413"/>
      <c r="O101" s="171"/>
      <c r="P101" s="78"/>
      <c r="Q101" s="374">
        <f>SUM(E101:P101)</f>
        <v>0</v>
      </c>
      <c r="R101" s="417">
        <f>SUM(H101:N101)</f>
        <v>0</v>
      </c>
      <c r="S101" s="28"/>
      <c r="T101" s="28"/>
      <c r="U101" s="28"/>
      <c r="V101" s="28"/>
      <c r="W101" s="28"/>
      <c r="X101" s="28"/>
      <c r="Y101" s="28"/>
      <c r="Z101" s="28"/>
      <c r="AA101" s="28"/>
      <c r="AB101" s="28"/>
      <c r="AC101" s="28"/>
      <c r="AD101" s="28"/>
      <c r="AE101" s="28"/>
      <c r="AF101" s="28"/>
      <c r="AG101" s="28"/>
      <c r="AH101" s="28"/>
      <c r="AI101" s="28"/>
    </row>
    <row r="102" spans="2:35" ht="15.75" thickBot="1" x14ac:dyDescent="0.3">
      <c r="C102" s="733" t="s">
        <v>56</v>
      </c>
      <c r="D102" s="734"/>
      <c r="E102" s="181"/>
      <c r="F102" s="61"/>
      <c r="G102" s="181"/>
      <c r="H102" s="61"/>
      <c r="I102" s="181"/>
      <c r="J102" s="61"/>
      <c r="K102" s="181"/>
      <c r="L102" s="61"/>
      <c r="M102" s="181"/>
      <c r="N102" s="61"/>
      <c r="O102" s="181"/>
      <c r="P102" s="424"/>
      <c r="Q102" s="372"/>
      <c r="R102" s="308"/>
      <c r="S102" s="28"/>
      <c r="T102" s="28"/>
      <c r="U102" s="28"/>
      <c r="V102" s="28"/>
      <c r="W102" s="28"/>
      <c r="X102" s="28"/>
      <c r="Y102" s="28"/>
      <c r="Z102" s="28"/>
      <c r="AA102" s="28"/>
      <c r="AB102" s="28"/>
      <c r="AC102" s="28"/>
      <c r="AD102" s="28"/>
      <c r="AE102" s="28"/>
      <c r="AF102" s="28"/>
      <c r="AG102" s="28"/>
      <c r="AH102" s="28"/>
      <c r="AI102" s="28"/>
    </row>
    <row r="103" spans="2:35" x14ac:dyDescent="0.25">
      <c r="B103">
        <v>57</v>
      </c>
      <c r="C103" s="760"/>
      <c r="D103" s="110" t="str">
        <f>HDG_1</f>
        <v>AFR</v>
      </c>
      <c r="E103" s="171"/>
      <c r="F103" s="28"/>
      <c r="G103" s="171"/>
      <c r="H103" s="413"/>
      <c r="I103" s="413"/>
      <c r="J103" s="413"/>
      <c r="K103" s="413"/>
      <c r="L103" s="413"/>
      <c r="M103" s="413"/>
      <c r="N103" s="413"/>
      <c r="O103" s="171"/>
      <c r="P103" s="78"/>
      <c r="Q103" s="371">
        <f>SUM(E103:P103)</f>
        <v>0</v>
      </c>
      <c r="R103" s="375">
        <f>SUM(H103:N103)</f>
        <v>0</v>
      </c>
      <c r="S103" s="28"/>
      <c r="T103" s="28"/>
      <c r="U103" s="28"/>
      <c r="V103" s="28"/>
      <c r="W103" s="28"/>
      <c r="X103" s="28"/>
      <c r="Y103" s="28"/>
      <c r="Z103" s="28"/>
      <c r="AA103" s="28"/>
      <c r="AB103" s="28"/>
      <c r="AC103" s="28"/>
      <c r="AD103" s="28"/>
      <c r="AE103" s="28"/>
      <c r="AF103" s="28"/>
      <c r="AG103" s="28"/>
      <c r="AH103" s="28"/>
      <c r="AI103" s="28"/>
    </row>
    <row r="104" spans="2:35" x14ac:dyDescent="0.25">
      <c r="B104">
        <v>58</v>
      </c>
      <c r="C104" s="761"/>
      <c r="D104" s="68" t="str">
        <f>HDG_2</f>
        <v>AVP</v>
      </c>
      <c r="E104" s="171"/>
      <c r="F104" s="28"/>
      <c r="G104" s="171"/>
      <c r="H104" s="413"/>
      <c r="I104" s="413"/>
      <c r="J104" s="413"/>
      <c r="K104" s="413"/>
      <c r="L104" s="413"/>
      <c r="M104" s="413"/>
      <c r="N104" s="413"/>
      <c r="O104" s="171"/>
      <c r="P104" s="78"/>
      <c r="Q104" s="371">
        <f t="shared" ref="Q104:Q114" si="25">SUM(E104:P104)</f>
        <v>0</v>
      </c>
      <c r="R104" s="375">
        <f t="shared" ref="R104:R114" si="26">SUM(H104:N104)</f>
        <v>0</v>
      </c>
      <c r="S104" s="28"/>
      <c r="T104" s="28"/>
      <c r="U104" s="28"/>
      <c r="V104" s="28"/>
      <c r="W104" s="28"/>
      <c r="X104" s="28"/>
      <c r="Y104" s="28"/>
      <c r="Z104" s="28"/>
      <c r="AA104" s="28"/>
      <c r="AB104" s="28"/>
      <c r="AC104" s="28"/>
      <c r="AD104" s="28"/>
      <c r="AE104" s="28"/>
      <c r="AF104" s="28"/>
      <c r="AG104" s="28"/>
      <c r="AH104" s="28"/>
      <c r="AI104" s="28"/>
    </row>
    <row r="105" spans="2:35" x14ac:dyDescent="0.25">
      <c r="B105">
        <v>59</v>
      </c>
      <c r="C105" s="761"/>
      <c r="D105" s="68" t="str">
        <f>HDG_3</f>
        <v>ALZ</v>
      </c>
      <c r="E105" s="171"/>
      <c r="F105" s="28"/>
      <c r="G105" s="171"/>
      <c r="H105" s="413"/>
      <c r="I105" s="413"/>
      <c r="J105" s="413"/>
      <c r="K105" s="413"/>
      <c r="L105" s="413"/>
      <c r="M105" s="413"/>
      <c r="N105" s="413"/>
      <c r="O105" s="171"/>
      <c r="P105" s="78"/>
      <c r="Q105" s="371">
        <f t="shared" si="25"/>
        <v>0</v>
      </c>
      <c r="R105" s="375">
        <f t="shared" si="26"/>
        <v>0</v>
      </c>
      <c r="S105" s="28"/>
      <c r="T105" s="28"/>
      <c r="U105" s="28"/>
      <c r="V105" s="28"/>
      <c r="W105" s="28"/>
      <c r="X105" s="28"/>
      <c r="Y105" s="28"/>
      <c r="Z105" s="28"/>
      <c r="AA105" s="28"/>
      <c r="AB105" s="28"/>
      <c r="AC105" s="28"/>
      <c r="AD105" s="28"/>
      <c r="AE105" s="28"/>
      <c r="AF105" s="28"/>
      <c r="AG105" s="28"/>
      <c r="AH105" s="28"/>
      <c r="AI105" s="28"/>
    </row>
    <row r="106" spans="2:35" x14ac:dyDescent="0.25">
      <c r="B106">
        <v>60</v>
      </c>
      <c r="C106" s="761"/>
      <c r="D106" s="68" t="str">
        <f>HDG_4</f>
        <v>MZS</v>
      </c>
      <c r="E106" s="171"/>
      <c r="F106" s="28"/>
      <c r="G106" s="171"/>
      <c r="H106" s="413"/>
      <c r="I106" s="413"/>
      <c r="J106" s="413"/>
      <c r="K106" s="413"/>
      <c r="L106" s="413"/>
      <c r="M106" s="413"/>
      <c r="N106" s="413"/>
      <c r="O106" s="171"/>
      <c r="P106" s="78"/>
      <c r="Q106" s="371">
        <f t="shared" si="25"/>
        <v>0</v>
      </c>
      <c r="R106" s="375">
        <f t="shared" si="26"/>
        <v>0</v>
      </c>
      <c r="S106" s="28"/>
      <c r="T106" s="28"/>
      <c r="U106" s="28"/>
      <c r="V106" s="28"/>
      <c r="W106" s="28"/>
      <c r="X106" s="28"/>
      <c r="Y106" s="28"/>
      <c r="Z106" s="28"/>
      <c r="AA106" s="28"/>
      <c r="AB106" s="28"/>
      <c r="AC106" s="28"/>
      <c r="AD106" s="28"/>
      <c r="AE106" s="28"/>
      <c r="AF106" s="28"/>
      <c r="AG106" s="28"/>
      <c r="AH106" s="28"/>
      <c r="AI106" s="28"/>
    </row>
    <row r="107" spans="2:35" x14ac:dyDescent="0.25">
      <c r="B107">
        <v>61</v>
      </c>
      <c r="C107" s="761"/>
      <c r="D107" s="68" t="str">
        <f>HDG_5</f>
        <v>APR</v>
      </c>
      <c r="E107" s="171"/>
      <c r="F107" s="28"/>
      <c r="G107" s="171"/>
      <c r="H107" s="413"/>
      <c r="I107" s="413"/>
      <c r="J107" s="413"/>
      <c r="K107" s="413"/>
      <c r="L107" s="413"/>
      <c r="M107" s="413"/>
      <c r="N107" s="413"/>
      <c r="O107" s="171"/>
      <c r="P107" s="78"/>
      <c r="Q107" s="371">
        <f t="shared" si="25"/>
        <v>0</v>
      </c>
      <c r="R107" s="375">
        <f t="shared" si="26"/>
        <v>0</v>
      </c>
      <c r="S107" s="28"/>
      <c r="T107" s="28"/>
      <c r="U107" s="28"/>
      <c r="V107" s="28"/>
      <c r="W107" s="28"/>
      <c r="X107" s="28"/>
      <c r="Y107" s="28"/>
      <c r="Z107" s="28"/>
      <c r="AA107" s="28"/>
      <c r="AB107" s="28"/>
      <c r="AC107" s="28"/>
      <c r="AD107" s="28"/>
      <c r="AE107" s="28"/>
      <c r="AF107" s="28"/>
      <c r="AG107" s="28"/>
      <c r="AH107" s="28"/>
      <c r="AI107" s="28"/>
    </row>
    <row r="108" spans="2:35" x14ac:dyDescent="0.25">
      <c r="B108">
        <v>62</v>
      </c>
      <c r="C108" s="761"/>
      <c r="D108" s="68" t="str">
        <f>HDG_6</f>
        <v>DCG</v>
      </c>
      <c r="E108" s="171"/>
      <c r="F108" s="28"/>
      <c r="G108" s="171"/>
      <c r="H108" s="413"/>
      <c r="I108" s="413"/>
      <c r="J108" s="413"/>
      <c r="K108" s="413"/>
      <c r="L108" s="413"/>
      <c r="M108" s="413"/>
      <c r="N108" s="413"/>
      <c r="O108" s="171"/>
      <c r="P108" s="78"/>
      <c r="Q108" s="371">
        <f t="shared" si="25"/>
        <v>0</v>
      </c>
      <c r="R108" s="375">
        <f t="shared" si="26"/>
        <v>0</v>
      </c>
      <c r="S108" s="28"/>
      <c r="T108" s="28"/>
      <c r="U108" s="28"/>
      <c r="V108" s="28"/>
      <c r="W108" s="28"/>
      <c r="X108" s="28"/>
      <c r="Y108" s="28"/>
      <c r="Z108" s="28"/>
      <c r="AA108" s="28"/>
      <c r="AB108" s="28"/>
      <c r="AC108" s="28"/>
      <c r="AD108" s="28"/>
      <c r="AE108" s="28"/>
      <c r="AF108" s="28"/>
      <c r="AG108" s="28"/>
      <c r="AH108" s="28"/>
      <c r="AI108" s="28"/>
    </row>
    <row r="109" spans="2:35" x14ac:dyDescent="0.25">
      <c r="B109">
        <v>63</v>
      </c>
      <c r="C109" s="761"/>
      <c r="D109" s="68" t="str">
        <f>HDG_7</f>
        <v>SFS</v>
      </c>
      <c r="E109" s="171"/>
      <c r="F109" s="28"/>
      <c r="G109" s="171"/>
      <c r="H109" s="413"/>
      <c r="I109" s="413"/>
      <c r="J109" s="413"/>
      <c r="K109" s="413"/>
      <c r="L109" s="413"/>
      <c r="M109" s="413"/>
      <c r="N109" s="413"/>
      <c r="O109" s="171"/>
      <c r="P109" s="78"/>
      <c r="Q109" s="371">
        <f t="shared" si="25"/>
        <v>0</v>
      </c>
      <c r="R109" s="375">
        <f t="shared" si="26"/>
        <v>0</v>
      </c>
      <c r="S109" s="28"/>
      <c r="T109" s="28"/>
      <c r="U109" s="28"/>
      <c r="V109" s="28"/>
      <c r="W109" s="28"/>
      <c r="X109" s="28"/>
      <c r="Y109" s="28"/>
      <c r="Z109" s="28"/>
      <c r="AA109" s="28"/>
      <c r="AB109" s="28"/>
      <c r="AC109" s="28"/>
      <c r="AD109" s="28"/>
      <c r="AE109" s="28"/>
      <c r="AF109" s="28"/>
      <c r="AG109" s="28"/>
      <c r="AH109" s="28"/>
      <c r="AI109" s="28"/>
    </row>
    <row r="110" spans="2:35" x14ac:dyDescent="0.25">
      <c r="B110">
        <v>64</v>
      </c>
      <c r="C110" s="761"/>
      <c r="D110" s="68" t="str">
        <f>HDG_8</f>
        <v>AZH</v>
      </c>
      <c r="E110" s="171"/>
      <c r="F110" s="28"/>
      <c r="G110" s="171"/>
      <c r="H110" s="413"/>
      <c r="I110" s="413"/>
      <c r="J110" s="413"/>
      <c r="K110" s="413"/>
      <c r="L110" s="413"/>
      <c r="M110" s="413"/>
      <c r="N110" s="413"/>
      <c r="O110" s="171"/>
      <c r="P110" s="78"/>
      <c r="Q110" s="371">
        <f t="shared" si="25"/>
        <v>0</v>
      </c>
      <c r="R110" s="375">
        <f t="shared" si="26"/>
        <v>0</v>
      </c>
      <c r="S110" s="28"/>
      <c r="T110" s="28"/>
      <c r="U110" s="28"/>
      <c r="V110" s="28"/>
      <c r="W110" s="28"/>
      <c r="X110" s="28"/>
      <c r="Y110" s="28"/>
      <c r="Z110" s="28"/>
      <c r="AA110" s="28"/>
      <c r="AB110" s="28"/>
      <c r="AC110" s="28"/>
      <c r="AD110" s="28"/>
      <c r="AE110" s="28"/>
      <c r="AF110" s="28"/>
      <c r="AG110" s="28"/>
      <c r="AH110" s="28"/>
      <c r="AI110" s="28"/>
    </row>
    <row r="111" spans="2:35" x14ac:dyDescent="0.25">
      <c r="B111">
        <v>65</v>
      </c>
      <c r="C111" s="761"/>
      <c r="D111" s="68" t="str">
        <f>HDG_9</f>
        <v>HLI</v>
      </c>
      <c r="E111" s="171"/>
      <c r="F111" s="28"/>
      <c r="G111" s="171"/>
      <c r="H111" s="413"/>
      <c r="I111" s="413"/>
      <c r="J111" s="413"/>
      <c r="K111" s="413"/>
      <c r="L111" s="413"/>
      <c r="M111" s="413"/>
      <c r="N111" s="413"/>
      <c r="O111" s="171"/>
      <c r="P111" s="78"/>
      <c r="Q111" s="371">
        <f t="shared" si="25"/>
        <v>0</v>
      </c>
      <c r="R111" s="375">
        <f t="shared" si="26"/>
        <v>0</v>
      </c>
      <c r="S111" s="28"/>
      <c r="T111" s="28"/>
      <c r="U111" s="28"/>
      <c r="V111" s="28"/>
      <c r="W111" s="28"/>
      <c r="X111" s="28"/>
      <c r="Y111" s="28"/>
      <c r="Z111" s="28"/>
      <c r="AA111" s="28"/>
      <c r="AB111" s="28"/>
      <c r="AC111" s="28"/>
      <c r="AD111" s="28"/>
      <c r="AE111" s="28"/>
      <c r="AF111" s="28"/>
      <c r="AG111" s="28"/>
      <c r="AH111" s="28"/>
      <c r="AI111" s="28"/>
    </row>
    <row r="112" spans="2:35" x14ac:dyDescent="0.25">
      <c r="B112">
        <v>66</v>
      </c>
      <c r="C112" s="761"/>
      <c r="D112" s="68" t="str">
        <f>HDG_10</f>
        <v>MCM</v>
      </c>
      <c r="E112" s="171"/>
      <c r="F112" s="28"/>
      <c r="G112" s="171"/>
      <c r="H112" s="413"/>
      <c r="I112" s="413"/>
      <c r="J112" s="413"/>
      <c r="K112" s="413"/>
      <c r="L112" s="413"/>
      <c r="M112" s="413"/>
      <c r="N112" s="413"/>
      <c r="O112" s="171"/>
      <c r="P112" s="78"/>
      <c r="Q112" s="371">
        <f t="shared" si="25"/>
        <v>0</v>
      </c>
      <c r="R112" s="375">
        <f t="shared" si="26"/>
        <v>0</v>
      </c>
      <c r="S112" s="28"/>
      <c r="T112" s="28"/>
      <c r="U112" s="28"/>
      <c r="V112" s="28"/>
      <c r="W112" s="28"/>
      <c r="X112" s="28"/>
      <c r="Y112" s="28"/>
      <c r="Z112" s="28"/>
      <c r="AA112" s="28"/>
      <c r="AB112" s="28"/>
      <c r="AC112" s="28"/>
      <c r="AD112" s="28"/>
      <c r="AE112" s="28"/>
      <c r="AF112" s="28"/>
      <c r="AG112" s="28"/>
      <c r="AH112" s="28"/>
      <c r="AI112" s="28"/>
    </row>
    <row r="113" spans="2:35" ht="15.75" thickBot="1" x14ac:dyDescent="0.3">
      <c r="B113">
        <v>67</v>
      </c>
      <c r="C113" s="761"/>
      <c r="D113" s="69" t="str">
        <f>HDG_11</f>
        <v>MCR</v>
      </c>
      <c r="E113" s="171"/>
      <c r="F113" s="28"/>
      <c r="G113" s="171"/>
      <c r="H113" s="413"/>
      <c r="I113" s="413"/>
      <c r="J113" s="413"/>
      <c r="K113" s="413"/>
      <c r="L113" s="413"/>
      <c r="M113" s="413"/>
      <c r="N113" s="413"/>
      <c r="O113" s="171"/>
      <c r="P113" s="78"/>
      <c r="Q113" s="371">
        <f t="shared" si="25"/>
        <v>0</v>
      </c>
      <c r="R113" s="375">
        <f t="shared" si="26"/>
        <v>0</v>
      </c>
      <c r="S113" s="28"/>
      <c r="T113" s="28"/>
      <c r="U113" s="28"/>
      <c r="V113" s="28"/>
      <c r="W113" s="28"/>
      <c r="X113" s="28"/>
      <c r="Y113" s="28"/>
      <c r="Z113" s="28"/>
      <c r="AA113" s="28"/>
      <c r="AB113" s="28"/>
      <c r="AC113" s="28"/>
      <c r="AD113" s="28"/>
      <c r="AE113" s="28"/>
      <c r="AF113" s="28"/>
      <c r="AG113" s="28"/>
      <c r="AH113" s="28"/>
      <c r="AI113" s="28"/>
    </row>
    <row r="114" spans="2:35" ht="15.75" thickBot="1" x14ac:dyDescent="0.3">
      <c r="B114">
        <v>68</v>
      </c>
      <c r="C114" s="762"/>
      <c r="D114" s="108" t="s">
        <v>406</v>
      </c>
      <c r="E114" s="171"/>
      <c r="F114" s="28"/>
      <c r="G114" s="171"/>
      <c r="H114" s="413"/>
      <c r="I114" s="413"/>
      <c r="J114" s="413"/>
      <c r="K114" s="413"/>
      <c r="L114" s="413"/>
      <c r="M114" s="413"/>
      <c r="N114" s="413"/>
      <c r="O114" s="171"/>
      <c r="P114" s="78"/>
      <c r="Q114" s="373">
        <f t="shared" si="25"/>
        <v>0</v>
      </c>
      <c r="R114" s="418">
        <f t="shared" si="26"/>
        <v>0</v>
      </c>
      <c r="S114" s="28"/>
      <c r="T114" s="28"/>
      <c r="U114" s="28"/>
      <c r="V114" s="28"/>
      <c r="W114" s="28"/>
      <c r="X114" s="28"/>
      <c r="Y114" s="28"/>
      <c r="Z114" s="28"/>
      <c r="AA114" s="28"/>
      <c r="AB114" s="28"/>
      <c r="AC114" s="28"/>
      <c r="AD114" s="28"/>
      <c r="AE114" s="28"/>
      <c r="AF114" s="28"/>
      <c r="AG114" s="28"/>
      <c r="AH114" s="28"/>
      <c r="AI114" s="28"/>
    </row>
    <row r="115" spans="2:35" ht="15.75" thickBot="1" x14ac:dyDescent="0.3">
      <c r="C115" s="176"/>
      <c r="D115" s="177"/>
      <c r="E115" s="181"/>
      <c r="F115" s="61"/>
      <c r="G115" s="181"/>
      <c r="H115" s="61"/>
      <c r="I115" s="181"/>
      <c r="J115" s="61"/>
      <c r="K115" s="181"/>
      <c r="L115" s="61"/>
      <c r="M115" s="181"/>
      <c r="N115" s="61"/>
      <c r="O115" s="181"/>
      <c r="P115" s="424"/>
      <c r="Q115" s="181"/>
      <c r="R115" s="61"/>
      <c r="S115" s="28"/>
      <c r="T115" s="28"/>
      <c r="U115" s="28"/>
      <c r="V115" s="28"/>
      <c r="W115" s="28"/>
      <c r="X115" s="28"/>
      <c r="Y115" s="28"/>
      <c r="Z115" s="28"/>
      <c r="AA115" s="28"/>
      <c r="AB115" s="28"/>
      <c r="AC115" s="28"/>
      <c r="AD115" s="28"/>
      <c r="AE115" s="28"/>
      <c r="AF115" s="28"/>
      <c r="AG115" s="28"/>
      <c r="AH115" s="28"/>
      <c r="AI115" s="28"/>
    </row>
    <row r="116" spans="2:35" ht="15.75" thickBot="1" x14ac:dyDescent="0.3">
      <c r="C116" s="731" t="s">
        <v>55</v>
      </c>
      <c r="D116" s="732"/>
      <c r="E116" s="181"/>
      <c r="F116" s="61"/>
      <c r="G116" s="181"/>
      <c r="H116" s="61"/>
      <c r="I116" s="181"/>
      <c r="J116" s="61"/>
      <c r="K116" s="181"/>
      <c r="L116" s="61"/>
      <c r="M116" s="181"/>
      <c r="N116" s="61"/>
      <c r="O116" s="181"/>
      <c r="P116" s="424"/>
      <c r="Q116" s="181"/>
      <c r="R116" s="61"/>
      <c r="S116" s="28"/>
      <c r="T116" s="28"/>
      <c r="U116" s="28"/>
      <c r="V116" s="28"/>
      <c r="W116" s="28"/>
      <c r="X116" s="28"/>
      <c r="Y116" s="28"/>
      <c r="Z116" s="28"/>
      <c r="AA116" s="28"/>
      <c r="AB116" s="28"/>
      <c r="AC116" s="28"/>
      <c r="AD116" s="28"/>
      <c r="AE116" s="28"/>
      <c r="AF116" s="28"/>
      <c r="AG116" s="28"/>
      <c r="AH116" s="28"/>
      <c r="AI116" s="28"/>
    </row>
    <row r="117" spans="2:35" ht="15.75" thickBot="1" x14ac:dyDescent="0.3">
      <c r="B117">
        <v>69</v>
      </c>
      <c r="C117" s="727" t="s">
        <v>64</v>
      </c>
      <c r="D117" s="728"/>
      <c r="E117" s="171"/>
      <c r="F117" s="28"/>
      <c r="G117" s="171"/>
      <c r="H117" s="413"/>
      <c r="I117" s="413"/>
      <c r="J117" s="413"/>
      <c r="K117" s="413"/>
      <c r="L117" s="413"/>
      <c r="M117" s="413"/>
      <c r="N117" s="413"/>
      <c r="O117" s="171"/>
      <c r="P117" s="78"/>
      <c r="Q117" s="374">
        <f>SUM(E117:P117)</f>
        <v>0</v>
      </c>
      <c r="R117" s="417">
        <f>SUM(H117:N117)</f>
        <v>0</v>
      </c>
      <c r="S117" s="28"/>
      <c r="T117" s="28"/>
      <c r="U117" s="28"/>
      <c r="V117" s="28"/>
      <c r="W117" s="28"/>
      <c r="X117" s="28"/>
      <c r="Y117" s="28"/>
      <c r="Z117" s="28"/>
      <c r="AA117" s="28"/>
      <c r="AB117" s="28"/>
      <c r="AC117" s="28"/>
      <c r="AD117" s="28"/>
      <c r="AE117" s="28"/>
      <c r="AF117" s="28"/>
      <c r="AG117" s="28"/>
      <c r="AH117" s="28"/>
      <c r="AI117" s="28"/>
    </row>
    <row r="118" spans="2:35" ht="15.75" thickBot="1" x14ac:dyDescent="0.3">
      <c r="C118" s="733" t="s">
        <v>56</v>
      </c>
      <c r="D118" s="734"/>
      <c r="E118" s="181"/>
      <c r="F118" s="61"/>
      <c r="G118" s="181"/>
      <c r="H118" s="61"/>
      <c r="I118" s="181"/>
      <c r="J118" s="61"/>
      <c r="K118" s="181"/>
      <c r="L118" s="61"/>
      <c r="M118" s="181"/>
      <c r="N118" s="61"/>
      <c r="O118" s="181"/>
      <c r="P118" s="424"/>
      <c r="Q118" s="372"/>
      <c r="R118" s="308"/>
      <c r="S118" s="28"/>
      <c r="T118" s="28"/>
      <c r="U118" s="28"/>
      <c r="V118" s="28"/>
      <c r="W118" s="28"/>
      <c r="X118" s="28"/>
      <c r="Y118" s="28"/>
      <c r="Z118" s="28"/>
      <c r="AA118" s="28"/>
      <c r="AB118" s="28"/>
      <c r="AC118" s="28"/>
      <c r="AD118" s="28"/>
      <c r="AE118" s="28"/>
      <c r="AF118" s="28"/>
      <c r="AG118" s="28"/>
      <c r="AH118" s="28"/>
      <c r="AI118" s="28"/>
    </row>
    <row r="119" spans="2:35" x14ac:dyDescent="0.25">
      <c r="B119">
        <v>70</v>
      </c>
      <c r="C119" s="760"/>
      <c r="D119" s="110" t="str">
        <f>HDG_1</f>
        <v>AFR</v>
      </c>
      <c r="E119" s="171"/>
      <c r="F119" s="28"/>
      <c r="G119" s="171"/>
      <c r="H119" s="413"/>
      <c r="I119" s="413"/>
      <c r="J119" s="413"/>
      <c r="K119" s="413"/>
      <c r="L119" s="413"/>
      <c r="M119" s="413"/>
      <c r="N119" s="413"/>
      <c r="O119" s="171"/>
      <c r="P119" s="78"/>
      <c r="Q119" s="371">
        <f>SUM(E119:P119)</f>
        <v>0</v>
      </c>
      <c r="R119" s="375">
        <f>SUM(H119:N119)</f>
        <v>0</v>
      </c>
      <c r="S119" s="28"/>
      <c r="T119" s="28"/>
      <c r="U119" s="28"/>
      <c r="V119" s="28"/>
      <c r="W119" s="28"/>
      <c r="X119" s="28"/>
      <c r="Y119" s="28"/>
      <c r="Z119" s="28"/>
      <c r="AA119" s="28"/>
      <c r="AB119" s="28"/>
      <c r="AC119" s="28"/>
      <c r="AD119" s="28"/>
      <c r="AE119" s="28"/>
      <c r="AF119" s="28"/>
      <c r="AG119" s="28"/>
      <c r="AH119" s="28"/>
      <c r="AI119" s="28"/>
    </row>
    <row r="120" spans="2:35" x14ac:dyDescent="0.25">
      <c r="B120">
        <v>71</v>
      </c>
      <c r="C120" s="761"/>
      <c r="D120" s="68" t="str">
        <f>HDG_2</f>
        <v>AVP</v>
      </c>
      <c r="E120" s="171"/>
      <c r="F120" s="28"/>
      <c r="G120" s="171"/>
      <c r="H120" s="413"/>
      <c r="I120" s="413"/>
      <c r="J120" s="413"/>
      <c r="K120" s="413"/>
      <c r="L120" s="413"/>
      <c r="M120" s="413"/>
      <c r="N120" s="413"/>
      <c r="O120" s="171"/>
      <c r="P120" s="78"/>
      <c r="Q120" s="371">
        <f t="shared" ref="Q120:Q130" si="27">SUM(E120:P120)</f>
        <v>0</v>
      </c>
      <c r="R120" s="375">
        <f t="shared" ref="R120:R130" si="28">SUM(H120:N120)</f>
        <v>0</v>
      </c>
      <c r="S120" s="28"/>
      <c r="T120" s="28"/>
      <c r="U120" s="28"/>
      <c r="V120" s="28"/>
      <c r="W120" s="28"/>
      <c r="X120" s="28"/>
      <c r="Y120" s="28"/>
      <c r="Z120" s="28"/>
      <c r="AA120" s="28"/>
      <c r="AB120" s="28"/>
      <c r="AC120" s="28"/>
      <c r="AD120" s="28"/>
      <c r="AE120" s="28"/>
      <c r="AF120" s="28"/>
      <c r="AG120" s="28"/>
      <c r="AH120" s="28"/>
      <c r="AI120" s="28"/>
    </row>
    <row r="121" spans="2:35" x14ac:dyDescent="0.25">
      <c r="B121">
        <v>72</v>
      </c>
      <c r="C121" s="761"/>
      <c r="D121" s="68" t="str">
        <f>HDG_3</f>
        <v>ALZ</v>
      </c>
      <c r="E121" s="171"/>
      <c r="F121" s="28"/>
      <c r="G121" s="171"/>
      <c r="H121" s="413"/>
      <c r="I121" s="413"/>
      <c r="J121" s="413"/>
      <c r="K121" s="413"/>
      <c r="L121" s="413"/>
      <c r="M121" s="413"/>
      <c r="N121" s="413"/>
      <c r="O121" s="171"/>
      <c r="P121" s="78"/>
      <c r="Q121" s="371">
        <f t="shared" si="27"/>
        <v>0</v>
      </c>
      <c r="R121" s="375">
        <f t="shared" si="28"/>
        <v>0</v>
      </c>
      <c r="S121" s="28"/>
      <c r="T121" s="28"/>
      <c r="U121" s="28"/>
      <c r="V121" s="28"/>
      <c r="W121" s="28"/>
      <c r="X121" s="28"/>
      <c r="Y121" s="28"/>
      <c r="Z121" s="28"/>
      <c r="AA121" s="28"/>
      <c r="AB121" s="28"/>
      <c r="AC121" s="28"/>
      <c r="AD121" s="28"/>
      <c r="AE121" s="28"/>
      <c r="AF121" s="28"/>
      <c r="AG121" s="28"/>
      <c r="AH121" s="28"/>
      <c r="AI121" s="28"/>
    </row>
    <row r="122" spans="2:35" x14ac:dyDescent="0.25">
      <c r="B122">
        <v>73</v>
      </c>
      <c r="C122" s="761"/>
      <c r="D122" s="68" t="str">
        <f>HDG_4</f>
        <v>MZS</v>
      </c>
      <c r="E122" s="171"/>
      <c r="F122" s="28"/>
      <c r="G122" s="171"/>
      <c r="H122" s="413"/>
      <c r="I122" s="413"/>
      <c r="J122" s="413"/>
      <c r="K122" s="413"/>
      <c r="L122" s="413"/>
      <c r="M122" s="413"/>
      <c r="N122" s="413"/>
      <c r="O122" s="171"/>
      <c r="P122" s="78"/>
      <c r="Q122" s="371">
        <f t="shared" si="27"/>
        <v>0</v>
      </c>
      <c r="R122" s="375">
        <f t="shared" si="28"/>
        <v>0</v>
      </c>
      <c r="S122" s="28"/>
      <c r="T122" s="28"/>
      <c r="U122" s="28"/>
      <c r="V122" s="28"/>
      <c r="W122" s="28"/>
      <c r="X122" s="28"/>
      <c r="Y122" s="28"/>
      <c r="Z122" s="28"/>
      <c r="AA122" s="28"/>
      <c r="AB122" s="28"/>
      <c r="AC122" s="28"/>
      <c r="AD122" s="28"/>
      <c r="AE122" s="28"/>
      <c r="AF122" s="28"/>
      <c r="AG122" s="28"/>
      <c r="AH122" s="28"/>
      <c r="AI122" s="28"/>
    </row>
    <row r="123" spans="2:35" x14ac:dyDescent="0.25">
      <c r="B123">
        <v>74</v>
      </c>
      <c r="C123" s="761"/>
      <c r="D123" s="68" t="str">
        <f>HDG_5</f>
        <v>APR</v>
      </c>
      <c r="E123" s="171"/>
      <c r="F123" s="28"/>
      <c r="G123" s="171"/>
      <c r="H123" s="413"/>
      <c r="I123" s="413"/>
      <c r="J123" s="413"/>
      <c r="K123" s="413"/>
      <c r="L123" s="413"/>
      <c r="M123" s="413"/>
      <c r="N123" s="413"/>
      <c r="O123" s="171"/>
      <c r="P123" s="78"/>
      <c r="Q123" s="371">
        <f t="shared" si="27"/>
        <v>0</v>
      </c>
      <c r="R123" s="375">
        <f t="shared" si="28"/>
        <v>0</v>
      </c>
      <c r="S123" s="28"/>
      <c r="T123" s="28"/>
      <c r="U123" s="28"/>
      <c r="V123" s="28"/>
      <c r="W123" s="28"/>
      <c r="X123" s="28"/>
      <c r="Y123" s="28"/>
      <c r="Z123" s="28"/>
      <c r="AA123" s="28"/>
      <c r="AB123" s="28"/>
      <c r="AC123" s="28"/>
      <c r="AD123" s="28"/>
      <c r="AE123" s="28"/>
      <c r="AF123" s="28"/>
      <c r="AG123" s="28"/>
      <c r="AH123" s="28"/>
      <c r="AI123" s="28"/>
    </row>
    <row r="124" spans="2:35" x14ac:dyDescent="0.25">
      <c r="B124">
        <v>75</v>
      </c>
      <c r="C124" s="761"/>
      <c r="D124" s="68" t="str">
        <f>HDG_6</f>
        <v>DCG</v>
      </c>
      <c r="E124" s="171"/>
      <c r="F124" s="28"/>
      <c r="G124" s="171"/>
      <c r="H124" s="413"/>
      <c r="I124" s="413"/>
      <c r="J124" s="413"/>
      <c r="K124" s="413"/>
      <c r="L124" s="413"/>
      <c r="M124" s="413"/>
      <c r="N124" s="413"/>
      <c r="O124" s="171"/>
      <c r="P124" s="78"/>
      <c r="Q124" s="371">
        <f t="shared" si="27"/>
        <v>0</v>
      </c>
      <c r="R124" s="375">
        <f t="shared" si="28"/>
        <v>0</v>
      </c>
      <c r="S124" s="28"/>
      <c r="T124" s="28"/>
      <c r="U124" s="28"/>
      <c r="V124" s="28"/>
      <c r="W124" s="28"/>
      <c r="X124" s="28"/>
      <c r="Y124" s="28"/>
      <c r="Z124" s="28"/>
      <c r="AA124" s="28"/>
      <c r="AB124" s="28"/>
      <c r="AC124" s="28"/>
      <c r="AD124" s="28"/>
      <c r="AE124" s="28"/>
      <c r="AF124" s="28"/>
      <c r="AG124" s="28"/>
      <c r="AH124" s="28"/>
      <c r="AI124" s="28"/>
    </row>
    <row r="125" spans="2:35" x14ac:dyDescent="0.25">
      <c r="B125">
        <v>76</v>
      </c>
      <c r="C125" s="761"/>
      <c r="D125" s="68" t="str">
        <f>HDG_7</f>
        <v>SFS</v>
      </c>
      <c r="E125" s="171"/>
      <c r="F125" s="28"/>
      <c r="G125" s="171"/>
      <c r="H125" s="413"/>
      <c r="I125" s="413"/>
      <c r="J125" s="413"/>
      <c r="K125" s="413"/>
      <c r="L125" s="413"/>
      <c r="M125" s="413"/>
      <c r="N125" s="413"/>
      <c r="O125" s="171"/>
      <c r="P125" s="78"/>
      <c r="Q125" s="371">
        <f t="shared" si="27"/>
        <v>0</v>
      </c>
      <c r="R125" s="375">
        <f t="shared" si="28"/>
        <v>0</v>
      </c>
      <c r="S125" s="28"/>
      <c r="T125" s="28"/>
      <c r="U125" s="28"/>
      <c r="V125" s="28"/>
      <c r="W125" s="28"/>
      <c r="X125" s="28"/>
      <c r="Y125" s="28"/>
      <c r="Z125" s="28"/>
      <c r="AA125" s="28"/>
      <c r="AB125" s="28"/>
      <c r="AC125" s="28"/>
      <c r="AD125" s="28"/>
      <c r="AE125" s="28"/>
      <c r="AF125" s="28"/>
      <c r="AG125" s="28"/>
      <c r="AH125" s="28"/>
      <c r="AI125" s="28"/>
    </row>
    <row r="126" spans="2:35" x14ac:dyDescent="0.25">
      <c r="B126">
        <v>77</v>
      </c>
      <c r="C126" s="761"/>
      <c r="D126" s="68" t="str">
        <f>HDG_8</f>
        <v>AZH</v>
      </c>
      <c r="E126" s="171"/>
      <c r="F126" s="28"/>
      <c r="G126" s="171"/>
      <c r="H126" s="413"/>
      <c r="I126" s="413"/>
      <c r="J126" s="413"/>
      <c r="K126" s="413"/>
      <c r="L126" s="413"/>
      <c r="M126" s="413"/>
      <c r="N126" s="413"/>
      <c r="O126" s="171"/>
      <c r="P126" s="78"/>
      <c r="Q126" s="371">
        <f t="shared" si="27"/>
        <v>0</v>
      </c>
      <c r="R126" s="375">
        <f t="shared" si="28"/>
        <v>0</v>
      </c>
      <c r="S126" s="28"/>
      <c r="T126" s="28"/>
      <c r="U126" s="28"/>
      <c r="V126" s="28"/>
      <c r="W126" s="28"/>
      <c r="X126" s="28"/>
      <c r="Y126" s="28"/>
      <c r="Z126" s="28"/>
      <c r="AA126" s="28"/>
      <c r="AB126" s="28"/>
      <c r="AC126" s="28"/>
      <c r="AD126" s="28"/>
      <c r="AE126" s="28"/>
      <c r="AF126" s="28"/>
      <c r="AG126" s="28"/>
      <c r="AH126" s="28"/>
      <c r="AI126" s="28"/>
    </row>
    <row r="127" spans="2:35" x14ac:dyDescent="0.25">
      <c r="B127">
        <v>78</v>
      </c>
      <c r="C127" s="761"/>
      <c r="D127" s="68" t="str">
        <f>HDG_9</f>
        <v>HLI</v>
      </c>
      <c r="E127" s="171"/>
      <c r="F127" s="28"/>
      <c r="G127" s="171"/>
      <c r="H127" s="413"/>
      <c r="I127" s="413"/>
      <c r="J127" s="413"/>
      <c r="K127" s="413"/>
      <c r="L127" s="413"/>
      <c r="M127" s="413"/>
      <c r="N127" s="413"/>
      <c r="O127" s="171"/>
      <c r="P127" s="78"/>
      <c r="Q127" s="371">
        <f t="shared" si="27"/>
        <v>0</v>
      </c>
      <c r="R127" s="375">
        <f t="shared" si="28"/>
        <v>0</v>
      </c>
      <c r="S127" s="28"/>
      <c r="T127" s="28"/>
      <c r="U127" s="28"/>
      <c r="V127" s="28"/>
      <c r="W127" s="28"/>
      <c r="X127" s="28"/>
      <c r="Y127" s="28"/>
      <c r="Z127" s="28"/>
      <c r="AA127" s="28"/>
      <c r="AB127" s="28"/>
      <c r="AC127" s="28"/>
      <c r="AD127" s="28"/>
      <c r="AE127" s="28"/>
      <c r="AF127" s="28"/>
      <c r="AG127" s="28"/>
      <c r="AH127" s="28"/>
      <c r="AI127" s="28"/>
    </row>
    <row r="128" spans="2:35" x14ac:dyDescent="0.25">
      <c r="B128">
        <v>79</v>
      </c>
      <c r="C128" s="761"/>
      <c r="D128" s="68" t="str">
        <f>HDG_10</f>
        <v>MCM</v>
      </c>
      <c r="E128" s="171"/>
      <c r="F128" s="28"/>
      <c r="G128" s="171"/>
      <c r="H128" s="413"/>
      <c r="I128" s="413"/>
      <c r="J128" s="413"/>
      <c r="K128" s="413"/>
      <c r="L128" s="413"/>
      <c r="M128" s="413"/>
      <c r="N128" s="413"/>
      <c r="O128" s="171"/>
      <c r="P128" s="78"/>
      <c r="Q128" s="371">
        <f t="shared" si="27"/>
        <v>0</v>
      </c>
      <c r="R128" s="375">
        <f t="shared" si="28"/>
        <v>0</v>
      </c>
      <c r="S128" s="28"/>
      <c r="T128" s="28"/>
      <c r="U128" s="28"/>
      <c r="V128" s="28"/>
      <c r="W128" s="28"/>
      <c r="X128" s="28"/>
      <c r="Y128" s="28"/>
      <c r="Z128" s="28"/>
      <c r="AA128" s="28"/>
      <c r="AB128" s="28"/>
      <c r="AC128" s="28"/>
      <c r="AD128" s="28"/>
      <c r="AE128" s="28"/>
      <c r="AF128" s="28"/>
      <c r="AG128" s="28"/>
      <c r="AH128" s="28"/>
      <c r="AI128" s="28"/>
    </row>
    <row r="129" spans="2:35" ht="15.75" thickBot="1" x14ac:dyDescent="0.3">
      <c r="B129">
        <v>80</v>
      </c>
      <c r="C129" s="761"/>
      <c r="D129" s="69" t="str">
        <f>HDG_11</f>
        <v>MCR</v>
      </c>
      <c r="E129" s="171"/>
      <c r="F129" s="28"/>
      <c r="G129" s="171"/>
      <c r="H129" s="413"/>
      <c r="I129" s="413"/>
      <c r="J129" s="413"/>
      <c r="K129" s="413"/>
      <c r="L129" s="413"/>
      <c r="M129" s="413"/>
      <c r="N129" s="413"/>
      <c r="O129" s="171"/>
      <c r="P129" s="78"/>
      <c r="Q129" s="371">
        <f t="shared" si="27"/>
        <v>0</v>
      </c>
      <c r="R129" s="375">
        <f t="shared" si="28"/>
        <v>0</v>
      </c>
      <c r="S129" s="28"/>
      <c r="T129" s="28"/>
      <c r="U129" s="28"/>
      <c r="V129" s="28"/>
      <c r="W129" s="28"/>
      <c r="X129" s="28"/>
      <c r="Y129" s="28"/>
      <c r="Z129" s="28"/>
      <c r="AA129" s="28"/>
      <c r="AB129" s="28"/>
      <c r="AC129" s="28"/>
      <c r="AD129" s="28"/>
      <c r="AE129" s="28"/>
      <c r="AF129" s="28"/>
      <c r="AG129" s="28"/>
      <c r="AH129" s="28"/>
      <c r="AI129" s="28"/>
    </row>
    <row r="130" spans="2:35" ht="15.75" thickBot="1" x14ac:dyDescent="0.3">
      <c r="B130">
        <v>81</v>
      </c>
      <c r="C130" s="762"/>
      <c r="D130" s="108" t="s">
        <v>406</v>
      </c>
      <c r="E130" s="171"/>
      <c r="F130" s="28"/>
      <c r="G130" s="171"/>
      <c r="H130" s="413"/>
      <c r="I130" s="413"/>
      <c r="J130" s="413"/>
      <c r="K130" s="413"/>
      <c r="L130" s="413"/>
      <c r="M130" s="413"/>
      <c r="N130" s="413"/>
      <c r="O130" s="171"/>
      <c r="P130" s="78"/>
      <c r="Q130" s="373">
        <f t="shared" si="27"/>
        <v>0</v>
      </c>
      <c r="R130" s="418">
        <f t="shared" si="28"/>
        <v>0</v>
      </c>
      <c r="S130" s="28"/>
      <c r="T130" s="28"/>
      <c r="U130" s="28"/>
      <c r="V130" s="28"/>
      <c r="W130" s="28"/>
      <c r="X130" s="28"/>
      <c r="Y130" s="28"/>
      <c r="Z130" s="28"/>
      <c r="AA130" s="28"/>
      <c r="AB130" s="28"/>
      <c r="AC130" s="28"/>
      <c r="AD130" s="28"/>
      <c r="AE130" s="28"/>
      <c r="AF130" s="28"/>
      <c r="AG130" s="28"/>
      <c r="AH130" s="28"/>
      <c r="AI130" s="28"/>
    </row>
    <row r="131" spans="2:35" ht="15.75" thickBot="1" x14ac:dyDescent="0.3">
      <c r="C131" s="176"/>
      <c r="D131" s="177"/>
      <c r="E131" s="181"/>
      <c r="F131" s="61"/>
      <c r="G131" s="181"/>
      <c r="H131" s="61"/>
      <c r="I131" s="181"/>
      <c r="J131" s="61"/>
      <c r="K131" s="181"/>
      <c r="L131" s="61"/>
      <c r="M131" s="181"/>
      <c r="N131" s="61"/>
      <c r="O131" s="181"/>
      <c r="P131" s="424"/>
      <c r="Q131" s="181"/>
      <c r="R131" s="61"/>
      <c r="S131" s="28"/>
      <c r="T131" s="28"/>
      <c r="U131" s="28"/>
      <c r="V131" s="28"/>
      <c r="W131" s="28"/>
      <c r="X131" s="28"/>
      <c r="Y131" s="28"/>
      <c r="Z131" s="28"/>
      <c r="AA131" s="28"/>
      <c r="AB131" s="28"/>
      <c r="AC131" s="28"/>
      <c r="AD131" s="28"/>
      <c r="AE131" s="28"/>
      <c r="AF131" s="28"/>
      <c r="AG131" s="28"/>
      <c r="AH131" s="28"/>
      <c r="AI131" s="28"/>
    </row>
    <row r="132" spans="2:35" ht="15.75" thickBot="1" x14ac:dyDescent="0.3">
      <c r="C132" s="731" t="s">
        <v>55</v>
      </c>
      <c r="D132" s="732"/>
      <c r="E132" s="181"/>
      <c r="F132" s="61"/>
      <c r="G132" s="181"/>
      <c r="H132" s="61"/>
      <c r="I132" s="181"/>
      <c r="J132" s="61"/>
      <c r="K132" s="181"/>
      <c r="L132" s="61"/>
      <c r="M132" s="181"/>
      <c r="N132" s="61"/>
      <c r="O132" s="181"/>
      <c r="P132" s="424"/>
      <c r="Q132" s="181"/>
      <c r="R132" s="61"/>
      <c r="S132" s="28"/>
      <c r="T132" s="28"/>
      <c r="U132" s="28"/>
      <c r="V132" s="28"/>
      <c r="W132" s="28"/>
      <c r="X132" s="28"/>
      <c r="Y132" s="28"/>
      <c r="Z132" s="28"/>
      <c r="AA132" s="28"/>
      <c r="AB132" s="28"/>
      <c r="AC132" s="28"/>
      <c r="AD132" s="28"/>
      <c r="AE132" s="28"/>
      <c r="AF132" s="28"/>
      <c r="AG132" s="28"/>
      <c r="AH132" s="28"/>
      <c r="AI132" s="28"/>
    </row>
    <row r="133" spans="2:35" ht="15.75" thickBot="1" x14ac:dyDescent="0.3">
      <c r="B133">
        <v>82</v>
      </c>
      <c r="C133" s="763" t="s">
        <v>65</v>
      </c>
      <c r="D133" s="764"/>
      <c r="E133" s="171"/>
      <c r="F133" s="28"/>
      <c r="G133" s="171"/>
      <c r="H133" s="413"/>
      <c r="I133" s="413"/>
      <c r="J133" s="413"/>
      <c r="K133" s="413"/>
      <c r="L133" s="413"/>
      <c r="M133" s="413"/>
      <c r="N133" s="413"/>
      <c r="O133" s="171"/>
      <c r="P133" s="78"/>
      <c r="Q133" s="374">
        <f>SUM(E133:P133)</f>
        <v>0</v>
      </c>
      <c r="R133" s="417">
        <f>SUM(H133:N133)</f>
        <v>0</v>
      </c>
      <c r="S133" s="28"/>
      <c r="T133" s="28"/>
      <c r="U133" s="28"/>
      <c r="V133" s="28"/>
      <c r="W133" s="28"/>
      <c r="X133" s="28"/>
      <c r="Y133" s="28"/>
      <c r="Z133" s="28"/>
      <c r="AA133" s="28"/>
      <c r="AB133" s="28"/>
      <c r="AC133" s="28"/>
      <c r="AD133" s="28"/>
      <c r="AE133" s="28"/>
      <c r="AF133" s="28"/>
      <c r="AG133" s="28"/>
      <c r="AH133" s="28"/>
      <c r="AI133" s="28"/>
    </row>
    <row r="134" spans="2:35" ht="15.75" thickBot="1" x14ac:dyDescent="0.3">
      <c r="C134" s="733" t="s">
        <v>56</v>
      </c>
      <c r="D134" s="734"/>
      <c r="E134" s="181"/>
      <c r="F134" s="61"/>
      <c r="G134" s="181"/>
      <c r="H134" s="61"/>
      <c r="I134" s="181"/>
      <c r="J134" s="61"/>
      <c r="K134" s="181"/>
      <c r="L134" s="61"/>
      <c r="M134" s="181"/>
      <c r="N134" s="61"/>
      <c r="O134" s="181"/>
      <c r="P134" s="424"/>
      <c r="Q134" s="372"/>
      <c r="R134" s="308"/>
      <c r="S134" s="28"/>
      <c r="T134" s="28"/>
      <c r="U134" s="28"/>
      <c r="V134" s="28"/>
      <c r="W134" s="28"/>
      <c r="X134" s="28"/>
      <c r="Y134" s="28"/>
      <c r="Z134" s="28"/>
      <c r="AA134" s="28"/>
      <c r="AB134" s="28"/>
      <c r="AC134" s="28"/>
      <c r="AD134" s="28"/>
      <c r="AE134" s="28"/>
      <c r="AF134" s="28"/>
      <c r="AG134" s="28"/>
      <c r="AH134" s="28"/>
      <c r="AI134" s="28"/>
    </row>
    <row r="135" spans="2:35" x14ac:dyDescent="0.25">
      <c r="B135">
        <v>83</v>
      </c>
      <c r="C135" s="760"/>
      <c r="D135" s="110" t="str">
        <f>HDG_1</f>
        <v>AFR</v>
      </c>
      <c r="E135" s="171"/>
      <c r="F135" s="28"/>
      <c r="G135" s="171"/>
      <c r="H135" s="413"/>
      <c r="I135" s="413"/>
      <c r="J135" s="413"/>
      <c r="K135" s="413"/>
      <c r="L135" s="413"/>
      <c r="M135" s="413"/>
      <c r="N135" s="413"/>
      <c r="O135" s="171"/>
      <c r="P135" s="78"/>
      <c r="Q135" s="371">
        <f>SUM(E135:P135)</f>
        <v>0</v>
      </c>
      <c r="R135" s="375">
        <f>SUM(H135:N135)</f>
        <v>0</v>
      </c>
      <c r="S135" s="28"/>
      <c r="T135" s="28"/>
      <c r="U135" s="28"/>
      <c r="V135" s="28"/>
      <c r="W135" s="28"/>
      <c r="X135" s="28"/>
      <c r="Y135" s="28"/>
      <c r="Z135" s="28"/>
      <c r="AA135" s="28"/>
      <c r="AB135" s="28"/>
      <c r="AC135" s="28"/>
      <c r="AD135" s="28"/>
      <c r="AE135" s="28"/>
      <c r="AF135" s="28"/>
      <c r="AG135" s="28"/>
      <c r="AH135" s="28"/>
      <c r="AI135" s="28"/>
    </row>
    <row r="136" spans="2:35" x14ac:dyDescent="0.25">
      <c r="B136">
        <v>84</v>
      </c>
      <c r="C136" s="761"/>
      <c r="D136" s="68" t="str">
        <f>HDG_2</f>
        <v>AVP</v>
      </c>
      <c r="E136" s="171"/>
      <c r="F136" s="28"/>
      <c r="G136" s="171"/>
      <c r="H136" s="413"/>
      <c r="I136" s="413"/>
      <c r="J136" s="413"/>
      <c r="K136" s="413"/>
      <c r="L136" s="413"/>
      <c r="M136" s="413"/>
      <c r="N136" s="413"/>
      <c r="O136" s="171"/>
      <c r="P136" s="78"/>
      <c r="Q136" s="371">
        <f t="shared" ref="Q136:Q146" si="29">SUM(E136:P136)</f>
        <v>0</v>
      </c>
      <c r="R136" s="375">
        <f t="shared" ref="R136:R146" si="30">SUM(H136:N136)</f>
        <v>0</v>
      </c>
      <c r="S136" s="28"/>
      <c r="T136" s="28"/>
      <c r="U136" s="28"/>
      <c r="V136" s="28"/>
      <c r="W136" s="28"/>
      <c r="X136" s="28"/>
      <c r="Y136" s="28"/>
      <c r="Z136" s="28"/>
      <c r="AA136" s="28"/>
      <c r="AB136" s="28"/>
      <c r="AC136" s="28"/>
      <c r="AD136" s="28"/>
      <c r="AE136" s="28"/>
      <c r="AF136" s="28"/>
      <c r="AG136" s="28"/>
      <c r="AH136" s="28"/>
      <c r="AI136" s="28"/>
    </row>
    <row r="137" spans="2:35" x14ac:dyDescent="0.25">
      <c r="B137">
        <v>85</v>
      </c>
      <c r="C137" s="761"/>
      <c r="D137" s="68" t="str">
        <f>HDG_3</f>
        <v>ALZ</v>
      </c>
      <c r="E137" s="171"/>
      <c r="F137" s="28"/>
      <c r="G137" s="171"/>
      <c r="H137" s="413"/>
      <c r="I137" s="413"/>
      <c r="J137" s="413"/>
      <c r="K137" s="413"/>
      <c r="L137" s="413"/>
      <c r="M137" s="413"/>
      <c r="N137" s="413"/>
      <c r="O137" s="171"/>
      <c r="P137" s="78"/>
      <c r="Q137" s="371">
        <f t="shared" si="29"/>
        <v>0</v>
      </c>
      <c r="R137" s="375">
        <f t="shared" si="30"/>
        <v>0</v>
      </c>
      <c r="S137" s="28"/>
      <c r="T137" s="28"/>
      <c r="U137" s="28"/>
      <c r="V137" s="28"/>
      <c r="W137" s="28"/>
      <c r="X137" s="28"/>
      <c r="Y137" s="28"/>
      <c r="Z137" s="28"/>
      <c r="AA137" s="28"/>
      <c r="AB137" s="28"/>
      <c r="AC137" s="28"/>
      <c r="AD137" s="28"/>
      <c r="AE137" s="28"/>
      <c r="AF137" s="28"/>
      <c r="AG137" s="28"/>
      <c r="AH137" s="28"/>
      <c r="AI137" s="28"/>
    </row>
    <row r="138" spans="2:35" x14ac:dyDescent="0.25">
      <c r="B138">
        <v>86</v>
      </c>
      <c r="C138" s="761"/>
      <c r="D138" s="68" t="str">
        <f>HDG_4</f>
        <v>MZS</v>
      </c>
      <c r="E138" s="171"/>
      <c r="F138" s="28"/>
      <c r="G138" s="171"/>
      <c r="H138" s="413"/>
      <c r="I138" s="413"/>
      <c r="J138" s="413"/>
      <c r="K138" s="413"/>
      <c r="L138" s="413"/>
      <c r="M138" s="413"/>
      <c r="N138" s="413"/>
      <c r="O138" s="171"/>
      <c r="P138" s="78"/>
      <c r="Q138" s="371">
        <f t="shared" si="29"/>
        <v>0</v>
      </c>
      <c r="R138" s="375">
        <f t="shared" si="30"/>
        <v>0</v>
      </c>
      <c r="S138" s="28"/>
      <c r="T138" s="28"/>
      <c r="U138" s="28"/>
      <c r="V138" s="28"/>
      <c r="W138" s="28"/>
      <c r="X138" s="28"/>
      <c r="Y138" s="28"/>
      <c r="Z138" s="28"/>
      <c r="AA138" s="28"/>
      <c r="AB138" s="28"/>
      <c r="AC138" s="28"/>
      <c r="AD138" s="28"/>
      <c r="AE138" s="28"/>
      <c r="AF138" s="28"/>
      <c r="AG138" s="28"/>
      <c r="AH138" s="28"/>
      <c r="AI138" s="28"/>
    </row>
    <row r="139" spans="2:35" x14ac:dyDescent="0.25">
      <c r="B139">
        <v>87</v>
      </c>
      <c r="C139" s="761"/>
      <c r="D139" s="68" t="str">
        <f>HDG_5</f>
        <v>APR</v>
      </c>
      <c r="E139" s="171"/>
      <c r="F139" s="28"/>
      <c r="G139" s="171"/>
      <c r="H139" s="413"/>
      <c r="I139" s="413"/>
      <c r="J139" s="413"/>
      <c r="K139" s="413"/>
      <c r="L139" s="413"/>
      <c r="M139" s="413"/>
      <c r="N139" s="413"/>
      <c r="O139" s="171"/>
      <c r="P139" s="78"/>
      <c r="Q139" s="371">
        <f t="shared" si="29"/>
        <v>0</v>
      </c>
      <c r="R139" s="375">
        <f t="shared" si="30"/>
        <v>0</v>
      </c>
      <c r="S139" s="28"/>
      <c r="T139" s="28"/>
      <c r="U139" s="28"/>
      <c r="V139" s="28"/>
      <c r="W139" s="28"/>
      <c r="X139" s="28"/>
      <c r="Y139" s="28"/>
      <c r="Z139" s="28"/>
      <c r="AA139" s="28"/>
      <c r="AB139" s="28"/>
      <c r="AC139" s="28"/>
      <c r="AD139" s="28"/>
      <c r="AE139" s="28"/>
      <c r="AF139" s="28"/>
      <c r="AG139" s="28"/>
      <c r="AH139" s="28"/>
      <c r="AI139" s="28"/>
    </row>
    <row r="140" spans="2:35" x14ac:dyDescent="0.25">
      <c r="B140">
        <v>88</v>
      </c>
      <c r="C140" s="761"/>
      <c r="D140" s="68" t="str">
        <f>HDG_6</f>
        <v>DCG</v>
      </c>
      <c r="E140" s="171"/>
      <c r="F140" s="28"/>
      <c r="G140" s="171"/>
      <c r="H140" s="413"/>
      <c r="I140" s="413"/>
      <c r="J140" s="413"/>
      <c r="K140" s="413"/>
      <c r="L140" s="413"/>
      <c r="M140" s="413"/>
      <c r="N140" s="413"/>
      <c r="O140" s="171"/>
      <c r="P140" s="78"/>
      <c r="Q140" s="371">
        <f t="shared" si="29"/>
        <v>0</v>
      </c>
      <c r="R140" s="375">
        <f t="shared" si="30"/>
        <v>0</v>
      </c>
      <c r="S140" s="28"/>
      <c r="T140" s="28"/>
      <c r="U140" s="28"/>
      <c r="V140" s="28"/>
      <c r="W140" s="28"/>
      <c r="X140" s="28"/>
      <c r="Y140" s="28"/>
      <c r="Z140" s="28"/>
      <c r="AA140" s="28"/>
      <c r="AB140" s="28"/>
      <c r="AC140" s="28"/>
      <c r="AD140" s="28"/>
      <c r="AE140" s="28"/>
      <c r="AF140" s="28"/>
      <c r="AG140" s="28"/>
      <c r="AH140" s="28"/>
      <c r="AI140" s="28"/>
    </row>
    <row r="141" spans="2:35" x14ac:dyDescent="0.25">
      <c r="B141">
        <v>89</v>
      </c>
      <c r="C141" s="761"/>
      <c r="D141" s="68" t="str">
        <f>HDG_7</f>
        <v>SFS</v>
      </c>
      <c r="E141" s="171"/>
      <c r="F141" s="28"/>
      <c r="G141" s="171"/>
      <c r="H141" s="413"/>
      <c r="I141" s="413"/>
      <c r="J141" s="413"/>
      <c r="K141" s="413"/>
      <c r="L141" s="413"/>
      <c r="M141" s="413"/>
      <c r="N141" s="413"/>
      <c r="O141" s="171"/>
      <c r="P141" s="78"/>
      <c r="Q141" s="371">
        <f t="shared" si="29"/>
        <v>0</v>
      </c>
      <c r="R141" s="375">
        <f t="shared" si="30"/>
        <v>0</v>
      </c>
      <c r="S141" s="28"/>
      <c r="T141" s="28"/>
      <c r="U141" s="28"/>
      <c r="V141" s="28"/>
      <c r="W141" s="28"/>
      <c r="X141" s="28"/>
      <c r="Y141" s="28"/>
      <c r="Z141" s="28"/>
      <c r="AA141" s="28"/>
      <c r="AB141" s="28"/>
      <c r="AC141" s="28"/>
      <c r="AD141" s="28"/>
      <c r="AE141" s="28"/>
      <c r="AF141" s="28"/>
      <c r="AG141" s="28"/>
      <c r="AH141" s="28"/>
      <c r="AI141" s="28"/>
    </row>
    <row r="142" spans="2:35" x14ac:dyDescent="0.25">
      <c r="B142">
        <v>90</v>
      </c>
      <c r="C142" s="761"/>
      <c r="D142" s="68" t="str">
        <f>HDG_8</f>
        <v>AZH</v>
      </c>
      <c r="E142" s="171"/>
      <c r="F142" s="28"/>
      <c r="G142" s="171"/>
      <c r="H142" s="413"/>
      <c r="I142" s="413"/>
      <c r="J142" s="413"/>
      <c r="K142" s="413"/>
      <c r="L142" s="413"/>
      <c r="M142" s="413"/>
      <c r="N142" s="413"/>
      <c r="O142" s="171"/>
      <c r="P142" s="78"/>
      <c r="Q142" s="371">
        <f t="shared" si="29"/>
        <v>0</v>
      </c>
      <c r="R142" s="375">
        <f t="shared" si="30"/>
        <v>0</v>
      </c>
      <c r="S142" s="28"/>
      <c r="T142" s="28"/>
      <c r="U142" s="28"/>
      <c r="V142" s="28"/>
      <c r="W142" s="28"/>
      <c r="X142" s="28"/>
      <c r="Y142" s="28"/>
      <c r="Z142" s="28"/>
      <c r="AA142" s="28"/>
      <c r="AB142" s="28"/>
      <c r="AC142" s="28"/>
      <c r="AD142" s="28"/>
      <c r="AE142" s="28"/>
      <c r="AF142" s="28"/>
      <c r="AG142" s="28"/>
      <c r="AH142" s="28"/>
      <c r="AI142" s="28"/>
    </row>
    <row r="143" spans="2:35" x14ac:dyDescent="0.25">
      <c r="B143">
        <v>91</v>
      </c>
      <c r="C143" s="761"/>
      <c r="D143" s="68" t="str">
        <f>HDG_9</f>
        <v>HLI</v>
      </c>
      <c r="E143" s="171"/>
      <c r="F143" s="28"/>
      <c r="G143" s="171"/>
      <c r="H143" s="413"/>
      <c r="I143" s="413"/>
      <c r="J143" s="413"/>
      <c r="K143" s="413"/>
      <c r="L143" s="413"/>
      <c r="M143" s="413"/>
      <c r="N143" s="413"/>
      <c r="O143" s="171"/>
      <c r="P143" s="78"/>
      <c r="Q143" s="371">
        <f t="shared" si="29"/>
        <v>0</v>
      </c>
      <c r="R143" s="375">
        <f t="shared" si="30"/>
        <v>0</v>
      </c>
      <c r="S143" s="28"/>
      <c r="T143" s="28"/>
      <c r="U143" s="28"/>
      <c r="V143" s="28"/>
      <c r="W143" s="28"/>
      <c r="X143" s="28"/>
      <c r="Y143" s="28"/>
      <c r="Z143" s="28"/>
      <c r="AA143" s="28"/>
      <c r="AB143" s="28"/>
      <c r="AC143" s="28"/>
      <c r="AD143" s="28"/>
      <c r="AE143" s="28"/>
      <c r="AF143" s="28"/>
      <c r="AG143" s="28"/>
      <c r="AH143" s="28"/>
      <c r="AI143" s="28"/>
    </row>
    <row r="144" spans="2:35" x14ac:dyDescent="0.25">
      <c r="B144">
        <v>92</v>
      </c>
      <c r="C144" s="761"/>
      <c r="D144" s="68" t="str">
        <f>HDG_10</f>
        <v>MCM</v>
      </c>
      <c r="E144" s="171"/>
      <c r="F144" s="28"/>
      <c r="G144" s="171"/>
      <c r="H144" s="413"/>
      <c r="I144" s="413"/>
      <c r="J144" s="413"/>
      <c r="K144" s="413"/>
      <c r="L144" s="413"/>
      <c r="M144" s="413"/>
      <c r="N144" s="413"/>
      <c r="O144" s="171"/>
      <c r="P144" s="78"/>
      <c r="Q144" s="371">
        <f t="shared" si="29"/>
        <v>0</v>
      </c>
      <c r="R144" s="375">
        <f t="shared" si="30"/>
        <v>0</v>
      </c>
      <c r="S144" s="28"/>
      <c r="T144" s="28"/>
      <c r="U144" s="28"/>
      <c r="V144" s="28"/>
      <c r="W144" s="28"/>
      <c r="X144" s="28"/>
      <c r="Y144" s="28"/>
      <c r="Z144" s="28"/>
      <c r="AA144" s="28"/>
      <c r="AB144" s="28"/>
      <c r="AC144" s="28"/>
      <c r="AD144" s="28"/>
      <c r="AE144" s="28"/>
      <c r="AF144" s="28"/>
      <c r="AG144" s="28"/>
      <c r="AH144" s="28"/>
      <c r="AI144" s="28"/>
    </row>
    <row r="145" spans="2:35" ht="15.75" thickBot="1" x14ac:dyDescent="0.3">
      <c r="B145">
        <v>93</v>
      </c>
      <c r="C145" s="761"/>
      <c r="D145" s="69" t="str">
        <f>HDG_11</f>
        <v>MCR</v>
      </c>
      <c r="E145" s="171"/>
      <c r="F145" s="28"/>
      <c r="G145" s="171"/>
      <c r="H145" s="413"/>
      <c r="I145" s="413"/>
      <c r="J145" s="413"/>
      <c r="K145" s="413"/>
      <c r="L145" s="413"/>
      <c r="M145" s="413"/>
      <c r="N145" s="413"/>
      <c r="O145" s="171"/>
      <c r="P145" s="78"/>
      <c r="Q145" s="371">
        <f t="shared" si="29"/>
        <v>0</v>
      </c>
      <c r="R145" s="375">
        <f t="shared" si="30"/>
        <v>0</v>
      </c>
      <c r="S145" s="28"/>
      <c r="T145" s="28"/>
      <c r="U145" s="28"/>
      <c r="V145" s="28"/>
      <c r="W145" s="28"/>
      <c r="X145" s="28"/>
      <c r="Y145" s="28"/>
      <c r="Z145" s="28"/>
      <c r="AA145" s="28"/>
      <c r="AB145" s="28"/>
      <c r="AC145" s="28"/>
      <c r="AD145" s="28"/>
      <c r="AE145" s="28"/>
      <c r="AF145" s="28"/>
      <c r="AG145" s="28"/>
      <c r="AH145" s="28"/>
      <c r="AI145" s="28"/>
    </row>
    <row r="146" spans="2:35" ht="15.75" thickBot="1" x14ac:dyDescent="0.3">
      <c r="B146">
        <v>94</v>
      </c>
      <c r="C146" s="762"/>
      <c r="D146" s="108" t="s">
        <v>406</v>
      </c>
      <c r="E146" s="171"/>
      <c r="F146" s="28"/>
      <c r="G146" s="171"/>
      <c r="H146" s="413"/>
      <c r="I146" s="413"/>
      <c r="J146" s="413"/>
      <c r="K146" s="413"/>
      <c r="L146" s="413"/>
      <c r="M146" s="413"/>
      <c r="N146" s="413"/>
      <c r="O146" s="171"/>
      <c r="P146" s="78"/>
      <c r="Q146" s="373">
        <f t="shared" si="29"/>
        <v>0</v>
      </c>
      <c r="R146" s="418">
        <f t="shared" si="30"/>
        <v>0</v>
      </c>
      <c r="S146" s="28"/>
      <c r="T146" s="28"/>
      <c r="U146" s="28"/>
      <c r="V146" s="28"/>
      <c r="W146" s="28"/>
      <c r="X146" s="28"/>
      <c r="Y146" s="28"/>
      <c r="Z146" s="28"/>
      <c r="AA146" s="28"/>
      <c r="AB146" s="28"/>
      <c r="AC146" s="28"/>
      <c r="AD146" s="28"/>
      <c r="AE146" s="28"/>
      <c r="AF146" s="28"/>
      <c r="AG146" s="28"/>
      <c r="AH146" s="28"/>
      <c r="AI146" s="28"/>
    </row>
    <row r="147" spans="2:35" ht="15.75" thickBot="1" x14ac:dyDescent="0.3">
      <c r="C147" s="176"/>
      <c r="D147" s="177"/>
      <c r="E147" s="181"/>
      <c r="F147" s="61"/>
      <c r="G147" s="181"/>
      <c r="H147" s="61"/>
      <c r="I147" s="181"/>
      <c r="J147" s="61"/>
      <c r="K147" s="181"/>
      <c r="L147" s="61"/>
      <c r="M147" s="181"/>
      <c r="N147" s="61"/>
      <c r="O147" s="181"/>
      <c r="P147" s="424"/>
      <c r="Q147" s="181"/>
      <c r="R147" s="61"/>
      <c r="S147" s="28"/>
      <c r="T147" s="28"/>
      <c r="U147" s="28"/>
      <c r="V147" s="28"/>
      <c r="W147" s="28"/>
      <c r="X147" s="28"/>
      <c r="Y147" s="28"/>
      <c r="Z147" s="28"/>
      <c r="AA147" s="28"/>
      <c r="AB147" s="28"/>
      <c r="AC147" s="28"/>
      <c r="AD147" s="28"/>
      <c r="AE147" s="28"/>
      <c r="AF147" s="28"/>
      <c r="AG147" s="28"/>
      <c r="AH147" s="28"/>
      <c r="AI147" s="28"/>
    </row>
    <row r="148" spans="2:35" ht="15.75" thickBot="1" x14ac:dyDescent="0.3">
      <c r="C148" s="731" t="s">
        <v>55</v>
      </c>
      <c r="D148" s="732"/>
      <c r="E148" s="181"/>
      <c r="F148" s="61"/>
      <c r="G148" s="181"/>
      <c r="H148" s="61"/>
      <c r="I148" s="181"/>
      <c r="J148" s="61"/>
      <c r="K148" s="181"/>
      <c r="L148" s="61"/>
      <c r="M148" s="181"/>
      <c r="N148" s="61"/>
      <c r="O148" s="181"/>
      <c r="P148" s="424"/>
      <c r="Q148" s="181"/>
      <c r="R148" s="61"/>
      <c r="S148" s="28"/>
      <c r="T148" s="28"/>
      <c r="U148" s="28"/>
      <c r="V148" s="28"/>
      <c r="W148" s="28"/>
      <c r="X148" s="28"/>
      <c r="Y148" s="28"/>
      <c r="Z148" s="28"/>
      <c r="AA148" s="28"/>
      <c r="AB148" s="28"/>
      <c r="AC148" s="28"/>
      <c r="AD148" s="28"/>
      <c r="AE148" s="28"/>
      <c r="AF148" s="28"/>
      <c r="AG148" s="28"/>
      <c r="AH148" s="28"/>
      <c r="AI148" s="28"/>
    </row>
    <row r="149" spans="2:35" ht="15.75" thickBot="1" x14ac:dyDescent="0.3">
      <c r="B149">
        <v>95</v>
      </c>
      <c r="C149" s="765" t="s">
        <v>67</v>
      </c>
      <c r="D149" s="766"/>
      <c r="E149" s="171"/>
      <c r="F149" s="28"/>
      <c r="G149" s="171"/>
      <c r="H149" s="413"/>
      <c r="I149" s="413"/>
      <c r="J149" s="413"/>
      <c r="K149" s="413"/>
      <c r="L149" s="413"/>
      <c r="M149" s="413"/>
      <c r="N149" s="413"/>
      <c r="O149" s="171"/>
      <c r="P149" s="78"/>
      <c r="Q149" s="374">
        <f>SUM(E149:P149)</f>
        <v>0</v>
      </c>
      <c r="R149" s="417">
        <f>SUM(H149:N149)</f>
        <v>0</v>
      </c>
      <c r="S149" s="28"/>
      <c r="T149" s="28"/>
      <c r="U149" s="28"/>
      <c r="V149" s="28"/>
      <c r="W149" s="28"/>
      <c r="X149" s="28"/>
      <c r="Y149" s="28"/>
      <c r="Z149" s="28"/>
      <c r="AA149" s="28"/>
      <c r="AB149" s="28"/>
      <c r="AC149" s="28"/>
      <c r="AD149" s="28"/>
      <c r="AE149" s="28"/>
      <c r="AF149" s="28"/>
      <c r="AG149" s="28"/>
      <c r="AH149" s="28"/>
      <c r="AI149" s="28"/>
    </row>
    <row r="150" spans="2:35" ht="15.75" thickBot="1" x14ac:dyDescent="0.3">
      <c r="C150" s="733" t="s">
        <v>56</v>
      </c>
      <c r="D150" s="734"/>
      <c r="E150" s="181"/>
      <c r="F150" s="61"/>
      <c r="G150" s="181"/>
      <c r="H150" s="61"/>
      <c r="I150" s="181"/>
      <c r="J150" s="61"/>
      <c r="K150" s="181"/>
      <c r="L150" s="61"/>
      <c r="M150" s="181"/>
      <c r="N150" s="61"/>
      <c r="O150" s="181"/>
      <c r="P150" s="424"/>
      <c r="Q150" s="372"/>
      <c r="R150" s="308"/>
      <c r="S150" s="28"/>
      <c r="T150" s="28"/>
      <c r="U150" s="28"/>
      <c r="V150" s="28"/>
      <c r="W150" s="28"/>
      <c r="X150" s="28"/>
      <c r="Y150" s="28"/>
      <c r="Z150" s="28"/>
      <c r="AA150" s="28"/>
      <c r="AB150" s="28"/>
      <c r="AC150" s="28"/>
      <c r="AD150" s="28"/>
      <c r="AE150" s="28"/>
      <c r="AF150" s="28"/>
      <c r="AG150" s="28"/>
      <c r="AH150" s="28"/>
      <c r="AI150" s="28"/>
    </row>
    <row r="151" spans="2:35" x14ac:dyDescent="0.25">
      <c r="B151">
        <v>96</v>
      </c>
      <c r="C151" s="760"/>
      <c r="D151" s="110" t="str">
        <f>HDG_1</f>
        <v>AFR</v>
      </c>
      <c r="E151" s="171"/>
      <c r="F151" s="28"/>
      <c r="G151" s="171"/>
      <c r="H151" s="413"/>
      <c r="I151" s="413"/>
      <c r="J151" s="413"/>
      <c r="K151" s="413"/>
      <c r="L151" s="413"/>
      <c r="M151" s="413"/>
      <c r="N151" s="413"/>
      <c r="O151" s="171"/>
      <c r="P151" s="78"/>
      <c r="Q151" s="371">
        <f>SUM(E151:P151)</f>
        <v>0</v>
      </c>
      <c r="R151" s="375">
        <f>SUM(H151:N151)</f>
        <v>0</v>
      </c>
      <c r="S151" s="28"/>
      <c r="T151" s="28"/>
      <c r="U151" s="28"/>
      <c r="V151" s="28"/>
      <c r="W151" s="28"/>
      <c r="X151" s="28"/>
      <c r="Y151" s="28"/>
      <c r="Z151" s="28"/>
      <c r="AA151" s="28"/>
      <c r="AB151" s="28"/>
      <c r="AC151" s="28"/>
      <c r="AD151" s="28"/>
      <c r="AE151" s="28"/>
      <c r="AF151" s="28"/>
      <c r="AG151" s="28"/>
      <c r="AH151" s="28"/>
      <c r="AI151" s="28"/>
    </row>
    <row r="152" spans="2:35" x14ac:dyDescent="0.25">
      <c r="B152">
        <v>97</v>
      </c>
      <c r="C152" s="761"/>
      <c r="D152" s="68" t="str">
        <f>HDG_2</f>
        <v>AVP</v>
      </c>
      <c r="E152" s="171"/>
      <c r="F152" s="28"/>
      <c r="G152" s="171"/>
      <c r="H152" s="413"/>
      <c r="I152" s="413"/>
      <c r="J152" s="413"/>
      <c r="K152" s="413"/>
      <c r="L152" s="413"/>
      <c r="M152" s="413"/>
      <c r="N152" s="413"/>
      <c r="O152" s="171"/>
      <c r="P152" s="78"/>
      <c r="Q152" s="371">
        <f t="shared" ref="Q152:Q162" si="31">SUM(E152:P152)</f>
        <v>0</v>
      </c>
      <c r="R152" s="375">
        <f t="shared" ref="R152:R162" si="32">SUM(H152:N152)</f>
        <v>0</v>
      </c>
      <c r="S152" s="28"/>
      <c r="T152" s="28"/>
      <c r="U152" s="28"/>
      <c r="V152" s="28"/>
      <c r="W152" s="28"/>
      <c r="X152" s="28"/>
      <c r="Y152" s="28"/>
      <c r="Z152" s="28"/>
      <c r="AA152" s="28"/>
      <c r="AB152" s="28"/>
      <c r="AC152" s="28"/>
      <c r="AD152" s="28"/>
      <c r="AE152" s="28"/>
      <c r="AF152" s="28"/>
      <c r="AG152" s="28"/>
      <c r="AH152" s="28"/>
      <c r="AI152" s="28"/>
    </row>
    <row r="153" spans="2:35" x14ac:dyDescent="0.25">
      <c r="B153">
        <v>98</v>
      </c>
      <c r="C153" s="761"/>
      <c r="D153" s="68" t="str">
        <f>HDG_3</f>
        <v>ALZ</v>
      </c>
      <c r="E153" s="171"/>
      <c r="F153" s="28"/>
      <c r="G153" s="171"/>
      <c r="H153" s="413"/>
      <c r="I153" s="413"/>
      <c r="J153" s="413"/>
      <c r="K153" s="413"/>
      <c r="L153" s="413"/>
      <c r="M153" s="413"/>
      <c r="N153" s="413"/>
      <c r="O153" s="171"/>
      <c r="P153" s="78"/>
      <c r="Q153" s="371">
        <f t="shared" si="31"/>
        <v>0</v>
      </c>
      <c r="R153" s="375">
        <f t="shared" si="32"/>
        <v>0</v>
      </c>
      <c r="S153" s="28"/>
      <c r="T153" s="28"/>
      <c r="U153" s="28"/>
      <c r="V153" s="28"/>
      <c r="W153" s="28"/>
      <c r="X153" s="28"/>
      <c r="Y153" s="28"/>
      <c r="Z153" s="28"/>
      <c r="AA153" s="28"/>
      <c r="AB153" s="28"/>
      <c r="AC153" s="28"/>
      <c r="AD153" s="28"/>
      <c r="AE153" s="28"/>
      <c r="AF153" s="28"/>
      <c r="AG153" s="28"/>
      <c r="AH153" s="28"/>
      <c r="AI153" s="28"/>
    </row>
    <row r="154" spans="2:35" x14ac:dyDescent="0.25">
      <c r="B154">
        <v>99</v>
      </c>
      <c r="C154" s="761"/>
      <c r="D154" s="68" t="str">
        <f>HDG_4</f>
        <v>MZS</v>
      </c>
      <c r="E154" s="171"/>
      <c r="F154" s="28"/>
      <c r="G154" s="171"/>
      <c r="H154" s="413"/>
      <c r="I154" s="413"/>
      <c r="J154" s="413"/>
      <c r="K154" s="413"/>
      <c r="L154" s="413"/>
      <c r="M154" s="413"/>
      <c r="N154" s="413"/>
      <c r="O154" s="171"/>
      <c r="P154" s="78"/>
      <c r="Q154" s="371">
        <f t="shared" si="31"/>
        <v>0</v>
      </c>
      <c r="R154" s="375">
        <f t="shared" si="32"/>
        <v>0</v>
      </c>
      <c r="S154" s="28"/>
      <c r="T154" s="28"/>
      <c r="U154" s="28"/>
      <c r="V154" s="28"/>
      <c r="W154" s="28"/>
      <c r="X154" s="28"/>
      <c r="Y154" s="28"/>
      <c r="Z154" s="28"/>
      <c r="AA154" s="28"/>
      <c r="AB154" s="28"/>
      <c r="AC154" s="28"/>
      <c r="AD154" s="28"/>
      <c r="AE154" s="28"/>
      <c r="AF154" s="28"/>
      <c r="AG154" s="28"/>
      <c r="AH154" s="28"/>
      <c r="AI154" s="28"/>
    </row>
    <row r="155" spans="2:35" x14ac:dyDescent="0.25">
      <c r="B155">
        <v>100</v>
      </c>
      <c r="C155" s="761"/>
      <c r="D155" s="68" t="str">
        <f>HDG_5</f>
        <v>APR</v>
      </c>
      <c r="E155" s="171"/>
      <c r="F155" s="28"/>
      <c r="G155" s="171"/>
      <c r="H155" s="413"/>
      <c r="I155" s="413"/>
      <c r="J155" s="413"/>
      <c r="K155" s="413"/>
      <c r="L155" s="413"/>
      <c r="M155" s="413"/>
      <c r="N155" s="413"/>
      <c r="O155" s="171"/>
      <c r="P155" s="78"/>
      <c r="Q155" s="371">
        <f t="shared" si="31"/>
        <v>0</v>
      </c>
      <c r="R155" s="375">
        <f t="shared" si="32"/>
        <v>0</v>
      </c>
      <c r="S155" s="28"/>
      <c r="T155" s="28"/>
      <c r="U155" s="28"/>
      <c r="V155" s="28"/>
      <c r="W155" s="28"/>
      <c r="X155" s="28"/>
      <c r="Y155" s="28"/>
      <c r="Z155" s="28"/>
      <c r="AA155" s="28"/>
      <c r="AB155" s="28"/>
      <c r="AC155" s="28"/>
      <c r="AD155" s="28"/>
      <c r="AE155" s="28"/>
      <c r="AF155" s="28"/>
      <c r="AG155" s="28"/>
      <c r="AH155" s="28"/>
      <c r="AI155" s="28"/>
    </row>
    <row r="156" spans="2:35" x14ac:dyDescent="0.25">
      <c r="B156">
        <v>101</v>
      </c>
      <c r="C156" s="761"/>
      <c r="D156" s="68" t="str">
        <f>HDG_6</f>
        <v>DCG</v>
      </c>
      <c r="E156" s="171"/>
      <c r="F156" s="28"/>
      <c r="G156" s="171"/>
      <c r="H156" s="413"/>
      <c r="I156" s="413"/>
      <c r="J156" s="413"/>
      <c r="K156" s="413"/>
      <c r="L156" s="413"/>
      <c r="M156" s="413"/>
      <c r="N156" s="413"/>
      <c r="O156" s="171"/>
      <c r="P156" s="78"/>
      <c r="Q156" s="371">
        <f t="shared" si="31"/>
        <v>0</v>
      </c>
      <c r="R156" s="375">
        <f t="shared" si="32"/>
        <v>0</v>
      </c>
      <c r="S156" s="28"/>
      <c r="T156" s="28"/>
      <c r="U156" s="28"/>
      <c r="V156" s="28"/>
      <c r="W156" s="28"/>
      <c r="X156" s="28"/>
      <c r="Y156" s="28"/>
      <c r="Z156" s="28"/>
      <c r="AA156" s="28"/>
      <c r="AB156" s="28"/>
      <c r="AC156" s="28"/>
      <c r="AD156" s="28"/>
      <c r="AE156" s="28"/>
      <c r="AF156" s="28"/>
      <c r="AG156" s="28"/>
      <c r="AH156" s="28"/>
      <c r="AI156" s="28"/>
    </row>
    <row r="157" spans="2:35" x14ac:dyDescent="0.25">
      <c r="B157">
        <v>102</v>
      </c>
      <c r="C157" s="761"/>
      <c r="D157" s="68" t="str">
        <f>HDG_7</f>
        <v>SFS</v>
      </c>
      <c r="E157" s="171"/>
      <c r="F157" s="28"/>
      <c r="G157" s="171"/>
      <c r="H157" s="413"/>
      <c r="I157" s="413"/>
      <c r="J157" s="413"/>
      <c r="K157" s="413"/>
      <c r="L157" s="413"/>
      <c r="M157" s="413"/>
      <c r="N157" s="413"/>
      <c r="O157" s="171"/>
      <c r="P157" s="78"/>
      <c r="Q157" s="371">
        <f t="shared" si="31"/>
        <v>0</v>
      </c>
      <c r="R157" s="375">
        <f t="shared" si="32"/>
        <v>0</v>
      </c>
      <c r="S157" s="28"/>
      <c r="T157" s="28"/>
      <c r="U157" s="28"/>
      <c r="V157" s="28"/>
      <c r="W157" s="28"/>
      <c r="X157" s="28"/>
      <c r="Y157" s="28"/>
      <c r="Z157" s="28"/>
      <c r="AA157" s="28"/>
      <c r="AB157" s="28"/>
      <c r="AC157" s="28"/>
      <c r="AD157" s="28"/>
      <c r="AE157" s="28"/>
      <c r="AF157" s="28"/>
      <c r="AG157" s="28"/>
      <c r="AH157" s="28"/>
      <c r="AI157" s="28"/>
    </row>
    <row r="158" spans="2:35" x14ac:dyDescent="0.25">
      <c r="B158">
        <v>103</v>
      </c>
      <c r="C158" s="761"/>
      <c r="D158" s="68" t="str">
        <f>HDG_8</f>
        <v>AZH</v>
      </c>
      <c r="E158" s="171"/>
      <c r="F158" s="28"/>
      <c r="G158" s="171"/>
      <c r="H158" s="413"/>
      <c r="I158" s="413"/>
      <c r="J158" s="413"/>
      <c r="K158" s="413"/>
      <c r="L158" s="413"/>
      <c r="M158" s="413"/>
      <c r="N158" s="413"/>
      <c r="O158" s="171"/>
      <c r="P158" s="78"/>
      <c r="Q158" s="371">
        <f t="shared" si="31"/>
        <v>0</v>
      </c>
      <c r="R158" s="375">
        <f t="shared" si="32"/>
        <v>0</v>
      </c>
      <c r="S158" s="28"/>
      <c r="T158" s="28"/>
      <c r="U158" s="28"/>
      <c r="V158" s="28"/>
      <c r="W158" s="28"/>
      <c r="X158" s="28"/>
      <c r="Y158" s="28"/>
      <c r="Z158" s="28"/>
      <c r="AA158" s="28"/>
      <c r="AB158" s="28"/>
      <c r="AC158" s="28"/>
      <c r="AD158" s="28"/>
      <c r="AE158" s="28"/>
      <c r="AF158" s="28"/>
      <c r="AG158" s="28"/>
      <c r="AH158" s="28"/>
      <c r="AI158" s="28"/>
    </row>
    <row r="159" spans="2:35" x14ac:dyDescent="0.25">
      <c r="B159">
        <v>104</v>
      </c>
      <c r="C159" s="761"/>
      <c r="D159" s="68" t="str">
        <f>HDG_9</f>
        <v>HLI</v>
      </c>
      <c r="E159" s="171"/>
      <c r="F159" s="28"/>
      <c r="G159" s="171"/>
      <c r="H159" s="413"/>
      <c r="I159" s="413"/>
      <c r="J159" s="413"/>
      <c r="K159" s="413"/>
      <c r="L159" s="413"/>
      <c r="M159" s="413"/>
      <c r="N159" s="413"/>
      <c r="O159" s="171"/>
      <c r="P159" s="78"/>
      <c r="Q159" s="371">
        <f t="shared" si="31"/>
        <v>0</v>
      </c>
      <c r="R159" s="375">
        <f t="shared" si="32"/>
        <v>0</v>
      </c>
      <c r="S159" s="28"/>
      <c r="T159" s="28"/>
      <c r="U159" s="28"/>
      <c r="V159" s="28"/>
      <c r="W159" s="28"/>
      <c r="X159" s="28"/>
      <c r="Y159" s="28"/>
      <c r="Z159" s="28"/>
      <c r="AA159" s="28"/>
      <c r="AB159" s="28"/>
      <c r="AC159" s="28"/>
      <c r="AD159" s="28"/>
      <c r="AE159" s="28"/>
      <c r="AF159" s="28"/>
      <c r="AG159" s="28"/>
      <c r="AH159" s="28"/>
      <c r="AI159" s="28"/>
    </row>
    <row r="160" spans="2:35" x14ac:dyDescent="0.25">
      <c r="B160">
        <v>105</v>
      </c>
      <c r="C160" s="761"/>
      <c r="D160" s="68" t="str">
        <f>HDG_10</f>
        <v>MCM</v>
      </c>
      <c r="E160" s="171"/>
      <c r="F160" s="28"/>
      <c r="G160" s="171"/>
      <c r="H160" s="413"/>
      <c r="I160" s="413"/>
      <c r="J160" s="413"/>
      <c r="K160" s="413"/>
      <c r="L160" s="413"/>
      <c r="M160" s="413"/>
      <c r="N160" s="413"/>
      <c r="O160" s="171"/>
      <c r="P160" s="78"/>
      <c r="Q160" s="371">
        <f t="shared" si="31"/>
        <v>0</v>
      </c>
      <c r="R160" s="375">
        <f t="shared" si="32"/>
        <v>0</v>
      </c>
      <c r="S160" s="28"/>
      <c r="T160" s="28"/>
      <c r="U160" s="28"/>
      <c r="V160" s="28"/>
      <c r="W160" s="28"/>
      <c r="X160" s="28"/>
      <c r="Y160" s="28"/>
      <c r="Z160" s="28"/>
      <c r="AA160" s="28"/>
      <c r="AB160" s="28"/>
      <c r="AC160" s="28"/>
      <c r="AD160" s="28"/>
      <c r="AE160" s="28"/>
      <c r="AF160" s="28"/>
      <c r="AG160" s="28"/>
      <c r="AH160" s="28"/>
      <c r="AI160" s="28"/>
    </row>
    <row r="161" spans="2:36" ht="15.75" thickBot="1" x14ac:dyDescent="0.3">
      <c r="B161">
        <v>106</v>
      </c>
      <c r="C161" s="761"/>
      <c r="D161" s="69" t="str">
        <f>HDG_11</f>
        <v>MCR</v>
      </c>
      <c r="E161" s="171"/>
      <c r="F161" s="28"/>
      <c r="G161" s="171"/>
      <c r="H161" s="413"/>
      <c r="I161" s="413"/>
      <c r="J161" s="413"/>
      <c r="K161" s="413"/>
      <c r="L161" s="413"/>
      <c r="M161" s="413"/>
      <c r="N161" s="413"/>
      <c r="O161" s="171"/>
      <c r="P161" s="78"/>
      <c r="Q161" s="371">
        <f t="shared" si="31"/>
        <v>0</v>
      </c>
      <c r="R161" s="375">
        <f t="shared" si="32"/>
        <v>0</v>
      </c>
      <c r="S161" s="28"/>
      <c r="T161" s="28"/>
      <c r="U161" s="28"/>
      <c r="V161" s="28"/>
      <c r="W161" s="28"/>
      <c r="X161" s="28"/>
      <c r="Y161" s="28"/>
      <c r="Z161" s="28"/>
      <c r="AA161" s="28"/>
      <c r="AB161" s="28"/>
      <c r="AC161" s="28"/>
      <c r="AD161" s="28"/>
      <c r="AE161" s="28"/>
      <c r="AF161" s="28"/>
      <c r="AG161" s="28"/>
      <c r="AH161" s="28"/>
      <c r="AI161" s="28"/>
    </row>
    <row r="162" spans="2:36" ht="15.75" thickBot="1" x14ac:dyDescent="0.3">
      <c r="B162">
        <v>107</v>
      </c>
      <c r="C162" s="762"/>
      <c r="D162" s="108" t="s">
        <v>406</v>
      </c>
      <c r="E162" s="253"/>
      <c r="F162" s="63"/>
      <c r="G162" s="253"/>
      <c r="H162" s="423"/>
      <c r="I162" s="423"/>
      <c r="J162" s="423"/>
      <c r="K162" s="423"/>
      <c r="L162" s="423"/>
      <c r="M162" s="423"/>
      <c r="N162" s="423"/>
      <c r="O162" s="253"/>
      <c r="P162" s="64"/>
      <c r="Q162" s="373">
        <f t="shared" si="31"/>
        <v>0</v>
      </c>
      <c r="R162" s="418">
        <f t="shared" si="32"/>
        <v>0</v>
      </c>
      <c r="S162" s="28"/>
      <c r="T162" s="28"/>
      <c r="U162" s="28"/>
      <c r="V162" s="28"/>
      <c r="W162" s="28"/>
      <c r="X162" s="28"/>
      <c r="Y162" s="28"/>
      <c r="Z162" s="28"/>
      <c r="AA162" s="28"/>
      <c r="AB162" s="28"/>
      <c r="AC162" s="28"/>
      <c r="AD162" s="28"/>
      <c r="AE162" s="28"/>
      <c r="AF162" s="28"/>
      <c r="AG162" s="28"/>
      <c r="AH162" s="28"/>
      <c r="AI162" s="28"/>
    </row>
    <row r="163" spans="2:36" ht="15" customHeight="1" x14ac:dyDescent="0.25">
      <c r="C163" s="882" t="s">
        <v>622</v>
      </c>
      <c r="D163" s="882"/>
      <c r="E163" s="882"/>
      <c r="F163" s="882"/>
      <c r="G163" s="882"/>
      <c r="H163" s="882"/>
      <c r="I163" s="882"/>
      <c r="J163" s="882"/>
      <c r="K163" s="882"/>
      <c r="L163" s="882"/>
      <c r="M163" s="882"/>
      <c r="N163" s="882"/>
      <c r="O163" s="882"/>
      <c r="P163" s="882"/>
      <c r="Q163" s="882"/>
      <c r="R163" s="882"/>
      <c r="S163" s="367"/>
      <c r="T163" s="367"/>
      <c r="U163" s="367"/>
      <c r="V163" s="367"/>
      <c r="W163" s="367"/>
      <c r="X163" s="367"/>
      <c r="Y163" s="367"/>
      <c r="Z163" s="367"/>
      <c r="AA163" s="367"/>
      <c r="AB163" s="367"/>
      <c r="AC163" s="367"/>
      <c r="AD163" s="367"/>
      <c r="AE163" s="367"/>
      <c r="AF163" s="367"/>
      <c r="AG163" s="367"/>
      <c r="AH163" s="367"/>
      <c r="AI163" s="367"/>
      <c r="AJ163" s="367"/>
    </row>
    <row r="164" spans="2:36" ht="15.75" customHeight="1" thickBot="1" x14ac:dyDescent="0.3">
      <c r="C164" s="882"/>
      <c r="D164" s="882"/>
      <c r="E164" s="882"/>
      <c r="F164" s="882"/>
      <c r="G164" s="882"/>
      <c r="H164" s="882"/>
      <c r="I164" s="882"/>
      <c r="J164" s="882"/>
      <c r="K164" s="882"/>
      <c r="L164" s="882"/>
      <c r="M164" s="882"/>
      <c r="N164" s="882"/>
      <c r="O164" s="882"/>
      <c r="P164" s="882"/>
      <c r="Q164" s="882"/>
      <c r="R164" s="882"/>
      <c r="S164" s="367"/>
      <c r="T164" s="367"/>
      <c r="U164" s="367"/>
      <c r="V164" s="367"/>
      <c r="W164" s="367"/>
      <c r="X164" s="367"/>
      <c r="Y164" s="367"/>
      <c r="Z164" s="367"/>
      <c r="AA164" s="367"/>
      <c r="AB164" s="367"/>
      <c r="AC164" s="367"/>
      <c r="AD164" s="367"/>
      <c r="AE164" s="367"/>
      <c r="AF164" s="367"/>
      <c r="AG164" s="367"/>
      <c r="AH164" s="367"/>
      <c r="AI164" s="367"/>
      <c r="AJ164" s="367"/>
    </row>
    <row r="165" spans="2:36" x14ac:dyDescent="0.25">
      <c r="B165">
        <v>108</v>
      </c>
      <c r="C165" s="737" t="s">
        <v>604</v>
      </c>
      <c r="D165" s="738"/>
      <c r="E165" s="254"/>
      <c r="F165" s="60"/>
      <c r="G165" s="254"/>
      <c r="H165" s="422"/>
      <c r="I165" s="422"/>
      <c r="J165" s="422"/>
      <c r="K165" s="422"/>
      <c r="L165" s="422"/>
      <c r="M165" s="422"/>
      <c r="N165" s="422"/>
      <c r="O165" s="254"/>
      <c r="P165" s="60"/>
      <c r="Q165" s="374">
        <f>SUM(E165:P165)</f>
        <v>0</v>
      </c>
      <c r="R165" s="425">
        <f t="shared" ref="R165:R170" si="33">SUM(H165:N165)</f>
        <v>0</v>
      </c>
      <c r="S165" s="28"/>
      <c r="T165" s="28"/>
      <c r="U165" s="28"/>
      <c r="V165" s="28"/>
      <c r="W165" s="28"/>
      <c r="X165" s="28"/>
      <c r="Y165" s="28"/>
      <c r="Z165" s="28"/>
      <c r="AA165" s="28"/>
      <c r="AB165" s="28"/>
      <c r="AC165" s="28"/>
      <c r="AD165" s="28"/>
      <c r="AE165" s="28"/>
      <c r="AF165" s="28"/>
      <c r="AG165" s="28"/>
      <c r="AH165" s="28"/>
      <c r="AI165" s="28"/>
    </row>
    <row r="166" spans="2:36" x14ac:dyDescent="0.25">
      <c r="C166" s="727" t="s">
        <v>63</v>
      </c>
      <c r="D166" s="728"/>
      <c r="E166" s="171">
        <f>E194</f>
        <v>0</v>
      </c>
      <c r="F166" s="171">
        <f t="shared" ref="F166:P166" si="34">F194</f>
        <v>0</v>
      </c>
      <c r="G166" s="171">
        <f t="shared" si="34"/>
        <v>0</v>
      </c>
      <c r="H166" s="413">
        <f t="shared" si="34"/>
        <v>5</v>
      </c>
      <c r="I166" s="413">
        <f t="shared" si="34"/>
        <v>4</v>
      </c>
      <c r="J166" s="413">
        <f t="shared" si="34"/>
        <v>0</v>
      </c>
      <c r="K166" s="413">
        <f t="shared" si="34"/>
        <v>10</v>
      </c>
      <c r="L166" s="413">
        <f t="shared" si="34"/>
        <v>2</v>
      </c>
      <c r="M166" s="413">
        <f t="shared" si="34"/>
        <v>4</v>
      </c>
      <c r="N166" s="413">
        <f t="shared" si="34"/>
        <v>6</v>
      </c>
      <c r="O166" s="171">
        <f t="shared" si="34"/>
        <v>2</v>
      </c>
      <c r="P166" s="171">
        <f t="shared" si="34"/>
        <v>0</v>
      </c>
      <c r="Q166" s="371">
        <f t="shared" ref="Q166:Q170" si="35">SUM(E166:P166)</f>
        <v>33</v>
      </c>
      <c r="R166" s="426">
        <f t="shared" si="33"/>
        <v>31</v>
      </c>
      <c r="S166" s="28"/>
      <c r="T166" s="28"/>
      <c r="U166" s="28"/>
      <c r="V166" s="28"/>
      <c r="W166" s="28"/>
      <c r="X166" s="28"/>
      <c r="Y166" s="28"/>
      <c r="Z166" s="28"/>
      <c r="AA166" s="28"/>
      <c r="AB166" s="28"/>
      <c r="AC166" s="28"/>
      <c r="AD166" s="28"/>
      <c r="AE166" s="28"/>
      <c r="AF166" s="28"/>
      <c r="AG166" s="28"/>
      <c r="AH166" s="28"/>
      <c r="AI166" s="28"/>
    </row>
    <row r="167" spans="2:36" x14ac:dyDescent="0.25">
      <c r="C167" s="727" t="s">
        <v>179</v>
      </c>
      <c r="D167" s="728"/>
      <c r="E167" s="171">
        <f>E179</f>
        <v>0</v>
      </c>
      <c r="F167" s="171">
        <f t="shared" ref="F167:P167" si="36">F179</f>
        <v>0</v>
      </c>
      <c r="G167" s="171">
        <f t="shared" si="36"/>
        <v>0</v>
      </c>
      <c r="H167" s="171">
        <f t="shared" si="36"/>
        <v>0</v>
      </c>
      <c r="I167" s="171">
        <f t="shared" si="36"/>
        <v>1</v>
      </c>
      <c r="J167" s="171">
        <f t="shared" si="36"/>
        <v>0</v>
      </c>
      <c r="K167" s="171">
        <f t="shared" si="36"/>
        <v>1</v>
      </c>
      <c r="L167" s="171">
        <f t="shared" si="36"/>
        <v>0</v>
      </c>
      <c r="M167" s="171">
        <f t="shared" si="36"/>
        <v>0</v>
      </c>
      <c r="N167" s="171">
        <f t="shared" si="36"/>
        <v>0</v>
      </c>
      <c r="O167" s="171">
        <f t="shared" si="36"/>
        <v>0</v>
      </c>
      <c r="P167" s="171">
        <f t="shared" si="36"/>
        <v>1</v>
      </c>
      <c r="Q167" s="371">
        <f t="shared" si="35"/>
        <v>3</v>
      </c>
      <c r="R167" s="426">
        <f t="shared" si="33"/>
        <v>2</v>
      </c>
      <c r="S167" s="28"/>
      <c r="T167" s="28"/>
      <c r="U167" s="28"/>
      <c r="V167" s="28"/>
      <c r="W167" s="28"/>
      <c r="X167" s="28"/>
      <c r="Y167" s="28"/>
      <c r="Z167" s="28"/>
      <c r="AA167" s="28"/>
      <c r="AB167" s="28"/>
      <c r="AC167" s="28"/>
      <c r="AD167" s="28"/>
      <c r="AE167" s="28"/>
      <c r="AF167" s="28"/>
      <c r="AG167" s="28"/>
      <c r="AH167" s="28"/>
      <c r="AI167" s="28"/>
    </row>
    <row r="168" spans="2:36" x14ac:dyDescent="0.25">
      <c r="B168">
        <v>110</v>
      </c>
      <c r="C168" s="727" t="s">
        <v>607</v>
      </c>
      <c r="D168" s="728"/>
      <c r="E168" s="171"/>
      <c r="F168" s="394"/>
      <c r="G168" s="171"/>
      <c r="H168" s="413"/>
      <c r="I168" s="413"/>
      <c r="J168" s="413"/>
      <c r="K168" s="413"/>
      <c r="L168" s="413"/>
      <c r="M168" s="413"/>
      <c r="N168" s="413"/>
      <c r="O168" s="171"/>
      <c r="P168" s="28"/>
      <c r="Q168" s="371">
        <f t="shared" si="35"/>
        <v>0</v>
      </c>
      <c r="R168" s="426">
        <f t="shared" si="33"/>
        <v>0</v>
      </c>
      <c r="S168" s="28"/>
      <c r="T168" s="28"/>
      <c r="U168" s="28"/>
      <c r="V168" s="28"/>
      <c r="W168" s="28"/>
      <c r="X168" s="28"/>
      <c r="Y168" s="28"/>
      <c r="Z168" s="28"/>
      <c r="AA168" s="28"/>
      <c r="AB168" s="28"/>
      <c r="AC168" s="28"/>
      <c r="AD168" s="28"/>
      <c r="AE168" s="28"/>
      <c r="AF168" s="28"/>
      <c r="AG168" s="28"/>
      <c r="AH168" s="28"/>
      <c r="AI168" s="28"/>
    </row>
    <row r="169" spans="2:36" x14ac:dyDescent="0.25">
      <c r="C169" s="727" t="s">
        <v>605</v>
      </c>
      <c r="D169" s="728"/>
      <c r="E169" s="171">
        <f>E209</f>
        <v>0</v>
      </c>
      <c r="F169" s="171">
        <f t="shared" ref="F169:P169" si="37">F209</f>
        <v>0</v>
      </c>
      <c r="G169" s="171">
        <f t="shared" si="37"/>
        <v>0</v>
      </c>
      <c r="H169" s="413">
        <f t="shared" si="37"/>
        <v>1</v>
      </c>
      <c r="I169" s="413">
        <f t="shared" si="37"/>
        <v>0</v>
      </c>
      <c r="J169" s="413">
        <f t="shared" si="37"/>
        <v>0</v>
      </c>
      <c r="K169" s="413">
        <f t="shared" si="37"/>
        <v>1</v>
      </c>
      <c r="L169" s="413">
        <f t="shared" si="37"/>
        <v>0</v>
      </c>
      <c r="M169" s="413">
        <f t="shared" si="37"/>
        <v>0</v>
      </c>
      <c r="N169" s="413">
        <f t="shared" si="37"/>
        <v>0</v>
      </c>
      <c r="O169" s="171">
        <f t="shared" si="37"/>
        <v>0</v>
      </c>
      <c r="P169" s="171">
        <f t="shared" si="37"/>
        <v>0</v>
      </c>
      <c r="Q169" s="371">
        <f t="shared" si="35"/>
        <v>2</v>
      </c>
      <c r="R169" s="426">
        <f t="shared" si="33"/>
        <v>2</v>
      </c>
      <c r="S169" s="28"/>
      <c r="T169" s="28"/>
      <c r="U169" s="28"/>
      <c r="V169" s="28"/>
      <c r="W169" s="28"/>
      <c r="X169" s="28"/>
      <c r="Y169" s="28"/>
      <c r="Z169" s="28"/>
      <c r="AA169" s="28"/>
      <c r="AB169" s="28"/>
      <c r="AC169" s="28"/>
      <c r="AD169" s="28"/>
      <c r="AE169" s="28"/>
      <c r="AF169" s="28"/>
      <c r="AG169" s="28"/>
      <c r="AH169" s="28"/>
      <c r="AI169" s="28"/>
    </row>
    <row r="170" spans="2:36" ht="15.75" thickBot="1" x14ac:dyDescent="0.3">
      <c r="B170">
        <v>111</v>
      </c>
      <c r="C170" s="743" t="s">
        <v>17</v>
      </c>
      <c r="D170" s="744"/>
      <c r="E170" s="171">
        <v>11</v>
      </c>
      <c r="F170" s="28">
        <v>5</v>
      </c>
      <c r="G170" s="171">
        <v>19</v>
      </c>
      <c r="H170" s="28">
        <v>5</v>
      </c>
      <c r="I170" s="171">
        <v>3</v>
      </c>
      <c r="J170" s="28">
        <v>0</v>
      </c>
      <c r="K170" s="171">
        <v>21</v>
      </c>
      <c r="L170" s="28">
        <v>18</v>
      </c>
      <c r="M170" s="171">
        <v>9</v>
      </c>
      <c r="N170" s="28">
        <v>9</v>
      </c>
      <c r="O170" s="171">
        <v>3</v>
      </c>
      <c r="P170" s="28">
        <v>6</v>
      </c>
      <c r="Q170" s="373">
        <f t="shared" si="35"/>
        <v>109</v>
      </c>
      <c r="R170" s="427">
        <f t="shared" si="33"/>
        <v>65</v>
      </c>
      <c r="S170" s="28"/>
      <c r="T170" s="28"/>
      <c r="U170" s="28"/>
      <c r="V170" s="28"/>
      <c r="W170" s="28"/>
      <c r="X170" s="28"/>
      <c r="Y170" s="28"/>
      <c r="Z170" s="28"/>
      <c r="AA170" s="28"/>
      <c r="AB170" s="28"/>
      <c r="AC170" s="28"/>
      <c r="AD170" s="28"/>
      <c r="AE170" s="28"/>
      <c r="AF170" s="28"/>
      <c r="AG170" s="28"/>
      <c r="AH170" s="28"/>
      <c r="AI170" s="28"/>
    </row>
    <row r="171" spans="2:36" ht="15.75" thickBot="1" x14ac:dyDescent="0.3">
      <c r="C171" s="181"/>
      <c r="D171" s="181"/>
      <c r="E171" s="791" t="s">
        <v>961</v>
      </c>
      <c r="F171" s="792"/>
      <c r="G171" s="792"/>
      <c r="H171" s="792"/>
      <c r="I171" s="792"/>
      <c r="J171" s="792"/>
      <c r="K171" s="792"/>
      <c r="L171" s="792"/>
      <c r="M171" s="792"/>
      <c r="N171" s="792"/>
      <c r="O171" s="792"/>
      <c r="P171" s="793"/>
      <c r="Q171" s="181"/>
      <c r="R171" s="181"/>
      <c r="S171" s="28"/>
      <c r="T171" s="28"/>
      <c r="U171" s="28"/>
      <c r="V171" s="28"/>
      <c r="W171" s="28"/>
      <c r="X171" s="28"/>
      <c r="Y171" s="28"/>
      <c r="Z171" s="28"/>
      <c r="AA171" s="28"/>
      <c r="AB171" s="28"/>
      <c r="AC171" s="28"/>
      <c r="AD171" s="28"/>
      <c r="AE171" s="28"/>
      <c r="AF171" s="28"/>
      <c r="AG171" s="28"/>
      <c r="AH171" s="28"/>
      <c r="AI171" s="28"/>
    </row>
    <row r="172" spans="2:36" x14ac:dyDescent="0.25">
      <c r="C172" s="737" t="s">
        <v>604</v>
      </c>
      <c r="D172" s="738"/>
      <c r="E172" s="461">
        <f t="shared" ref="E172:P172" si="38">E165*PRIX_CGP</f>
        <v>0</v>
      </c>
      <c r="F172" s="461">
        <f t="shared" si="38"/>
        <v>0</v>
      </c>
      <c r="G172" s="461">
        <f t="shared" si="38"/>
        <v>0</v>
      </c>
      <c r="H172" s="462">
        <f t="shared" si="38"/>
        <v>0</v>
      </c>
      <c r="I172" s="462">
        <f t="shared" si="38"/>
        <v>0</v>
      </c>
      <c r="J172" s="462">
        <f t="shared" si="38"/>
        <v>0</v>
      </c>
      <c r="K172" s="462">
        <f t="shared" si="38"/>
        <v>0</v>
      </c>
      <c r="L172" s="462">
        <f t="shared" si="38"/>
        <v>0</v>
      </c>
      <c r="M172" s="462">
        <f t="shared" si="38"/>
        <v>0</v>
      </c>
      <c r="N172" s="462">
        <f t="shared" si="38"/>
        <v>0</v>
      </c>
      <c r="O172" s="461">
        <f t="shared" si="38"/>
        <v>0</v>
      </c>
      <c r="P172" s="461">
        <f t="shared" si="38"/>
        <v>0</v>
      </c>
      <c r="Q172" s="463">
        <f>SUM(E172:P172)</f>
        <v>0</v>
      </c>
      <c r="R172" s="464">
        <f>SUM(H172:N172)</f>
        <v>0</v>
      </c>
      <c r="S172" s="28"/>
      <c r="T172" s="28"/>
      <c r="U172" s="28"/>
      <c r="V172" s="28"/>
      <c r="W172" s="28"/>
      <c r="X172" s="28"/>
      <c r="Y172" s="28"/>
      <c r="Z172" s="28"/>
      <c r="AA172" s="28"/>
      <c r="AB172" s="28"/>
      <c r="AC172" s="28"/>
      <c r="AD172" s="28"/>
      <c r="AE172" s="28"/>
      <c r="AF172" s="28"/>
      <c r="AG172" s="28"/>
      <c r="AH172" s="28"/>
      <c r="AI172" s="28"/>
    </row>
    <row r="173" spans="2:36" x14ac:dyDescent="0.25">
      <c r="C173" s="727" t="s">
        <v>63</v>
      </c>
      <c r="D173" s="728"/>
      <c r="E173" s="461">
        <f t="shared" ref="E173:P173" si="39">E166*PRIX_PBS</f>
        <v>0</v>
      </c>
      <c r="F173" s="461">
        <f t="shared" si="39"/>
        <v>0</v>
      </c>
      <c r="G173" s="461">
        <f t="shared" si="39"/>
        <v>0</v>
      </c>
      <c r="H173" s="462">
        <f t="shared" si="39"/>
        <v>620</v>
      </c>
      <c r="I173" s="462">
        <f t="shared" si="39"/>
        <v>496</v>
      </c>
      <c r="J173" s="462">
        <f t="shared" si="39"/>
        <v>0</v>
      </c>
      <c r="K173" s="462">
        <f t="shared" si="39"/>
        <v>1240</v>
      </c>
      <c r="L173" s="462">
        <f t="shared" si="39"/>
        <v>248</v>
      </c>
      <c r="M173" s="462">
        <f t="shared" si="39"/>
        <v>496</v>
      </c>
      <c r="N173" s="462">
        <f t="shared" si="39"/>
        <v>744</v>
      </c>
      <c r="O173" s="461">
        <f t="shared" si="39"/>
        <v>248</v>
      </c>
      <c r="P173" s="461">
        <f t="shared" si="39"/>
        <v>0</v>
      </c>
      <c r="Q173" s="453">
        <f t="shared" ref="Q173:Q177" si="40">SUM(E173:P173)</f>
        <v>4092</v>
      </c>
      <c r="R173" s="465">
        <f t="shared" ref="R173:R177" si="41">SUM(H173:N173)</f>
        <v>3844</v>
      </c>
      <c r="S173" s="28"/>
      <c r="T173" s="28"/>
      <c r="U173" s="28"/>
      <c r="V173" s="28"/>
      <c r="W173" s="28"/>
      <c r="X173" s="28"/>
      <c r="Y173" s="28"/>
      <c r="Z173" s="28"/>
      <c r="AA173" s="28"/>
      <c r="AB173" s="28"/>
      <c r="AC173" s="28"/>
      <c r="AD173" s="28"/>
      <c r="AE173" s="28"/>
      <c r="AF173" s="28"/>
      <c r="AG173" s="28"/>
      <c r="AH173" s="28"/>
      <c r="AI173" s="28"/>
    </row>
    <row r="174" spans="2:36" x14ac:dyDescent="0.25">
      <c r="C174" s="727" t="s">
        <v>179</v>
      </c>
      <c r="D174" s="728"/>
      <c r="E174" s="461">
        <f t="shared" ref="E174:P174" si="42">E167*PRIX_MSH</f>
        <v>0</v>
      </c>
      <c r="F174" s="461">
        <f t="shared" si="42"/>
        <v>0</v>
      </c>
      <c r="G174" s="461">
        <f t="shared" si="42"/>
        <v>0</v>
      </c>
      <c r="H174" s="462">
        <f t="shared" si="42"/>
        <v>0</v>
      </c>
      <c r="I174" s="462">
        <f t="shared" si="42"/>
        <v>115</v>
      </c>
      <c r="J174" s="462">
        <f t="shared" si="42"/>
        <v>0</v>
      </c>
      <c r="K174" s="462">
        <f t="shared" si="42"/>
        <v>115</v>
      </c>
      <c r="L174" s="462">
        <f t="shared" si="42"/>
        <v>0</v>
      </c>
      <c r="M174" s="462">
        <f t="shared" si="42"/>
        <v>0</v>
      </c>
      <c r="N174" s="462">
        <f t="shared" si="42"/>
        <v>0</v>
      </c>
      <c r="O174" s="461">
        <f t="shared" si="42"/>
        <v>0</v>
      </c>
      <c r="P174" s="461">
        <f t="shared" si="42"/>
        <v>115</v>
      </c>
      <c r="Q174" s="453">
        <f t="shared" si="40"/>
        <v>345</v>
      </c>
      <c r="R174" s="465">
        <f t="shared" si="41"/>
        <v>230</v>
      </c>
      <c r="S174" s="28"/>
      <c r="T174" s="28"/>
      <c r="U174" s="28"/>
      <c r="V174" s="28"/>
      <c r="W174" s="28"/>
      <c r="X174" s="28"/>
      <c r="Y174" s="28"/>
      <c r="Z174" s="28"/>
      <c r="AA174" s="28"/>
      <c r="AB174" s="28"/>
      <c r="AC174" s="28"/>
      <c r="AD174" s="28"/>
      <c r="AE174" s="28"/>
      <c r="AF174" s="28"/>
      <c r="AG174" s="28"/>
      <c r="AH174" s="28"/>
      <c r="AI174" s="28"/>
    </row>
    <row r="175" spans="2:36" x14ac:dyDescent="0.25">
      <c r="C175" s="727" t="s">
        <v>607</v>
      </c>
      <c r="D175" s="728"/>
      <c r="E175" s="461">
        <f t="shared" ref="E175:P175" si="43">E168*PRIX_SAT</f>
        <v>0</v>
      </c>
      <c r="F175" s="461">
        <f t="shared" si="43"/>
        <v>0</v>
      </c>
      <c r="G175" s="461">
        <f t="shared" si="43"/>
        <v>0</v>
      </c>
      <c r="H175" s="462">
        <f t="shared" si="43"/>
        <v>0</v>
      </c>
      <c r="I175" s="462">
        <f t="shared" si="43"/>
        <v>0</v>
      </c>
      <c r="J175" s="462">
        <f t="shared" si="43"/>
        <v>0</v>
      </c>
      <c r="K175" s="462">
        <f t="shared" si="43"/>
        <v>0</v>
      </c>
      <c r="L175" s="462">
        <f t="shared" si="43"/>
        <v>0</v>
      </c>
      <c r="M175" s="462">
        <f t="shared" si="43"/>
        <v>0</v>
      </c>
      <c r="N175" s="462">
        <f t="shared" si="43"/>
        <v>0</v>
      </c>
      <c r="O175" s="461">
        <f t="shared" si="43"/>
        <v>0</v>
      </c>
      <c r="P175" s="461">
        <f t="shared" si="43"/>
        <v>0</v>
      </c>
      <c r="Q175" s="453">
        <f t="shared" si="40"/>
        <v>0</v>
      </c>
      <c r="R175" s="465">
        <f t="shared" si="41"/>
        <v>0</v>
      </c>
      <c r="S175" s="28"/>
      <c r="T175" s="28"/>
      <c r="U175" s="28"/>
      <c r="V175" s="28"/>
      <c r="W175" s="28"/>
      <c r="X175" s="28"/>
      <c r="Y175" s="28"/>
      <c r="Z175" s="28"/>
      <c r="AA175" s="28"/>
      <c r="AB175" s="28"/>
      <c r="AC175" s="28"/>
      <c r="AD175" s="28"/>
      <c r="AE175" s="28"/>
      <c r="AF175" s="28"/>
      <c r="AG175" s="28"/>
      <c r="AH175" s="28"/>
      <c r="AI175" s="28"/>
    </row>
    <row r="176" spans="2:36" x14ac:dyDescent="0.25">
      <c r="C176" s="727" t="s">
        <v>605</v>
      </c>
      <c r="D176" s="728"/>
      <c r="E176" s="461">
        <f t="shared" ref="E176:P176" si="44">E169*PRIX_JET</f>
        <v>0</v>
      </c>
      <c r="F176" s="461">
        <f t="shared" si="44"/>
        <v>0</v>
      </c>
      <c r="G176" s="461">
        <f t="shared" si="44"/>
        <v>0</v>
      </c>
      <c r="H176" s="462">
        <f t="shared" si="44"/>
        <v>113</v>
      </c>
      <c r="I176" s="462">
        <f t="shared" si="44"/>
        <v>0</v>
      </c>
      <c r="J176" s="462">
        <f t="shared" si="44"/>
        <v>0</v>
      </c>
      <c r="K176" s="462">
        <f t="shared" si="44"/>
        <v>113</v>
      </c>
      <c r="L176" s="462">
        <f t="shared" si="44"/>
        <v>0</v>
      </c>
      <c r="M176" s="462">
        <f t="shared" si="44"/>
        <v>0</v>
      </c>
      <c r="N176" s="462">
        <f t="shared" si="44"/>
        <v>0</v>
      </c>
      <c r="O176" s="461">
        <f t="shared" si="44"/>
        <v>0</v>
      </c>
      <c r="P176" s="461">
        <f t="shared" si="44"/>
        <v>0</v>
      </c>
      <c r="Q176" s="453">
        <f t="shared" si="40"/>
        <v>226</v>
      </c>
      <c r="R176" s="465">
        <f t="shared" si="41"/>
        <v>226</v>
      </c>
      <c r="S176" s="28"/>
      <c r="T176" s="28"/>
      <c r="U176" s="28"/>
      <c r="V176" s="28"/>
      <c r="W176" s="28"/>
      <c r="X176" s="28"/>
      <c r="Y176" s="28"/>
      <c r="Z176" s="28"/>
      <c r="AA176" s="28"/>
      <c r="AB176" s="28"/>
      <c r="AC176" s="28"/>
      <c r="AD176" s="28"/>
      <c r="AE176" s="28"/>
      <c r="AF176" s="28"/>
      <c r="AG176" s="28"/>
      <c r="AH176" s="28"/>
      <c r="AI176" s="28"/>
    </row>
    <row r="177" spans="2:35" ht="15.75" thickBot="1" x14ac:dyDescent="0.3">
      <c r="C177" s="743" t="s">
        <v>17</v>
      </c>
      <c r="D177" s="744"/>
      <c r="E177" s="461">
        <f t="shared" ref="E177:P177" si="45">E170*PRIX_EMT</f>
        <v>2519</v>
      </c>
      <c r="F177" s="461">
        <f t="shared" si="45"/>
        <v>1145</v>
      </c>
      <c r="G177" s="461">
        <f t="shared" si="45"/>
        <v>4351</v>
      </c>
      <c r="H177" s="462">
        <f t="shared" si="45"/>
        <v>1145</v>
      </c>
      <c r="I177" s="462">
        <f t="shared" si="45"/>
        <v>687</v>
      </c>
      <c r="J177" s="462">
        <f t="shared" si="45"/>
        <v>0</v>
      </c>
      <c r="K177" s="462">
        <f t="shared" si="45"/>
        <v>4809</v>
      </c>
      <c r="L177" s="462">
        <f t="shared" si="45"/>
        <v>4122</v>
      </c>
      <c r="M177" s="462">
        <f t="shared" si="45"/>
        <v>2061</v>
      </c>
      <c r="N177" s="462">
        <f t="shared" si="45"/>
        <v>2061</v>
      </c>
      <c r="O177" s="461">
        <f t="shared" si="45"/>
        <v>687</v>
      </c>
      <c r="P177" s="461">
        <f t="shared" si="45"/>
        <v>1374</v>
      </c>
      <c r="Q177" s="466">
        <f t="shared" si="40"/>
        <v>24961</v>
      </c>
      <c r="R177" s="467">
        <f t="shared" si="41"/>
        <v>14885</v>
      </c>
      <c r="S177" s="28"/>
      <c r="T177" s="28"/>
      <c r="U177" s="28"/>
      <c r="V177" s="28"/>
      <c r="W177" s="28"/>
      <c r="X177" s="28"/>
      <c r="Y177" s="28"/>
      <c r="Z177" s="28"/>
      <c r="AA177" s="28"/>
      <c r="AB177" s="28"/>
      <c r="AC177" s="28"/>
      <c r="AD177" s="28"/>
      <c r="AE177" s="28"/>
      <c r="AF177" s="28"/>
      <c r="AG177" s="28"/>
      <c r="AH177" s="28"/>
      <c r="AI177" s="28"/>
    </row>
    <row r="178" spans="2:35" ht="15.75" thickBot="1" x14ac:dyDescent="0.3">
      <c r="C178" s="12"/>
      <c r="D178" s="13"/>
      <c r="E178" s="181"/>
      <c r="F178" s="61"/>
      <c r="G178" s="181"/>
      <c r="H178" s="61"/>
      <c r="I178" s="181"/>
      <c r="J178" s="61"/>
      <c r="K178" s="181"/>
      <c r="L178" s="61"/>
      <c r="M178" s="181"/>
      <c r="N178" s="61"/>
      <c r="O178" s="181"/>
      <c r="P178" s="61"/>
      <c r="Q178" s="181"/>
      <c r="R178" s="61"/>
      <c r="S178" s="28"/>
      <c r="T178" s="28"/>
      <c r="U178" s="28"/>
      <c r="V178" s="28"/>
      <c r="W178" s="28"/>
      <c r="X178" s="28"/>
      <c r="Y178" s="28"/>
      <c r="Z178" s="28"/>
      <c r="AA178" s="28"/>
      <c r="AB178" s="28"/>
      <c r="AC178" s="28"/>
      <c r="AD178" s="28"/>
      <c r="AE178" s="28"/>
      <c r="AF178" s="28"/>
      <c r="AG178" s="28"/>
      <c r="AH178" s="28"/>
      <c r="AI178" s="28"/>
    </row>
    <row r="179" spans="2:35" ht="15.75" thickBot="1" x14ac:dyDescent="0.3">
      <c r="B179">
        <v>109</v>
      </c>
      <c r="C179" s="737" t="s">
        <v>179</v>
      </c>
      <c r="D179" s="738"/>
      <c r="E179" s="171">
        <v>0</v>
      </c>
      <c r="F179" s="28">
        <v>0</v>
      </c>
      <c r="G179" s="171">
        <v>0</v>
      </c>
      <c r="H179" s="413">
        <v>0</v>
      </c>
      <c r="I179" s="413">
        <v>1</v>
      </c>
      <c r="J179" s="413">
        <v>0</v>
      </c>
      <c r="K179" s="413">
        <v>1</v>
      </c>
      <c r="L179" s="413">
        <v>0</v>
      </c>
      <c r="M179" s="413">
        <v>0</v>
      </c>
      <c r="N179" s="413">
        <v>0</v>
      </c>
      <c r="O179" s="171">
        <v>0</v>
      </c>
      <c r="P179" s="28">
        <v>1</v>
      </c>
      <c r="Q179" s="374">
        <f>SUM(E179:P179)</f>
        <v>3</v>
      </c>
      <c r="R179" s="417">
        <f>SUM(H179:N179)</f>
        <v>2</v>
      </c>
      <c r="S179" s="28"/>
      <c r="T179" s="28"/>
      <c r="U179" s="28"/>
      <c r="V179" s="28"/>
      <c r="W179" s="28"/>
      <c r="X179" s="28"/>
      <c r="Y179" s="28"/>
      <c r="Z179" s="28"/>
      <c r="AA179" s="28"/>
      <c r="AB179" s="28"/>
      <c r="AC179" s="28"/>
      <c r="AD179" s="28"/>
      <c r="AE179" s="28"/>
      <c r="AF179" s="28"/>
      <c r="AG179" s="28"/>
      <c r="AH179" s="28"/>
      <c r="AI179" s="28"/>
    </row>
    <row r="180" spans="2:35" ht="15.75" thickBot="1" x14ac:dyDescent="0.3">
      <c r="C180" s="733" t="s">
        <v>56</v>
      </c>
      <c r="D180" s="734"/>
      <c r="E180" s="181"/>
      <c r="F180" s="61"/>
      <c r="G180" s="181"/>
      <c r="H180" s="61"/>
      <c r="I180" s="181"/>
      <c r="J180" s="61"/>
      <c r="K180" s="181"/>
      <c r="L180" s="61"/>
      <c r="M180" s="181"/>
      <c r="N180" s="61"/>
      <c r="O180" s="181"/>
      <c r="P180" s="424"/>
      <c r="Q180" s="372"/>
      <c r="R180" s="308"/>
      <c r="S180" s="28"/>
      <c r="T180" s="28"/>
      <c r="U180" s="28"/>
      <c r="V180" s="28"/>
      <c r="W180" s="28"/>
      <c r="X180" s="28"/>
      <c r="Y180" s="28"/>
      <c r="Z180" s="28"/>
      <c r="AA180" s="28"/>
      <c r="AB180" s="28"/>
      <c r="AC180" s="28"/>
      <c r="AD180" s="28"/>
      <c r="AE180" s="28"/>
      <c r="AF180" s="28"/>
      <c r="AG180" s="28"/>
      <c r="AH180" s="28"/>
      <c r="AI180" s="28"/>
    </row>
    <row r="181" spans="2:35" x14ac:dyDescent="0.25">
      <c r="B181">
        <v>195</v>
      </c>
      <c r="C181" s="760"/>
      <c r="D181" s="112" t="str">
        <f>HDG_1</f>
        <v>AFR</v>
      </c>
      <c r="E181" s="171"/>
      <c r="F181" s="28"/>
      <c r="G181" s="171"/>
      <c r="H181" s="413"/>
      <c r="I181" s="413"/>
      <c r="J181" s="413"/>
      <c r="K181" s="413"/>
      <c r="L181" s="413"/>
      <c r="M181" s="413"/>
      <c r="N181" s="413"/>
      <c r="O181" s="171"/>
      <c r="P181" s="78"/>
      <c r="Q181" s="371">
        <f>SUM(E181:P181)</f>
        <v>0</v>
      </c>
      <c r="R181" s="375">
        <f>SUM(H181:N181)</f>
        <v>0</v>
      </c>
      <c r="S181" s="28"/>
      <c r="T181" s="28"/>
      <c r="U181" s="28"/>
      <c r="V181" s="28"/>
      <c r="W181" s="28"/>
      <c r="X181" s="28"/>
      <c r="Y181" s="28"/>
      <c r="Z181" s="28"/>
      <c r="AA181" s="28"/>
      <c r="AB181" s="28"/>
      <c r="AC181" s="28"/>
      <c r="AD181" s="28"/>
      <c r="AE181" s="28"/>
      <c r="AF181" s="28"/>
      <c r="AG181" s="28"/>
      <c r="AH181" s="28"/>
      <c r="AI181" s="28"/>
    </row>
    <row r="182" spans="2:35" x14ac:dyDescent="0.25">
      <c r="B182">
        <v>196</v>
      </c>
      <c r="C182" s="761"/>
      <c r="D182" s="113" t="str">
        <f>HDG_2</f>
        <v>AVP</v>
      </c>
      <c r="E182" s="171"/>
      <c r="F182" s="28"/>
      <c r="G182" s="171"/>
      <c r="H182" s="413"/>
      <c r="I182" s="413"/>
      <c r="J182" s="413"/>
      <c r="K182" s="413"/>
      <c r="L182" s="413"/>
      <c r="M182" s="413"/>
      <c r="N182" s="413"/>
      <c r="O182" s="171"/>
      <c r="P182" s="78"/>
      <c r="Q182" s="371">
        <f t="shared" ref="Q182:Q192" si="46">SUM(E182:P182)</f>
        <v>0</v>
      </c>
      <c r="R182" s="375">
        <f t="shared" ref="R182:R192" si="47">SUM(H182:N182)</f>
        <v>0</v>
      </c>
      <c r="S182" s="28"/>
      <c r="T182" s="28"/>
      <c r="U182" s="28"/>
      <c r="V182" s="28"/>
      <c r="W182" s="28"/>
      <c r="X182" s="28"/>
      <c r="Y182" s="28"/>
      <c r="Z182" s="28"/>
      <c r="AA182" s="28"/>
      <c r="AB182" s="28"/>
      <c r="AC182" s="28"/>
      <c r="AD182" s="28"/>
      <c r="AE182" s="28"/>
      <c r="AF182" s="28"/>
      <c r="AG182" s="28"/>
      <c r="AH182" s="28"/>
      <c r="AI182" s="28"/>
    </row>
    <row r="183" spans="2:35" x14ac:dyDescent="0.25">
      <c r="B183">
        <v>197</v>
      </c>
      <c r="C183" s="761"/>
      <c r="D183" s="113" t="str">
        <f>HDG_3</f>
        <v>ALZ</v>
      </c>
      <c r="E183" s="171"/>
      <c r="F183" s="28"/>
      <c r="G183" s="171"/>
      <c r="H183" s="413"/>
      <c r="I183" s="413"/>
      <c r="J183" s="413"/>
      <c r="K183" s="413"/>
      <c r="L183" s="413"/>
      <c r="M183" s="413"/>
      <c r="N183" s="413"/>
      <c r="O183" s="171"/>
      <c r="P183" s="78"/>
      <c r="Q183" s="371">
        <f t="shared" si="46"/>
        <v>0</v>
      </c>
      <c r="R183" s="375">
        <f t="shared" si="47"/>
        <v>0</v>
      </c>
      <c r="S183" s="28"/>
      <c r="T183" s="28"/>
      <c r="U183" s="28"/>
      <c r="V183" s="28"/>
      <c r="W183" s="28"/>
      <c r="X183" s="28"/>
      <c r="Y183" s="28"/>
      <c r="Z183" s="28"/>
      <c r="AA183" s="28"/>
      <c r="AB183" s="28"/>
      <c r="AC183" s="28"/>
      <c r="AD183" s="28"/>
      <c r="AE183" s="28"/>
      <c r="AF183" s="28"/>
      <c r="AG183" s="28"/>
      <c r="AH183" s="28"/>
      <c r="AI183" s="28"/>
    </row>
    <row r="184" spans="2:35" x14ac:dyDescent="0.25">
      <c r="B184">
        <v>198</v>
      </c>
      <c r="C184" s="761"/>
      <c r="D184" s="113" t="str">
        <f>HDG_4</f>
        <v>MZS</v>
      </c>
      <c r="E184" s="171"/>
      <c r="F184" s="28"/>
      <c r="G184" s="171"/>
      <c r="H184" s="413"/>
      <c r="I184" s="413"/>
      <c r="J184" s="413"/>
      <c r="K184" s="413"/>
      <c r="L184" s="413"/>
      <c r="M184" s="413"/>
      <c r="N184" s="413"/>
      <c r="O184" s="171"/>
      <c r="P184" s="78"/>
      <c r="Q184" s="371">
        <f t="shared" si="46"/>
        <v>0</v>
      </c>
      <c r="R184" s="375">
        <f t="shared" si="47"/>
        <v>0</v>
      </c>
      <c r="S184" s="28"/>
      <c r="T184" s="28"/>
      <c r="U184" s="28"/>
      <c r="V184" s="28"/>
      <c r="W184" s="28"/>
      <c r="X184" s="28"/>
      <c r="Y184" s="28"/>
      <c r="Z184" s="28"/>
      <c r="AA184" s="28"/>
      <c r="AB184" s="28"/>
      <c r="AC184" s="28"/>
      <c r="AD184" s="28"/>
      <c r="AE184" s="28"/>
      <c r="AF184" s="28"/>
      <c r="AG184" s="28"/>
      <c r="AH184" s="28"/>
      <c r="AI184" s="28"/>
    </row>
    <row r="185" spans="2:35" x14ac:dyDescent="0.25">
      <c r="B185">
        <v>199</v>
      </c>
      <c r="C185" s="761"/>
      <c r="D185" s="113" t="str">
        <f>HDG_5</f>
        <v>APR</v>
      </c>
      <c r="E185" s="171"/>
      <c r="F185" s="28"/>
      <c r="G185" s="171"/>
      <c r="H185" s="413"/>
      <c r="I185" s="413"/>
      <c r="J185" s="413"/>
      <c r="K185" s="413"/>
      <c r="L185" s="413"/>
      <c r="M185" s="413"/>
      <c r="N185" s="413"/>
      <c r="O185" s="171"/>
      <c r="P185" s="78"/>
      <c r="Q185" s="371">
        <f t="shared" si="46"/>
        <v>0</v>
      </c>
      <c r="R185" s="375">
        <f t="shared" si="47"/>
        <v>0</v>
      </c>
      <c r="S185" s="28"/>
      <c r="T185" s="28"/>
      <c r="U185" s="28"/>
      <c r="V185" s="28"/>
      <c r="W185" s="28"/>
      <c r="X185" s="28"/>
      <c r="Y185" s="28"/>
      <c r="Z185" s="28"/>
      <c r="AA185" s="28"/>
      <c r="AB185" s="28"/>
      <c r="AC185" s="28"/>
      <c r="AD185" s="28"/>
      <c r="AE185" s="28"/>
      <c r="AF185" s="28"/>
      <c r="AG185" s="28"/>
      <c r="AH185" s="28"/>
      <c r="AI185" s="28"/>
    </row>
    <row r="186" spans="2:35" x14ac:dyDescent="0.25">
      <c r="B186">
        <v>200</v>
      </c>
      <c r="C186" s="761"/>
      <c r="D186" s="113" t="str">
        <f>HDG_6</f>
        <v>DCG</v>
      </c>
      <c r="E186" s="171"/>
      <c r="F186" s="28"/>
      <c r="G186" s="171"/>
      <c r="H186" s="413"/>
      <c r="I186" s="413"/>
      <c r="J186" s="413"/>
      <c r="K186" s="413"/>
      <c r="L186" s="413"/>
      <c r="M186" s="413"/>
      <c r="N186" s="413"/>
      <c r="O186" s="171"/>
      <c r="P186" s="78"/>
      <c r="Q186" s="371">
        <f t="shared" si="46"/>
        <v>0</v>
      </c>
      <c r="R186" s="375">
        <f t="shared" si="47"/>
        <v>0</v>
      </c>
      <c r="S186" s="28"/>
      <c r="T186" s="28"/>
      <c r="U186" s="28"/>
      <c r="V186" s="28"/>
      <c r="W186" s="28"/>
      <c r="X186" s="28"/>
      <c r="Y186" s="28"/>
      <c r="Z186" s="28"/>
      <c r="AA186" s="28"/>
      <c r="AB186" s="28"/>
      <c r="AC186" s="28"/>
      <c r="AD186" s="28"/>
      <c r="AE186" s="28"/>
      <c r="AF186" s="28"/>
      <c r="AG186" s="28"/>
      <c r="AH186" s="28"/>
      <c r="AI186" s="28"/>
    </row>
    <row r="187" spans="2:35" x14ac:dyDescent="0.25">
      <c r="B187">
        <v>201</v>
      </c>
      <c r="C187" s="761"/>
      <c r="D187" s="113" t="str">
        <f>HDG_7</f>
        <v>SFS</v>
      </c>
      <c r="E187" s="171"/>
      <c r="F187" s="28"/>
      <c r="G187" s="171"/>
      <c r="H187" s="413"/>
      <c r="I187" s="413"/>
      <c r="J187" s="413"/>
      <c r="K187" s="413"/>
      <c r="L187" s="413"/>
      <c r="M187" s="413"/>
      <c r="N187" s="413"/>
      <c r="O187" s="171"/>
      <c r="P187" s="78"/>
      <c r="Q187" s="371">
        <f t="shared" si="46"/>
        <v>0</v>
      </c>
      <c r="R187" s="375">
        <f t="shared" si="47"/>
        <v>0</v>
      </c>
      <c r="S187" s="28"/>
      <c r="T187" s="28"/>
      <c r="U187" s="28"/>
      <c r="V187" s="28"/>
      <c r="W187" s="28"/>
      <c r="X187" s="28"/>
      <c r="Y187" s="28"/>
      <c r="Z187" s="28"/>
      <c r="AA187" s="28"/>
      <c r="AB187" s="28"/>
      <c r="AC187" s="28"/>
      <c r="AD187" s="28"/>
      <c r="AE187" s="28"/>
      <c r="AF187" s="28"/>
      <c r="AG187" s="28"/>
      <c r="AH187" s="28"/>
      <c r="AI187" s="28"/>
    </row>
    <row r="188" spans="2:35" x14ac:dyDescent="0.25">
      <c r="B188">
        <v>202</v>
      </c>
      <c r="C188" s="761"/>
      <c r="D188" s="113" t="str">
        <f>HDG_8</f>
        <v>AZH</v>
      </c>
      <c r="E188" s="171"/>
      <c r="F188" s="28"/>
      <c r="G188" s="171"/>
      <c r="H188" s="413"/>
      <c r="I188" s="413"/>
      <c r="J188" s="413"/>
      <c r="K188" s="413"/>
      <c r="L188" s="413"/>
      <c r="M188" s="413"/>
      <c r="N188" s="413"/>
      <c r="O188" s="171"/>
      <c r="P188" s="78"/>
      <c r="Q188" s="371">
        <f t="shared" si="46"/>
        <v>0</v>
      </c>
      <c r="R188" s="375">
        <f t="shared" si="47"/>
        <v>0</v>
      </c>
      <c r="S188" s="28"/>
      <c r="T188" s="28"/>
      <c r="U188" s="28"/>
      <c r="V188" s="28"/>
      <c r="W188" s="28"/>
      <c r="X188" s="28"/>
      <c r="Y188" s="28"/>
      <c r="Z188" s="28"/>
      <c r="AA188" s="28"/>
      <c r="AB188" s="28"/>
      <c r="AC188" s="28"/>
      <c r="AD188" s="28"/>
      <c r="AE188" s="28"/>
      <c r="AF188" s="28"/>
      <c r="AG188" s="28"/>
      <c r="AH188" s="28"/>
      <c r="AI188" s="28"/>
    </row>
    <row r="189" spans="2:35" x14ac:dyDescent="0.25">
      <c r="B189">
        <v>203</v>
      </c>
      <c r="C189" s="761"/>
      <c r="D189" s="113" t="str">
        <f>HDG_9</f>
        <v>HLI</v>
      </c>
      <c r="E189" s="171"/>
      <c r="F189" s="28"/>
      <c r="G189" s="171"/>
      <c r="H189" s="413"/>
      <c r="I189" s="413"/>
      <c r="J189" s="413"/>
      <c r="K189" s="413"/>
      <c r="L189" s="413"/>
      <c r="M189" s="413"/>
      <c r="N189" s="413"/>
      <c r="O189" s="171"/>
      <c r="P189" s="78"/>
      <c r="Q189" s="371">
        <f t="shared" si="46"/>
        <v>0</v>
      </c>
      <c r="R189" s="375">
        <f t="shared" si="47"/>
        <v>0</v>
      </c>
      <c r="S189" s="28"/>
      <c r="T189" s="28"/>
      <c r="U189" s="28"/>
      <c r="V189" s="28"/>
      <c r="W189" s="28"/>
      <c r="X189" s="28"/>
      <c r="Y189" s="28"/>
      <c r="Z189" s="28"/>
      <c r="AA189" s="28"/>
      <c r="AB189" s="28"/>
      <c r="AC189" s="28"/>
      <c r="AD189" s="28"/>
      <c r="AE189" s="28"/>
      <c r="AF189" s="28"/>
      <c r="AG189" s="28"/>
      <c r="AH189" s="28"/>
      <c r="AI189" s="28"/>
    </row>
    <row r="190" spans="2:35" x14ac:dyDescent="0.25">
      <c r="B190">
        <v>204</v>
      </c>
      <c r="C190" s="761"/>
      <c r="D190" s="113" t="str">
        <f>HDG_10</f>
        <v>MCM</v>
      </c>
      <c r="E190" s="171"/>
      <c r="F190" s="28"/>
      <c r="G190" s="171"/>
      <c r="H190" s="413"/>
      <c r="I190" s="413"/>
      <c r="J190" s="413"/>
      <c r="K190" s="413"/>
      <c r="L190" s="413"/>
      <c r="M190" s="413"/>
      <c r="N190" s="413"/>
      <c r="O190" s="171"/>
      <c r="P190" s="78"/>
      <c r="Q190" s="371">
        <f t="shared" si="46"/>
        <v>0</v>
      </c>
      <c r="R190" s="375">
        <f t="shared" si="47"/>
        <v>0</v>
      </c>
      <c r="S190" s="28"/>
      <c r="T190" s="28"/>
      <c r="U190" s="28"/>
      <c r="V190" s="28"/>
      <c r="W190" s="28"/>
      <c r="X190" s="28"/>
      <c r="Y190" s="28"/>
      <c r="Z190" s="28"/>
      <c r="AA190" s="28"/>
      <c r="AB190" s="28"/>
      <c r="AC190" s="28"/>
      <c r="AD190" s="28"/>
      <c r="AE190" s="28"/>
      <c r="AF190" s="28"/>
      <c r="AG190" s="28"/>
      <c r="AH190" s="28"/>
      <c r="AI190" s="28"/>
    </row>
    <row r="191" spans="2:35" ht="15.75" thickBot="1" x14ac:dyDescent="0.3">
      <c r="B191">
        <v>205</v>
      </c>
      <c r="C191" s="761"/>
      <c r="D191" s="114" t="str">
        <f>HDG_11</f>
        <v>MCR</v>
      </c>
      <c r="E191" s="171"/>
      <c r="F191" s="28"/>
      <c r="G191" s="171"/>
      <c r="H191" s="413"/>
      <c r="I191" s="413"/>
      <c r="J191" s="413"/>
      <c r="K191" s="413"/>
      <c r="L191" s="413"/>
      <c r="M191" s="413"/>
      <c r="N191" s="413"/>
      <c r="O191" s="171"/>
      <c r="P191" s="78"/>
      <c r="Q191" s="371">
        <f t="shared" si="46"/>
        <v>0</v>
      </c>
      <c r="R191" s="375">
        <f t="shared" si="47"/>
        <v>0</v>
      </c>
      <c r="S191" s="28"/>
      <c r="T191" s="28"/>
      <c r="U191" s="28"/>
      <c r="V191" s="28"/>
      <c r="W191" s="28"/>
      <c r="X191" s="28"/>
      <c r="Y191" s="28"/>
      <c r="Z191" s="28"/>
      <c r="AA191" s="28"/>
      <c r="AB191" s="28"/>
      <c r="AC191" s="28"/>
      <c r="AD191" s="28"/>
      <c r="AE191" s="28"/>
      <c r="AF191" s="28"/>
      <c r="AG191" s="28"/>
      <c r="AH191" s="28"/>
      <c r="AI191" s="28"/>
    </row>
    <row r="192" spans="2:35" x14ac:dyDescent="0.25">
      <c r="B192">
        <v>206</v>
      </c>
      <c r="C192" s="761"/>
      <c r="D192" s="110" t="s">
        <v>406</v>
      </c>
      <c r="E192" s="171"/>
      <c r="F192" s="28"/>
      <c r="G192" s="171"/>
      <c r="H192" s="413"/>
      <c r="I192" s="413"/>
      <c r="J192" s="413"/>
      <c r="K192" s="413"/>
      <c r="L192" s="413"/>
      <c r="M192" s="413"/>
      <c r="N192" s="413"/>
      <c r="O192" s="171"/>
      <c r="P192" s="78"/>
      <c r="Q192" s="371">
        <f t="shared" si="46"/>
        <v>0</v>
      </c>
      <c r="R192" s="375">
        <f t="shared" si="47"/>
        <v>0</v>
      </c>
      <c r="S192" s="28"/>
      <c r="T192" s="28"/>
      <c r="U192" s="28"/>
      <c r="V192" s="28"/>
      <c r="W192" s="28"/>
      <c r="X192" s="28"/>
      <c r="Y192" s="28"/>
      <c r="Z192" s="28"/>
      <c r="AA192" s="28"/>
      <c r="AB192" s="28"/>
      <c r="AC192" s="28"/>
      <c r="AD192" s="28"/>
      <c r="AE192" s="28"/>
      <c r="AF192" s="28"/>
      <c r="AG192" s="28"/>
      <c r="AH192" s="28"/>
      <c r="AI192" s="28"/>
    </row>
    <row r="193" spans="2:36" x14ac:dyDescent="0.25">
      <c r="C193" s="366"/>
      <c r="D193" s="366"/>
      <c r="E193" s="366"/>
      <c r="F193" s="366"/>
      <c r="G193" s="366"/>
      <c r="H193" s="366"/>
      <c r="I193" s="366"/>
      <c r="J193" s="366"/>
      <c r="K193" s="366"/>
      <c r="L193" s="366"/>
      <c r="M193" s="366"/>
      <c r="N193" s="366"/>
      <c r="O193" s="366"/>
      <c r="P193" s="366"/>
      <c r="Q193" s="366"/>
      <c r="R193" s="366"/>
      <c r="S193" s="28"/>
      <c r="T193" s="28"/>
      <c r="U193" s="28"/>
      <c r="V193" s="28"/>
      <c r="W193" s="28"/>
      <c r="X193" s="28"/>
      <c r="Y193" s="28"/>
      <c r="Z193" s="28"/>
      <c r="AA193" s="28"/>
      <c r="AB193" s="28"/>
      <c r="AC193" s="28"/>
      <c r="AD193" s="28"/>
      <c r="AE193" s="28"/>
      <c r="AF193" s="28"/>
      <c r="AG193" s="28"/>
      <c r="AH193" s="28"/>
      <c r="AI193" s="28"/>
    </row>
    <row r="194" spans="2:36" ht="15.75" thickBot="1" x14ac:dyDescent="0.3">
      <c r="B194">
        <v>112</v>
      </c>
      <c r="C194" s="727" t="s">
        <v>63</v>
      </c>
      <c r="D194" s="728"/>
      <c r="E194" s="171">
        <v>0</v>
      </c>
      <c r="F194" s="28">
        <v>0</v>
      </c>
      <c r="G194" s="171">
        <v>0</v>
      </c>
      <c r="H194" s="28">
        <v>5</v>
      </c>
      <c r="I194" s="171">
        <v>4</v>
      </c>
      <c r="J194" s="28">
        <v>0</v>
      </c>
      <c r="K194" s="171">
        <v>10</v>
      </c>
      <c r="L194" s="28">
        <v>2</v>
      </c>
      <c r="M194" s="171">
        <v>4</v>
      </c>
      <c r="N194" s="28">
        <v>6</v>
      </c>
      <c r="O194" s="171">
        <v>2</v>
      </c>
      <c r="P194" s="28">
        <v>0</v>
      </c>
      <c r="Q194" s="371">
        <f>SUM(E194:P194)</f>
        <v>33</v>
      </c>
      <c r="R194" s="375">
        <f>SUM(H194:N194)</f>
        <v>31</v>
      </c>
      <c r="S194" s="28"/>
      <c r="T194" s="28"/>
      <c r="U194" s="28"/>
      <c r="V194" s="28"/>
      <c r="W194" s="28"/>
      <c r="X194" s="28"/>
      <c r="Y194" s="28"/>
      <c r="Z194" s="28"/>
      <c r="AA194" s="28"/>
      <c r="AB194" s="28"/>
      <c r="AC194" s="28"/>
      <c r="AD194" s="28"/>
      <c r="AE194" s="28"/>
      <c r="AF194" s="28"/>
      <c r="AG194" s="28"/>
      <c r="AH194" s="28"/>
      <c r="AI194" s="28"/>
    </row>
    <row r="195" spans="2:36" ht="15.75" thickBot="1" x14ac:dyDescent="0.3">
      <c r="C195" s="733" t="s">
        <v>56</v>
      </c>
      <c r="D195" s="734"/>
      <c r="E195" s="181"/>
      <c r="F195" s="61"/>
      <c r="G195" s="181"/>
      <c r="H195" s="61"/>
      <c r="I195" s="181"/>
      <c r="J195" s="61"/>
      <c r="K195" s="181"/>
      <c r="L195" s="61"/>
      <c r="M195" s="181"/>
      <c r="N195" s="61"/>
      <c r="O195" s="181"/>
      <c r="P195" s="424"/>
      <c r="Q195" s="372"/>
      <c r="R195" s="308"/>
      <c r="S195" s="28"/>
      <c r="T195" s="28"/>
      <c r="U195" s="28"/>
      <c r="V195" s="28"/>
      <c r="W195" s="28"/>
      <c r="X195" s="28"/>
      <c r="Y195" s="28"/>
      <c r="Z195" s="28"/>
      <c r="AA195" s="28"/>
      <c r="AB195" s="28"/>
      <c r="AC195" s="28"/>
      <c r="AD195" s="28"/>
      <c r="AE195" s="28"/>
      <c r="AF195" s="28"/>
      <c r="AG195" s="28"/>
      <c r="AH195" s="28"/>
      <c r="AI195" s="28"/>
    </row>
    <row r="196" spans="2:36" x14ac:dyDescent="0.25">
      <c r="B196">
        <v>113</v>
      </c>
      <c r="C196" s="760"/>
      <c r="D196" s="112" t="str">
        <f>HDG_1</f>
        <v>AFR</v>
      </c>
      <c r="E196" s="171"/>
      <c r="F196" s="28"/>
      <c r="G196" s="171"/>
      <c r="H196" s="413"/>
      <c r="I196" s="413"/>
      <c r="J196" s="413"/>
      <c r="K196" s="413"/>
      <c r="L196" s="413"/>
      <c r="M196" s="413"/>
      <c r="N196" s="413"/>
      <c r="O196" s="171"/>
      <c r="P196" s="78"/>
      <c r="Q196" s="371">
        <f>SUM(E196:P196)</f>
        <v>0</v>
      </c>
      <c r="R196" s="375">
        <f>SUM(H196:N196)</f>
        <v>0</v>
      </c>
      <c r="S196" s="28"/>
      <c r="T196" s="28"/>
      <c r="U196" s="28"/>
      <c r="V196" s="28"/>
      <c r="W196" s="28"/>
      <c r="X196" s="28"/>
      <c r="Y196" s="28"/>
      <c r="Z196" s="28"/>
      <c r="AA196" s="28"/>
      <c r="AB196" s="28"/>
      <c r="AC196" s="28"/>
      <c r="AD196" s="28"/>
      <c r="AE196" s="28"/>
      <c r="AF196" s="28"/>
      <c r="AG196" s="28"/>
      <c r="AH196" s="28"/>
      <c r="AI196" s="28"/>
    </row>
    <row r="197" spans="2:36" x14ac:dyDescent="0.25">
      <c r="B197">
        <v>114</v>
      </c>
      <c r="C197" s="761"/>
      <c r="D197" s="113" t="str">
        <f>HDG_2</f>
        <v>AVP</v>
      </c>
      <c r="E197" s="171"/>
      <c r="F197" s="28"/>
      <c r="G197" s="171"/>
      <c r="H197" s="413"/>
      <c r="I197" s="413"/>
      <c r="J197" s="413"/>
      <c r="K197" s="413"/>
      <c r="L197" s="413"/>
      <c r="M197" s="413"/>
      <c r="N197" s="413"/>
      <c r="O197" s="171"/>
      <c r="P197" s="78"/>
      <c r="Q197" s="371">
        <f t="shared" ref="Q197:Q207" si="48">SUM(E197:P197)</f>
        <v>0</v>
      </c>
      <c r="R197" s="375">
        <f t="shared" ref="R197:R207" si="49">SUM(H197:N197)</f>
        <v>0</v>
      </c>
      <c r="S197" s="28"/>
      <c r="T197" s="28"/>
      <c r="U197" s="28"/>
      <c r="V197" s="28"/>
      <c r="W197" s="28"/>
      <c r="X197" s="28"/>
      <c r="Y197" s="28"/>
      <c r="Z197" s="28"/>
      <c r="AA197" s="28"/>
      <c r="AB197" s="28"/>
      <c r="AC197" s="28"/>
      <c r="AD197" s="28"/>
      <c r="AE197" s="28"/>
      <c r="AF197" s="28"/>
      <c r="AG197" s="28"/>
      <c r="AH197" s="28"/>
      <c r="AI197" s="28"/>
    </row>
    <row r="198" spans="2:36" x14ac:dyDescent="0.25">
      <c r="B198">
        <v>115</v>
      </c>
      <c r="C198" s="761"/>
      <c r="D198" s="113" t="str">
        <f>HDG_3</f>
        <v>ALZ</v>
      </c>
      <c r="E198" s="171"/>
      <c r="F198" s="28"/>
      <c r="G198" s="171"/>
      <c r="H198" s="413"/>
      <c r="I198" s="413"/>
      <c r="J198" s="413"/>
      <c r="K198" s="413"/>
      <c r="L198" s="413"/>
      <c r="M198" s="413"/>
      <c r="N198" s="413"/>
      <c r="O198" s="171"/>
      <c r="P198" s="78"/>
      <c r="Q198" s="371">
        <f t="shared" si="48"/>
        <v>0</v>
      </c>
      <c r="R198" s="375">
        <f t="shared" si="49"/>
        <v>0</v>
      </c>
      <c r="S198" s="28"/>
      <c r="T198" s="28"/>
      <c r="U198" s="28"/>
      <c r="V198" s="28"/>
      <c r="W198" s="28"/>
      <c r="X198" s="28"/>
      <c r="Y198" s="28"/>
      <c r="Z198" s="28"/>
      <c r="AA198" s="28"/>
      <c r="AB198" s="28"/>
      <c r="AC198" s="28"/>
      <c r="AD198" s="28"/>
      <c r="AE198" s="28"/>
      <c r="AF198" s="28"/>
      <c r="AG198" s="28"/>
      <c r="AH198" s="28"/>
      <c r="AI198" s="28"/>
    </row>
    <row r="199" spans="2:36" x14ac:dyDescent="0.25">
      <c r="B199">
        <v>116</v>
      </c>
      <c r="C199" s="761"/>
      <c r="D199" s="113" t="str">
        <f>HDG_4</f>
        <v>MZS</v>
      </c>
      <c r="E199" s="171"/>
      <c r="F199" s="28"/>
      <c r="G199" s="171"/>
      <c r="H199" s="413"/>
      <c r="I199" s="413"/>
      <c r="J199" s="413"/>
      <c r="K199" s="413"/>
      <c r="L199" s="413"/>
      <c r="M199" s="413"/>
      <c r="N199" s="413"/>
      <c r="O199" s="171"/>
      <c r="P199" s="78"/>
      <c r="Q199" s="371">
        <f t="shared" si="48"/>
        <v>0</v>
      </c>
      <c r="R199" s="375">
        <f t="shared" si="49"/>
        <v>0</v>
      </c>
      <c r="S199" s="28"/>
      <c r="T199" s="28"/>
      <c r="U199" s="28"/>
      <c r="V199" s="28"/>
      <c r="W199" s="28"/>
      <c r="X199" s="28"/>
      <c r="Y199" s="28"/>
      <c r="Z199" s="28"/>
      <c r="AA199" s="28"/>
      <c r="AB199" s="28"/>
      <c r="AC199" s="28"/>
      <c r="AD199" s="28"/>
      <c r="AE199" s="28"/>
      <c r="AF199" s="28"/>
      <c r="AG199" s="28"/>
      <c r="AH199" s="28"/>
      <c r="AI199" s="28"/>
    </row>
    <row r="200" spans="2:36" x14ac:dyDescent="0.25">
      <c r="B200">
        <v>117</v>
      </c>
      <c r="C200" s="761"/>
      <c r="D200" s="113" t="str">
        <f>HDG_5</f>
        <v>APR</v>
      </c>
      <c r="E200" s="171"/>
      <c r="F200" s="28"/>
      <c r="G200" s="171"/>
      <c r="H200" s="413"/>
      <c r="I200" s="413"/>
      <c r="J200" s="413"/>
      <c r="K200" s="413"/>
      <c r="L200" s="413"/>
      <c r="M200" s="413"/>
      <c r="N200" s="413"/>
      <c r="O200" s="171"/>
      <c r="P200" s="78"/>
      <c r="Q200" s="371">
        <f t="shared" si="48"/>
        <v>0</v>
      </c>
      <c r="R200" s="375">
        <f t="shared" si="49"/>
        <v>0</v>
      </c>
      <c r="S200" s="28"/>
      <c r="T200" s="28"/>
      <c r="U200" s="28"/>
      <c r="V200" s="28"/>
      <c r="W200" s="28"/>
      <c r="X200" s="28"/>
      <c r="Y200" s="28"/>
      <c r="Z200" s="28"/>
      <c r="AA200" s="28"/>
      <c r="AB200" s="28"/>
      <c r="AC200" s="28"/>
      <c r="AD200" s="28"/>
      <c r="AE200" s="28"/>
      <c r="AF200" s="28"/>
      <c r="AG200" s="28"/>
      <c r="AH200" s="28"/>
      <c r="AI200" s="28"/>
    </row>
    <row r="201" spans="2:36" x14ac:dyDescent="0.25">
      <c r="B201">
        <v>118</v>
      </c>
      <c r="C201" s="761"/>
      <c r="D201" s="113" t="str">
        <f>HDG_6</f>
        <v>DCG</v>
      </c>
      <c r="E201" s="171"/>
      <c r="F201" s="28"/>
      <c r="G201" s="171"/>
      <c r="H201" s="413"/>
      <c r="I201" s="413"/>
      <c r="J201" s="413"/>
      <c r="K201" s="413"/>
      <c r="L201" s="413"/>
      <c r="M201" s="413"/>
      <c r="N201" s="413"/>
      <c r="O201" s="171"/>
      <c r="P201" s="78"/>
      <c r="Q201" s="371">
        <f t="shared" si="48"/>
        <v>0</v>
      </c>
      <c r="R201" s="375">
        <f t="shared" si="49"/>
        <v>0</v>
      </c>
      <c r="S201" s="28"/>
      <c r="T201" s="28"/>
      <c r="U201" s="28"/>
      <c r="V201" s="28"/>
      <c r="W201" s="28"/>
      <c r="X201" s="28"/>
      <c r="Y201" s="28"/>
      <c r="Z201" s="28"/>
      <c r="AA201" s="28"/>
      <c r="AB201" s="28"/>
      <c r="AC201" s="28"/>
      <c r="AD201" s="28"/>
      <c r="AE201" s="28"/>
      <c r="AF201" s="28"/>
      <c r="AG201" s="28"/>
      <c r="AH201" s="28"/>
      <c r="AI201" s="28"/>
    </row>
    <row r="202" spans="2:36" x14ac:dyDescent="0.25">
      <c r="B202">
        <v>119</v>
      </c>
      <c r="C202" s="761"/>
      <c r="D202" s="113" t="str">
        <f>HDG_7</f>
        <v>SFS</v>
      </c>
      <c r="E202" s="171"/>
      <c r="F202" s="28"/>
      <c r="G202" s="171"/>
      <c r="H202" s="413"/>
      <c r="I202" s="413"/>
      <c r="J202" s="413"/>
      <c r="K202" s="413"/>
      <c r="L202" s="413"/>
      <c r="M202" s="413"/>
      <c r="N202" s="413"/>
      <c r="O202" s="171"/>
      <c r="P202" s="78"/>
      <c r="Q202" s="371">
        <f t="shared" si="48"/>
        <v>0</v>
      </c>
      <c r="R202" s="375">
        <f t="shared" si="49"/>
        <v>0</v>
      </c>
      <c r="S202" s="28"/>
      <c r="T202" s="28"/>
      <c r="U202" s="28"/>
      <c r="V202" s="28"/>
      <c r="W202" s="28"/>
      <c r="X202" s="28"/>
      <c r="Y202" s="28"/>
      <c r="Z202" s="28"/>
      <c r="AA202" s="28"/>
      <c r="AB202" s="28"/>
      <c r="AC202" s="28"/>
      <c r="AD202" s="28"/>
      <c r="AE202" s="28"/>
      <c r="AF202" s="28"/>
      <c r="AG202" s="28"/>
      <c r="AH202" s="28"/>
      <c r="AI202" s="28"/>
    </row>
    <row r="203" spans="2:36" x14ac:dyDescent="0.25">
      <c r="B203">
        <v>120</v>
      </c>
      <c r="C203" s="761"/>
      <c r="D203" s="113" t="str">
        <f>HDG_8</f>
        <v>AZH</v>
      </c>
      <c r="E203" s="171"/>
      <c r="F203" s="28"/>
      <c r="G203" s="171"/>
      <c r="H203" s="413"/>
      <c r="I203" s="413"/>
      <c r="J203" s="413"/>
      <c r="K203" s="413"/>
      <c r="L203" s="413"/>
      <c r="M203" s="413"/>
      <c r="N203" s="413"/>
      <c r="O203" s="171"/>
      <c r="P203" s="78"/>
      <c r="Q203" s="371">
        <f t="shared" si="48"/>
        <v>0</v>
      </c>
      <c r="R203" s="375">
        <f t="shared" si="49"/>
        <v>0</v>
      </c>
      <c r="S203" s="28"/>
      <c r="T203" s="28"/>
      <c r="U203" s="28"/>
      <c r="V203" s="28"/>
      <c r="W203" s="28"/>
      <c r="X203" s="28"/>
      <c r="Y203" s="28"/>
      <c r="Z203" s="28"/>
      <c r="AA203" s="28"/>
      <c r="AB203" s="28"/>
      <c r="AC203" s="28"/>
      <c r="AD203" s="28"/>
      <c r="AE203" s="28"/>
      <c r="AF203" s="28"/>
      <c r="AG203" s="28"/>
      <c r="AH203" s="28"/>
      <c r="AI203" s="28"/>
    </row>
    <row r="204" spans="2:36" x14ac:dyDescent="0.25">
      <c r="B204">
        <v>121</v>
      </c>
      <c r="C204" s="761"/>
      <c r="D204" s="113" t="str">
        <f>HDG_9</f>
        <v>HLI</v>
      </c>
      <c r="E204" s="171"/>
      <c r="F204" s="28"/>
      <c r="G204" s="171"/>
      <c r="H204" s="413"/>
      <c r="I204" s="413"/>
      <c r="J204" s="413"/>
      <c r="K204" s="413"/>
      <c r="L204" s="413"/>
      <c r="M204" s="413"/>
      <c r="N204" s="413"/>
      <c r="O204" s="171"/>
      <c r="P204" s="78"/>
      <c r="Q204" s="371">
        <f t="shared" si="48"/>
        <v>0</v>
      </c>
      <c r="R204" s="375">
        <f t="shared" si="49"/>
        <v>0</v>
      </c>
      <c r="S204" s="28"/>
      <c r="T204" s="28"/>
      <c r="U204" s="28"/>
      <c r="V204" s="28"/>
      <c r="W204" s="28"/>
      <c r="X204" s="28"/>
      <c r="Y204" s="28"/>
      <c r="Z204" s="28"/>
      <c r="AA204" s="28"/>
      <c r="AB204" s="28"/>
      <c r="AC204" s="28"/>
      <c r="AD204" s="28"/>
      <c r="AE204" s="28"/>
      <c r="AF204" s="28"/>
      <c r="AG204" s="28"/>
      <c r="AH204" s="28"/>
      <c r="AI204" s="28"/>
    </row>
    <row r="205" spans="2:36" x14ac:dyDescent="0.25">
      <c r="B205">
        <v>122</v>
      </c>
      <c r="C205" s="761"/>
      <c r="D205" s="113" t="str">
        <f>HDG_10</f>
        <v>MCM</v>
      </c>
      <c r="E205" s="171"/>
      <c r="F205" s="28"/>
      <c r="G205" s="171"/>
      <c r="H205" s="413"/>
      <c r="I205" s="413"/>
      <c r="J205" s="413"/>
      <c r="K205" s="413"/>
      <c r="L205" s="413"/>
      <c r="M205" s="413"/>
      <c r="N205" s="413"/>
      <c r="O205" s="171"/>
      <c r="P205" s="78"/>
      <c r="Q205" s="371">
        <f t="shared" si="48"/>
        <v>0</v>
      </c>
      <c r="R205" s="375">
        <f t="shared" si="49"/>
        <v>0</v>
      </c>
      <c r="S205" s="28"/>
      <c r="T205" s="28"/>
      <c r="U205" s="28"/>
      <c r="V205" s="28"/>
      <c r="W205" s="28"/>
      <c r="X205" s="28"/>
      <c r="Y205" s="28"/>
      <c r="Z205" s="28"/>
      <c r="AA205" s="28"/>
      <c r="AB205" s="28"/>
      <c r="AC205" s="28"/>
      <c r="AD205" s="28"/>
      <c r="AE205" s="28"/>
      <c r="AF205" s="28"/>
      <c r="AG205" s="28"/>
      <c r="AH205" s="28"/>
      <c r="AI205" s="28"/>
    </row>
    <row r="206" spans="2:36" ht="15.75" thickBot="1" x14ac:dyDescent="0.3">
      <c r="B206">
        <v>123</v>
      </c>
      <c r="C206" s="761"/>
      <c r="D206" s="114" t="str">
        <f>HDG_11</f>
        <v>MCR</v>
      </c>
      <c r="E206" s="171"/>
      <c r="F206" s="28"/>
      <c r="G206" s="171"/>
      <c r="H206" s="413"/>
      <c r="I206" s="413"/>
      <c r="J206" s="413"/>
      <c r="K206" s="413"/>
      <c r="L206" s="413"/>
      <c r="M206" s="413"/>
      <c r="N206" s="413"/>
      <c r="O206" s="171"/>
      <c r="P206" s="78"/>
      <c r="Q206" s="371">
        <f t="shared" si="48"/>
        <v>0</v>
      </c>
      <c r="R206" s="375">
        <f t="shared" si="49"/>
        <v>0</v>
      </c>
      <c r="S206" s="28"/>
      <c r="T206" s="28"/>
      <c r="U206" s="28"/>
      <c r="V206" s="28"/>
      <c r="W206" s="28"/>
      <c r="X206" s="28"/>
      <c r="Y206" s="28"/>
      <c r="Z206" s="28"/>
      <c r="AA206" s="28"/>
      <c r="AB206" s="28"/>
      <c r="AC206" s="28"/>
      <c r="AD206" s="28"/>
      <c r="AE206" s="28"/>
      <c r="AF206" s="28"/>
      <c r="AG206" s="28"/>
      <c r="AH206" s="28"/>
      <c r="AI206" s="28"/>
    </row>
    <row r="207" spans="2:36" ht="15.75" thickBot="1" x14ac:dyDescent="0.3">
      <c r="B207">
        <v>124</v>
      </c>
      <c r="C207" s="762"/>
      <c r="D207" s="108" t="s">
        <v>406</v>
      </c>
      <c r="E207" s="253"/>
      <c r="F207" s="63"/>
      <c r="G207" s="253"/>
      <c r="H207" s="423"/>
      <c r="I207" s="423"/>
      <c r="J207" s="423"/>
      <c r="K207" s="423"/>
      <c r="L207" s="423"/>
      <c r="M207" s="423"/>
      <c r="N207" s="423"/>
      <c r="O207" s="253"/>
      <c r="P207" s="64"/>
      <c r="Q207" s="373">
        <f t="shared" si="48"/>
        <v>0</v>
      </c>
      <c r="R207" s="418">
        <f t="shared" si="49"/>
        <v>0</v>
      </c>
      <c r="S207" s="28"/>
      <c r="T207" s="28"/>
      <c r="U207" s="28"/>
      <c r="V207" s="28"/>
      <c r="W207" s="28"/>
      <c r="X207" s="28"/>
      <c r="Y207" s="28"/>
      <c r="Z207" s="28"/>
      <c r="AA207" s="28"/>
      <c r="AB207" s="28"/>
      <c r="AC207" s="28"/>
      <c r="AD207" s="28"/>
      <c r="AE207" s="28"/>
      <c r="AF207" s="28"/>
      <c r="AG207" s="28"/>
      <c r="AH207" s="28"/>
      <c r="AI207" s="28"/>
    </row>
    <row r="208" spans="2:36" ht="15.75" thickBot="1" x14ac:dyDescent="0.3">
      <c r="C208" s="363"/>
      <c r="D208" s="366"/>
      <c r="E208" s="366"/>
      <c r="F208" s="366"/>
      <c r="G208" s="366"/>
      <c r="H208" s="366"/>
      <c r="I208" s="366"/>
      <c r="J208" s="366"/>
      <c r="K208" s="366"/>
      <c r="L208" s="366"/>
      <c r="M208" s="366"/>
      <c r="N208" s="366"/>
      <c r="O208" s="366"/>
      <c r="P208" s="366"/>
      <c r="Q208" s="366"/>
      <c r="R208" s="366"/>
      <c r="S208" s="369"/>
      <c r="T208" s="369"/>
      <c r="U208" s="369"/>
      <c r="V208" s="369"/>
      <c r="W208" s="369"/>
      <c r="X208" s="369"/>
      <c r="Y208" s="369"/>
      <c r="Z208" s="369"/>
      <c r="AA208" s="369"/>
      <c r="AB208" s="369"/>
      <c r="AC208" s="369"/>
      <c r="AD208" s="369"/>
      <c r="AE208" s="369"/>
      <c r="AF208" s="369"/>
      <c r="AG208" s="369"/>
      <c r="AH208" s="369"/>
      <c r="AI208" s="369"/>
      <c r="AJ208" s="369"/>
    </row>
    <row r="209" spans="2:36" ht="15.75" thickBot="1" x14ac:dyDescent="0.3">
      <c r="B209">
        <v>125</v>
      </c>
      <c r="C209" s="737" t="s">
        <v>66</v>
      </c>
      <c r="D209" s="738"/>
      <c r="E209" s="171">
        <v>0</v>
      </c>
      <c r="F209" s="28">
        <v>0</v>
      </c>
      <c r="G209" s="171">
        <v>0</v>
      </c>
      <c r="H209" s="28">
        <v>1</v>
      </c>
      <c r="I209" s="171">
        <v>0</v>
      </c>
      <c r="J209" s="28">
        <v>0</v>
      </c>
      <c r="K209" s="171">
        <v>1</v>
      </c>
      <c r="L209" s="28">
        <v>0</v>
      </c>
      <c r="M209" s="171">
        <v>0</v>
      </c>
      <c r="N209" s="28">
        <v>0</v>
      </c>
      <c r="O209" s="171">
        <v>0</v>
      </c>
      <c r="P209" s="28">
        <v>0</v>
      </c>
      <c r="Q209" s="374">
        <f>SUM(E209:P209)</f>
        <v>2</v>
      </c>
      <c r="R209" s="417">
        <f>SUM(H209:N209)</f>
        <v>2</v>
      </c>
      <c r="S209" s="28"/>
      <c r="T209" s="28"/>
      <c r="U209" s="28"/>
      <c r="V209" s="28"/>
      <c r="W209" s="28"/>
      <c r="X209" s="28"/>
      <c r="Y209" s="28"/>
      <c r="Z209" s="28"/>
      <c r="AA209" s="28"/>
      <c r="AB209" s="28"/>
      <c r="AC209" s="28"/>
      <c r="AD209" s="28"/>
      <c r="AE209" s="28"/>
      <c r="AF209" s="28"/>
      <c r="AG209" s="28"/>
      <c r="AH209" s="28"/>
      <c r="AI209" s="28"/>
    </row>
    <row r="210" spans="2:36" ht="15.75" thickBot="1" x14ac:dyDescent="0.3">
      <c r="C210" s="733" t="s">
        <v>56</v>
      </c>
      <c r="D210" s="734"/>
      <c r="E210" s="181"/>
      <c r="F210" s="61"/>
      <c r="G210" s="181"/>
      <c r="H210" s="61"/>
      <c r="I210" s="181"/>
      <c r="J210" s="61"/>
      <c r="K210" s="181"/>
      <c r="L210" s="61"/>
      <c r="M210" s="181"/>
      <c r="N210" s="61"/>
      <c r="O210" s="181"/>
      <c r="P210" s="424"/>
      <c r="Q210" s="372"/>
      <c r="R210" s="308"/>
      <c r="S210" s="28"/>
      <c r="T210" s="28"/>
      <c r="U210" s="28"/>
      <c r="V210" s="28"/>
      <c r="W210" s="28"/>
      <c r="X210" s="28"/>
      <c r="Y210" s="28"/>
      <c r="Z210" s="28"/>
      <c r="AA210" s="28"/>
      <c r="AB210" s="28"/>
      <c r="AC210" s="28"/>
      <c r="AD210" s="28"/>
      <c r="AE210" s="28"/>
      <c r="AF210" s="28"/>
      <c r="AG210" s="28"/>
      <c r="AH210" s="28"/>
      <c r="AI210" s="28"/>
    </row>
    <row r="211" spans="2:36" x14ac:dyDescent="0.25">
      <c r="B211">
        <v>126</v>
      </c>
      <c r="C211" s="760"/>
      <c r="D211" s="110" t="str">
        <f>HDG_1</f>
        <v>AFR</v>
      </c>
      <c r="E211" s="171"/>
      <c r="F211" s="28"/>
      <c r="G211" s="171"/>
      <c r="H211" s="413"/>
      <c r="I211" s="413"/>
      <c r="J211" s="413"/>
      <c r="K211" s="413"/>
      <c r="L211" s="413"/>
      <c r="M211" s="413"/>
      <c r="N211" s="413"/>
      <c r="O211" s="171"/>
      <c r="P211" s="78"/>
      <c r="Q211" s="371">
        <f>SUM(E211:P211)</f>
        <v>0</v>
      </c>
      <c r="R211" s="375">
        <f>SUM(H211:N211)</f>
        <v>0</v>
      </c>
      <c r="S211" s="28"/>
      <c r="T211" s="28"/>
      <c r="U211" s="28"/>
      <c r="V211" s="28"/>
      <c r="W211" s="28"/>
      <c r="X211" s="28"/>
      <c r="Y211" s="28"/>
      <c r="Z211" s="28"/>
      <c r="AA211" s="28"/>
      <c r="AB211" s="28"/>
      <c r="AC211" s="28"/>
      <c r="AD211" s="28"/>
      <c r="AE211" s="28"/>
      <c r="AF211" s="28"/>
      <c r="AG211" s="28"/>
      <c r="AH211" s="28"/>
      <c r="AI211" s="28"/>
    </row>
    <row r="212" spans="2:36" x14ac:dyDescent="0.25">
      <c r="B212">
        <v>127</v>
      </c>
      <c r="C212" s="761"/>
      <c r="D212" s="68" t="str">
        <f>HDG_2</f>
        <v>AVP</v>
      </c>
      <c r="E212" s="171"/>
      <c r="F212" s="28"/>
      <c r="G212" s="171"/>
      <c r="H212" s="413"/>
      <c r="I212" s="413"/>
      <c r="J212" s="413"/>
      <c r="K212" s="413"/>
      <c r="L212" s="413"/>
      <c r="M212" s="413"/>
      <c r="N212" s="413"/>
      <c r="O212" s="171"/>
      <c r="P212" s="78"/>
      <c r="Q212" s="371">
        <f t="shared" ref="Q212:Q222" si="50">SUM(E212:P212)</f>
        <v>0</v>
      </c>
      <c r="R212" s="375">
        <f t="shared" ref="R212:R222" si="51">SUM(H212:N212)</f>
        <v>0</v>
      </c>
      <c r="S212" s="28"/>
      <c r="T212" s="28"/>
      <c r="U212" s="28"/>
      <c r="V212" s="28"/>
      <c r="W212" s="28"/>
      <c r="X212" s="28"/>
      <c r="Y212" s="28"/>
      <c r="Z212" s="28"/>
      <c r="AA212" s="28"/>
      <c r="AB212" s="28"/>
      <c r="AC212" s="28"/>
      <c r="AD212" s="28"/>
      <c r="AE212" s="28"/>
      <c r="AF212" s="28"/>
      <c r="AG212" s="28"/>
      <c r="AH212" s="28"/>
      <c r="AI212" s="28"/>
    </row>
    <row r="213" spans="2:36" x14ac:dyDescent="0.25">
      <c r="B213">
        <v>128</v>
      </c>
      <c r="C213" s="761"/>
      <c r="D213" s="68" t="str">
        <f>HDG_3</f>
        <v>ALZ</v>
      </c>
      <c r="E213" s="171"/>
      <c r="F213" s="28"/>
      <c r="G213" s="171"/>
      <c r="H213" s="413"/>
      <c r="I213" s="413"/>
      <c r="J213" s="413"/>
      <c r="K213" s="413"/>
      <c r="L213" s="413"/>
      <c r="M213" s="413"/>
      <c r="N213" s="413"/>
      <c r="O213" s="171"/>
      <c r="P213" s="78"/>
      <c r="Q213" s="371">
        <f t="shared" si="50"/>
        <v>0</v>
      </c>
      <c r="R213" s="375">
        <f t="shared" si="51"/>
        <v>0</v>
      </c>
      <c r="S213" s="28"/>
      <c r="T213" s="28"/>
      <c r="U213" s="28"/>
      <c r="V213" s="28"/>
      <c r="W213" s="28"/>
      <c r="X213" s="28"/>
      <c r="Y213" s="28"/>
      <c r="Z213" s="28"/>
      <c r="AA213" s="28"/>
      <c r="AB213" s="28"/>
      <c r="AC213" s="28"/>
      <c r="AD213" s="28"/>
      <c r="AE213" s="28"/>
      <c r="AF213" s="28"/>
      <c r="AG213" s="28"/>
      <c r="AH213" s="28"/>
      <c r="AI213" s="28"/>
    </row>
    <row r="214" spans="2:36" x14ac:dyDescent="0.25">
      <c r="B214">
        <v>129</v>
      </c>
      <c r="C214" s="761"/>
      <c r="D214" s="68" t="str">
        <f>HDG_4</f>
        <v>MZS</v>
      </c>
      <c r="E214" s="171"/>
      <c r="F214" s="28"/>
      <c r="G214" s="171"/>
      <c r="H214" s="413"/>
      <c r="I214" s="413"/>
      <c r="J214" s="413"/>
      <c r="K214" s="413"/>
      <c r="L214" s="413"/>
      <c r="M214" s="413"/>
      <c r="N214" s="413"/>
      <c r="O214" s="171"/>
      <c r="P214" s="78"/>
      <c r="Q214" s="371">
        <f t="shared" si="50"/>
        <v>0</v>
      </c>
      <c r="R214" s="375">
        <f t="shared" si="51"/>
        <v>0</v>
      </c>
      <c r="S214" s="28"/>
      <c r="T214" s="28"/>
      <c r="U214" s="28"/>
      <c r="V214" s="28"/>
      <c r="W214" s="28"/>
      <c r="X214" s="28"/>
      <c r="Y214" s="28"/>
      <c r="Z214" s="28"/>
      <c r="AA214" s="28"/>
      <c r="AB214" s="28"/>
      <c r="AC214" s="28"/>
      <c r="AD214" s="28"/>
      <c r="AE214" s="28"/>
      <c r="AF214" s="28"/>
      <c r="AG214" s="28"/>
      <c r="AH214" s="28"/>
      <c r="AI214" s="28"/>
    </row>
    <row r="215" spans="2:36" x14ac:dyDescent="0.25">
      <c r="B215">
        <v>130</v>
      </c>
      <c r="C215" s="761"/>
      <c r="D215" s="68" t="str">
        <f>HDG_5</f>
        <v>APR</v>
      </c>
      <c r="E215" s="171"/>
      <c r="F215" s="28"/>
      <c r="G215" s="171"/>
      <c r="H215" s="413"/>
      <c r="I215" s="413"/>
      <c r="J215" s="413"/>
      <c r="K215" s="413"/>
      <c r="L215" s="413"/>
      <c r="M215" s="413"/>
      <c r="N215" s="413"/>
      <c r="O215" s="171"/>
      <c r="P215" s="78"/>
      <c r="Q215" s="371">
        <f t="shared" si="50"/>
        <v>0</v>
      </c>
      <c r="R215" s="375">
        <f t="shared" si="51"/>
        <v>0</v>
      </c>
      <c r="S215" s="28"/>
      <c r="T215" s="28"/>
      <c r="U215" s="28"/>
      <c r="V215" s="28"/>
      <c r="W215" s="28"/>
      <c r="X215" s="28"/>
      <c r="Y215" s="28"/>
      <c r="Z215" s="28"/>
      <c r="AA215" s="28"/>
      <c r="AB215" s="28"/>
      <c r="AC215" s="28"/>
      <c r="AD215" s="28"/>
      <c r="AE215" s="28"/>
      <c r="AF215" s="28"/>
      <c r="AG215" s="28"/>
      <c r="AH215" s="28"/>
      <c r="AI215" s="28"/>
    </row>
    <row r="216" spans="2:36" x14ac:dyDescent="0.25">
      <c r="B216">
        <v>131</v>
      </c>
      <c r="C216" s="761"/>
      <c r="D216" s="68" t="str">
        <f>HDG_6</f>
        <v>DCG</v>
      </c>
      <c r="E216" s="171"/>
      <c r="F216" s="28"/>
      <c r="G216" s="171"/>
      <c r="H216" s="413"/>
      <c r="I216" s="413"/>
      <c r="J216" s="413"/>
      <c r="K216" s="413"/>
      <c r="L216" s="413"/>
      <c r="M216" s="413"/>
      <c r="N216" s="413"/>
      <c r="O216" s="171"/>
      <c r="P216" s="78"/>
      <c r="Q216" s="371">
        <f t="shared" si="50"/>
        <v>0</v>
      </c>
      <c r="R216" s="375">
        <f t="shared" si="51"/>
        <v>0</v>
      </c>
      <c r="S216" s="28"/>
      <c r="T216" s="28"/>
      <c r="U216" s="28"/>
      <c r="V216" s="28"/>
      <c r="W216" s="28"/>
      <c r="X216" s="28"/>
      <c r="Y216" s="28"/>
      <c r="Z216" s="28"/>
      <c r="AA216" s="28"/>
      <c r="AB216" s="28"/>
      <c r="AC216" s="28"/>
      <c r="AD216" s="28"/>
      <c r="AE216" s="28"/>
      <c r="AF216" s="28"/>
      <c r="AG216" s="28"/>
      <c r="AH216" s="28"/>
      <c r="AI216" s="28"/>
    </row>
    <row r="217" spans="2:36" x14ac:dyDescent="0.25">
      <c r="B217">
        <v>132</v>
      </c>
      <c r="C217" s="761"/>
      <c r="D217" s="68" t="str">
        <f>HDG_7</f>
        <v>SFS</v>
      </c>
      <c r="E217" s="171"/>
      <c r="F217" s="28"/>
      <c r="G217" s="171"/>
      <c r="H217" s="413"/>
      <c r="I217" s="413"/>
      <c r="J217" s="413"/>
      <c r="K217" s="413"/>
      <c r="L217" s="413"/>
      <c r="M217" s="413"/>
      <c r="N217" s="413"/>
      <c r="O217" s="171"/>
      <c r="P217" s="78"/>
      <c r="Q217" s="371">
        <f t="shared" si="50"/>
        <v>0</v>
      </c>
      <c r="R217" s="375">
        <f t="shared" si="51"/>
        <v>0</v>
      </c>
      <c r="S217" s="28"/>
      <c r="T217" s="28"/>
      <c r="U217" s="28"/>
      <c r="V217" s="28"/>
      <c r="W217" s="28"/>
      <c r="X217" s="28"/>
      <c r="Y217" s="28"/>
      <c r="Z217" s="28"/>
      <c r="AA217" s="28"/>
      <c r="AB217" s="28"/>
      <c r="AC217" s="28"/>
      <c r="AD217" s="28"/>
      <c r="AE217" s="28"/>
      <c r="AF217" s="28"/>
      <c r="AG217" s="28"/>
      <c r="AH217" s="28"/>
      <c r="AI217" s="28"/>
    </row>
    <row r="218" spans="2:36" x14ac:dyDescent="0.25">
      <c r="B218">
        <v>133</v>
      </c>
      <c r="C218" s="761"/>
      <c r="D218" s="68" t="str">
        <f>HDG_8</f>
        <v>AZH</v>
      </c>
      <c r="E218" s="171"/>
      <c r="F218" s="28"/>
      <c r="G218" s="171"/>
      <c r="H218" s="413"/>
      <c r="I218" s="413"/>
      <c r="J218" s="413"/>
      <c r="K218" s="413"/>
      <c r="L218" s="413"/>
      <c r="M218" s="413"/>
      <c r="N218" s="413"/>
      <c r="O218" s="171"/>
      <c r="P218" s="78"/>
      <c r="Q218" s="371">
        <f t="shared" si="50"/>
        <v>0</v>
      </c>
      <c r="R218" s="375">
        <f t="shared" si="51"/>
        <v>0</v>
      </c>
      <c r="S218" s="28"/>
      <c r="T218" s="28"/>
      <c r="U218" s="28"/>
      <c r="V218" s="28"/>
      <c r="W218" s="28"/>
      <c r="X218" s="28"/>
      <c r="Y218" s="28"/>
      <c r="Z218" s="28"/>
      <c r="AA218" s="28"/>
      <c r="AB218" s="28"/>
      <c r="AC218" s="28"/>
      <c r="AD218" s="28"/>
      <c r="AE218" s="28"/>
      <c r="AF218" s="28"/>
      <c r="AG218" s="28"/>
      <c r="AH218" s="28"/>
      <c r="AI218" s="28"/>
    </row>
    <row r="219" spans="2:36" x14ac:dyDescent="0.25">
      <c r="B219">
        <v>134</v>
      </c>
      <c r="C219" s="761"/>
      <c r="D219" s="68" t="str">
        <f>HDG_9</f>
        <v>HLI</v>
      </c>
      <c r="E219" s="171"/>
      <c r="F219" s="28"/>
      <c r="G219" s="171"/>
      <c r="H219" s="413"/>
      <c r="I219" s="413"/>
      <c r="J219" s="413"/>
      <c r="K219" s="413"/>
      <c r="L219" s="413"/>
      <c r="M219" s="413"/>
      <c r="N219" s="413"/>
      <c r="O219" s="171"/>
      <c r="P219" s="78"/>
      <c r="Q219" s="371">
        <f t="shared" si="50"/>
        <v>0</v>
      </c>
      <c r="R219" s="375">
        <f t="shared" si="51"/>
        <v>0</v>
      </c>
      <c r="S219" s="28"/>
      <c r="T219" s="28"/>
      <c r="U219" s="28"/>
      <c r="V219" s="28"/>
      <c r="W219" s="28"/>
      <c r="X219" s="28"/>
      <c r="Y219" s="28"/>
      <c r="Z219" s="28"/>
      <c r="AA219" s="28"/>
      <c r="AB219" s="28"/>
      <c r="AC219" s="28"/>
      <c r="AD219" s="28"/>
      <c r="AE219" s="28"/>
      <c r="AF219" s="28"/>
      <c r="AG219" s="28"/>
      <c r="AH219" s="28"/>
      <c r="AI219" s="28"/>
    </row>
    <row r="220" spans="2:36" x14ac:dyDescent="0.25">
      <c r="B220">
        <v>135</v>
      </c>
      <c r="C220" s="761"/>
      <c r="D220" s="68" t="str">
        <f>HDG_10</f>
        <v>MCM</v>
      </c>
      <c r="E220" s="171"/>
      <c r="F220" s="28"/>
      <c r="G220" s="171"/>
      <c r="H220" s="413"/>
      <c r="I220" s="413"/>
      <c r="J220" s="413"/>
      <c r="K220" s="413"/>
      <c r="L220" s="413"/>
      <c r="M220" s="413"/>
      <c r="N220" s="413"/>
      <c r="O220" s="171"/>
      <c r="P220" s="78"/>
      <c r="Q220" s="371">
        <f t="shared" si="50"/>
        <v>0</v>
      </c>
      <c r="R220" s="375">
        <f t="shared" si="51"/>
        <v>0</v>
      </c>
      <c r="S220" s="28"/>
      <c r="T220" s="28"/>
      <c r="U220" s="28"/>
      <c r="V220" s="28"/>
      <c r="W220" s="28"/>
      <c r="X220" s="28"/>
      <c r="Y220" s="28"/>
      <c r="Z220" s="28"/>
      <c r="AA220" s="28"/>
      <c r="AB220" s="28"/>
      <c r="AC220" s="28"/>
      <c r="AD220" s="28"/>
      <c r="AE220" s="28"/>
      <c r="AF220" s="28"/>
      <c r="AG220" s="28"/>
      <c r="AH220" s="28"/>
      <c r="AI220" s="28"/>
    </row>
    <row r="221" spans="2:36" ht="15.75" thickBot="1" x14ac:dyDescent="0.3">
      <c r="B221">
        <v>136</v>
      </c>
      <c r="C221" s="761"/>
      <c r="D221" s="69" t="str">
        <f>HDG_11</f>
        <v>MCR</v>
      </c>
      <c r="E221" s="171"/>
      <c r="F221" s="28"/>
      <c r="G221" s="171"/>
      <c r="H221" s="413"/>
      <c r="I221" s="413"/>
      <c r="J221" s="413"/>
      <c r="K221" s="413"/>
      <c r="L221" s="413"/>
      <c r="M221" s="413"/>
      <c r="N221" s="413"/>
      <c r="O221" s="171"/>
      <c r="P221" s="78"/>
      <c r="Q221" s="371">
        <f t="shared" si="50"/>
        <v>0</v>
      </c>
      <c r="R221" s="375">
        <f t="shared" si="51"/>
        <v>0</v>
      </c>
      <c r="S221" s="28"/>
      <c r="T221" s="28"/>
      <c r="U221" s="28"/>
      <c r="V221" s="28"/>
      <c r="W221" s="28"/>
      <c r="X221" s="28"/>
      <c r="Y221" s="28"/>
      <c r="Z221" s="28"/>
      <c r="AA221" s="28"/>
      <c r="AB221" s="28"/>
      <c r="AC221" s="28"/>
      <c r="AD221" s="28"/>
      <c r="AE221" s="28"/>
      <c r="AF221" s="28"/>
      <c r="AG221" s="28"/>
      <c r="AH221" s="28"/>
      <c r="AI221" s="28"/>
    </row>
    <row r="222" spans="2:36" ht="15.75" thickBot="1" x14ac:dyDescent="0.3">
      <c r="B222">
        <v>137</v>
      </c>
      <c r="C222" s="762"/>
      <c r="D222" s="108" t="s">
        <v>406</v>
      </c>
      <c r="E222" s="253"/>
      <c r="F222" s="63"/>
      <c r="G222" s="253"/>
      <c r="H222" s="423"/>
      <c r="I222" s="423"/>
      <c r="J222" s="423"/>
      <c r="K222" s="423"/>
      <c r="L222" s="423"/>
      <c r="M222" s="423"/>
      <c r="N222" s="423"/>
      <c r="O222" s="253"/>
      <c r="P222" s="64"/>
      <c r="Q222" s="373">
        <f t="shared" si="50"/>
        <v>0</v>
      </c>
      <c r="R222" s="418">
        <f t="shared" si="51"/>
        <v>0</v>
      </c>
      <c r="S222" s="28"/>
      <c r="T222" s="28"/>
      <c r="U222" s="28"/>
      <c r="V222" s="28"/>
      <c r="W222" s="28"/>
      <c r="X222" s="28"/>
      <c r="Y222" s="28"/>
      <c r="Z222" s="28"/>
      <c r="AA222" s="28"/>
      <c r="AB222" s="28"/>
      <c r="AC222" s="28"/>
      <c r="AD222" s="28"/>
      <c r="AE222" s="28"/>
      <c r="AF222" s="28"/>
      <c r="AG222" s="28"/>
      <c r="AH222" s="28"/>
      <c r="AI222" s="28"/>
    </row>
    <row r="223" spans="2:36" ht="15" customHeight="1" x14ac:dyDescent="0.25">
      <c r="C223" s="882" t="s">
        <v>175</v>
      </c>
      <c r="D223" s="882"/>
      <c r="E223" s="882"/>
      <c r="F223" s="882"/>
      <c r="G223" s="882"/>
      <c r="H223" s="882"/>
      <c r="I223" s="882"/>
      <c r="J223" s="882"/>
      <c r="K223" s="882"/>
      <c r="L223" s="882"/>
      <c r="M223" s="882"/>
      <c r="N223" s="882"/>
      <c r="O223" s="882"/>
      <c r="P223" s="882"/>
      <c r="Q223" s="882"/>
      <c r="R223" s="882"/>
      <c r="S223"/>
      <c r="T223" s="367"/>
      <c r="U223" s="367"/>
      <c r="V223" s="367"/>
      <c r="W223" s="367"/>
      <c r="X223" s="367"/>
      <c r="Y223" s="367"/>
      <c r="Z223" s="367"/>
      <c r="AA223" s="367"/>
      <c r="AB223" s="367"/>
      <c r="AC223" s="367"/>
      <c r="AD223" s="367"/>
      <c r="AE223" s="367"/>
      <c r="AF223" s="367"/>
      <c r="AG223" s="367"/>
      <c r="AH223" s="367"/>
      <c r="AI223" s="367"/>
      <c r="AJ223" s="367"/>
    </row>
    <row r="224" spans="2:36" ht="15.75" customHeight="1" thickBot="1" x14ac:dyDescent="0.3">
      <c r="C224" s="882"/>
      <c r="D224" s="882"/>
      <c r="E224" s="882"/>
      <c r="F224" s="882"/>
      <c r="G224" s="882"/>
      <c r="H224" s="882"/>
      <c r="I224" s="882"/>
      <c r="J224" s="882"/>
      <c r="K224" s="882"/>
      <c r="L224" s="882"/>
      <c r="M224" s="882"/>
      <c r="N224" s="882"/>
      <c r="O224" s="882"/>
      <c r="P224" s="882"/>
      <c r="Q224" s="882"/>
      <c r="R224" s="882"/>
      <c r="S224" s="367"/>
      <c r="T224" s="367"/>
      <c r="U224" s="367"/>
      <c r="V224" s="367"/>
      <c r="W224" s="367"/>
      <c r="X224" s="367"/>
      <c r="Y224" s="367"/>
      <c r="Z224" s="367"/>
      <c r="AA224" s="367"/>
      <c r="AB224" s="367"/>
      <c r="AC224" s="367"/>
      <c r="AD224" s="367"/>
      <c r="AE224" s="367"/>
      <c r="AF224" s="367"/>
      <c r="AG224" s="367"/>
      <c r="AH224" s="367"/>
      <c r="AI224" s="367"/>
      <c r="AJ224" s="367"/>
    </row>
    <row r="225" spans="2:36" ht="15.75" thickBot="1" x14ac:dyDescent="0.3">
      <c r="B225">
        <v>138</v>
      </c>
      <c r="C225" s="741" t="s">
        <v>75</v>
      </c>
      <c r="D225" s="742"/>
      <c r="E225" s="28">
        <v>26</v>
      </c>
      <c r="F225" s="28">
        <v>28</v>
      </c>
      <c r="G225" s="28">
        <v>26</v>
      </c>
      <c r="H225" s="413">
        <v>9</v>
      </c>
      <c r="I225" s="413">
        <v>6</v>
      </c>
      <c r="J225" s="413">
        <v>7</v>
      </c>
      <c r="K225" s="413">
        <v>9</v>
      </c>
      <c r="L225" s="413">
        <v>5</v>
      </c>
      <c r="M225" s="413">
        <v>6</v>
      </c>
      <c r="N225" s="413">
        <v>20</v>
      </c>
      <c r="O225" s="28">
        <v>16</v>
      </c>
      <c r="P225" s="28">
        <v>9</v>
      </c>
      <c r="Q225" s="429">
        <f>SUM(E225:P225)</f>
        <v>167</v>
      </c>
      <c r="R225" s="375">
        <f t="shared" ref="R225:R231" si="52">SUM(H225:N225)</f>
        <v>62</v>
      </c>
      <c r="S225"/>
      <c r="U225"/>
      <c r="W225"/>
      <c r="Y225"/>
      <c r="AA225"/>
      <c r="AC225"/>
      <c r="AE225"/>
      <c r="AG225"/>
      <c r="AI225"/>
    </row>
    <row r="226" spans="2:36" ht="15.75" thickBot="1" x14ac:dyDescent="0.3">
      <c r="B226">
        <v>139</v>
      </c>
      <c r="C226" s="741" t="s">
        <v>76</v>
      </c>
      <c r="D226" s="742"/>
      <c r="E226" s="28">
        <v>40</v>
      </c>
      <c r="F226" s="28">
        <v>35</v>
      </c>
      <c r="G226" s="28">
        <v>83</v>
      </c>
      <c r="H226" s="413">
        <v>36</v>
      </c>
      <c r="I226" s="413">
        <v>16</v>
      </c>
      <c r="J226" s="413">
        <v>42</v>
      </c>
      <c r="K226" s="413">
        <v>17</v>
      </c>
      <c r="L226" s="413">
        <v>19</v>
      </c>
      <c r="M226" s="413">
        <v>17</v>
      </c>
      <c r="N226" s="413">
        <v>28</v>
      </c>
      <c r="O226" s="28">
        <v>8</v>
      </c>
      <c r="P226" s="28">
        <v>4</v>
      </c>
      <c r="Q226" s="66">
        <f t="shared" ref="Q226:Q231" si="53">SUM(E226:P226)</f>
        <v>345</v>
      </c>
      <c r="R226" s="375">
        <f t="shared" si="52"/>
        <v>175</v>
      </c>
      <c r="S226"/>
      <c r="U226"/>
      <c r="W226"/>
      <c r="Y226"/>
      <c r="AA226"/>
      <c r="AC226"/>
      <c r="AE226"/>
      <c r="AG226"/>
      <c r="AI226"/>
    </row>
    <row r="227" spans="2:36" ht="15.75" thickBot="1" x14ac:dyDescent="0.3">
      <c r="B227">
        <v>140</v>
      </c>
      <c r="C227" s="741" t="s">
        <v>77</v>
      </c>
      <c r="D227" s="742"/>
      <c r="E227" s="28">
        <v>0</v>
      </c>
      <c r="F227" s="28">
        <v>0</v>
      </c>
      <c r="G227" s="28">
        <v>0</v>
      </c>
      <c r="H227" s="413">
        <v>0</v>
      </c>
      <c r="I227" s="413">
        <v>0</v>
      </c>
      <c r="J227" s="413">
        <v>0</v>
      </c>
      <c r="K227" s="413">
        <v>0</v>
      </c>
      <c r="L227" s="413">
        <v>0</v>
      </c>
      <c r="M227" s="413">
        <v>0</v>
      </c>
      <c r="N227" s="413">
        <v>0</v>
      </c>
      <c r="O227" s="28">
        <v>0</v>
      </c>
      <c r="P227" s="28">
        <v>0</v>
      </c>
      <c r="Q227" s="66">
        <f t="shared" si="53"/>
        <v>0</v>
      </c>
      <c r="R227" s="375">
        <f t="shared" si="52"/>
        <v>0</v>
      </c>
      <c r="S227"/>
      <c r="U227"/>
      <c r="W227"/>
      <c r="Y227"/>
      <c r="AA227"/>
      <c r="AC227"/>
      <c r="AE227"/>
      <c r="AG227"/>
      <c r="AI227"/>
    </row>
    <row r="228" spans="2:36" ht="15.75" thickBot="1" x14ac:dyDescent="0.3">
      <c r="B228">
        <v>141</v>
      </c>
      <c r="C228" s="741" t="s">
        <v>78</v>
      </c>
      <c r="D228" s="742"/>
      <c r="E228" s="28">
        <v>0</v>
      </c>
      <c r="F228" s="28">
        <v>1</v>
      </c>
      <c r="G228" s="28">
        <v>0</v>
      </c>
      <c r="H228" s="413">
        <v>0</v>
      </c>
      <c r="I228" s="413">
        <v>0</v>
      </c>
      <c r="J228" s="413">
        <v>0</v>
      </c>
      <c r="K228" s="413">
        <v>0</v>
      </c>
      <c r="L228" s="413">
        <v>0</v>
      </c>
      <c r="M228" s="413">
        <v>0</v>
      </c>
      <c r="N228" s="413">
        <v>0</v>
      </c>
      <c r="O228" s="28">
        <v>0</v>
      </c>
      <c r="P228" s="28">
        <v>0</v>
      </c>
      <c r="Q228" s="66">
        <f t="shared" si="53"/>
        <v>1</v>
      </c>
      <c r="R228" s="375">
        <f t="shared" si="52"/>
        <v>0</v>
      </c>
      <c r="S228"/>
      <c r="U228"/>
      <c r="W228"/>
      <c r="Y228"/>
      <c r="AA228"/>
      <c r="AC228"/>
      <c r="AE228"/>
      <c r="AG228"/>
      <c r="AI228"/>
    </row>
    <row r="229" spans="2:36" ht="15.75" thickBot="1" x14ac:dyDescent="0.3">
      <c r="B229">
        <v>142</v>
      </c>
      <c r="C229" s="741" t="s">
        <v>669</v>
      </c>
      <c r="D229" s="742"/>
      <c r="E229" s="28">
        <v>13</v>
      </c>
      <c r="F229" s="28">
        <v>10</v>
      </c>
      <c r="G229" s="28">
        <v>7</v>
      </c>
      <c r="H229" s="413">
        <v>0</v>
      </c>
      <c r="I229" s="413">
        <v>0</v>
      </c>
      <c r="J229" s="413">
        <v>1</v>
      </c>
      <c r="K229" s="413">
        <v>1</v>
      </c>
      <c r="L229" s="413">
        <v>0</v>
      </c>
      <c r="M229" s="413">
        <v>1</v>
      </c>
      <c r="N229" s="413">
        <v>4</v>
      </c>
      <c r="O229" s="28">
        <v>4</v>
      </c>
      <c r="P229" s="28">
        <v>2</v>
      </c>
      <c r="Q229" s="66">
        <f t="shared" si="53"/>
        <v>43</v>
      </c>
      <c r="R229" s="375">
        <f t="shared" si="52"/>
        <v>7</v>
      </c>
      <c r="S229"/>
      <c r="U229"/>
      <c r="W229"/>
      <c r="Y229"/>
      <c r="AA229"/>
      <c r="AC229"/>
      <c r="AE229"/>
      <c r="AG229"/>
      <c r="AI229"/>
    </row>
    <row r="230" spans="2:36" ht="15.75" thickBot="1" x14ac:dyDescent="0.3">
      <c r="B230">
        <v>143</v>
      </c>
      <c r="C230" s="741" t="s">
        <v>670</v>
      </c>
      <c r="D230" s="742"/>
      <c r="E230" s="28">
        <v>20</v>
      </c>
      <c r="F230" s="28">
        <v>24</v>
      </c>
      <c r="G230" s="28">
        <v>22</v>
      </c>
      <c r="H230" s="413">
        <v>27</v>
      </c>
      <c r="I230" s="413">
        <v>17</v>
      </c>
      <c r="J230" s="413">
        <v>16</v>
      </c>
      <c r="K230" s="413">
        <v>19</v>
      </c>
      <c r="L230" s="413">
        <v>11</v>
      </c>
      <c r="M230" s="413">
        <v>20</v>
      </c>
      <c r="N230" s="413">
        <v>19</v>
      </c>
      <c r="O230" s="28">
        <v>20</v>
      </c>
      <c r="P230" s="28">
        <v>21</v>
      </c>
      <c r="Q230" s="66">
        <f t="shared" si="53"/>
        <v>236</v>
      </c>
      <c r="R230" s="375">
        <f t="shared" si="52"/>
        <v>129</v>
      </c>
      <c r="S230"/>
      <c r="U230"/>
      <c r="W230"/>
      <c r="Y230"/>
      <c r="AA230"/>
      <c r="AC230"/>
      <c r="AE230"/>
      <c r="AG230"/>
      <c r="AI230"/>
    </row>
    <row r="231" spans="2:36" ht="15.75" thickBot="1" x14ac:dyDescent="0.3">
      <c r="B231">
        <v>144</v>
      </c>
      <c r="C231" s="749" t="s">
        <v>187</v>
      </c>
      <c r="D231" s="750"/>
      <c r="E231" s="171">
        <v>13</v>
      </c>
      <c r="F231" s="28">
        <v>26</v>
      </c>
      <c r="G231" s="171">
        <v>25</v>
      </c>
      <c r="H231" s="28">
        <v>25</v>
      </c>
      <c r="I231" s="171">
        <v>12</v>
      </c>
      <c r="J231" s="28">
        <v>3</v>
      </c>
      <c r="K231" s="171">
        <v>8</v>
      </c>
      <c r="L231" s="28">
        <v>1</v>
      </c>
      <c r="M231" s="171">
        <v>3</v>
      </c>
      <c r="N231" s="28">
        <v>21</v>
      </c>
      <c r="O231" s="171">
        <v>15</v>
      </c>
      <c r="P231" s="28">
        <v>13</v>
      </c>
      <c r="Q231" s="67">
        <f t="shared" si="53"/>
        <v>165</v>
      </c>
      <c r="R231" s="418">
        <f t="shared" si="52"/>
        <v>73</v>
      </c>
      <c r="S231" s="28"/>
      <c r="T231" s="28"/>
      <c r="U231" s="28"/>
      <c r="V231" s="28"/>
      <c r="W231" s="28"/>
      <c r="X231" s="28"/>
      <c r="Y231" s="28"/>
      <c r="Z231" s="28"/>
      <c r="AA231" s="28"/>
      <c r="AB231" s="28"/>
      <c r="AC231" s="28"/>
      <c r="AD231" s="28"/>
      <c r="AE231" s="28"/>
      <c r="AF231" s="28"/>
      <c r="AG231" s="28"/>
      <c r="AH231" s="28"/>
      <c r="AI231" s="28"/>
    </row>
    <row r="232" spans="2:36" ht="15" customHeight="1" x14ac:dyDescent="0.25">
      <c r="C232" s="882" t="s">
        <v>71</v>
      </c>
      <c r="D232" s="882"/>
      <c r="E232" s="882"/>
      <c r="F232" s="882"/>
      <c r="G232" s="882"/>
      <c r="H232" s="882"/>
      <c r="I232" s="882"/>
      <c r="J232" s="882"/>
      <c r="K232" s="882"/>
      <c r="L232" s="882"/>
      <c r="M232" s="882"/>
      <c r="N232" s="882"/>
      <c r="O232" s="882"/>
      <c r="P232" s="882"/>
      <c r="Q232" s="882"/>
      <c r="R232" s="882"/>
      <c r="S232" s="367"/>
      <c r="T232" s="367"/>
      <c r="U232" s="367"/>
      <c r="V232" s="367"/>
      <c r="W232" s="367"/>
      <c r="X232" s="367"/>
      <c r="Y232" s="367"/>
      <c r="Z232" s="367"/>
      <c r="AA232" s="367"/>
      <c r="AB232" s="367"/>
      <c r="AC232" s="367"/>
      <c r="AD232" s="367"/>
      <c r="AE232" s="367"/>
      <c r="AF232" s="367"/>
      <c r="AG232" s="367"/>
      <c r="AH232" s="367"/>
      <c r="AI232" s="367"/>
      <c r="AJ232" s="367"/>
    </row>
    <row r="233" spans="2:36" ht="15.75" customHeight="1" thickBot="1" x14ac:dyDescent="0.3">
      <c r="C233" s="882"/>
      <c r="D233" s="882"/>
      <c r="E233" s="882"/>
      <c r="F233" s="882"/>
      <c r="G233" s="882"/>
      <c r="H233" s="882"/>
      <c r="I233" s="882"/>
      <c r="J233" s="882"/>
      <c r="K233" s="882"/>
      <c r="L233" s="882"/>
      <c r="M233" s="882"/>
      <c r="N233" s="882"/>
      <c r="O233" s="882"/>
      <c r="P233" s="882"/>
      <c r="Q233" s="882"/>
      <c r="R233" s="882"/>
      <c r="S233" s="367"/>
      <c r="T233" s="367"/>
      <c r="U233" s="367"/>
      <c r="V233" s="367"/>
      <c r="W233" s="367"/>
      <c r="X233" s="367"/>
      <c r="Y233" s="367"/>
      <c r="Z233" s="367"/>
      <c r="AA233" s="367"/>
      <c r="AB233" s="367"/>
      <c r="AC233" s="367"/>
      <c r="AD233" s="367"/>
      <c r="AE233" s="367"/>
      <c r="AF233" s="367"/>
      <c r="AG233" s="367"/>
      <c r="AH233" s="367"/>
      <c r="AI233" s="367"/>
      <c r="AJ233" s="367"/>
    </row>
    <row r="234" spans="2:36" x14ac:dyDescent="0.25">
      <c r="B234">
        <v>145</v>
      </c>
      <c r="C234" s="737" t="s">
        <v>72</v>
      </c>
      <c r="D234" s="738"/>
      <c r="E234" s="76">
        <v>3</v>
      </c>
      <c r="F234" s="28">
        <v>1</v>
      </c>
      <c r="G234" s="28">
        <v>7</v>
      </c>
      <c r="H234" s="413">
        <v>5</v>
      </c>
      <c r="I234" s="413">
        <v>6</v>
      </c>
      <c r="J234" s="413">
        <v>7</v>
      </c>
      <c r="K234" s="413">
        <v>2</v>
      </c>
      <c r="L234" s="413">
        <v>5</v>
      </c>
      <c r="M234" s="413">
        <v>8</v>
      </c>
      <c r="N234" s="413">
        <v>12</v>
      </c>
      <c r="O234" s="28">
        <v>0</v>
      </c>
      <c r="P234" s="78">
        <v>1</v>
      </c>
      <c r="Q234" s="374">
        <f>SUM(E234:P234)</f>
        <v>57</v>
      </c>
      <c r="R234" s="425">
        <f>SUM(H234:N234)</f>
        <v>45</v>
      </c>
      <c r="S234" s="28"/>
      <c r="T234" s="28"/>
      <c r="U234" s="28"/>
      <c r="V234" s="28"/>
      <c r="W234" s="28"/>
      <c r="X234" s="28"/>
      <c r="Y234" s="28"/>
      <c r="Z234" s="28"/>
      <c r="AA234" s="28"/>
      <c r="AB234" s="28"/>
      <c r="AC234" s="28"/>
      <c r="AD234" s="28"/>
      <c r="AE234" s="28"/>
      <c r="AF234" s="28"/>
      <c r="AG234" s="28"/>
      <c r="AH234" s="28"/>
      <c r="AI234" s="28"/>
    </row>
    <row r="235" spans="2:36" x14ac:dyDescent="0.25">
      <c r="B235">
        <v>146</v>
      </c>
      <c r="C235" s="727" t="s">
        <v>73</v>
      </c>
      <c r="D235" s="728"/>
      <c r="E235" s="76">
        <v>1</v>
      </c>
      <c r="F235" s="28">
        <v>2</v>
      </c>
      <c r="G235" s="28">
        <v>14</v>
      </c>
      <c r="H235" s="413">
        <v>8</v>
      </c>
      <c r="I235" s="413">
        <v>3</v>
      </c>
      <c r="J235" s="413">
        <v>6</v>
      </c>
      <c r="K235" s="413">
        <v>0</v>
      </c>
      <c r="L235" s="413">
        <v>0</v>
      </c>
      <c r="M235" s="413">
        <v>6</v>
      </c>
      <c r="N235" s="413">
        <v>8</v>
      </c>
      <c r="O235" s="28">
        <v>4</v>
      </c>
      <c r="P235" s="78">
        <v>5</v>
      </c>
      <c r="Q235" s="371">
        <f t="shared" ref="Q235:Q240" si="54">SUM(E235:P235)</f>
        <v>57</v>
      </c>
      <c r="R235" s="426">
        <f t="shared" ref="R235:R240" si="55">SUM(H235:N235)</f>
        <v>31</v>
      </c>
      <c r="S235" s="28"/>
      <c r="T235" s="28"/>
      <c r="U235" s="28"/>
      <c r="V235" s="28"/>
      <c r="W235" s="28"/>
      <c r="X235" s="28"/>
      <c r="Y235" s="28"/>
      <c r="Z235" s="28"/>
      <c r="AA235" s="28"/>
      <c r="AB235" s="28"/>
      <c r="AC235" s="28"/>
      <c r="AD235" s="28"/>
      <c r="AE235" s="28"/>
      <c r="AF235" s="28"/>
      <c r="AG235" s="28"/>
      <c r="AH235" s="28"/>
      <c r="AI235" s="28"/>
    </row>
    <row r="236" spans="2:36" x14ac:dyDescent="0.25">
      <c r="B236">
        <v>147</v>
      </c>
      <c r="C236" s="727" t="s">
        <v>180</v>
      </c>
      <c r="D236" s="728"/>
      <c r="E236" s="76"/>
      <c r="F236" s="28"/>
      <c r="G236" s="28"/>
      <c r="H236" s="413">
        <v>2</v>
      </c>
      <c r="I236" s="413"/>
      <c r="J236" s="413">
        <v>0</v>
      </c>
      <c r="K236" s="413"/>
      <c r="L236" s="413"/>
      <c r="M236" s="413"/>
      <c r="N236" s="413"/>
      <c r="O236" s="28"/>
      <c r="P236" s="78"/>
      <c r="Q236" s="371">
        <f t="shared" si="54"/>
        <v>2</v>
      </c>
      <c r="R236" s="426">
        <f t="shared" si="55"/>
        <v>2</v>
      </c>
      <c r="S236" s="28"/>
      <c r="T236" s="28"/>
      <c r="U236" s="28"/>
      <c r="V236" s="28"/>
      <c r="W236" s="28"/>
      <c r="X236" s="28"/>
      <c r="Y236" s="28"/>
      <c r="Z236" s="28"/>
      <c r="AA236" s="28"/>
      <c r="AB236" s="28"/>
      <c r="AC236" s="28"/>
      <c r="AD236" s="28"/>
      <c r="AE236" s="28"/>
      <c r="AF236" s="28"/>
      <c r="AG236" s="28"/>
      <c r="AH236" s="28"/>
      <c r="AI236" s="28"/>
    </row>
    <row r="237" spans="2:36" ht="15.75" thickBot="1" x14ac:dyDescent="0.3">
      <c r="B237">
        <v>148</v>
      </c>
      <c r="C237" s="727" t="s">
        <v>74</v>
      </c>
      <c r="D237" s="728"/>
      <c r="E237" s="76"/>
      <c r="F237" s="28"/>
      <c r="G237" s="28"/>
      <c r="H237" s="413"/>
      <c r="I237" s="413"/>
      <c r="J237" s="413">
        <v>1</v>
      </c>
      <c r="K237" s="413"/>
      <c r="L237" s="413"/>
      <c r="M237" s="413"/>
      <c r="N237" s="413"/>
      <c r="O237" s="28"/>
      <c r="P237" s="78"/>
      <c r="Q237" s="371">
        <f t="shared" si="54"/>
        <v>1</v>
      </c>
      <c r="R237" s="426">
        <f t="shared" si="55"/>
        <v>1</v>
      </c>
      <c r="S237" s="28"/>
      <c r="T237" s="28"/>
      <c r="U237" s="28"/>
      <c r="V237" s="28"/>
      <c r="W237" s="28"/>
      <c r="X237" s="28"/>
      <c r="Y237" s="28"/>
      <c r="Z237" s="28"/>
      <c r="AA237" s="28"/>
      <c r="AB237" s="28"/>
      <c r="AC237" s="28"/>
      <c r="AD237" s="28"/>
      <c r="AE237" s="28"/>
      <c r="AF237" s="28"/>
      <c r="AG237" s="28"/>
      <c r="AH237" s="28"/>
      <c r="AI237" s="28"/>
    </row>
    <row r="238" spans="2:36" ht="15.75" thickBot="1" x14ac:dyDescent="0.3">
      <c r="B238">
        <v>149</v>
      </c>
      <c r="C238" s="749" t="s">
        <v>181</v>
      </c>
      <c r="D238" s="750"/>
      <c r="E238" s="76"/>
      <c r="F238" s="28"/>
      <c r="G238" s="28">
        <v>6</v>
      </c>
      <c r="H238" s="413"/>
      <c r="I238" s="413"/>
      <c r="J238" s="413"/>
      <c r="K238" s="413"/>
      <c r="L238" s="413"/>
      <c r="M238" s="413"/>
      <c r="N238" s="413">
        <v>1</v>
      </c>
      <c r="O238" s="28">
        <v>1</v>
      </c>
      <c r="P238" s="78"/>
      <c r="Q238" s="371">
        <f t="shared" si="54"/>
        <v>8</v>
      </c>
      <c r="R238" s="426">
        <f t="shared" si="55"/>
        <v>1</v>
      </c>
      <c r="S238" s="28"/>
      <c r="T238" s="28"/>
      <c r="U238" s="28"/>
      <c r="V238" s="28"/>
      <c r="W238" s="28"/>
      <c r="X238" s="28"/>
      <c r="Y238" s="28"/>
      <c r="Z238" s="28"/>
      <c r="AA238" s="28"/>
      <c r="AB238" s="28"/>
      <c r="AC238" s="28"/>
      <c r="AD238" s="28"/>
      <c r="AE238" s="28"/>
      <c r="AF238" s="28"/>
      <c r="AG238" s="28"/>
      <c r="AH238" s="28"/>
      <c r="AI238" s="28"/>
    </row>
    <row r="239" spans="2:36" ht="15.75" thickBot="1" x14ac:dyDescent="0.3">
      <c r="B239">
        <v>150</v>
      </c>
      <c r="C239" s="102"/>
      <c r="D239" s="57" t="s">
        <v>620</v>
      </c>
      <c r="E239" s="76"/>
      <c r="F239" s="28"/>
      <c r="G239" s="28"/>
      <c r="H239" s="413"/>
      <c r="I239" s="413"/>
      <c r="J239" s="413"/>
      <c r="K239" s="413"/>
      <c r="L239" s="413"/>
      <c r="M239" s="413"/>
      <c r="N239" s="413"/>
      <c r="O239" s="28"/>
      <c r="P239" s="78"/>
      <c r="Q239" s="371">
        <f t="shared" si="54"/>
        <v>0</v>
      </c>
      <c r="R239" s="426">
        <f t="shared" si="55"/>
        <v>0</v>
      </c>
      <c r="S239" s="28"/>
      <c r="T239" s="28"/>
      <c r="U239" s="28"/>
      <c r="V239" s="28"/>
      <c r="W239" s="28"/>
      <c r="X239" s="28"/>
      <c r="Y239" s="28"/>
      <c r="Z239" s="28"/>
      <c r="AA239" s="28"/>
      <c r="AB239" s="28"/>
      <c r="AC239" s="28"/>
      <c r="AD239" s="28"/>
      <c r="AE239" s="28"/>
      <c r="AF239" s="28"/>
      <c r="AG239" s="28"/>
      <c r="AH239" s="28"/>
      <c r="AI239" s="28"/>
    </row>
    <row r="240" spans="2:36" ht="15.75" thickBot="1" x14ac:dyDescent="0.3">
      <c r="B240">
        <v>151</v>
      </c>
      <c r="C240" s="175"/>
      <c r="D240" s="42" t="s">
        <v>621</v>
      </c>
      <c r="E240" s="62"/>
      <c r="F240" s="63"/>
      <c r="G240" s="63">
        <v>84</v>
      </c>
      <c r="H240" s="423"/>
      <c r="I240" s="423"/>
      <c r="J240" s="423"/>
      <c r="K240" s="423"/>
      <c r="L240" s="423"/>
      <c r="M240" s="423"/>
      <c r="N240" s="423">
        <v>14</v>
      </c>
      <c r="O240" s="63">
        <v>7</v>
      </c>
      <c r="P240" s="64"/>
      <c r="Q240" s="373">
        <f t="shared" si="54"/>
        <v>105</v>
      </c>
      <c r="R240" s="427">
        <f t="shared" si="55"/>
        <v>14</v>
      </c>
      <c r="S240" s="28"/>
      <c r="T240" s="28"/>
      <c r="U240" s="28"/>
      <c r="V240" s="28"/>
      <c r="W240" s="28"/>
      <c r="X240" s="28"/>
      <c r="Y240" s="28"/>
      <c r="Z240" s="28"/>
      <c r="AA240" s="28"/>
      <c r="AB240" s="28"/>
      <c r="AC240" s="28"/>
      <c r="AD240" s="28"/>
      <c r="AE240" s="28"/>
      <c r="AF240" s="28"/>
      <c r="AG240" s="28"/>
      <c r="AH240" s="28"/>
      <c r="AI240" s="28"/>
    </row>
    <row r="241" spans="2:36" ht="15" customHeight="1" x14ac:dyDescent="0.25">
      <c r="C241" s="882" t="s">
        <v>953</v>
      </c>
      <c r="D241" s="882"/>
      <c r="E241" s="882"/>
      <c r="F241" s="882"/>
      <c r="G241" s="882"/>
      <c r="H241" s="882"/>
      <c r="I241" s="882"/>
      <c r="J241" s="882"/>
      <c r="K241" s="882"/>
      <c r="L241" s="882"/>
      <c r="M241" s="882"/>
      <c r="N241" s="882"/>
      <c r="O241" s="882"/>
      <c r="P241" s="882"/>
      <c r="Q241" s="882"/>
      <c r="R241" s="882"/>
      <c r="S241" s="367"/>
      <c r="T241" s="367"/>
      <c r="U241" s="367"/>
      <c r="V241" s="367"/>
      <c r="W241" s="367"/>
      <c r="X241" s="367"/>
      <c r="Y241" s="367"/>
      <c r="Z241" s="367"/>
      <c r="AA241" s="367"/>
      <c r="AB241" s="367"/>
      <c r="AC241" s="367"/>
      <c r="AD241" s="367"/>
      <c r="AE241" s="367"/>
      <c r="AF241" s="367"/>
      <c r="AG241" s="367"/>
      <c r="AH241" s="367"/>
      <c r="AI241" s="367"/>
      <c r="AJ241" s="367"/>
    </row>
    <row r="242" spans="2:36" ht="15.75" customHeight="1" thickBot="1" x14ac:dyDescent="0.3">
      <c r="C242" s="882"/>
      <c r="D242" s="882"/>
      <c r="E242" s="882"/>
      <c r="F242" s="882"/>
      <c r="G242" s="882"/>
      <c r="H242" s="882"/>
      <c r="I242" s="882"/>
      <c r="J242" s="882"/>
      <c r="K242" s="882"/>
      <c r="L242" s="882"/>
      <c r="M242" s="882"/>
      <c r="N242" s="882"/>
      <c r="O242" s="882"/>
      <c r="P242" s="882"/>
      <c r="Q242" s="882"/>
      <c r="R242" s="882"/>
      <c r="S242" s="367"/>
      <c r="T242" s="367"/>
      <c r="U242" s="367"/>
      <c r="V242" s="367"/>
      <c r="W242" s="367"/>
      <c r="X242" s="367"/>
      <c r="Y242" s="367"/>
      <c r="Z242" s="367"/>
      <c r="AA242" s="367"/>
      <c r="AB242" s="367"/>
      <c r="AC242" s="367"/>
      <c r="AD242" s="367"/>
      <c r="AE242" s="367"/>
      <c r="AF242" s="367"/>
      <c r="AG242" s="367"/>
      <c r="AH242" s="367"/>
      <c r="AI242" s="367"/>
      <c r="AJ242" s="367"/>
    </row>
    <row r="243" spans="2:36" ht="15.75" thickBot="1" x14ac:dyDescent="0.3">
      <c r="C243" s="739" t="s">
        <v>79</v>
      </c>
      <c r="D243" s="740"/>
      <c r="E243" s="430"/>
      <c r="F243" s="430"/>
      <c r="G243" s="430"/>
      <c r="H243" s="430"/>
      <c r="I243" s="430"/>
      <c r="J243" s="430"/>
      <c r="K243" s="430"/>
      <c r="L243" s="430"/>
      <c r="M243" s="430"/>
      <c r="N243" s="430"/>
      <c r="O243" s="430"/>
      <c r="P243" s="430"/>
      <c r="Q243" s="431"/>
      <c r="R243" s="432"/>
      <c r="S243"/>
      <c r="U243"/>
      <c r="W243"/>
      <c r="Y243"/>
      <c r="AA243"/>
      <c r="AC243"/>
      <c r="AE243"/>
      <c r="AG243"/>
      <c r="AI243"/>
    </row>
    <row r="244" spans="2:36" x14ac:dyDescent="0.25">
      <c r="B244">
        <v>152</v>
      </c>
      <c r="C244" s="727" t="s">
        <v>80</v>
      </c>
      <c r="D244" s="728"/>
      <c r="E244" s="28">
        <v>20205.54</v>
      </c>
      <c r="F244" s="28">
        <v>17775.93</v>
      </c>
      <c r="G244" s="28">
        <v>21425.31</v>
      </c>
      <c r="H244" s="413">
        <v>28984.79</v>
      </c>
      <c r="I244" s="413">
        <v>39426.730000000003</v>
      </c>
      <c r="J244" s="413">
        <v>47359.02</v>
      </c>
      <c r="K244" s="413">
        <v>55694.78</v>
      </c>
      <c r="L244" s="413">
        <v>54353.57</v>
      </c>
      <c r="M244" s="413">
        <v>38146.61</v>
      </c>
      <c r="N244" s="413">
        <v>32219.77</v>
      </c>
      <c r="O244" s="28">
        <v>22145.79</v>
      </c>
      <c r="P244" s="28">
        <v>23146.74</v>
      </c>
      <c r="Q244" s="74">
        <f>SUM(E244:P244)</f>
        <v>400884.57999999996</v>
      </c>
      <c r="R244" s="375">
        <f>SUM(H244:N244)</f>
        <v>296185.27</v>
      </c>
      <c r="S244"/>
      <c r="U244"/>
      <c r="W244"/>
      <c r="Y244"/>
      <c r="AA244"/>
      <c r="AC244"/>
      <c r="AE244"/>
      <c r="AG244"/>
      <c r="AI244"/>
    </row>
    <row r="245" spans="2:36" x14ac:dyDescent="0.25">
      <c r="B245">
        <v>153</v>
      </c>
      <c r="C245" s="727" t="s">
        <v>81</v>
      </c>
      <c r="D245" s="728"/>
      <c r="E245" s="28">
        <v>21215.88</v>
      </c>
      <c r="F245" s="28">
        <v>19237.169999999998</v>
      </c>
      <c r="G245" s="28">
        <v>24151.87</v>
      </c>
      <c r="H245" s="413">
        <v>32278.9</v>
      </c>
      <c r="I245" s="413">
        <v>43324.74</v>
      </c>
      <c r="J245" s="413">
        <v>50357.31</v>
      </c>
      <c r="K245" s="413">
        <v>61009.29</v>
      </c>
      <c r="L245" s="413">
        <v>57443.09</v>
      </c>
      <c r="M245" s="413">
        <v>39539.47</v>
      </c>
      <c r="N245" s="413">
        <v>31977.52</v>
      </c>
      <c r="O245" s="28">
        <v>22626.240000000002</v>
      </c>
      <c r="P245" s="28">
        <v>23970.52</v>
      </c>
      <c r="Q245" s="74">
        <f t="shared" ref="Q245:Q254" si="56">SUM(E245:P245)</f>
        <v>427132</v>
      </c>
      <c r="R245" s="375">
        <f t="shared" ref="R245:R254" si="57">SUM(H245:N245)</f>
        <v>315930.32</v>
      </c>
      <c r="S245"/>
      <c r="U245"/>
      <c r="W245"/>
      <c r="Y245"/>
      <c r="AA245"/>
      <c r="AC245"/>
      <c r="AE245"/>
      <c r="AG245"/>
      <c r="AI245"/>
    </row>
    <row r="246" spans="2:36" x14ac:dyDescent="0.25">
      <c r="B246">
        <v>154</v>
      </c>
      <c r="C246" s="727" t="s">
        <v>82</v>
      </c>
      <c r="D246" s="728"/>
      <c r="E246" s="28">
        <v>10998.44</v>
      </c>
      <c r="F246" s="28">
        <v>11013.37</v>
      </c>
      <c r="G246" s="28">
        <v>12276.56</v>
      </c>
      <c r="H246" s="413">
        <v>16777.45</v>
      </c>
      <c r="I246" s="413">
        <v>22368.05</v>
      </c>
      <c r="J246" s="413">
        <v>26249.75</v>
      </c>
      <c r="K246" s="413">
        <v>35099.64</v>
      </c>
      <c r="L246" s="413">
        <v>28183.67</v>
      </c>
      <c r="M246" s="413">
        <v>17316.29</v>
      </c>
      <c r="N246" s="413">
        <v>8382.44</v>
      </c>
      <c r="O246" s="28">
        <v>6091</v>
      </c>
      <c r="P246" s="28">
        <v>6768.39</v>
      </c>
      <c r="Q246" s="74">
        <f t="shared" si="56"/>
        <v>201525.05000000002</v>
      </c>
      <c r="R246" s="375">
        <f t="shared" si="57"/>
        <v>154377.29</v>
      </c>
      <c r="S246"/>
      <c r="U246"/>
      <c r="W246"/>
      <c r="Y246"/>
      <c r="AA246"/>
      <c r="AC246"/>
      <c r="AE246"/>
      <c r="AG246"/>
      <c r="AI246"/>
    </row>
    <row r="247" spans="2:36" x14ac:dyDescent="0.25">
      <c r="B247">
        <v>155</v>
      </c>
      <c r="C247" s="727" t="s">
        <v>83</v>
      </c>
      <c r="D247" s="728"/>
      <c r="E247" s="28">
        <v>20046.73</v>
      </c>
      <c r="F247" s="28">
        <v>20754.02</v>
      </c>
      <c r="G247" s="28">
        <v>22947.19</v>
      </c>
      <c r="H247" s="413">
        <v>31198.78</v>
      </c>
      <c r="I247" s="413">
        <v>40807.32</v>
      </c>
      <c r="J247" s="413">
        <v>46904.42</v>
      </c>
      <c r="K247" s="413">
        <v>63306.74</v>
      </c>
      <c r="L247" s="413">
        <v>49522.57</v>
      </c>
      <c r="M247" s="413">
        <v>29103.13</v>
      </c>
      <c r="N247" s="413">
        <v>14186.82</v>
      </c>
      <c r="O247" s="28">
        <v>10537.81</v>
      </c>
      <c r="P247" s="28">
        <v>12128.91</v>
      </c>
      <c r="Q247" s="74">
        <f t="shared" si="56"/>
        <v>361444.44</v>
      </c>
      <c r="R247" s="375">
        <f t="shared" si="57"/>
        <v>275029.78000000003</v>
      </c>
      <c r="S247"/>
      <c r="U247"/>
      <c r="W247"/>
      <c r="Y247"/>
      <c r="AA247"/>
      <c r="AC247"/>
      <c r="AE247"/>
      <c r="AG247"/>
      <c r="AI247"/>
    </row>
    <row r="248" spans="2:36" x14ac:dyDescent="0.25">
      <c r="B248">
        <v>156</v>
      </c>
      <c r="C248" s="727" t="s">
        <v>84</v>
      </c>
      <c r="D248" s="728"/>
      <c r="E248" s="28">
        <v>619.88</v>
      </c>
      <c r="F248" s="448">
        <v>636</v>
      </c>
      <c r="G248" s="28">
        <v>579.11</v>
      </c>
      <c r="H248" s="413">
        <v>477.1</v>
      </c>
      <c r="I248" s="413">
        <v>883.2</v>
      </c>
      <c r="J248" s="413">
        <v>883.34</v>
      </c>
      <c r="K248" s="413">
        <v>1276.04</v>
      </c>
      <c r="L248" s="413">
        <v>1625.07</v>
      </c>
      <c r="M248" s="413">
        <v>1065.3</v>
      </c>
      <c r="N248" s="413">
        <v>873.96</v>
      </c>
      <c r="O248" s="28">
        <v>730.49</v>
      </c>
      <c r="P248" s="28">
        <v>909.31</v>
      </c>
      <c r="Q248" s="74">
        <f t="shared" si="56"/>
        <v>10558.8</v>
      </c>
      <c r="R248" s="375">
        <f t="shared" si="57"/>
        <v>7084.01</v>
      </c>
      <c r="S248"/>
      <c r="U248"/>
      <c r="W248"/>
      <c r="Y248"/>
      <c r="AA248"/>
      <c r="AC248"/>
      <c r="AE248"/>
      <c r="AG248"/>
      <c r="AI248"/>
    </row>
    <row r="249" spans="2:36" ht="15.75" thickBot="1" x14ac:dyDescent="0.3">
      <c r="B249">
        <v>157</v>
      </c>
      <c r="C249" s="727" t="s">
        <v>85</v>
      </c>
      <c r="D249" s="728"/>
      <c r="E249" s="28">
        <v>1162.8599999999999</v>
      </c>
      <c r="F249" s="28">
        <v>1214.06</v>
      </c>
      <c r="G249" s="28">
        <v>1122.33</v>
      </c>
      <c r="H249" s="413">
        <v>957.98</v>
      </c>
      <c r="I249" s="413">
        <v>1785.08</v>
      </c>
      <c r="J249" s="413">
        <v>1693.33</v>
      </c>
      <c r="K249" s="413">
        <v>2469.6999999999998</v>
      </c>
      <c r="L249" s="413">
        <v>3083.42</v>
      </c>
      <c r="M249" s="413">
        <v>1909.27</v>
      </c>
      <c r="N249" s="413">
        <v>1599.08</v>
      </c>
      <c r="O249" s="28">
        <v>1325.6</v>
      </c>
      <c r="P249" s="28">
        <v>1675.5</v>
      </c>
      <c r="Q249" s="74">
        <f t="shared" si="56"/>
        <v>19998.21</v>
      </c>
      <c r="R249" s="375">
        <f t="shared" si="57"/>
        <v>13497.859999999999</v>
      </c>
      <c r="S249"/>
      <c r="U249"/>
      <c r="W249"/>
      <c r="Y249"/>
      <c r="AA249"/>
      <c r="AC249"/>
      <c r="AE249"/>
      <c r="AG249"/>
      <c r="AI249"/>
    </row>
    <row r="250" spans="2:36" ht="15.75" thickBot="1" x14ac:dyDescent="0.3">
      <c r="C250" s="729" t="s">
        <v>86</v>
      </c>
      <c r="D250" s="730"/>
      <c r="E250" s="61"/>
      <c r="F250" s="61"/>
      <c r="G250" s="61"/>
      <c r="H250" s="449"/>
      <c r="I250" s="449"/>
      <c r="J250" s="449"/>
      <c r="K250" s="449"/>
      <c r="L250" s="449"/>
      <c r="M250" s="449"/>
      <c r="N250" s="449"/>
      <c r="O250" s="61"/>
      <c r="P250" s="61"/>
      <c r="Q250" s="307"/>
      <c r="R250" s="433"/>
      <c r="S250"/>
      <c r="U250"/>
      <c r="W250"/>
      <c r="Y250"/>
      <c r="AA250"/>
      <c r="AC250"/>
      <c r="AE250"/>
      <c r="AG250"/>
      <c r="AI250"/>
    </row>
    <row r="251" spans="2:36" x14ac:dyDescent="0.25">
      <c r="B251">
        <v>158</v>
      </c>
      <c r="C251" s="727" t="s">
        <v>87</v>
      </c>
      <c r="D251" s="728"/>
      <c r="E251" s="28">
        <v>7</v>
      </c>
      <c r="F251" s="28">
        <v>23</v>
      </c>
      <c r="G251" s="28">
        <v>27</v>
      </c>
      <c r="H251" s="413">
        <v>29</v>
      </c>
      <c r="I251" s="413">
        <v>43</v>
      </c>
      <c r="J251" s="413">
        <v>51</v>
      </c>
      <c r="K251" s="413">
        <v>47</v>
      </c>
      <c r="L251" s="413">
        <v>41</v>
      </c>
      <c r="M251" s="413">
        <v>37</v>
      </c>
      <c r="N251" s="413">
        <v>40</v>
      </c>
      <c r="O251" s="28">
        <v>27</v>
      </c>
      <c r="P251" s="28">
        <v>16</v>
      </c>
      <c r="Q251" s="74">
        <f t="shared" si="56"/>
        <v>388</v>
      </c>
      <c r="R251" s="375">
        <f t="shared" si="57"/>
        <v>288</v>
      </c>
      <c r="S251"/>
      <c r="U251"/>
      <c r="W251"/>
      <c r="Y251"/>
      <c r="AA251"/>
      <c r="AC251"/>
      <c r="AE251"/>
      <c r="AG251"/>
      <c r="AI251"/>
    </row>
    <row r="252" spans="2:36" x14ac:dyDescent="0.25">
      <c r="B252">
        <v>159</v>
      </c>
      <c r="C252" s="727" t="s">
        <v>88</v>
      </c>
      <c r="D252" s="728"/>
      <c r="E252" s="28">
        <v>15.4</v>
      </c>
      <c r="F252" s="28">
        <v>50.6</v>
      </c>
      <c r="G252" s="28">
        <v>59.4</v>
      </c>
      <c r="H252" s="450">
        <v>63.8</v>
      </c>
      <c r="I252" s="413">
        <v>94.6</v>
      </c>
      <c r="J252" s="413">
        <v>112.2</v>
      </c>
      <c r="K252" s="450">
        <v>103.4</v>
      </c>
      <c r="L252" s="413">
        <v>90.2</v>
      </c>
      <c r="M252" s="413">
        <v>81.400000000000006</v>
      </c>
      <c r="N252" s="450">
        <v>88</v>
      </c>
      <c r="O252" s="28">
        <v>59.4</v>
      </c>
      <c r="P252" s="28">
        <v>35.200000000000003</v>
      </c>
      <c r="Q252" s="74">
        <f t="shared" si="56"/>
        <v>853.6</v>
      </c>
      <c r="R252" s="375">
        <f t="shared" si="57"/>
        <v>633.6</v>
      </c>
      <c r="S252"/>
      <c r="U252"/>
      <c r="W252"/>
      <c r="Y252"/>
      <c r="AA252"/>
      <c r="AC252"/>
      <c r="AE252"/>
      <c r="AG252"/>
      <c r="AI252"/>
    </row>
    <row r="253" spans="2:36" x14ac:dyDescent="0.25">
      <c r="B253">
        <v>160</v>
      </c>
      <c r="C253" s="727" t="s">
        <v>89</v>
      </c>
      <c r="D253" s="728"/>
      <c r="E253" s="28">
        <v>192</v>
      </c>
      <c r="F253" s="28">
        <v>141</v>
      </c>
      <c r="G253" s="28">
        <v>132</v>
      </c>
      <c r="H253" s="413">
        <v>202</v>
      </c>
      <c r="I253" s="413">
        <v>158</v>
      </c>
      <c r="J253" s="413">
        <v>427</v>
      </c>
      <c r="K253" s="413">
        <v>280</v>
      </c>
      <c r="L253" s="413">
        <v>263</v>
      </c>
      <c r="M253" s="413">
        <v>184</v>
      </c>
      <c r="N253" s="413">
        <v>144</v>
      </c>
      <c r="O253" s="28">
        <v>345</v>
      </c>
      <c r="P253" s="28">
        <v>272</v>
      </c>
      <c r="Q253" s="74">
        <f t="shared" si="56"/>
        <v>2740</v>
      </c>
      <c r="R253" s="375">
        <f t="shared" si="57"/>
        <v>1658</v>
      </c>
      <c r="S253"/>
      <c r="U253"/>
      <c r="W253"/>
      <c r="Y253"/>
      <c r="AA253"/>
      <c r="AC253"/>
      <c r="AE253"/>
      <c r="AG253"/>
      <c r="AI253"/>
    </row>
    <row r="254" spans="2:36" ht="15.75" thickBot="1" x14ac:dyDescent="0.3">
      <c r="B254">
        <v>161</v>
      </c>
      <c r="C254" s="743" t="s">
        <v>90</v>
      </c>
      <c r="D254" s="744"/>
      <c r="E254" s="63">
        <v>844.8</v>
      </c>
      <c r="F254" s="63">
        <v>620.4</v>
      </c>
      <c r="G254" s="63">
        <v>580.79999999999995</v>
      </c>
      <c r="H254" s="451">
        <v>888.8</v>
      </c>
      <c r="I254" s="423">
        <v>695.2</v>
      </c>
      <c r="J254" s="423">
        <v>1878.8</v>
      </c>
      <c r="K254" s="451">
        <v>1232</v>
      </c>
      <c r="L254" s="423">
        <v>1157.2</v>
      </c>
      <c r="M254" s="423">
        <v>809.6</v>
      </c>
      <c r="N254" s="423">
        <v>633.6</v>
      </c>
      <c r="O254" s="452">
        <v>1518</v>
      </c>
      <c r="P254" s="63">
        <v>1196.8</v>
      </c>
      <c r="Q254" s="42">
        <f t="shared" si="56"/>
        <v>12056</v>
      </c>
      <c r="R254" s="418">
        <f t="shared" si="57"/>
        <v>7295.2000000000007</v>
      </c>
      <c r="S254"/>
      <c r="U254"/>
      <c r="W254"/>
      <c r="Y254"/>
      <c r="AA254"/>
      <c r="AC254"/>
      <c r="AE254"/>
      <c r="AG254"/>
      <c r="AI254"/>
    </row>
    <row r="255" spans="2:36" ht="15" customHeight="1" x14ac:dyDescent="0.25">
      <c r="C255" s="882" t="s">
        <v>742</v>
      </c>
      <c r="D255" s="882"/>
      <c r="E255" s="882"/>
      <c r="F255" s="882"/>
      <c r="G255" s="882"/>
      <c r="H255" s="882"/>
      <c r="I255" s="882"/>
      <c r="J255" s="882"/>
      <c r="K255" s="882"/>
      <c r="L255" s="882"/>
      <c r="M255" s="882"/>
      <c r="N255" s="882"/>
      <c r="O255" s="882"/>
      <c r="P255" s="882"/>
      <c r="Q255" s="882"/>
      <c r="R255" s="882"/>
      <c r="S255" s="367"/>
      <c r="T255" s="367"/>
      <c r="U255" s="367"/>
      <c r="V255" s="367"/>
      <c r="W255" s="367"/>
      <c r="X255" s="367"/>
      <c r="Y255" s="367"/>
      <c r="Z255" s="367"/>
      <c r="AA255" s="367"/>
      <c r="AB255" s="367"/>
      <c r="AC255" s="367"/>
      <c r="AD255" s="367"/>
      <c r="AE255" s="367"/>
      <c r="AF255" s="367"/>
      <c r="AG255" s="367"/>
      <c r="AH255" s="367"/>
      <c r="AI255" s="367"/>
      <c r="AJ255" s="367"/>
    </row>
    <row r="256" spans="2:36" ht="15.75" customHeight="1" thickBot="1" x14ac:dyDescent="0.3">
      <c r="C256" s="882"/>
      <c r="D256" s="882"/>
      <c r="E256" s="882"/>
      <c r="F256" s="882"/>
      <c r="G256" s="882"/>
      <c r="H256" s="882"/>
      <c r="I256" s="882"/>
      <c r="J256" s="882"/>
      <c r="K256" s="882"/>
      <c r="L256" s="882"/>
      <c r="M256" s="882"/>
      <c r="N256" s="882"/>
      <c r="O256" s="882"/>
      <c r="P256" s="882"/>
      <c r="Q256" s="882"/>
      <c r="R256" s="882"/>
      <c r="S256" s="367"/>
      <c r="T256" s="367"/>
      <c r="U256" s="367"/>
      <c r="V256" s="367"/>
      <c r="W256" s="367"/>
      <c r="X256" s="367"/>
      <c r="Y256" s="367"/>
      <c r="Z256" s="367"/>
      <c r="AA256" s="367"/>
      <c r="AB256" s="367"/>
      <c r="AC256" s="367"/>
      <c r="AD256" s="367"/>
      <c r="AE256" s="367"/>
      <c r="AF256" s="367"/>
      <c r="AG256" s="367"/>
      <c r="AH256" s="367"/>
      <c r="AI256" s="367"/>
      <c r="AJ256" s="367"/>
    </row>
    <row r="257" spans="2:35" x14ac:dyDescent="0.25">
      <c r="B257">
        <v>162</v>
      </c>
      <c r="C257" s="747" t="s">
        <v>646</v>
      </c>
      <c r="D257" s="748"/>
      <c r="E257" s="58">
        <v>69</v>
      </c>
      <c r="F257" s="60">
        <v>110</v>
      </c>
      <c r="G257" s="60">
        <v>157</v>
      </c>
      <c r="H257" s="422">
        <v>156</v>
      </c>
      <c r="I257" s="422">
        <v>126</v>
      </c>
      <c r="J257" s="422">
        <v>87</v>
      </c>
      <c r="K257" s="422">
        <v>66</v>
      </c>
      <c r="L257" s="422">
        <v>35</v>
      </c>
      <c r="M257" s="422">
        <v>36</v>
      </c>
      <c r="N257" s="422">
        <v>51</v>
      </c>
      <c r="O257" s="60">
        <v>54</v>
      </c>
      <c r="P257" s="59">
        <v>51</v>
      </c>
      <c r="Q257" s="41">
        <f>SUM(E257:P257)</f>
        <v>998</v>
      </c>
      <c r="R257" s="417">
        <f>SUM(H257:N257)</f>
        <v>557</v>
      </c>
      <c r="S257"/>
      <c r="U257"/>
      <c r="W257"/>
      <c r="Y257"/>
      <c r="AA257"/>
      <c r="AC257"/>
      <c r="AE257"/>
      <c r="AG257"/>
      <c r="AI257"/>
    </row>
    <row r="258" spans="2:35" x14ac:dyDescent="0.25">
      <c r="B258">
        <v>163</v>
      </c>
      <c r="C258" s="756" t="s">
        <v>647</v>
      </c>
      <c r="D258" s="757"/>
      <c r="E258" s="76">
        <v>9</v>
      </c>
      <c r="F258" s="28">
        <v>13</v>
      </c>
      <c r="G258" s="28">
        <v>7</v>
      </c>
      <c r="H258" s="413">
        <v>13</v>
      </c>
      <c r="I258" s="413">
        <v>5</v>
      </c>
      <c r="J258" s="413">
        <v>0</v>
      </c>
      <c r="K258" s="413">
        <v>3</v>
      </c>
      <c r="L258" s="413">
        <v>3</v>
      </c>
      <c r="M258" s="413">
        <v>9</v>
      </c>
      <c r="N258" s="413">
        <v>8</v>
      </c>
      <c r="O258" s="28">
        <v>8</v>
      </c>
      <c r="P258" s="78">
        <v>4</v>
      </c>
      <c r="Q258" s="74">
        <f t="shared" ref="Q258:Q269" si="58">SUM(E258:P258)</f>
        <v>82</v>
      </c>
      <c r="R258" s="375">
        <f t="shared" ref="R258:R269" si="59">SUM(H258:N258)</f>
        <v>41</v>
      </c>
      <c r="S258"/>
      <c r="U258"/>
      <c r="W258"/>
      <c r="Y258"/>
      <c r="AA258"/>
      <c r="AC258"/>
      <c r="AE258"/>
      <c r="AG258"/>
      <c r="AI258"/>
    </row>
    <row r="259" spans="2:35" x14ac:dyDescent="0.25">
      <c r="B259">
        <v>164</v>
      </c>
      <c r="C259" s="756" t="s">
        <v>648</v>
      </c>
      <c r="D259" s="757"/>
      <c r="E259" s="76">
        <v>72</v>
      </c>
      <c r="F259" s="28">
        <v>3</v>
      </c>
      <c r="G259" s="28">
        <v>10</v>
      </c>
      <c r="H259" s="413">
        <v>0</v>
      </c>
      <c r="I259" s="413">
        <v>0</v>
      </c>
      <c r="J259" s="413">
        <v>0</v>
      </c>
      <c r="K259" s="413">
        <v>0</v>
      </c>
      <c r="L259" s="413">
        <v>0</v>
      </c>
      <c r="M259" s="413">
        <v>41</v>
      </c>
      <c r="N259" s="413">
        <v>77</v>
      </c>
      <c r="O259" s="28">
        <v>39</v>
      </c>
      <c r="P259" s="78">
        <v>6</v>
      </c>
      <c r="Q259" s="74">
        <f t="shared" si="58"/>
        <v>248</v>
      </c>
      <c r="R259" s="375">
        <f t="shared" si="59"/>
        <v>118</v>
      </c>
      <c r="S259"/>
      <c r="U259"/>
      <c r="W259"/>
      <c r="Y259"/>
      <c r="AA259"/>
      <c r="AC259"/>
      <c r="AE259"/>
      <c r="AG259"/>
      <c r="AI259"/>
    </row>
    <row r="260" spans="2:35" x14ac:dyDescent="0.25">
      <c r="B260">
        <v>165</v>
      </c>
      <c r="C260" s="756" t="s">
        <v>814</v>
      </c>
      <c r="D260" s="757"/>
      <c r="E260" s="76">
        <v>6</v>
      </c>
      <c r="F260" s="28">
        <v>45</v>
      </c>
      <c r="G260" s="28">
        <v>79</v>
      </c>
      <c r="H260" s="413">
        <v>34</v>
      </c>
      <c r="I260" s="413">
        <v>2</v>
      </c>
      <c r="J260" s="413">
        <v>14</v>
      </c>
      <c r="K260" s="413">
        <v>0</v>
      </c>
      <c r="L260" s="413">
        <v>0</v>
      </c>
      <c r="M260" s="413">
        <v>15</v>
      </c>
      <c r="N260" s="413">
        <v>10</v>
      </c>
      <c r="O260" s="28">
        <v>6</v>
      </c>
      <c r="P260" s="78">
        <v>30</v>
      </c>
      <c r="Q260" s="74">
        <f t="shared" si="58"/>
        <v>241</v>
      </c>
      <c r="R260" s="375">
        <f t="shared" si="59"/>
        <v>75</v>
      </c>
      <c r="S260"/>
      <c r="U260"/>
      <c r="W260"/>
      <c r="Y260"/>
      <c r="AA260"/>
      <c r="AC260"/>
      <c r="AE260"/>
      <c r="AG260"/>
      <c r="AI260"/>
    </row>
    <row r="261" spans="2:35" ht="15.75" thickBot="1" x14ac:dyDescent="0.3">
      <c r="B261">
        <v>166</v>
      </c>
      <c r="C261" s="717" t="s">
        <v>649</v>
      </c>
      <c r="D261" s="718"/>
      <c r="E261" s="76">
        <v>4</v>
      </c>
      <c r="F261" s="28">
        <v>6</v>
      </c>
      <c r="G261" s="28">
        <v>4</v>
      </c>
      <c r="H261" s="413">
        <v>2</v>
      </c>
      <c r="I261" s="413">
        <v>0</v>
      </c>
      <c r="J261" s="413">
        <v>0</v>
      </c>
      <c r="K261" s="413">
        <v>0</v>
      </c>
      <c r="L261" s="413">
        <v>6</v>
      </c>
      <c r="M261" s="413">
        <v>0</v>
      </c>
      <c r="N261" s="413">
        <v>6</v>
      </c>
      <c r="O261" s="28">
        <v>5</v>
      </c>
      <c r="P261" s="78">
        <v>1</v>
      </c>
      <c r="Q261" s="74">
        <f t="shared" si="58"/>
        <v>34</v>
      </c>
      <c r="R261" s="375">
        <f t="shared" si="59"/>
        <v>14</v>
      </c>
      <c r="S261"/>
      <c r="U261"/>
      <c r="W261"/>
      <c r="Y261"/>
      <c r="AA261"/>
      <c r="AC261"/>
      <c r="AE261"/>
      <c r="AG261"/>
      <c r="AI261"/>
    </row>
    <row r="262" spans="2:35" ht="15.75" thickBot="1" x14ac:dyDescent="0.3">
      <c r="C262" s="758" t="s">
        <v>662</v>
      </c>
      <c r="D262" s="759"/>
      <c r="E262" s="33">
        <f>SUM(E257:E261)</f>
        <v>160</v>
      </c>
      <c r="F262" s="33">
        <f t="shared" ref="F262:P262" si="60">SUM(F257:F261)</f>
        <v>177</v>
      </c>
      <c r="G262" s="33">
        <f t="shared" si="60"/>
        <v>257</v>
      </c>
      <c r="H262" s="434">
        <f t="shared" si="60"/>
        <v>205</v>
      </c>
      <c r="I262" s="434">
        <f t="shared" si="60"/>
        <v>133</v>
      </c>
      <c r="J262" s="434">
        <f t="shared" si="60"/>
        <v>101</v>
      </c>
      <c r="K262" s="434">
        <f t="shared" si="60"/>
        <v>69</v>
      </c>
      <c r="L262" s="434">
        <f t="shared" si="60"/>
        <v>44</v>
      </c>
      <c r="M262" s="434">
        <f t="shared" si="60"/>
        <v>101</v>
      </c>
      <c r="N262" s="434">
        <f t="shared" si="60"/>
        <v>152</v>
      </c>
      <c r="O262" s="33">
        <f t="shared" si="60"/>
        <v>112</v>
      </c>
      <c r="P262" s="33">
        <f t="shared" si="60"/>
        <v>92</v>
      </c>
      <c r="Q262" s="74">
        <f t="shared" si="58"/>
        <v>1603</v>
      </c>
      <c r="R262" s="375">
        <f t="shared" si="59"/>
        <v>805</v>
      </c>
      <c r="S262"/>
      <c r="U262"/>
      <c r="W262"/>
      <c r="Y262"/>
      <c r="AA262"/>
      <c r="AC262"/>
      <c r="AE262"/>
      <c r="AG262"/>
      <c r="AI262"/>
    </row>
    <row r="263" spans="2:35" x14ac:dyDescent="0.25">
      <c r="B263">
        <v>167</v>
      </c>
      <c r="C263" s="747" t="s">
        <v>650</v>
      </c>
      <c r="D263" s="748"/>
      <c r="E263" s="232">
        <v>4015</v>
      </c>
      <c r="F263" s="233">
        <v>6930</v>
      </c>
      <c r="G263" s="233">
        <v>9460</v>
      </c>
      <c r="H263" s="443">
        <v>19690</v>
      </c>
      <c r="I263" s="443">
        <v>14465</v>
      </c>
      <c r="J263" s="443">
        <v>9790</v>
      </c>
      <c r="K263" s="443">
        <v>6215</v>
      </c>
      <c r="L263" s="443">
        <v>2695</v>
      </c>
      <c r="M263" s="443">
        <v>3575</v>
      </c>
      <c r="N263" s="443">
        <v>5390</v>
      </c>
      <c r="O263" s="233">
        <v>5500</v>
      </c>
      <c r="P263" s="229">
        <v>4400</v>
      </c>
      <c r="Q263" s="453">
        <f t="shared" si="58"/>
        <v>92125</v>
      </c>
      <c r="R263" s="375">
        <f t="shared" si="59"/>
        <v>61820</v>
      </c>
      <c r="S263"/>
      <c r="U263"/>
      <c r="W263"/>
      <c r="Y263"/>
      <c r="AA263"/>
      <c r="AC263"/>
      <c r="AE263"/>
      <c r="AG263"/>
      <c r="AI263"/>
    </row>
    <row r="264" spans="2:35" x14ac:dyDescent="0.25">
      <c r="B264">
        <v>168</v>
      </c>
      <c r="C264" s="756" t="s">
        <v>651</v>
      </c>
      <c r="D264" s="757"/>
      <c r="E264" s="232">
        <v>1326</v>
      </c>
      <c r="F264" s="233">
        <v>1326</v>
      </c>
      <c r="G264" s="233">
        <v>0</v>
      </c>
      <c r="H264" s="443">
        <v>1574</v>
      </c>
      <c r="I264" s="443">
        <v>496</v>
      </c>
      <c r="J264" s="443">
        <v>1326</v>
      </c>
      <c r="K264" s="443">
        <v>0</v>
      </c>
      <c r="L264" s="443">
        <v>248</v>
      </c>
      <c r="M264" s="443">
        <v>1736</v>
      </c>
      <c r="N264" s="443">
        <v>1984</v>
      </c>
      <c r="O264" s="233">
        <v>496</v>
      </c>
      <c r="P264" s="229">
        <v>248</v>
      </c>
      <c r="Q264" s="453">
        <f t="shared" si="58"/>
        <v>10760</v>
      </c>
      <c r="R264" s="375">
        <f t="shared" si="59"/>
        <v>7364</v>
      </c>
      <c r="S264"/>
      <c r="U264"/>
      <c r="W264"/>
      <c r="Y264"/>
      <c r="AA264"/>
      <c r="AC264"/>
      <c r="AE264"/>
      <c r="AG264"/>
      <c r="AI264"/>
    </row>
    <row r="265" spans="2:35" x14ac:dyDescent="0.25">
      <c r="B265">
        <v>169</v>
      </c>
      <c r="C265" s="756" t="s">
        <v>652</v>
      </c>
      <c r="D265" s="757"/>
      <c r="E265" s="232">
        <v>2808</v>
      </c>
      <c r="F265" s="233">
        <v>117</v>
      </c>
      <c r="G265" s="233">
        <v>390</v>
      </c>
      <c r="H265" s="443">
        <v>0</v>
      </c>
      <c r="I265" s="443">
        <v>0</v>
      </c>
      <c r="J265" s="443">
        <v>0</v>
      </c>
      <c r="K265" s="443">
        <v>0</v>
      </c>
      <c r="L265" s="443">
        <v>0</v>
      </c>
      <c r="M265" s="443">
        <v>1599</v>
      </c>
      <c r="N265" s="443">
        <v>3003</v>
      </c>
      <c r="O265" s="233">
        <v>1521</v>
      </c>
      <c r="P265" s="229">
        <v>234</v>
      </c>
      <c r="Q265" s="453">
        <f t="shared" si="58"/>
        <v>9672</v>
      </c>
      <c r="R265" s="375">
        <f t="shared" si="59"/>
        <v>4602</v>
      </c>
      <c r="S265"/>
      <c r="U265"/>
      <c r="W265"/>
      <c r="Y265"/>
      <c r="AA265"/>
      <c r="AC265"/>
      <c r="AE265"/>
      <c r="AG265"/>
      <c r="AI265"/>
    </row>
    <row r="266" spans="2:35" x14ac:dyDescent="0.25">
      <c r="B266">
        <v>170</v>
      </c>
      <c r="C266" s="756" t="s">
        <v>815</v>
      </c>
      <c r="D266" s="757"/>
      <c r="E266" s="232">
        <v>0</v>
      </c>
      <c r="F266" s="233">
        <v>0</v>
      </c>
      <c r="G266" s="233">
        <v>0</v>
      </c>
      <c r="H266" s="443">
        <v>0</v>
      </c>
      <c r="I266" s="443">
        <v>0</v>
      </c>
      <c r="J266" s="443">
        <v>0</v>
      </c>
      <c r="K266" s="443">
        <v>0</v>
      </c>
      <c r="L266" s="443">
        <v>0</v>
      </c>
      <c r="M266" s="443">
        <v>0</v>
      </c>
      <c r="N266" s="443">
        <v>0</v>
      </c>
      <c r="O266" s="233">
        <v>0</v>
      </c>
      <c r="P266" s="229">
        <v>0</v>
      </c>
      <c r="Q266" s="453">
        <f t="shared" si="58"/>
        <v>0</v>
      </c>
      <c r="R266" s="375">
        <f t="shared" si="59"/>
        <v>0</v>
      </c>
      <c r="S266"/>
      <c r="U266"/>
      <c r="W266"/>
      <c r="Y266"/>
      <c r="AA266"/>
      <c r="AC266"/>
      <c r="AE266"/>
      <c r="AG266"/>
      <c r="AI266"/>
    </row>
    <row r="267" spans="2:35" ht="15.75" thickBot="1" x14ac:dyDescent="0.3">
      <c r="B267">
        <v>171</v>
      </c>
      <c r="C267" s="717" t="s">
        <v>649</v>
      </c>
      <c r="D267" s="718"/>
      <c r="E267" s="232">
        <v>1244</v>
      </c>
      <c r="F267" s="233">
        <v>311</v>
      </c>
      <c r="G267" s="233">
        <v>311</v>
      </c>
      <c r="H267" s="443">
        <v>622</v>
      </c>
      <c r="I267" s="443">
        <v>622</v>
      </c>
      <c r="J267" s="443">
        <v>311</v>
      </c>
      <c r="K267" s="443">
        <v>0</v>
      </c>
      <c r="L267" s="443">
        <v>0</v>
      </c>
      <c r="M267" s="443">
        <v>0</v>
      </c>
      <c r="N267" s="443">
        <v>0</v>
      </c>
      <c r="O267" s="233">
        <v>1555</v>
      </c>
      <c r="P267" s="229">
        <v>0</v>
      </c>
      <c r="Q267" s="453">
        <f t="shared" si="58"/>
        <v>4976</v>
      </c>
      <c r="R267" s="375">
        <f t="shared" si="59"/>
        <v>1555</v>
      </c>
      <c r="S267"/>
      <c r="U267"/>
      <c r="W267"/>
      <c r="Y267"/>
      <c r="AA267"/>
      <c r="AC267"/>
      <c r="AE267"/>
      <c r="AG267"/>
      <c r="AI267"/>
    </row>
    <row r="268" spans="2:35" ht="15.75" thickBot="1" x14ac:dyDescent="0.3">
      <c r="B268">
        <v>195</v>
      </c>
      <c r="C268" s="758" t="s">
        <v>662</v>
      </c>
      <c r="D268" s="759"/>
      <c r="E268" s="468">
        <f>SUM(E263:E267)</f>
        <v>9393</v>
      </c>
      <c r="F268" s="468">
        <f t="shared" ref="F268:P268" si="61">SUM(F263:F267)</f>
        <v>8684</v>
      </c>
      <c r="G268" s="468">
        <f t="shared" si="61"/>
        <v>10161</v>
      </c>
      <c r="H268" s="469">
        <f t="shared" si="61"/>
        <v>21886</v>
      </c>
      <c r="I268" s="469">
        <f t="shared" si="61"/>
        <v>15583</v>
      </c>
      <c r="J268" s="469">
        <f t="shared" si="61"/>
        <v>11427</v>
      </c>
      <c r="K268" s="469">
        <f t="shared" si="61"/>
        <v>6215</v>
      </c>
      <c r="L268" s="469">
        <f t="shared" si="61"/>
        <v>2943</v>
      </c>
      <c r="M268" s="469">
        <f t="shared" si="61"/>
        <v>6910</v>
      </c>
      <c r="N268" s="469">
        <f t="shared" si="61"/>
        <v>10377</v>
      </c>
      <c r="O268" s="468">
        <f t="shared" si="61"/>
        <v>9072</v>
      </c>
      <c r="P268" s="468">
        <f t="shared" si="61"/>
        <v>4882</v>
      </c>
      <c r="Q268" s="470">
        <f t="shared" si="58"/>
        <v>117533</v>
      </c>
      <c r="R268" s="471">
        <f t="shared" si="59"/>
        <v>75341</v>
      </c>
      <c r="S268"/>
      <c r="U268"/>
      <c r="W268"/>
      <c r="Y268"/>
      <c r="AA268"/>
      <c r="AC268"/>
      <c r="AE268"/>
      <c r="AG268"/>
      <c r="AI268"/>
    </row>
    <row r="269" spans="2:35" ht="15.75" thickBot="1" x14ac:dyDescent="0.3">
      <c r="B269">
        <v>172</v>
      </c>
      <c r="C269" s="731" t="s">
        <v>816</v>
      </c>
      <c r="D269" s="732"/>
      <c r="E269" s="62">
        <v>80</v>
      </c>
      <c r="F269" s="63">
        <v>138.5</v>
      </c>
      <c r="G269" s="63">
        <v>107</v>
      </c>
      <c r="H269" s="423">
        <v>191</v>
      </c>
      <c r="I269" s="423">
        <v>54.75</v>
      </c>
      <c r="J269" s="423">
        <v>44</v>
      </c>
      <c r="K269" s="423">
        <v>51</v>
      </c>
      <c r="L269" s="423">
        <v>75</v>
      </c>
      <c r="M269" s="423">
        <v>63</v>
      </c>
      <c r="N269" s="423">
        <v>52</v>
      </c>
      <c r="O269" s="63">
        <v>53</v>
      </c>
      <c r="P269" s="64">
        <v>63</v>
      </c>
      <c r="Q269" s="42">
        <f t="shared" si="58"/>
        <v>972.25</v>
      </c>
      <c r="R269" s="418">
        <f t="shared" si="59"/>
        <v>530.75</v>
      </c>
      <c r="S269"/>
      <c r="U269"/>
      <c r="W269"/>
      <c r="Y269"/>
      <c r="AA269"/>
      <c r="AC269"/>
      <c r="AE269"/>
      <c r="AG269"/>
      <c r="AI269"/>
    </row>
    <row r="270" spans="2:35" ht="15.75" thickBot="1" x14ac:dyDescent="0.3">
      <c r="Q270" s="28"/>
      <c r="R270" s="31"/>
    </row>
    <row r="271" spans="2:35" x14ac:dyDescent="0.25">
      <c r="B271">
        <v>173</v>
      </c>
      <c r="C271" s="880" t="s">
        <v>398</v>
      </c>
      <c r="D271" s="881"/>
      <c r="E271" s="129">
        <v>9</v>
      </c>
      <c r="F271" s="152">
        <v>12</v>
      </c>
      <c r="G271" s="152">
        <v>17</v>
      </c>
      <c r="H271" s="446">
        <v>23</v>
      </c>
      <c r="I271" s="446">
        <v>15</v>
      </c>
      <c r="J271" s="446">
        <v>16</v>
      </c>
      <c r="K271" s="446">
        <v>7</v>
      </c>
      <c r="L271" s="446">
        <v>6</v>
      </c>
      <c r="M271" s="446">
        <v>5</v>
      </c>
      <c r="N271" s="446">
        <v>7</v>
      </c>
      <c r="O271" s="152">
        <v>6</v>
      </c>
      <c r="P271" s="153">
        <v>6</v>
      </c>
      <c r="Q271" s="41">
        <f t="shared" ref="Q271:Q280" si="62">SUM(E271:P271)</f>
        <v>129</v>
      </c>
      <c r="R271" s="425">
        <f t="shared" ref="R271:R280" si="63">SUM(H271:N271)</f>
        <v>79</v>
      </c>
    </row>
    <row r="272" spans="2:35" x14ac:dyDescent="0.25">
      <c r="B272">
        <v>174</v>
      </c>
      <c r="C272" s="876" t="s">
        <v>399</v>
      </c>
      <c r="D272" s="877"/>
      <c r="E272" s="36">
        <v>5</v>
      </c>
      <c r="F272" s="33">
        <v>4</v>
      </c>
      <c r="G272" s="33">
        <v>6</v>
      </c>
      <c r="H272" s="434">
        <v>4</v>
      </c>
      <c r="I272" s="434">
        <v>4</v>
      </c>
      <c r="J272" s="434">
        <v>2</v>
      </c>
      <c r="K272" s="434">
        <v>5</v>
      </c>
      <c r="L272" s="434">
        <v>7</v>
      </c>
      <c r="M272" s="434">
        <v>4</v>
      </c>
      <c r="N272" s="434">
        <v>1</v>
      </c>
      <c r="O272" s="33">
        <v>2</v>
      </c>
      <c r="P272" s="154">
        <v>4</v>
      </c>
      <c r="Q272" s="74">
        <f t="shared" si="62"/>
        <v>48</v>
      </c>
      <c r="R272" s="426">
        <f t="shared" si="63"/>
        <v>27</v>
      </c>
    </row>
    <row r="273" spans="2:18" x14ac:dyDescent="0.25">
      <c r="B273">
        <v>175</v>
      </c>
      <c r="C273" s="876" t="s">
        <v>400</v>
      </c>
      <c r="D273" s="877"/>
      <c r="E273" s="36">
        <v>1</v>
      </c>
      <c r="F273" s="33">
        <v>4</v>
      </c>
      <c r="G273" s="33">
        <v>2</v>
      </c>
      <c r="H273" s="434">
        <v>5</v>
      </c>
      <c r="I273" s="434">
        <v>0</v>
      </c>
      <c r="J273" s="434">
        <v>1</v>
      </c>
      <c r="K273" s="434">
        <v>1</v>
      </c>
      <c r="L273" s="434">
        <v>2</v>
      </c>
      <c r="M273" s="434">
        <v>1</v>
      </c>
      <c r="N273" s="434">
        <v>0</v>
      </c>
      <c r="O273" s="33">
        <v>0</v>
      </c>
      <c r="P273" s="154">
        <v>1</v>
      </c>
      <c r="Q273" s="74">
        <f t="shared" si="62"/>
        <v>18</v>
      </c>
      <c r="R273" s="426">
        <f t="shared" si="63"/>
        <v>10</v>
      </c>
    </row>
    <row r="274" spans="2:18" x14ac:dyDescent="0.25">
      <c r="B274">
        <v>176</v>
      </c>
      <c r="C274" s="876" t="s">
        <v>401</v>
      </c>
      <c r="D274" s="877"/>
      <c r="E274" s="36">
        <v>3</v>
      </c>
      <c r="F274" s="33">
        <v>4</v>
      </c>
      <c r="G274" s="33">
        <v>3</v>
      </c>
      <c r="H274" s="434">
        <v>7</v>
      </c>
      <c r="I274" s="434">
        <v>4</v>
      </c>
      <c r="J274" s="434">
        <v>0</v>
      </c>
      <c r="K274" s="434">
        <v>1</v>
      </c>
      <c r="L274" s="434">
        <v>1</v>
      </c>
      <c r="M274" s="434">
        <v>3</v>
      </c>
      <c r="N274" s="434">
        <v>3</v>
      </c>
      <c r="O274" s="33">
        <v>4</v>
      </c>
      <c r="P274" s="154">
        <v>3</v>
      </c>
      <c r="Q274" s="74">
        <f t="shared" si="62"/>
        <v>36</v>
      </c>
      <c r="R274" s="426">
        <f t="shared" si="63"/>
        <v>19</v>
      </c>
    </row>
    <row r="275" spans="2:18" x14ac:dyDescent="0.25">
      <c r="B275">
        <v>177</v>
      </c>
      <c r="C275" s="876" t="s">
        <v>402</v>
      </c>
      <c r="D275" s="877"/>
      <c r="E275" s="36">
        <v>8</v>
      </c>
      <c r="F275" s="33">
        <v>1</v>
      </c>
      <c r="G275" s="33">
        <v>3</v>
      </c>
      <c r="H275" s="434">
        <v>0</v>
      </c>
      <c r="I275" s="434">
        <v>0</v>
      </c>
      <c r="J275" s="434">
        <v>0</v>
      </c>
      <c r="K275" s="434">
        <v>0</v>
      </c>
      <c r="L275" s="434">
        <v>0</v>
      </c>
      <c r="M275" s="434">
        <v>4</v>
      </c>
      <c r="N275" s="434">
        <v>9</v>
      </c>
      <c r="O275" s="33">
        <v>6</v>
      </c>
      <c r="P275" s="154">
        <v>1</v>
      </c>
      <c r="Q275" s="74">
        <f t="shared" si="62"/>
        <v>32</v>
      </c>
      <c r="R275" s="426">
        <f t="shared" si="63"/>
        <v>13</v>
      </c>
    </row>
    <row r="276" spans="2:18" x14ac:dyDescent="0.25">
      <c r="B276">
        <v>178</v>
      </c>
      <c r="C276" s="876" t="s">
        <v>730</v>
      </c>
      <c r="D276" s="877"/>
      <c r="E276" s="36">
        <f>E$8+E$9</f>
        <v>97</v>
      </c>
      <c r="F276" s="33">
        <f t="shared" ref="F276:P276" si="64">F$8+F$9</f>
        <v>92</v>
      </c>
      <c r="G276" s="33">
        <f t="shared" si="64"/>
        <v>105</v>
      </c>
      <c r="H276" s="434">
        <f t="shared" si="64"/>
        <v>102</v>
      </c>
      <c r="I276" s="434">
        <f t="shared" si="64"/>
        <v>110</v>
      </c>
      <c r="J276" s="434">
        <f t="shared" si="64"/>
        <v>120</v>
      </c>
      <c r="K276" s="434">
        <f t="shared" si="64"/>
        <v>145</v>
      </c>
      <c r="L276" s="434">
        <f t="shared" si="64"/>
        <v>133</v>
      </c>
      <c r="M276" s="434">
        <f t="shared" si="64"/>
        <v>121</v>
      </c>
      <c r="N276" s="434">
        <f t="shared" si="64"/>
        <v>124</v>
      </c>
      <c r="O276" s="33">
        <f t="shared" si="64"/>
        <v>102</v>
      </c>
      <c r="P276" s="154">
        <f t="shared" si="64"/>
        <v>110</v>
      </c>
      <c r="Q276" s="74">
        <f t="shared" si="62"/>
        <v>1361</v>
      </c>
      <c r="R276" s="426">
        <f t="shared" si="63"/>
        <v>855</v>
      </c>
    </row>
    <row r="277" spans="2:18" x14ac:dyDescent="0.25">
      <c r="B277">
        <v>179</v>
      </c>
      <c r="C277" s="876" t="s">
        <v>731</v>
      </c>
      <c r="D277" s="877"/>
      <c r="E277" s="36">
        <v>69</v>
      </c>
      <c r="F277" s="33">
        <v>110</v>
      </c>
      <c r="G277" s="33">
        <v>157</v>
      </c>
      <c r="H277" s="434">
        <v>156</v>
      </c>
      <c r="I277" s="434">
        <v>126</v>
      </c>
      <c r="J277" s="434">
        <v>87</v>
      </c>
      <c r="K277" s="434">
        <v>66</v>
      </c>
      <c r="L277" s="434">
        <v>35</v>
      </c>
      <c r="M277" s="434">
        <v>36</v>
      </c>
      <c r="N277" s="434">
        <v>51</v>
      </c>
      <c r="O277" s="33">
        <v>54</v>
      </c>
      <c r="P277" s="154">
        <v>51</v>
      </c>
      <c r="Q277" s="74">
        <f t="shared" si="62"/>
        <v>998</v>
      </c>
      <c r="R277" s="426">
        <f t="shared" si="63"/>
        <v>557</v>
      </c>
    </row>
    <row r="278" spans="2:18" x14ac:dyDescent="0.25">
      <c r="B278">
        <v>180</v>
      </c>
      <c r="C278" s="876" t="s">
        <v>732</v>
      </c>
      <c r="D278" s="877"/>
      <c r="E278" s="36">
        <v>72</v>
      </c>
      <c r="F278" s="33">
        <v>3</v>
      </c>
      <c r="G278" s="33">
        <v>10</v>
      </c>
      <c r="H278" s="434">
        <v>0</v>
      </c>
      <c r="I278" s="434">
        <v>0</v>
      </c>
      <c r="J278" s="434">
        <v>0</v>
      </c>
      <c r="K278" s="434">
        <v>0</v>
      </c>
      <c r="L278" s="434">
        <v>0</v>
      </c>
      <c r="M278" s="434">
        <v>41</v>
      </c>
      <c r="N278" s="434">
        <v>61</v>
      </c>
      <c r="O278" s="33">
        <v>39</v>
      </c>
      <c r="P278" s="154">
        <v>6</v>
      </c>
      <c r="Q278" s="74">
        <f t="shared" si="62"/>
        <v>232</v>
      </c>
      <c r="R278" s="426">
        <f t="shared" si="63"/>
        <v>102</v>
      </c>
    </row>
    <row r="279" spans="2:18" x14ac:dyDescent="0.25">
      <c r="B279">
        <v>181</v>
      </c>
      <c r="C279" s="876" t="s">
        <v>733</v>
      </c>
      <c r="D279" s="877"/>
      <c r="E279" s="36">
        <v>6</v>
      </c>
      <c r="F279" s="33">
        <v>45</v>
      </c>
      <c r="G279" s="33">
        <v>79</v>
      </c>
      <c r="H279" s="434">
        <v>34</v>
      </c>
      <c r="I279" s="434">
        <v>2</v>
      </c>
      <c r="J279" s="434">
        <v>14</v>
      </c>
      <c r="K279" s="434">
        <v>0</v>
      </c>
      <c r="L279" s="434">
        <v>0</v>
      </c>
      <c r="M279" s="434">
        <v>15</v>
      </c>
      <c r="N279" s="434">
        <v>10</v>
      </c>
      <c r="O279" s="33">
        <v>6</v>
      </c>
      <c r="P279" s="154">
        <v>30</v>
      </c>
      <c r="Q279" s="74">
        <f t="shared" si="62"/>
        <v>241</v>
      </c>
      <c r="R279" s="426">
        <f t="shared" si="63"/>
        <v>75</v>
      </c>
    </row>
    <row r="280" spans="2:18" ht="15.75" thickBot="1" x14ac:dyDescent="0.3">
      <c r="B280">
        <v>182</v>
      </c>
      <c r="C280" s="878" t="s">
        <v>967</v>
      </c>
      <c r="D280" s="879"/>
      <c r="E280" s="444"/>
      <c r="F280" s="155"/>
      <c r="G280" s="445"/>
      <c r="H280" s="447"/>
      <c r="I280" s="447"/>
      <c r="J280" s="447"/>
      <c r="K280" s="447"/>
      <c r="L280" s="447"/>
      <c r="M280" s="447"/>
      <c r="N280" s="447"/>
      <c r="O280" s="445"/>
      <c r="P280" s="428"/>
      <c r="Q280" s="42">
        <f t="shared" si="62"/>
        <v>0</v>
      </c>
      <c r="R280" s="427">
        <f t="shared" si="63"/>
        <v>0</v>
      </c>
    </row>
    <row r="281" spans="2:18" x14ac:dyDescent="0.25">
      <c r="C281" s="882" t="s">
        <v>970</v>
      </c>
      <c r="D281" s="882"/>
      <c r="E281" s="882"/>
      <c r="F281" s="882"/>
      <c r="G281" s="882"/>
      <c r="H281" s="882"/>
      <c r="I281" s="882"/>
      <c r="J281" s="882"/>
      <c r="K281" s="882"/>
      <c r="L281" s="882"/>
      <c r="M281" s="882"/>
      <c r="N281" s="882"/>
      <c r="O281" s="882"/>
      <c r="P281" s="882"/>
      <c r="Q281" s="882"/>
      <c r="R281" s="882"/>
    </row>
    <row r="282" spans="2:18" ht="15.75" thickBot="1" x14ac:dyDescent="0.3">
      <c r="C282" s="882"/>
      <c r="D282" s="882"/>
      <c r="E282" s="882"/>
      <c r="F282" s="882"/>
      <c r="G282" s="882"/>
      <c r="H282" s="882"/>
      <c r="I282" s="882"/>
      <c r="J282" s="882"/>
      <c r="K282" s="882"/>
      <c r="L282" s="882"/>
      <c r="M282" s="882"/>
      <c r="N282" s="882"/>
      <c r="O282" s="882"/>
      <c r="P282" s="882"/>
      <c r="Q282" s="882"/>
      <c r="R282" s="882"/>
    </row>
    <row r="283" spans="2:18" ht="15.75" thickBot="1" x14ac:dyDescent="0.3">
      <c r="B283">
        <v>183</v>
      </c>
      <c r="C283" s="729" t="s">
        <v>98</v>
      </c>
      <c r="D283" s="730"/>
      <c r="E283" s="472">
        <f t="shared" ref="E283:P283" si="65">E268+E177+E176+E175+E174+E173+E172+((E50+E48)*PRIX_TRACT)</f>
        <v>16627</v>
      </c>
      <c r="F283" s="472">
        <f t="shared" si="65"/>
        <v>13969</v>
      </c>
      <c r="G283" s="472">
        <f t="shared" si="65"/>
        <v>19342</v>
      </c>
      <c r="H283" s="472">
        <f t="shared" si="65"/>
        <v>28709</v>
      </c>
      <c r="I283" s="472">
        <f t="shared" si="65"/>
        <v>22286</v>
      </c>
      <c r="J283" s="472">
        <f t="shared" si="65"/>
        <v>19707</v>
      </c>
      <c r="K283" s="472">
        <f t="shared" si="65"/>
        <v>22037</v>
      </c>
      <c r="L283" s="472">
        <f t="shared" si="65"/>
        <v>18123</v>
      </c>
      <c r="M283" s="472">
        <f t="shared" si="65"/>
        <v>15677</v>
      </c>
      <c r="N283" s="472">
        <f t="shared" si="65"/>
        <v>20082</v>
      </c>
      <c r="O283" s="472">
        <f t="shared" si="65"/>
        <v>15527</v>
      </c>
      <c r="P283" s="472">
        <f t="shared" si="65"/>
        <v>11431</v>
      </c>
      <c r="Q283" s="473">
        <f>SUM(E283:P283)</f>
        <v>223517</v>
      </c>
      <c r="R283" s="474">
        <f>SUM(H283:N283)</f>
        <v>146621</v>
      </c>
    </row>
  </sheetData>
  <mergeCells count="177">
    <mergeCell ref="C281:R282"/>
    <mergeCell ref="C283:D283"/>
    <mergeCell ref="C2:R3"/>
    <mergeCell ref="H4:N4"/>
    <mergeCell ref="C5:D6"/>
    <mergeCell ref="E5:E6"/>
    <mergeCell ref="F5:F6"/>
    <mergeCell ref="G5:G6"/>
    <mergeCell ref="H5:H6"/>
    <mergeCell ref="I5:I6"/>
    <mergeCell ref="J5:J6"/>
    <mergeCell ref="K5:K6"/>
    <mergeCell ref="R5:R6"/>
    <mergeCell ref="C13:D13"/>
    <mergeCell ref="C14:D14"/>
    <mergeCell ref="C15:D15"/>
    <mergeCell ref="C16:D16"/>
    <mergeCell ref="C17:D17"/>
    <mergeCell ref="C18:D18"/>
    <mergeCell ref="C7:D7"/>
    <mergeCell ref="C8:D8"/>
    <mergeCell ref="C9:D9"/>
    <mergeCell ref="C10:D10"/>
    <mergeCell ref="C11:D11"/>
    <mergeCell ref="S5:S6"/>
    <mergeCell ref="T5:U6"/>
    <mergeCell ref="V5:V6"/>
    <mergeCell ref="W5:W6"/>
    <mergeCell ref="X5:X6"/>
    <mergeCell ref="L5:L6"/>
    <mergeCell ref="M5:M6"/>
    <mergeCell ref="N5:N6"/>
    <mergeCell ref="O5:O6"/>
    <mergeCell ref="P5:P6"/>
    <mergeCell ref="Q5:Q6"/>
    <mergeCell ref="AE5:AE6"/>
    <mergeCell ref="AF5:AF6"/>
    <mergeCell ref="AG5:AG6"/>
    <mergeCell ref="AH5:AH6"/>
    <mergeCell ref="AI5:AI6"/>
    <mergeCell ref="AJ5:AJ6"/>
    <mergeCell ref="Y5:Y6"/>
    <mergeCell ref="Z5:Z6"/>
    <mergeCell ref="AA5:AA6"/>
    <mergeCell ref="AB5:AB6"/>
    <mergeCell ref="AC5:AC6"/>
    <mergeCell ref="AD5:AD6"/>
    <mergeCell ref="C12:D12"/>
    <mergeCell ref="C26:D26"/>
    <mergeCell ref="C27:D27"/>
    <mergeCell ref="C28:D28"/>
    <mergeCell ref="C30:D30"/>
    <mergeCell ref="C32:D32"/>
    <mergeCell ref="C33:D33"/>
    <mergeCell ref="C19:D19"/>
    <mergeCell ref="C20:D20"/>
    <mergeCell ref="C21:D21"/>
    <mergeCell ref="C22:D22"/>
    <mergeCell ref="C24:D24"/>
    <mergeCell ref="C25:D25"/>
    <mergeCell ref="C42:C44"/>
    <mergeCell ref="C45:D45"/>
    <mergeCell ref="C47:D47"/>
    <mergeCell ref="C48:D48"/>
    <mergeCell ref="C49:D49"/>
    <mergeCell ref="C50:D50"/>
    <mergeCell ref="C34:D34"/>
    <mergeCell ref="C35:D35"/>
    <mergeCell ref="C36:D36"/>
    <mergeCell ref="C37:D37"/>
    <mergeCell ref="C39:D39"/>
    <mergeCell ref="C40:C41"/>
    <mergeCell ref="C57:C58"/>
    <mergeCell ref="C60:D60"/>
    <mergeCell ref="C78:R79"/>
    <mergeCell ref="C80:D80"/>
    <mergeCell ref="C81:D81"/>
    <mergeCell ref="C82:D82"/>
    <mergeCell ref="C51:D51"/>
    <mergeCell ref="C52:D52"/>
    <mergeCell ref="C53:D53"/>
    <mergeCell ref="C54:D54"/>
    <mergeCell ref="C55:D55"/>
    <mergeCell ref="C56:D56"/>
    <mergeCell ref="C103:C114"/>
    <mergeCell ref="C116:D116"/>
    <mergeCell ref="C117:D117"/>
    <mergeCell ref="C118:D118"/>
    <mergeCell ref="C119:C130"/>
    <mergeCell ref="C132:D132"/>
    <mergeCell ref="C83:D83"/>
    <mergeCell ref="C84:D84"/>
    <mergeCell ref="C85:D85"/>
    <mergeCell ref="C100:D100"/>
    <mergeCell ref="C101:D101"/>
    <mergeCell ref="C102:D102"/>
    <mergeCell ref="C151:C162"/>
    <mergeCell ref="C163:R164"/>
    <mergeCell ref="C165:D165"/>
    <mergeCell ref="C166:D166"/>
    <mergeCell ref="C167:D167"/>
    <mergeCell ref="C168:D168"/>
    <mergeCell ref="C133:D133"/>
    <mergeCell ref="C134:D134"/>
    <mergeCell ref="C135:C146"/>
    <mergeCell ref="C148:D148"/>
    <mergeCell ref="C149:D149"/>
    <mergeCell ref="C150:D150"/>
    <mergeCell ref="C175:D175"/>
    <mergeCell ref="C176:D176"/>
    <mergeCell ref="C177:D177"/>
    <mergeCell ref="C194:D194"/>
    <mergeCell ref="C195:D195"/>
    <mergeCell ref="C196:C207"/>
    <mergeCell ref="C169:D169"/>
    <mergeCell ref="C170:D170"/>
    <mergeCell ref="E171:P171"/>
    <mergeCell ref="C172:D172"/>
    <mergeCell ref="C173:D173"/>
    <mergeCell ref="C174:D174"/>
    <mergeCell ref="C179:D179"/>
    <mergeCell ref="C180:D180"/>
    <mergeCell ref="C181:C192"/>
    <mergeCell ref="C227:D227"/>
    <mergeCell ref="C228:D228"/>
    <mergeCell ref="C229:D229"/>
    <mergeCell ref="C230:D230"/>
    <mergeCell ref="C231:D231"/>
    <mergeCell ref="C232:R233"/>
    <mergeCell ref="C209:D209"/>
    <mergeCell ref="C210:D210"/>
    <mergeCell ref="C211:C222"/>
    <mergeCell ref="C223:R224"/>
    <mergeCell ref="C225:D225"/>
    <mergeCell ref="C226:D226"/>
    <mergeCell ref="C243:D243"/>
    <mergeCell ref="C244:D244"/>
    <mergeCell ref="C245:D245"/>
    <mergeCell ref="C246:D246"/>
    <mergeCell ref="C247:D247"/>
    <mergeCell ref="C248:D248"/>
    <mergeCell ref="C234:D234"/>
    <mergeCell ref="C235:D235"/>
    <mergeCell ref="C236:D236"/>
    <mergeCell ref="C237:D237"/>
    <mergeCell ref="C238:D238"/>
    <mergeCell ref="C241:R242"/>
    <mergeCell ref="C255:R256"/>
    <mergeCell ref="C257:D257"/>
    <mergeCell ref="C258:D258"/>
    <mergeCell ref="C259:D259"/>
    <mergeCell ref="C260:D260"/>
    <mergeCell ref="C261:D261"/>
    <mergeCell ref="C249:D249"/>
    <mergeCell ref="C250:D250"/>
    <mergeCell ref="C251:D251"/>
    <mergeCell ref="C252:D252"/>
    <mergeCell ref="C253:D253"/>
    <mergeCell ref="C254:D254"/>
    <mergeCell ref="C271:D271"/>
    <mergeCell ref="C268:D268"/>
    <mergeCell ref="C269:D269"/>
    <mergeCell ref="C262:D262"/>
    <mergeCell ref="C263:D263"/>
    <mergeCell ref="C264:D264"/>
    <mergeCell ref="C265:D265"/>
    <mergeCell ref="C266:D266"/>
    <mergeCell ref="C267:D267"/>
    <mergeCell ref="C278:D278"/>
    <mergeCell ref="C279:D279"/>
    <mergeCell ref="C280:D280"/>
    <mergeCell ref="C272:D272"/>
    <mergeCell ref="C273:D273"/>
    <mergeCell ref="C274:D274"/>
    <mergeCell ref="C275:D275"/>
    <mergeCell ref="C276:D276"/>
    <mergeCell ref="C277:D277"/>
  </mergeCells>
  <conditionalFormatting sqref="E8:P18">
    <cfRule type="cellIs" dxfId="41" priority="33" operator="notEqual">
      <formula>0</formula>
    </cfRule>
    <cfRule type="cellIs" dxfId="40" priority="34" operator="equal">
      <formula>0</formula>
    </cfRule>
  </conditionalFormatting>
  <conditionalFormatting sqref="E20:P22">
    <cfRule type="cellIs" dxfId="39" priority="31" operator="notEqual">
      <formula>0</formula>
    </cfRule>
    <cfRule type="cellIs" dxfId="38" priority="32" operator="equal">
      <formula>0</formula>
    </cfRule>
  </conditionalFormatting>
  <conditionalFormatting sqref="E25:P28">
    <cfRule type="cellIs" dxfId="37" priority="29" operator="notEqual">
      <formula>0</formula>
    </cfRule>
    <cfRule type="cellIs" dxfId="36" priority="30" operator="equal">
      <formula>0</formula>
    </cfRule>
  </conditionalFormatting>
  <conditionalFormatting sqref="E30:P30">
    <cfRule type="cellIs" dxfId="35" priority="27" operator="notEqual">
      <formula>0</formula>
    </cfRule>
    <cfRule type="cellIs" dxfId="34" priority="28" operator="equal">
      <formula>0</formula>
    </cfRule>
  </conditionalFormatting>
  <conditionalFormatting sqref="E32:P37">
    <cfRule type="cellIs" dxfId="33" priority="25" operator="notEqual">
      <formula>0</formula>
    </cfRule>
    <cfRule type="cellIs" dxfId="32" priority="26" operator="equal">
      <formula>0</formula>
    </cfRule>
  </conditionalFormatting>
  <conditionalFormatting sqref="E39:P44">
    <cfRule type="cellIs" dxfId="31" priority="23" operator="notEqual">
      <formula>0</formula>
    </cfRule>
    <cfRule type="cellIs" dxfId="30" priority="24" operator="equal">
      <formula>0</formula>
    </cfRule>
  </conditionalFormatting>
  <conditionalFormatting sqref="E48:P55">
    <cfRule type="cellIs" dxfId="29" priority="22" operator="equal">
      <formula>0</formula>
    </cfRule>
  </conditionalFormatting>
  <conditionalFormatting sqref="E48:P55">
    <cfRule type="cellIs" dxfId="28" priority="21" operator="notEqual">
      <formula>0</formula>
    </cfRule>
  </conditionalFormatting>
  <conditionalFormatting sqref="E49:P49 E51:P55">
    <cfRule type="cellIs" dxfId="27" priority="20" operator="notEqual">
      <formula>0</formula>
    </cfRule>
  </conditionalFormatting>
  <conditionalFormatting sqref="E57:P58">
    <cfRule type="cellIs" dxfId="26" priority="18" operator="notEqual">
      <formula>0</formula>
    </cfRule>
    <cfRule type="cellIs" dxfId="25" priority="19" operator="equal">
      <formula>0</formula>
    </cfRule>
  </conditionalFormatting>
  <conditionalFormatting sqref="E62:P65">
    <cfRule type="cellIs" dxfId="24" priority="17" operator="equal">
      <formula>0</formula>
    </cfRule>
  </conditionalFormatting>
  <conditionalFormatting sqref="E62:P65">
    <cfRule type="cellIs" dxfId="23" priority="16" operator="notEqual">
      <formula>0</formula>
    </cfRule>
  </conditionalFormatting>
  <conditionalFormatting sqref="E67:P74">
    <cfRule type="cellIs" dxfId="22" priority="15" operator="equal">
      <formula>0</formula>
    </cfRule>
  </conditionalFormatting>
  <conditionalFormatting sqref="E67:P74">
    <cfRule type="cellIs" dxfId="21" priority="14" operator="notEqual">
      <formula>0</formula>
    </cfRule>
  </conditionalFormatting>
  <conditionalFormatting sqref="E67:P74">
    <cfRule type="cellIs" dxfId="20" priority="13" operator="notEqual">
      <formula>0</formula>
    </cfRule>
  </conditionalFormatting>
  <conditionalFormatting sqref="E194:P194">
    <cfRule type="cellIs" dxfId="19" priority="11" operator="notEqual">
      <formula>0</formula>
    </cfRule>
    <cfRule type="cellIs" dxfId="18" priority="12" operator="equal">
      <formula>0</formula>
    </cfRule>
  </conditionalFormatting>
  <conditionalFormatting sqref="E209:P209">
    <cfRule type="cellIs" dxfId="17" priority="9" operator="notEqual">
      <formula>0</formula>
    </cfRule>
    <cfRule type="cellIs" dxfId="16" priority="10" operator="equal">
      <formula>0</formula>
    </cfRule>
  </conditionalFormatting>
  <conditionalFormatting sqref="E231:P231">
    <cfRule type="cellIs" dxfId="15" priority="3" operator="notEqual">
      <formula>0</formula>
    </cfRule>
    <cfRule type="cellIs" dxfId="14" priority="4" operator="equal">
      <formula>0</formula>
    </cfRule>
  </conditionalFormatting>
  <conditionalFormatting sqref="E170:P170">
    <cfRule type="cellIs" dxfId="13" priority="7" operator="notEqual">
      <formula>0</formula>
    </cfRule>
    <cfRule type="cellIs" dxfId="12" priority="8" operator="equal">
      <formula>0</formula>
    </cfRule>
  </conditionalFormatting>
  <conditionalFormatting sqref="E167:P167">
    <cfRule type="cellIs" dxfId="11" priority="5" operator="notEqual">
      <formula>0</formula>
    </cfRule>
    <cfRule type="cellIs" dxfId="10" priority="6" operator="equal">
      <formula>0</formula>
    </cfRule>
  </conditionalFormatting>
  <conditionalFormatting sqref="E179:P179">
    <cfRule type="cellIs" dxfId="9" priority="1" operator="notEqual">
      <formula>0</formula>
    </cfRule>
    <cfRule type="cellIs" dxfId="8" priority="2" operator="equal">
      <formula>0</formula>
    </cfRule>
  </conditionalFormatting>
  <pageMargins left="0.7" right="0.7" top="0.75" bottom="0.75" header="0.3" footer="0.3"/>
  <pageSetup paperSize="9" orientation="portrait" verticalDpi="0" r:id="rId1"/>
  <ignoredErrors>
    <ignoredError sqref="R244:R254 Q73:R74 R170 R179 R194 R209 R225:R231 R234:R235 R238 R240 R257:R261 R263:R267 R269 R271:R275 R277:R279 R8:R18 R20:R22 R25:R28 R30 R32:R37 R39:R44 R48:R55 R57"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Y16"/>
  <sheetViews>
    <sheetView workbookViewId="0">
      <selection activeCell="AC10" sqref="AC10:AN23"/>
    </sheetView>
  </sheetViews>
  <sheetFormatPr baseColWidth="10" defaultRowHeight="15" x14ac:dyDescent="0.25"/>
  <cols>
    <col min="1" max="1" width="15.7109375" customWidth="1"/>
    <col min="2" max="25" width="3.28515625" customWidth="1"/>
  </cols>
  <sheetData>
    <row r="1" spans="1:25" ht="19.5" thickBot="1" x14ac:dyDescent="0.35">
      <c r="A1" s="893" t="s">
        <v>626</v>
      </c>
      <c r="B1" s="894"/>
      <c r="C1" s="894"/>
      <c r="D1" s="894"/>
      <c r="E1" s="894"/>
      <c r="F1" s="894"/>
      <c r="G1" s="894"/>
      <c r="H1" s="894"/>
      <c r="I1" s="894"/>
      <c r="J1" s="894"/>
      <c r="K1" s="894"/>
      <c r="L1" s="894"/>
      <c r="M1" s="894"/>
      <c r="N1" s="894"/>
      <c r="O1" s="894"/>
      <c r="P1" s="894"/>
      <c r="Q1" s="894"/>
      <c r="R1" s="894"/>
      <c r="S1" s="894"/>
      <c r="T1" s="894"/>
      <c r="U1" s="894"/>
      <c r="V1" s="894"/>
      <c r="W1" s="894"/>
      <c r="X1" s="894"/>
      <c r="Y1" s="895"/>
    </row>
    <row r="2" spans="1:25" ht="15" customHeight="1" x14ac:dyDescent="0.25">
      <c r="A2" s="896" t="s">
        <v>915</v>
      </c>
      <c r="B2" s="14"/>
      <c r="C2" s="14"/>
      <c r="D2" s="14"/>
      <c r="E2" s="14"/>
      <c r="F2" s="14"/>
      <c r="G2" s="14"/>
      <c r="H2" s="14"/>
      <c r="I2" s="14"/>
      <c r="J2" s="14"/>
      <c r="K2" s="14"/>
      <c r="L2" s="14"/>
      <c r="M2" s="14"/>
      <c r="N2" s="14"/>
      <c r="O2" s="14"/>
      <c r="P2" s="14"/>
      <c r="Q2" s="14"/>
      <c r="R2" s="14"/>
      <c r="S2" s="14"/>
      <c r="T2" s="14"/>
      <c r="U2" s="14"/>
      <c r="V2" s="14"/>
      <c r="W2" s="14"/>
      <c r="X2" s="14"/>
      <c r="Y2" s="15"/>
    </row>
    <row r="3" spans="1:25" x14ac:dyDescent="0.25">
      <c r="A3" s="897"/>
      <c r="B3" s="17"/>
      <c r="C3" s="899" t="s">
        <v>916</v>
      </c>
      <c r="D3" s="899"/>
      <c r="E3" s="899"/>
      <c r="F3" s="899"/>
      <c r="G3" s="899"/>
      <c r="H3" s="899"/>
      <c r="I3" s="899"/>
      <c r="J3" s="899"/>
      <c r="K3" s="354"/>
      <c r="L3" s="17"/>
      <c r="M3" s="17"/>
      <c r="N3" s="17"/>
      <c r="O3" s="17"/>
      <c r="P3" s="899" t="s">
        <v>917</v>
      </c>
      <c r="Q3" s="899"/>
      <c r="R3" s="899"/>
      <c r="S3" s="899"/>
      <c r="T3" s="899"/>
      <c r="U3" s="899"/>
      <c r="V3" s="354"/>
      <c r="W3" s="17"/>
      <c r="X3" s="17"/>
      <c r="Y3" s="18"/>
    </row>
    <row r="4" spans="1:25" x14ac:dyDescent="0.25">
      <c r="A4" s="897"/>
      <c r="B4" s="17"/>
      <c r="C4" s="899" t="s">
        <v>918</v>
      </c>
      <c r="D4" s="899"/>
      <c r="E4" s="899"/>
      <c r="F4" s="17"/>
      <c r="G4" s="17"/>
      <c r="H4" s="17"/>
      <c r="I4" s="17"/>
      <c r="J4" s="17"/>
      <c r="L4" s="17"/>
      <c r="M4" s="17"/>
      <c r="N4" s="17"/>
      <c r="O4" s="17"/>
      <c r="P4" s="899" t="s">
        <v>919</v>
      </c>
      <c r="Q4" s="899"/>
      <c r="R4" s="899"/>
      <c r="S4" s="899"/>
      <c r="T4" s="899"/>
      <c r="U4" s="899"/>
      <c r="V4" s="353"/>
      <c r="W4" s="17"/>
      <c r="X4" s="17"/>
      <c r="Y4" s="18"/>
    </row>
    <row r="5" spans="1:25" x14ac:dyDescent="0.25">
      <c r="A5" s="897"/>
      <c r="B5" s="17"/>
      <c r="C5" s="900" t="s">
        <v>920</v>
      </c>
      <c r="D5" s="900"/>
      <c r="E5" s="900"/>
      <c r="F5" s="354"/>
      <c r="G5" s="900" t="s">
        <v>921</v>
      </c>
      <c r="H5" s="900"/>
      <c r="I5" s="900"/>
      <c r="J5" s="353"/>
      <c r="K5" s="900" t="s">
        <v>922</v>
      </c>
      <c r="L5" s="900"/>
      <c r="M5" s="900"/>
      <c r="N5" s="353"/>
      <c r="P5" s="899" t="s">
        <v>923</v>
      </c>
      <c r="Q5" s="899"/>
      <c r="R5" s="899"/>
      <c r="S5" s="899"/>
      <c r="T5" s="899"/>
      <c r="U5" s="899"/>
      <c r="V5" s="353"/>
      <c r="W5" s="17"/>
      <c r="X5" s="17"/>
      <c r="Y5" s="18"/>
    </row>
    <row r="6" spans="1:25" x14ac:dyDescent="0.25">
      <c r="A6" s="897"/>
      <c r="B6" s="17"/>
      <c r="C6" s="17"/>
      <c r="D6" s="17"/>
      <c r="E6" s="17"/>
      <c r="F6" s="17"/>
      <c r="G6" s="17"/>
      <c r="H6" s="17"/>
      <c r="I6" s="17"/>
      <c r="J6" s="17"/>
      <c r="K6" s="17"/>
      <c r="L6" s="17"/>
      <c r="M6" s="17"/>
      <c r="N6" s="17"/>
      <c r="O6" s="17"/>
      <c r="P6" s="17"/>
      <c r="Q6" s="17"/>
      <c r="R6" s="17"/>
      <c r="S6" s="17"/>
      <c r="T6" s="17"/>
      <c r="U6" s="17"/>
      <c r="V6" s="17"/>
      <c r="W6" s="17"/>
      <c r="X6" s="17"/>
      <c r="Y6" s="18"/>
    </row>
    <row r="7" spans="1:25" x14ac:dyDescent="0.25">
      <c r="A7" s="897"/>
      <c r="B7" s="17"/>
      <c r="C7" s="899" t="s">
        <v>924</v>
      </c>
      <c r="D7" s="899"/>
      <c r="E7" s="899"/>
      <c r="F7" s="899"/>
      <c r="G7" s="899"/>
      <c r="H7" s="354"/>
      <c r="I7" s="17"/>
      <c r="J7" s="355"/>
      <c r="K7" s="356">
        <v>2</v>
      </c>
      <c r="L7" s="357"/>
      <c r="M7" s="357"/>
      <c r="N7" s="357"/>
      <c r="O7" s="357"/>
      <c r="P7" s="357"/>
      <c r="Q7" s="356"/>
      <c r="R7" s="357"/>
      <c r="S7" s="357">
        <v>10</v>
      </c>
      <c r="T7" s="357"/>
      <c r="U7" s="358"/>
      <c r="V7" s="17"/>
      <c r="W7" s="17"/>
      <c r="X7" s="17"/>
      <c r="Y7" s="18"/>
    </row>
    <row r="8" spans="1:25" x14ac:dyDescent="0.25">
      <c r="A8" s="897"/>
      <c r="B8" s="17"/>
      <c r="C8" s="359"/>
      <c r="D8" s="359"/>
      <c r="E8" s="359"/>
      <c r="F8" s="359"/>
      <c r="G8" s="359"/>
      <c r="H8" s="17"/>
      <c r="I8" s="17"/>
      <c r="J8" s="17"/>
      <c r="K8" s="17"/>
      <c r="L8" s="17"/>
      <c r="M8" s="17"/>
      <c r="N8" s="17"/>
      <c r="O8" s="17"/>
      <c r="P8" s="17"/>
      <c r="Q8" s="17"/>
      <c r="R8" s="17"/>
      <c r="S8" s="17"/>
      <c r="T8" s="17"/>
      <c r="U8" s="17"/>
      <c r="V8" s="17"/>
      <c r="W8" s="17"/>
      <c r="X8" s="17"/>
      <c r="Y8" s="18"/>
    </row>
    <row r="9" spans="1:25" x14ac:dyDescent="0.25">
      <c r="A9" s="897"/>
      <c r="B9" s="17"/>
      <c r="C9" s="899" t="s">
        <v>925</v>
      </c>
      <c r="D9" s="899"/>
      <c r="E9" s="899"/>
      <c r="F9" s="899"/>
      <c r="G9" s="899"/>
      <c r="H9" s="354"/>
      <c r="I9" s="17"/>
      <c r="J9" s="911"/>
      <c r="K9" s="911"/>
      <c r="L9" s="911"/>
      <c r="M9" s="911"/>
      <c r="N9" s="911"/>
      <c r="O9" s="911"/>
      <c r="P9" s="911"/>
      <c r="Q9" s="911"/>
      <c r="R9" s="911"/>
      <c r="S9" s="911"/>
      <c r="T9" s="911"/>
      <c r="U9" s="911"/>
      <c r="V9" s="17"/>
      <c r="W9" s="17"/>
      <c r="X9" s="17"/>
      <c r="Y9" s="18"/>
    </row>
    <row r="10" spans="1:25" x14ac:dyDescent="0.25">
      <c r="A10" s="897"/>
      <c r="B10" s="17"/>
      <c r="C10" s="17"/>
      <c r="D10" s="17"/>
      <c r="E10" s="17"/>
      <c r="F10" s="17"/>
      <c r="G10" s="17"/>
      <c r="H10" s="17"/>
      <c r="I10" s="17"/>
      <c r="J10" s="17"/>
      <c r="K10" s="17"/>
      <c r="L10" s="17"/>
      <c r="M10" s="17"/>
      <c r="N10" s="17"/>
      <c r="O10" s="17"/>
      <c r="P10" s="17"/>
      <c r="Q10" s="17"/>
      <c r="R10" s="17"/>
      <c r="S10" s="17"/>
      <c r="T10" s="17"/>
      <c r="U10" s="17"/>
      <c r="V10" s="17"/>
      <c r="W10" s="17"/>
      <c r="X10" s="17"/>
      <c r="Y10" s="18"/>
    </row>
    <row r="11" spans="1:25" x14ac:dyDescent="0.25">
      <c r="A11" s="897"/>
      <c r="B11" s="17"/>
      <c r="C11" s="899" t="s">
        <v>926</v>
      </c>
      <c r="D11" s="899"/>
      <c r="E11" s="899"/>
      <c r="F11" s="899"/>
      <c r="G11" s="899"/>
      <c r="H11" s="899"/>
      <c r="I11" s="899"/>
      <c r="J11" s="899"/>
      <c r="K11" s="353"/>
      <c r="L11" s="17"/>
      <c r="M11" s="899" t="s">
        <v>927</v>
      </c>
      <c r="N11" s="899"/>
      <c r="O11" s="899"/>
      <c r="P11" s="899"/>
      <c r="Q11" s="354"/>
      <c r="R11" s="17"/>
      <c r="S11" s="899" t="s">
        <v>928</v>
      </c>
      <c r="T11" s="899"/>
      <c r="U11" s="899"/>
      <c r="V11" s="899"/>
      <c r="W11" s="353"/>
      <c r="X11" s="17"/>
      <c r="Y11" s="18"/>
    </row>
    <row r="12" spans="1:25" ht="15.75" thickBot="1" x14ac:dyDescent="0.3">
      <c r="A12" s="897"/>
      <c r="B12" s="360"/>
      <c r="C12" s="361"/>
      <c r="D12" s="361"/>
      <c r="E12" s="361"/>
      <c r="F12" s="361"/>
      <c r="G12" s="361"/>
      <c r="H12" s="361"/>
      <c r="I12" s="361"/>
      <c r="J12" s="361"/>
      <c r="K12" s="361"/>
      <c r="L12" s="361"/>
      <c r="M12" s="361"/>
      <c r="N12" s="361"/>
      <c r="O12" s="361"/>
      <c r="P12" s="361"/>
      <c r="Q12" s="361"/>
      <c r="R12" s="361"/>
      <c r="S12" s="361"/>
      <c r="T12" s="361"/>
      <c r="U12" s="361"/>
      <c r="V12" s="361"/>
      <c r="W12" s="361"/>
      <c r="X12" s="361"/>
      <c r="Y12" s="362"/>
    </row>
    <row r="13" spans="1:25" ht="15.75" thickTop="1" x14ac:dyDescent="0.25">
      <c r="A13" s="897"/>
      <c r="B13" s="901" t="s">
        <v>929</v>
      </c>
      <c r="C13" s="902"/>
      <c r="D13" s="902"/>
      <c r="E13" s="902"/>
      <c r="F13" s="902"/>
      <c r="G13" s="902"/>
      <c r="H13" s="902"/>
      <c r="I13" s="902"/>
      <c r="J13" s="902"/>
      <c r="K13" s="902"/>
      <c r="L13" s="902"/>
      <c r="M13" s="902"/>
      <c r="N13" s="902"/>
      <c r="O13" s="902"/>
      <c r="P13" s="902"/>
      <c r="Q13" s="902"/>
      <c r="R13" s="902"/>
      <c r="S13" s="902"/>
      <c r="T13" s="902"/>
      <c r="U13" s="902"/>
      <c r="V13" s="902"/>
      <c r="W13" s="902"/>
      <c r="X13" s="902"/>
      <c r="Y13" s="903"/>
    </row>
    <row r="14" spans="1:25" x14ac:dyDescent="0.25">
      <c r="A14" s="897"/>
      <c r="B14" s="904"/>
      <c r="C14" s="905"/>
      <c r="D14" s="905"/>
      <c r="E14" s="905"/>
      <c r="F14" s="905"/>
      <c r="G14" s="905"/>
      <c r="H14" s="905"/>
      <c r="I14" s="905"/>
      <c r="J14" s="905"/>
      <c r="K14" s="905"/>
      <c r="L14" s="905"/>
      <c r="M14" s="905"/>
      <c r="N14" s="905"/>
      <c r="O14" s="905"/>
      <c r="P14" s="905"/>
      <c r="Q14" s="905"/>
      <c r="R14" s="905"/>
      <c r="S14" s="905"/>
      <c r="T14" s="905"/>
      <c r="U14" s="905"/>
      <c r="V14" s="905"/>
      <c r="W14" s="905"/>
      <c r="X14" s="905"/>
      <c r="Y14" s="906"/>
    </row>
    <row r="15" spans="1:25" x14ac:dyDescent="0.25">
      <c r="A15" s="897"/>
      <c r="B15" s="907"/>
      <c r="C15" s="905"/>
      <c r="D15" s="905"/>
      <c r="E15" s="905"/>
      <c r="F15" s="905"/>
      <c r="G15" s="905"/>
      <c r="H15" s="905"/>
      <c r="I15" s="905"/>
      <c r="J15" s="905"/>
      <c r="K15" s="905"/>
      <c r="L15" s="905"/>
      <c r="M15" s="905"/>
      <c r="N15" s="905"/>
      <c r="O15" s="905"/>
      <c r="P15" s="905"/>
      <c r="Q15" s="905"/>
      <c r="R15" s="905"/>
      <c r="S15" s="905"/>
      <c r="T15" s="905"/>
      <c r="U15" s="905"/>
      <c r="V15" s="905"/>
      <c r="W15" s="905"/>
      <c r="X15" s="905"/>
      <c r="Y15" s="906"/>
    </row>
    <row r="16" spans="1:25" ht="15.75" thickBot="1" x14ac:dyDescent="0.3">
      <c r="A16" s="898"/>
      <c r="B16" s="908"/>
      <c r="C16" s="909"/>
      <c r="D16" s="909"/>
      <c r="E16" s="909"/>
      <c r="F16" s="909"/>
      <c r="G16" s="909"/>
      <c r="H16" s="909"/>
      <c r="I16" s="909"/>
      <c r="J16" s="909"/>
      <c r="K16" s="909"/>
      <c r="L16" s="909"/>
      <c r="M16" s="909"/>
      <c r="N16" s="909"/>
      <c r="O16" s="909"/>
      <c r="P16" s="909"/>
      <c r="Q16" s="909"/>
      <c r="R16" s="909"/>
      <c r="S16" s="909"/>
      <c r="T16" s="909"/>
      <c r="U16" s="909"/>
      <c r="V16" s="909"/>
      <c r="W16" s="909"/>
      <c r="X16" s="909"/>
      <c r="Y16" s="910"/>
    </row>
  </sheetData>
  <mergeCells count="18">
    <mergeCell ref="M11:P11"/>
    <mergeCell ref="S11:V11"/>
    <mergeCell ref="A1:Y1"/>
    <mergeCell ref="A2:A16"/>
    <mergeCell ref="C3:J3"/>
    <mergeCell ref="P3:U3"/>
    <mergeCell ref="C4:E4"/>
    <mergeCell ref="P4:U4"/>
    <mergeCell ref="C5:E5"/>
    <mergeCell ref="G5:I5"/>
    <mergeCell ref="K5:M5"/>
    <mergeCell ref="P5:U5"/>
    <mergeCell ref="B13:Y13"/>
    <mergeCell ref="B14:Y16"/>
    <mergeCell ref="C7:G7"/>
    <mergeCell ref="C9:G9"/>
    <mergeCell ref="J9:U9"/>
    <mergeCell ref="C11:J11"/>
  </mergeCells>
  <conditionalFormatting sqref="J7:M7">
    <cfRule type="cellIs" dxfId="7" priority="2" operator="between">
      <formula>1</formula>
      <formula>4</formula>
    </cfRule>
  </conditionalFormatting>
  <conditionalFormatting sqref="N7:U7">
    <cfRule type="cellIs" dxfId="6" priority="1" operator="between">
      <formula>5</formula>
      <formula>12</formula>
    </cfRule>
  </conditionalFormatting>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T99"/>
  <sheetViews>
    <sheetView workbookViewId="0">
      <selection activeCell="C11" sqref="C11:I11"/>
    </sheetView>
  </sheetViews>
  <sheetFormatPr baseColWidth="10" defaultRowHeight="15" x14ac:dyDescent="0.25"/>
  <sheetData>
    <row r="1" spans="2:20" ht="15.75" thickBot="1" x14ac:dyDescent="0.3">
      <c r="B1" s="4"/>
      <c r="C1" s="4"/>
      <c r="D1" s="4"/>
      <c r="E1" s="4"/>
      <c r="F1" s="4"/>
      <c r="G1" s="4"/>
      <c r="H1" s="4"/>
      <c r="I1" s="4"/>
      <c r="J1" s="4"/>
      <c r="K1" s="4"/>
      <c r="L1" s="4"/>
      <c r="M1" s="4"/>
      <c r="N1" s="4"/>
      <c r="O1" s="4"/>
      <c r="P1" s="4"/>
      <c r="Q1" s="4"/>
      <c r="R1" s="4"/>
      <c r="S1" s="4"/>
    </row>
    <row r="2" spans="2:20" x14ac:dyDescent="0.25">
      <c r="B2" s="915" t="s">
        <v>1007</v>
      </c>
      <c r="C2" s="861"/>
      <c r="D2" s="861"/>
      <c r="E2" s="861"/>
      <c r="F2" s="861"/>
      <c r="G2" s="861"/>
      <c r="H2" s="861"/>
      <c r="I2" s="861"/>
      <c r="J2" s="543"/>
      <c r="K2" s="861" t="s">
        <v>1008</v>
      </c>
      <c r="L2" s="861"/>
      <c r="M2" s="861"/>
      <c r="N2" s="861"/>
      <c r="O2" s="861"/>
      <c r="P2" s="861"/>
      <c r="Q2" s="861"/>
      <c r="R2" s="861"/>
      <c r="S2" s="917"/>
    </row>
    <row r="3" spans="2:20" ht="15.75" thickBot="1" x14ac:dyDescent="0.3">
      <c r="B3" s="916"/>
      <c r="C3" s="864"/>
      <c r="D3" s="864"/>
      <c r="E3" s="864"/>
      <c r="F3" s="864"/>
      <c r="G3" s="864"/>
      <c r="H3" s="864"/>
      <c r="I3" s="864"/>
      <c r="J3" s="162" t="str">
        <f ca="1">MOIS_N1</f>
        <v>JANVIER 25</v>
      </c>
      <c r="K3" s="864"/>
      <c r="L3" s="864"/>
      <c r="M3" s="864"/>
      <c r="N3" s="864"/>
      <c r="O3" s="864"/>
      <c r="P3" s="864"/>
      <c r="Q3" s="864"/>
      <c r="R3" s="864"/>
      <c r="S3" s="918"/>
    </row>
    <row r="4" spans="2:20" ht="15.75" customHeight="1" thickBot="1" x14ac:dyDescent="0.3">
      <c r="B4" s="919" t="s">
        <v>608</v>
      </c>
      <c r="C4" s="920"/>
      <c r="D4" s="920"/>
      <c r="E4" s="920"/>
      <c r="F4" s="920"/>
      <c r="G4" s="920"/>
      <c r="H4" s="920"/>
      <c r="I4" s="921"/>
      <c r="J4" s="162">
        <v>12</v>
      </c>
      <c r="K4" s="749"/>
      <c r="L4" s="923"/>
      <c r="M4" s="923"/>
      <c r="N4" s="923"/>
      <c r="O4" s="923"/>
      <c r="P4" s="923"/>
      <c r="Q4" s="923"/>
      <c r="R4" s="923"/>
      <c r="S4" s="750"/>
    </row>
    <row r="5" spans="2:20" ht="15.75" customHeight="1" thickBot="1" x14ac:dyDescent="0.3">
      <c r="B5" s="17"/>
      <c r="C5" s="17"/>
      <c r="D5" s="17"/>
      <c r="E5" s="17"/>
      <c r="F5" s="17"/>
      <c r="G5" s="17"/>
      <c r="H5" s="17"/>
      <c r="I5" s="17"/>
      <c r="J5" s="912" t="s">
        <v>1004</v>
      </c>
      <c r="K5" s="22"/>
      <c r="L5" s="198" t="str">
        <f ca="1">IF(MOIS_M=1,"DECEMBRE",UPPER(TEXT(EDATE(MOIS_M,MOIS_M-2),"MMMM")))</f>
        <v>JANVIER</v>
      </c>
      <c r="M5" s="240" t="str">
        <f ca="1">IF(MOIS_M=1,"NOVEMBRE",IF(MOIS_M=2,"DECEMBRE",UPPER(TEXT(EDATE(MOIS_M,MOIS_M-3),"MMMM"))))</f>
        <v>DECEMBRE</v>
      </c>
      <c r="N5" s="541" t="s">
        <v>979</v>
      </c>
      <c r="O5" s="541" t="s">
        <v>980</v>
      </c>
      <c r="P5" s="455"/>
    </row>
    <row r="6" spans="2:20" ht="15.75" customHeight="1" thickBot="1" x14ac:dyDescent="0.3">
      <c r="B6" s="31" t="s">
        <v>752</v>
      </c>
      <c r="C6" s="922" t="s">
        <v>1001</v>
      </c>
      <c r="D6" s="922"/>
      <c r="E6" s="922"/>
      <c r="F6" s="922"/>
      <c r="G6" s="922"/>
      <c r="H6" s="922"/>
      <c r="I6" s="922"/>
      <c r="J6" s="913"/>
      <c r="K6" s="22"/>
      <c r="L6" s="749" t="s">
        <v>3</v>
      </c>
      <c r="M6" s="750"/>
      <c r="N6" s="28">
        <f ca="1">SUM(N7:N15)</f>
        <v>5</v>
      </c>
      <c r="O6" s="28">
        <f ca="1">SUM(O7:O15)</f>
        <v>17</v>
      </c>
      <c r="P6" s="162" t="str">
        <f ca="1">IF(P7&lt;&gt;"",P7,IF(P8&lt;&gt;"",P8,IF(P9&lt;&gt;"",P9,IF(P10&lt;&gt;"",P10,IF(P11&lt;&gt;"",P11,IF(P12&lt;&gt;"",P12,IF(P13&lt;&gt;"",P13,IF(P14&lt;&gt;"",P14,IF(P15&lt;&gt;"",P15,"")))))))))</f>
        <v>SB</v>
      </c>
      <c r="Q6" s="28" t="str">
        <f>IF(Q7&lt;&gt;"",Q7,IF(Q8&lt;&gt;"",Q8,IF(Q9&lt;&gt;"",Q9,IF(Q10&lt;&gt;"",Q10,IF(Q11&lt;&gt;"",Q11,IF(Q12&lt;&gt;"",Q12,IF(Q13&lt;&gt;"",Q13,IF(Q14&lt;&gt;"",Q14,IF(Q15&lt;&gt;"",Q15,"")))))))))</f>
        <v>SB</v>
      </c>
    </row>
    <row r="7" spans="2:20" ht="15" customHeight="1" x14ac:dyDescent="0.25">
      <c r="B7" s="31" t="s">
        <v>753</v>
      </c>
      <c r="C7" s="922" t="s">
        <v>1003</v>
      </c>
      <c r="D7" s="922"/>
      <c r="E7" s="922"/>
      <c r="F7" s="922"/>
      <c r="G7" s="922"/>
      <c r="H7" s="922"/>
      <c r="I7" s="922"/>
      <c r="J7" s="913"/>
      <c r="K7" s="22">
        <v>3</v>
      </c>
      <c r="L7" s="771" t="s">
        <v>23</v>
      </c>
      <c r="M7" s="772"/>
      <c r="N7" s="28">
        <f ca="1">IF(MOIS_M=1,VLOOKUP(3,DATA_A1_MAIN,15,FALSE),VLOOKUP(3,DATA_A_MAIN,VCR+3,FALSE))</f>
        <v>4</v>
      </c>
      <c r="O7" s="28">
        <f ca="1">IF(MOIS_M=1,VLOOKUP(K7,DATA_A1_MAIN,14,FALSE),IF(MOIS_M=2,VLOOKUP(K7,DATA_A1_MAIN,15,FALSE),VLOOKUP(K7,DATA_A_MAIN,VCR+3,FALSE)))</f>
        <v>5</v>
      </c>
      <c r="P7" s="28" t="str">
        <f ca="1">IF(LARGE($N$7:$N$15,1)=$N7,"SB","")</f>
        <v>SB</v>
      </c>
      <c r="Q7" s="28" t="str">
        <f>IF(LARGE(LOG_M!$AJ$9:$AJ$17,1)=LOG_M!$AJ9,"SB","")</f>
        <v>SB</v>
      </c>
    </row>
    <row r="8" spans="2:20" ht="15" customHeight="1" x14ac:dyDescent="0.25">
      <c r="B8" s="31" t="s">
        <v>754</v>
      </c>
      <c r="C8" s="922" t="s">
        <v>1002</v>
      </c>
      <c r="D8" s="922"/>
      <c r="E8" s="922"/>
      <c r="F8" s="922"/>
      <c r="G8" s="922"/>
      <c r="H8" s="922"/>
      <c r="I8" s="922"/>
      <c r="J8" s="913"/>
      <c r="K8" s="22">
        <v>4</v>
      </c>
      <c r="L8" s="773" t="s">
        <v>24</v>
      </c>
      <c r="M8" s="774"/>
      <c r="N8" s="162">
        <f ca="1">IF(MOIS_M=1,VLOOKUP(4,DATA_A1_MAIN,15,FALSE),VLOOKUP(4,DATA_A_MAIN,VCR+3,FALSE))</f>
        <v>0</v>
      </c>
      <c r="O8" s="28">
        <f t="shared" ref="O8:O15" ca="1" si="0">IF(MOIS_M=1,VLOOKUP(K8,DATA_A1_MAIN,14,FALSE),IF(MOIS_M=2,VLOOKUP(K8,DATA_A1_MAIN,15,FALSE),VLOOKUP(K8,DATA_A_MAIN,VCR+3,FALSE)))</f>
        <v>2</v>
      </c>
      <c r="P8" s="28" t="str">
        <f ca="1">IF(LARGE($N$7:$N$15,1)=$N8,"BA","")</f>
        <v/>
      </c>
      <c r="Q8" s="28" t="str">
        <f>IF(LARGE(LOG_M!$AJ$9:$AJ$17,1)=LOG_M!$AJ10,"BA","")</f>
        <v/>
      </c>
    </row>
    <row r="9" spans="2:20" ht="15" customHeight="1" x14ac:dyDescent="0.25">
      <c r="B9" s="31" t="s">
        <v>755</v>
      </c>
      <c r="C9" s="928"/>
      <c r="D9" s="928"/>
      <c r="E9" s="928"/>
      <c r="F9" s="928"/>
      <c r="G9" s="928"/>
      <c r="H9" s="928"/>
      <c r="I9" s="928"/>
      <c r="J9" s="913"/>
      <c r="K9" s="22">
        <v>5</v>
      </c>
      <c r="L9" s="773" t="s">
        <v>25</v>
      </c>
      <c r="M9" s="774"/>
      <c r="N9" s="28">
        <f ca="1">IF(MOIS_M=1,VLOOKUP(5,DATA_A1_MAIN,15,FALSE),VLOOKUP(5,DATA_A_MAIN,VCR+3,FALSE))</f>
        <v>0</v>
      </c>
      <c r="O9" s="28">
        <f t="shared" ca="1" si="0"/>
        <v>3</v>
      </c>
      <c r="P9" s="28" t="str">
        <f ca="1">IF(LARGE($N$7:$N$15,1)=$N9,"AA","")</f>
        <v/>
      </c>
      <c r="Q9" s="547" t="str">
        <f>IF(LARGE(LOG_M!$AJ$9:$AJ$17,1)=LOG_M!$AJ11,"AA","")</f>
        <v/>
      </c>
      <c r="R9" s="28"/>
    </row>
    <row r="10" spans="2:20" ht="15" customHeight="1" x14ac:dyDescent="0.25">
      <c r="B10" s="31" t="s">
        <v>756</v>
      </c>
      <c r="C10" s="928"/>
      <c r="D10" s="928"/>
      <c r="E10" s="928"/>
      <c r="F10" s="928"/>
      <c r="G10" s="928"/>
      <c r="H10" s="928"/>
      <c r="I10" s="928"/>
      <c r="J10" s="913"/>
      <c r="K10" s="22">
        <v>6</v>
      </c>
      <c r="L10" s="773" t="s">
        <v>26</v>
      </c>
      <c r="M10" s="774"/>
      <c r="N10" s="28">
        <f ca="1">IF(MOIS_M=1,VLOOKUP(6,DATA_A1_MAIN,15,FALSE),VLOOKUP(6,DATA_A_MAIN,VCR+3,FALSE))</f>
        <v>0</v>
      </c>
      <c r="O10" s="28">
        <f t="shared" ca="1" si="0"/>
        <v>2</v>
      </c>
      <c r="P10" s="28" t="str">
        <f ca="1">IF(LARGE($N$7:$N$15,1)=$N10,"EV","")</f>
        <v/>
      </c>
      <c r="Q10" s="547" t="str">
        <f>IF(LARGE(LOG_M!$AJ$9:$AJ$17,1)=LOG_M!$AJ12,"EV","")</f>
        <v/>
      </c>
    </row>
    <row r="11" spans="2:20" ht="15" customHeight="1" x14ac:dyDescent="0.25">
      <c r="B11" s="31" t="s">
        <v>757</v>
      </c>
      <c r="C11" s="928"/>
      <c r="D11" s="928"/>
      <c r="E11" s="928"/>
      <c r="F11" s="928"/>
      <c r="G11" s="928"/>
      <c r="H11" s="928"/>
      <c r="I11" s="928"/>
      <c r="J11" s="913"/>
      <c r="K11" s="22">
        <v>7</v>
      </c>
      <c r="L11" s="773" t="s">
        <v>27</v>
      </c>
      <c r="M11" s="774"/>
      <c r="N11" s="28">
        <f ca="1">IF(MOIS_M=1,VLOOKUP(7,DATA_A1_MAIN,15,FALSE),VLOOKUP(7,DATA_A_MAIN,VCR+3,FALSE))</f>
        <v>1</v>
      </c>
      <c r="O11" s="28">
        <f t="shared" ca="1" si="0"/>
        <v>2</v>
      </c>
      <c r="P11" s="28" t="str">
        <f ca="1">IF(LARGE($N$7:$N$15,1)=$N11,"EA","")</f>
        <v/>
      </c>
      <c r="Q11" s="28" t="str">
        <f>IF(LARGE(LOG_M!$AJ$9:$AJ$17,1)=LOG_M!$AJ13,"EA","")</f>
        <v/>
      </c>
      <c r="S11" s="162">
        <f ca="1">IF(OCC_INP="SB",N7,IF(OCC_INP="BA",CR_BS,IF(OCC_INP="AA",N9,IF(OCC_INP="EV",N10,IF(OCC_INP="EA",N11,IF(OCC_INP="EC",N12,IF(OCC_INP="IN",N13,IF(OCC_INP="TV",N14,IF(OCC_INP="DI",N15,"")))))))))</f>
        <v>4</v>
      </c>
    </row>
    <row r="12" spans="2:20" ht="15" customHeight="1" x14ac:dyDescent="0.25">
      <c r="B12" s="31" t="s">
        <v>758</v>
      </c>
      <c r="C12" s="928"/>
      <c r="D12" s="928"/>
      <c r="E12" s="928"/>
      <c r="F12" s="928"/>
      <c r="G12" s="928"/>
      <c r="H12" s="928"/>
      <c r="I12" s="928"/>
      <c r="J12" s="913"/>
      <c r="K12" s="22">
        <v>8</v>
      </c>
      <c r="L12" s="773" t="s">
        <v>28</v>
      </c>
      <c r="M12" s="774"/>
      <c r="N12" s="28">
        <f ca="1">IF(MOIS_M=1,VLOOKUP(8,DATA_A1_MAIN,15,FALSE),VLOOKUP(8,DATA_A_MAIN,VCR+3,FALSE))</f>
        <v>0</v>
      </c>
      <c r="O12" s="28">
        <f t="shared" ca="1" si="0"/>
        <v>0</v>
      </c>
      <c r="P12" s="28" t="str">
        <f ca="1">IF(LARGE($N$7:$N$15,1)=$N12,"EC","")</f>
        <v/>
      </c>
      <c r="Q12" s="547" t="str">
        <f>IF(LARGE(LOG_M!$AJ$9:$AJ$17,1)=LOG_M!$AJ14,"EC","")</f>
        <v/>
      </c>
      <c r="S12" s="924" t="str">
        <f ca="1">VLOOKUP(OCC_INP,DATA_BASE!L3:O11,2,FALSE)</f>
        <v>SUSPICION BIRD STRIKE</v>
      </c>
      <c r="T12" s="925"/>
    </row>
    <row r="13" spans="2:20" ht="15" customHeight="1" x14ac:dyDescent="0.25">
      <c r="B13" s="31" t="s">
        <v>759</v>
      </c>
      <c r="C13" s="928"/>
      <c r="D13" s="928"/>
      <c r="E13" s="928"/>
      <c r="F13" s="928"/>
      <c r="G13" s="928"/>
      <c r="H13" s="928"/>
      <c r="I13" s="928"/>
      <c r="J13" s="913"/>
      <c r="K13" s="22">
        <v>9</v>
      </c>
      <c r="L13" s="773" t="s">
        <v>29</v>
      </c>
      <c r="M13" s="774"/>
      <c r="N13" s="28">
        <f ca="1">IF(MOIS_M=1,VLOOKUP(9,DATA_A1_MAIN,15,FALSE),VLOOKUP(9,DATA_A_MAIN,VCR+3,FALSE))</f>
        <v>0</v>
      </c>
      <c r="O13" s="28">
        <f t="shared" ca="1" si="0"/>
        <v>0</v>
      </c>
      <c r="P13" s="28" t="str">
        <f ca="1">IF(LARGE($N$7:$N$15,1)=$N13,"IN","")</f>
        <v/>
      </c>
      <c r="Q13" s="547" t="str">
        <f>IF(LARGE(LOG_M!$AJ$9:$AJ$17,1)=LOG_M!$AJ15,"IN","")</f>
        <v/>
      </c>
      <c r="S13" s="162">
        <f ca="1">VLOOKUP(1,DATA_A_MAIN,VCR+3,FALSE)+VLOOKUP(2,DATA_A_MAIN,VCR+3,FALSE)</f>
        <v>98</v>
      </c>
    </row>
    <row r="14" spans="2:20" ht="15" customHeight="1" x14ac:dyDescent="0.25">
      <c r="B14" s="31" t="s">
        <v>760</v>
      </c>
      <c r="C14" s="927"/>
      <c r="D14" s="927"/>
      <c r="E14" s="927"/>
      <c r="F14" s="927"/>
      <c r="G14" s="927"/>
      <c r="H14" s="927"/>
      <c r="I14" s="927"/>
      <c r="J14" s="913"/>
      <c r="K14" s="22">
        <v>10</v>
      </c>
      <c r="L14" s="773" t="s">
        <v>30</v>
      </c>
      <c r="M14" s="774"/>
      <c r="N14" s="28">
        <f ca="1">IF(MOIS_M=1,VLOOKUP(10,DATA_A1_MAIN,15,FALSE),VLOOKUP(10,DATA_A_MAIN,VCR+3,FALSE))</f>
        <v>0</v>
      </c>
      <c r="O14" s="28">
        <f t="shared" ca="1" si="0"/>
        <v>1</v>
      </c>
      <c r="P14" s="28" t="str">
        <f ca="1">IF(LARGE($N$7:$N$15,1)=$N14,"TV","")</f>
        <v/>
      </c>
      <c r="Q14" s="28" t="str">
        <f>IF(LARGE(LOG_M!$AJ$9:$AJ$17,1)=LOG_M!$AJ16,"TV","")</f>
        <v/>
      </c>
      <c r="S14" s="542">
        <f ca="1">((VLOOKUP(2,DATA_A_MAIN,VCR+3,FALSE)*2795)+(5591*(VLOOKUP(1,DATA_A_MAIN,VCR+3,FALSE)-JOUR_LAST_M1))+(11182*JOUR_LAST_M1))/1000</f>
        <v>707.25900000000001</v>
      </c>
    </row>
    <row r="15" spans="2:20" ht="15.75" customHeight="1" thickBot="1" x14ac:dyDescent="0.3">
      <c r="B15" s="162">
        <f>IF(AND(FAITM1&lt;&gt;"",FAITM2&lt;&gt;"",FAITM3&lt;&gt;""),1,0)</f>
        <v>1</v>
      </c>
      <c r="C15" s="17" t="str">
        <f ca="1">IF(B16="","",B16&amp;" Convoyages véhicules réalisés")</f>
        <v>20 Convoyages véhicules réalisés</v>
      </c>
      <c r="E15" s="17"/>
      <c r="F15" s="17"/>
      <c r="G15" s="17"/>
      <c r="H15" s="17"/>
      <c r="I15" s="17"/>
      <c r="J15" s="913"/>
      <c r="K15" s="22">
        <v>11</v>
      </c>
      <c r="L15" s="781" t="s">
        <v>31</v>
      </c>
      <c r="M15" s="782"/>
      <c r="N15" s="28">
        <f ca="1">IF(MOIS_M=1,VLOOKUP(11,DATA_A1_MAIN,15,FALSE),VLOOKUP(11,DATA_A_MAIN,VCR+3,FALSE))</f>
        <v>0</v>
      </c>
      <c r="O15" s="28">
        <f t="shared" ca="1" si="0"/>
        <v>2</v>
      </c>
      <c r="P15" s="28" t="str">
        <f ca="1">IF(LARGE($N$7:$N$15,1)=$N15,"DI","")</f>
        <v/>
      </c>
      <c r="Q15" s="28" t="str">
        <f>IF(LARGE(LOG_M!$AJ$9:$AJ$17,1)=LOG_M!$AJ17,"DI","")</f>
        <v/>
      </c>
      <c r="S15" s="542">
        <f ca="1">((N6-O6)/O6)*100</f>
        <v>-70.588235294117652</v>
      </c>
    </row>
    <row r="16" spans="2:20" ht="15" customHeight="1" x14ac:dyDescent="0.25">
      <c r="B16" s="28">
        <f ca="1">IF(VCR=12,VLOOKUP(144,DATA_AN_TVX,15,FALSE),IF(OR(VCR=10,VCR=11,VCR=1,VCR=2,VCR=3),VLOOKUP(144,DATA_A_TVX,VCR+3,FALSE)))</f>
        <v>20</v>
      </c>
      <c r="D16" s="17"/>
      <c r="E16" s="17"/>
      <c r="F16" s="17"/>
      <c r="G16" s="17"/>
      <c r="H16" s="17"/>
      <c r="I16" s="17"/>
      <c r="J16" s="913"/>
    </row>
    <row r="17" spans="1:10" ht="15" customHeight="1" x14ac:dyDescent="0.25">
      <c r="J17" s="913"/>
    </row>
    <row r="18" spans="1:10" ht="15" customHeight="1" x14ac:dyDescent="0.25">
      <c r="J18" s="913"/>
    </row>
    <row r="19" spans="1:10" ht="15" customHeight="1" x14ac:dyDescent="0.25">
      <c r="A19">
        <v>16</v>
      </c>
      <c r="B19" s="31" t="s">
        <v>761</v>
      </c>
      <c r="C19" s="162">
        <f ca="1">IF(VCR=12,VLOOKUP(16,DATA_A1_MAIN,15,FALSE),VLOOKUP(16,DATA_A_MAIN,VCR+3,FALSE))</f>
        <v>1</v>
      </c>
      <c r="D19" s="603">
        <f ca="1">IF(MOIS_M=1,VLOOKUP(A19,DATA_A1_MAIN,14,FALSE),IF(MOIS_M=2,VLOOKUP(A19,DATA_A1_MAIN,15,FALSE),VLOOKUP(A19,DATA_A_MAIN,VCR+3,FALSE)))</f>
        <v>4</v>
      </c>
      <c r="J19" s="913"/>
    </row>
    <row r="20" spans="1:10" ht="15" customHeight="1" x14ac:dyDescent="0.25">
      <c r="A20">
        <v>17</v>
      </c>
      <c r="B20" s="31" t="s">
        <v>762</v>
      </c>
      <c r="C20" s="604">
        <f ca="1">IF(VCR=12,VLOOKUP(17,DATA_A1_MAIN,15,FALSE),VLOOKUP(17,DATA_A_MAIN,VCR+3,FALSE))</f>
        <v>3</v>
      </c>
      <c r="D20" s="603">
        <f ca="1">IF(MOIS_M=1,VLOOKUP(A20,DATA_A1_MAIN,14,FALSE),IF(MOIS_M=2,VLOOKUP(A20,DATA_A1_MAIN,15,FALSE),VLOOKUP(A20,DATA_A_MAIN,VCR+3,FALSE)))</f>
        <v>6</v>
      </c>
      <c r="E20">
        <f ca="1">CR_ETV+CR_ETA+CR_ETC</f>
        <v>4</v>
      </c>
      <c r="F20">
        <f ca="1">D19+D20+D21</f>
        <v>10</v>
      </c>
      <c r="J20" s="913"/>
    </row>
    <row r="21" spans="1:10" ht="15" customHeight="1" x14ac:dyDescent="0.25">
      <c r="A21">
        <v>18</v>
      </c>
      <c r="B21" s="31" t="s">
        <v>763</v>
      </c>
      <c r="C21" s="604">
        <f ca="1">IF(VCR=12,VLOOKUP(18,DATA_A1_MAIN,15,FALSE),VLOOKUP(18,DATA_A_MAIN,VCR+3,FALSE))</f>
        <v>0</v>
      </c>
      <c r="D21" s="603">
        <f ca="1">IF(MOIS_M=1,VLOOKUP(A21,DATA_A1_MAIN,14,FALSE),IF(MOIS_M=2,VLOOKUP(A21,DATA_A1_MAIN,15,FALSE),VLOOKUP(A21,DATA_A_MAIN,VCR+3,FALSE)))</f>
        <v>0</v>
      </c>
      <c r="J21" s="913"/>
    </row>
    <row r="22" spans="1:10" ht="15" customHeight="1" x14ac:dyDescent="0.25">
      <c r="J22" s="913"/>
    </row>
    <row r="23" spans="1:10" ht="15" customHeight="1" x14ac:dyDescent="0.25">
      <c r="B23" s="31" t="s">
        <v>764</v>
      </c>
      <c r="C23" s="162">
        <f ca="1">IF(VCR=12,VLOOKUP(20,DATA_A1_MAIN,15,FALSE),VLOOKUP(20,DATA_A_MAIN,VCR+3,FALSE))</f>
        <v>5</v>
      </c>
      <c r="J23" s="913"/>
    </row>
    <row r="24" spans="1:10" ht="15" customHeight="1" x14ac:dyDescent="0.25">
      <c r="B24" s="31" t="s">
        <v>765</v>
      </c>
      <c r="C24" s="604">
        <f ca="1">IF(VCR=12,VLOOKUP(21,DATA_A1_MAIN,15,FALSE),VLOOKUP(21,DATA_A_MAIN,VCR+3,FALSE))</f>
        <v>0</v>
      </c>
      <c r="J24" s="913"/>
    </row>
    <row r="25" spans="1:10" ht="15" customHeight="1" x14ac:dyDescent="0.25">
      <c r="B25" s="31" t="s">
        <v>766</v>
      </c>
      <c r="C25" s="604">
        <f ca="1">IF(VCR=12,VLOOKUP(22,DATA_A1_MAIN,15,FALSE),VLOOKUP(22,DATA_A_MAIN,VCR+3,FALSE))</f>
        <v>0</v>
      </c>
      <c r="J25" s="913"/>
    </row>
    <row r="26" spans="1:10" ht="15" customHeight="1" x14ac:dyDescent="0.25">
      <c r="B26" s="31" t="s">
        <v>767</v>
      </c>
      <c r="C26" s="604">
        <f ca="1">IF(VCR=12,VLOOKUP(23,DATA_A1_MAIN,15,FALSE),VLOOKUP(23,DATA_A_MAIN,VCR+3,FALSE))</f>
        <v>0</v>
      </c>
      <c r="J26" s="913"/>
    </row>
    <row r="27" spans="1:10" ht="15" customHeight="1" x14ac:dyDescent="0.25">
      <c r="B27" s="31" t="s">
        <v>768</v>
      </c>
      <c r="C27" s="604">
        <f ca="1">IF(VCR=12,VLOOKUP(13,DATA_A1_MAIN,15,FALSE),VLOOKUP(13,DATA_A_MAIN,VCR+3,FALSE))</f>
        <v>8</v>
      </c>
      <c r="J27" s="913"/>
    </row>
    <row r="28" spans="1:10" ht="15" customHeight="1" x14ac:dyDescent="0.25">
      <c r="B28" s="31" t="s">
        <v>769</v>
      </c>
      <c r="C28" s="604">
        <f ca="1">IF(VCR=12,VLOOKUP(12,DATA_A1_MAIN,15,FALSE),VLOOKUP(12,DATA_A_MAIN,VCR+3,FALSE))</f>
        <v>10</v>
      </c>
      <c r="J28" s="913"/>
    </row>
    <row r="29" spans="1:10" ht="15" customHeight="1" x14ac:dyDescent="0.25">
      <c r="J29" s="913"/>
    </row>
    <row r="30" spans="1:10" ht="15" customHeight="1" x14ac:dyDescent="0.25">
      <c r="J30" s="913"/>
    </row>
    <row r="31" spans="1:10" ht="15" customHeight="1" x14ac:dyDescent="0.25">
      <c r="J31" s="913"/>
    </row>
    <row r="32" spans="1:10" ht="15" customHeight="1" x14ac:dyDescent="0.25">
      <c r="J32" s="913"/>
    </row>
    <row r="33" spans="2:13" ht="15" customHeight="1" x14ac:dyDescent="0.25">
      <c r="J33" s="913"/>
    </row>
    <row r="34" spans="2:13" ht="15" customHeight="1" x14ac:dyDescent="0.25">
      <c r="J34" s="913"/>
    </row>
    <row r="35" spans="2:13" ht="15" customHeight="1" thickBot="1" x14ac:dyDescent="0.3">
      <c r="J35" s="914"/>
    </row>
    <row r="36" spans="2:13" ht="15.75" thickBot="1" x14ac:dyDescent="0.3">
      <c r="J36" s="912" t="s">
        <v>1005</v>
      </c>
    </row>
    <row r="37" spans="2:13" x14ac:dyDescent="0.25">
      <c r="B37" s="737" t="e">
        <f ca="1">IF(E37&lt;&gt;0,"CALES NON RANGEES",NA())</f>
        <v>#N/A</v>
      </c>
      <c r="C37" s="810"/>
      <c r="D37" s="60"/>
      <c r="E37" s="78" t="e">
        <f ca="1">IF(VCR=12,IF(VLOOKUP(56,DATA_AN_TRA,15,FALSE)&lt;&gt;0,VLOOKUP(56,DATA_AN_TRA,15,FALSE),NA()),IF(VLOOKUP(56,DATA_A_TRA,VCR+3,FALSE)&lt;&gt;0,VLOOKUP(56,DATA_A_TRA,VCR+3,FALSE),NA()))</f>
        <v>#N/A</v>
      </c>
      <c r="J37" s="913"/>
    </row>
    <row r="38" spans="2:13" x14ac:dyDescent="0.25">
      <c r="B38" s="727" t="e">
        <f ca="1">IF(E38&lt;&gt;0,"POUBELLE SAUVAGE",NA())</f>
        <v>#N/A</v>
      </c>
      <c r="C38" s="677"/>
      <c r="D38" s="28"/>
      <c r="E38" s="550" t="e">
        <f ca="1">IF(VCR=12,IF(VLOOKUP(112,DATA_AN_FAC,15,FALSE)&lt;&gt;0,VLOOKUP(112,DATA_AN_FAC,15,FALSE),NA()),IF(VLOOKUP(112,DATA_A_FAC,VCR+3,FALSE)&lt;&gt;0,VLOOKUP(112,DATA_A_FAC,VCR+3,FALSE),NA()))</f>
        <v>#N/A</v>
      </c>
      <c r="J38" s="913"/>
      <c r="L38" s="31" t="s">
        <v>772</v>
      </c>
      <c r="M38" s="162">
        <f ca="1">SUM(M39:M46)</f>
        <v>109</v>
      </c>
    </row>
    <row r="39" spans="2:13" x14ac:dyDescent="0.25">
      <c r="B39" s="727" t="e">
        <f ca="1">IF(E39&lt;&gt;0,"MATERIEL NON RANGE",NA())</f>
        <v>#N/A</v>
      </c>
      <c r="C39" s="677"/>
      <c r="D39" s="28"/>
      <c r="E39" s="550" t="e">
        <f ca="1">IF(VCR=12,IF(VLOOKUP(69,DATA_AN_TRA,15,FALSE)&lt;&gt;0,VLOOKUP(69,DATA_AN_TRA,15,FALSE),NA()),IF(VLOOKUP(69,DATA_A_TRA,VCR+3,FALSE)&lt;&gt;0,VLOOKUP(69,DATA_A_TRA,VCR+3,FALSE),NA()))</f>
        <v>#N/A</v>
      </c>
      <c r="J39" s="913"/>
      <c r="K39">
        <v>33</v>
      </c>
      <c r="L39" s="31" t="s">
        <v>775</v>
      </c>
      <c r="M39" s="162">
        <f t="shared" ref="M39:M46" ca="1" si="1">IF(VCR=12,VLOOKUP(K39,DATA_A1_MAIN,15,FALSE),VLOOKUP(K39,DATA_A_MAIN,VCR+3,FALSE))</f>
        <v>0</v>
      </c>
    </row>
    <row r="40" spans="2:13" x14ac:dyDescent="0.25">
      <c r="B40" s="763" t="e">
        <f ca="1">IF(E40&lt;&gt;0,"MATERIEL ACA ABIME/END.",NA())</f>
        <v>#N/A</v>
      </c>
      <c r="C40" s="931"/>
      <c r="D40" s="28"/>
      <c r="E40" s="550" t="e">
        <f ca="1">IF(VCR=12,IF(VLOOKUP(82,DATA_AN_TRA,15,FALSE)&lt;&gt;0,VLOOKUP(82,DATA_AN_TRA,15,FALSE),NA()),IF(VLOOKUP(82,DATA_A_TRA,VCR+3,FALSE)&lt;&gt;0,VLOOKUP(82,DATA_A_TRA,VCR+3,FALSE),NA()))</f>
        <v>#N/A</v>
      </c>
      <c r="J40" s="913"/>
      <c r="K40">
        <v>34</v>
      </c>
      <c r="L40" s="31" t="s">
        <v>776</v>
      </c>
      <c r="M40" s="604">
        <f t="shared" ca="1" si="1"/>
        <v>73</v>
      </c>
    </row>
    <row r="41" spans="2:13" x14ac:dyDescent="0.25">
      <c r="B41" s="727" t="e">
        <f ca="1">IF(E41&lt;&gt;0,"PASSERELLE N.RANGEE",NA())</f>
        <v>#N/A</v>
      </c>
      <c r="C41" s="677"/>
      <c r="D41" s="28"/>
      <c r="E41" s="550" t="e">
        <f ca="1">IF(VCR=12,IF(VLOOKUP(125,DATA_AN_FAC,15,FALSE)&lt;&gt;0,VLOOKUP(125,DATA_AN_FAC,15,FALSE),NA()),IF(VLOOKUP(125,DATA_A_FAC,VCR+3,FALSE)&lt;&gt;0,VLOOKUP(125,DATA_A_FAC,VCR+3,FALSE),NA()))</f>
        <v>#N/A</v>
      </c>
      <c r="J41" s="913"/>
      <c r="K41">
        <v>35</v>
      </c>
      <c r="L41" s="31" t="s">
        <v>777</v>
      </c>
      <c r="M41" s="604">
        <f t="shared" ca="1" si="1"/>
        <v>5</v>
      </c>
    </row>
    <row r="42" spans="2:13" ht="15.75" thickBot="1" x14ac:dyDescent="0.3">
      <c r="B42" s="929" t="e">
        <f ca="1">IF(E42&lt;&gt;0,"MAUVAIS POSITIONNEMENT AV.",NA())</f>
        <v>#N/A</v>
      </c>
      <c r="C42" s="930"/>
      <c r="D42" s="63"/>
      <c r="E42" s="550" t="e">
        <f ca="1">IF(VCR=12,IF(VLOOKUP(95,DATA_AN_TRA,15,FALSE)&lt;&gt;0,VLOOKUP(95,DATA_AN_TRA,15,FALSE),NA()),IF(VLOOKUP(95,DATA_A_TRA,VCR+3,FALSE)&lt;&gt;0,VLOOKUP(95,DATA_A_TRA,VCR+3,FALSE),NA()))</f>
        <v>#N/A</v>
      </c>
      <c r="J42" s="913"/>
      <c r="K42">
        <v>32</v>
      </c>
      <c r="L42" s="31" t="s">
        <v>778</v>
      </c>
      <c r="M42" s="604">
        <f t="shared" ca="1" si="1"/>
        <v>0</v>
      </c>
    </row>
    <row r="43" spans="2:13" ht="15.75" thickBot="1" x14ac:dyDescent="0.3">
      <c r="E43" s="547">
        <f ca="1">IF(VCR=12,VLOOKUP(56,DATA_AN_TRA,VCR+3,FALSE)+VLOOKUP(112,DATA_AN_FAC,VCR+3,FALSE)+VLOOKUP(69,DATA_AN_TRA,VCR+3,FALSE)+VLOOKUP(82,DATA_AN_TRA,VCR+3,FALSE)+VLOOKUP(125,DATA_AN_FAC,VCR+3,FALSE)+VLOOKUP(95,DATA_AN_TRA,VCR+3,FALSE),VLOOKUP(56,DATA_A_TRA,VCR+3,FALSE)+VLOOKUP(112,DATA_A_FAC,VCR+3,FALSE)+VLOOKUP(69,DATA_A_TRA,VCR+3,FALSE)+VLOOKUP(82,DATA_A_TRA,VCR+3,FALSE)+VLOOKUP(125,DATA_A_FAC,VCR+3,FALSE)+VLOOKUP(95,DATA_A_TRA,VCR+3,FALSE))</f>
        <v>0</v>
      </c>
      <c r="J43" s="913"/>
      <c r="K43">
        <v>39</v>
      </c>
      <c r="L43" s="31" t="s">
        <v>779</v>
      </c>
      <c r="M43" s="604">
        <f t="shared" ca="1" si="1"/>
        <v>22</v>
      </c>
    </row>
    <row r="44" spans="2:13" x14ac:dyDescent="0.25">
      <c r="B44" s="72" t="s">
        <v>614</v>
      </c>
      <c r="C44" s="1"/>
      <c r="D44" s="1"/>
      <c r="E44" s="60">
        <f ca="1">IF(VCR=12,VLOOKUP(183,DATA_AN_TRA,15,FALSE)+VLOOKUP(184,DATA_AN_TRA,15,FALSE)+VLOOKUP(185,DATA_AN_TRA,15,FALSE)+VLOOKUP(186,DATA_AN_TRA,15,FALSE),VLOOKUP(183,DATA_A_TRA,VCR+3,FALSE)+VLOOKUP(184,DATA_A_TRA,VCR+3,FALSE)+VLOOKUP(185,DATA_A_TRA,VCR+3,FALSE)+VLOOKUP(186,DATA_A_TRA,VCR+3,FALSE))</f>
        <v>0</v>
      </c>
      <c r="F44" s="227" t="e">
        <f ca="1">IF(E44&lt;&gt;0,E44*100/E43,NA())</f>
        <v>#N/A</v>
      </c>
      <c r="J44" s="913"/>
      <c r="K44">
        <v>38</v>
      </c>
      <c r="L44" s="31" t="s">
        <v>780</v>
      </c>
      <c r="M44" s="604">
        <f t="shared" ca="1" si="1"/>
        <v>3</v>
      </c>
    </row>
    <row r="45" spans="2:13" x14ac:dyDescent="0.25">
      <c r="B45" s="46" t="s">
        <v>615</v>
      </c>
      <c r="E45" s="28">
        <f ca="1">IF(VCR=12,VLOOKUP(187,DATA_AN_TRA,15,FALSE)+VLOOKUP(188,DATA_AN_TRA,15,FALSE)+VLOOKUP(189,DATA_AN_TRA,15,FALSE),VLOOKUP(187,DATA_A_TRA,VCR+3,FALSE)+VLOOKUP(188,DATA_A_TRA,VCR+3,FALSE)+VLOOKUP(189,DATA_A_TRA,VCR+3,FALSE))</f>
        <v>0</v>
      </c>
      <c r="F45" s="230" t="e">
        <f ca="1">IF(E45&lt;&gt;0,E45*100/E43,NA())</f>
        <v>#N/A</v>
      </c>
      <c r="J45" s="913"/>
      <c r="K45">
        <v>37</v>
      </c>
      <c r="L45" s="31" t="s">
        <v>781</v>
      </c>
      <c r="M45" s="604">
        <f t="shared" ca="1" si="1"/>
        <v>6</v>
      </c>
    </row>
    <row r="46" spans="2:13" x14ac:dyDescent="0.25">
      <c r="B46" s="46" t="s">
        <v>616</v>
      </c>
      <c r="E46" s="28">
        <f ca="1">IF(VCR=12,VLOOKUP(190,DATA_AN_TRA,15,FALSE)+VLOOKUP(191,DATA_AN_TRA,15,FALSE)+VLOOKUP(192,DATA_AN_TRA,15,FALSE)+VLOOKUP(193,DATA_AN_TRA,15,FALSE),VLOOKUP(190,DATA_A_TRA,VCR+3,FALSE)+VLOOKUP(191,DATA_A_TRA,VCR+3,FALSE)+VLOOKUP(192,DATA_A_TRA,VCR+3,FALSE)+VLOOKUP(193,DATA_A_TRA,VCR+3,FALSE))</f>
        <v>0</v>
      </c>
      <c r="F46" s="230" t="e">
        <f ca="1">IF(E46&lt;&gt;0,E46*100/E43,NA())</f>
        <v>#N/A</v>
      </c>
      <c r="J46" s="913"/>
      <c r="K46">
        <v>36</v>
      </c>
      <c r="L46" s="31" t="s">
        <v>782</v>
      </c>
      <c r="M46" s="604">
        <f t="shared" ca="1" si="1"/>
        <v>0</v>
      </c>
    </row>
    <row r="47" spans="2:13" ht="15.75" thickBot="1" x14ac:dyDescent="0.3">
      <c r="B47" s="43" t="s">
        <v>879</v>
      </c>
      <c r="C47" s="4"/>
      <c r="D47" s="4"/>
      <c r="E47" s="63">
        <f ca="1">IF(VCR=12,VLOOKUP(194,DATA_AN_TRA,15,FALSE),VLOOKUP(194,DATA_A_TRA,VCR+3,FALSE))</f>
        <v>0</v>
      </c>
      <c r="F47" s="228" t="e">
        <f ca="1">IF(E47&lt;&gt;0,E47*100/E43,NA())</f>
        <v>#N/A</v>
      </c>
      <c r="J47" s="913"/>
    </row>
    <row r="48" spans="2:13" x14ac:dyDescent="0.25">
      <c r="J48" s="913"/>
      <c r="K48" s="926" t="s">
        <v>614</v>
      </c>
      <c r="L48" s="926"/>
      <c r="M48" s="544">
        <f ca="1">100-M49</f>
        <v>29.357798165137609</v>
      </c>
    </row>
    <row r="49" spans="10:13" x14ac:dyDescent="0.25">
      <c r="J49" s="913"/>
      <c r="L49" t="s">
        <v>615</v>
      </c>
      <c r="M49" s="544">
        <f ca="1">IF(VCR=12,(VLOOKUP(41,DATA_A1_MAIN,15,FALSE)*100)/CR_TOTR,(VLOOKUP(41,DATA_A_MAIN,VCR+3,FALSE)*100)/CR_TOTR)</f>
        <v>70.642201834862391</v>
      </c>
    </row>
    <row r="50" spans="10:13" x14ac:dyDescent="0.25">
      <c r="J50" s="913"/>
    </row>
    <row r="51" spans="10:13" x14ac:dyDescent="0.25">
      <c r="J51" s="913"/>
    </row>
    <row r="52" spans="10:13" x14ac:dyDescent="0.25">
      <c r="J52" s="913"/>
    </row>
    <row r="53" spans="10:13" x14ac:dyDescent="0.25">
      <c r="J53" s="913"/>
    </row>
    <row r="54" spans="10:13" x14ac:dyDescent="0.25">
      <c r="J54" s="913"/>
    </row>
    <row r="55" spans="10:13" x14ac:dyDescent="0.25">
      <c r="J55" s="913"/>
      <c r="L55" s="31" t="s">
        <v>770</v>
      </c>
      <c r="M55" s="162">
        <f ca="1">VLOOKUP(111,DATA_A_FAC,VCR+3,FALSE)</f>
        <v>7</v>
      </c>
    </row>
    <row r="56" spans="10:13" x14ac:dyDescent="0.25">
      <c r="J56" s="913"/>
      <c r="L56" s="31" t="s">
        <v>771</v>
      </c>
      <c r="M56" s="162">
        <f ca="1">VLOOKUP(26,DATA_A_MAIN,VCR+3,FALSE)+VLOOKUP(27,DATA_A_MAIN,VCR+3,FALSE)</f>
        <v>13</v>
      </c>
    </row>
    <row r="57" spans="10:13" x14ac:dyDescent="0.25">
      <c r="J57" s="913"/>
      <c r="L57" s="31"/>
    </row>
    <row r="58" spans="10:13" x14ac:dyDescent="0.25">
      <c r="J58" s="913"/>
      <c r="L58" s="31" t="s">
        <v>773</v>
      </c>
      <c r="M58" s="162">
        <f ca="1">VLOOKUP(43,DATA_A_MAIN,VCR+3,FALSE)+VLOOKUP(44,DATA_A_MAIN,VCR+3,FALSE)+VLOOKUP(45,DATA_A_MAIN,VCR+3,FALSE)+VLOOKUP(46,DATA_A_MAIN,VCR+3,FALSE)</f>
        <v>2</v>
      </c>
    </row>
    <row r="59" spans="10:13" x14ac:dyDescent="0.25">
      <c r="J59" s="913"/>
      <c r="L59" s="31" t="s">
        <v>774</v>
      </c>
      <c r="M59" s="162">
        <f ca="1">VLOOKUP(47,DATA_A_MAIN,VCR+3,FALSE)+VLOOKUP(48,DATA_A_MAIN,VCR+3,FALSE)+VLOOKUP(49,DATA_A_MAIN,VCR+3,FALSE)+VLOOKUP(50,DATA_A_MAIN,VCR+3,FALSE)+VLOOKUP(51,DATA_A_MAIN,VCR+3,FALSE)+VLOOKUP(52,DATA_A_MAIN,VCR+3,FALSE)+VLOOKUP(53,DATA_A_MAIN,VCR+3,FALSE)</f>
        <v>0</v>
      </c>
    </row>
    <row r="60" spans="10:13" x14ac:dyDescent="0.25">
      <c r="J60" s="913"/>
    </row>
    <row r="61" spans="10:13" x14ac:dyDescent="0.25">
      <c r="J61" s="913"/>
    </row>
    <row r="62" spans="10:13" x14ac:dyDescent="0.25">
      <c r="J62" s="913"/>
    </row>
    <row r="63" spans="10:13" x14ac:dyDescent="0.25">
      <c r="J63" s="913"/>
      <c r="L63" s="31" t="s">
        <v>783</v>
      </c>
      <c r="M63" s="162">
        <f ca="1">VLOOKUP(VCR,LOG_ST!C7:D18,2,FALSE)</f>
        <v>8</v>
      </c>
    </row>
    <row r="64" spans="10:13" x14ac:dyDescent="0.25">
      <c r="J64" s="913"/>
      <c r="L64" s="31" t="s">
        <v>784</v>
      </c>
      <c r="M64" s="162">
        <f ca="1">VLOOKUP(VCR,LOG_ST!C141:D152,2,FALSE)</f>
        <v>0.25</v>
      </c>
    </row>
    <row r="65" spans="10:16" x14ac:dyDescent="0.25">
      <c r="J65" s="913"/>
      <c r="L65" s="555" t="s">
        <v>784</v>
      </c>
      <c r="M65" s="554">
        <f ca="1">IF(VCR=1,LOG_ST!D153,VLOOKUP(VCR-1,LOG_ST!C142:D153,2,FALSE))</f>
        <v>0</v>
      </c>
    </row>
    <row r="66" spans="10:16" x14ac:dyDescent="0.25">
      <c r="J66" s="913"/>
    </row>
    <row r="67" spans="10:16" ht="15.75" thickBot="1" x14ac:dyDescent="0.3">
      <c r="J67" s="914"/>
    </row>
    <row r="68" spans="10:16" x14ac:dyDescent="0.25">
      <c r="J68" s="912" t="s">
        <v>1006</v>
      </c>
    </row>
    <row r="69" spans="10:16" x14ac:dyDescent="0.25">
      <c r="J69" s="913"/>
      <c r="L69" s="556" t="s">
        <v>789</v>
      </c>
      <c r="M69" s="557">
        <v>25</v>
      </c>
      <c r="N69" s="558"/>
      <c r="O69" s="556" t="s">
        <v>797</v>
      </c>
      <c r="P69" s="557">
        <v>65</v>
      </c>
    </row>
    <row r="70" spans="10:16" x14ac:dyDescent="0.25">
      <c r="J70" s="913"/>
      <c r="L70" s="556" t="s">
        <v>790</v>
      </c>
      <c r="M70" s="557">
        <f ca="1">IF(VCR=12,'LOG_ANNUEL_A-1'!Q225,LOG_ANNUEL!Q225)</f>
        <v>15</v>
      </c>
      <c r="N70" s="558"/>
      <c r="O70" s="556" t="s">
        <v>798</v>
      </c>
      <c r="P70" s="557">
        <f ca="1">IF(MOIS_M=1,'LOG_ANNUEL_A-1'!Q257,LOG_ANNUEL!Q257)</f>
        <v>65</v>
      </c>
    </row>
    <row r="71" spans="10:16" x14ac:dyDescent="0.25">
      <c r="J71" s="913"/>
      <c r="L71" s="556" t="s">
        <v>791</v>
      </c>
      <c r="M71" s="557">
        <v>31</v>
      </c>
      <c r="N71" s="558"/>
      <c r="O71" s="556" t="s">
        <v>799</v>
      </c>
      <c r="P71" s="557">
        <v>1</v>
      </c>
    </row>
    <row r="72" spans="10:16" x14ac:dyDescent="0.25">
      <c r="J72" s="913"/>
      <c r="L72" s="556" t="s">
        <v>792</v>
      </c>
      <c r="M72" s="557">
        <v>31</v>
      </c>
      <c r="N72" s="558"/>
      <c r="O72" s="556" t="s">
        <v>800</v>
      </c>
      <c r="P72" s="557">
        <f ca="1">IF(MOIS_M=1,'LOG_ANNUEL_A-1'!Q258,LOG_ANNUEL!Q258)</f>
        <v>1</v>
      </c>
    </row>
    <row r="73" spans="10:16" x14ac:dyDescent="0.25">
      <c r="J73" s="913"/>
      <c r="L73" s="556" t="s">
        <v>793</v>
      </c>
      <c r="M73" s="557">
        <v>5</v>
      </c>
      <c r="N73" s="558"/>
      <c r="O73" s="556" t="s">
        <v>801</v>
      </c>
      <c r="P73" s="557">
        <v>10</v>
      </c>
    </row>
    <row r="74" spans="10:16" x14ac:dyDescent="0.25">
      <c r="J74" s="913"/>
      <c r="L74" s="556" t="s">
        <v>794</v>
      </c>
      <c r="M74" s="557">
        <v>5</v>
      </c>
      <c r="N74" s="558"/>
      <c r="O74" s="556" t="s">
        <v>802</v>
      </c>
      <c r="P74" s="557">
        <f ca="1">IF(MOIS_M=1,'LOG_ANNUEL_A-1'!Q259,LOG_ANNUEL!Q259)</f>
        <v>10</v>
      </c>
    </row>
    <row r="75" spans="10:16" x14ac:dyDescent="0.25">
      <c r="J75" s="913"/>
      <c r="L75" s="556" t="s">
        <v>795</v>
      </c>
      <c r="M75" s="557">
        <v>22</v>
      </c>
      <c r="N75" s="558"/>
      <c r="O75" s="556" t="s">
        <v>803</v>
      </c>
      <c r="P75" s="557">
        <v>108</v>
      </c>
    </row>
    <row r="76" spans="10:16" x14ac:dyDescent="0.25">
      <c r="J76" s="913"/>
      <c r="L76" s="556" t="s">
        <v>796</v>
      </c>
      <c r="M76" s="557">
        <v>22</v>
      </c>
      <c r="N76" s="558"/>
      <c r="O76" s="556" t="s">
        <v>804</v>
      </c>
      <c r="P76" s="557">
        <f ca="1">IF(MOIS_M=1,'LOG_ANNUEL_A-1'!Q260,LOG_ANNUEL!Q260)</f>
        <v>108</v>
      </c>
    </row>
    <row r="77" spans="10:16" x14ac:dyDescent="0.25">
      <c r="J77" s="913"/>
      <c r="L77" s="558"/>
      <c r="M77" s="558"/>
      <c r="N77" s="558"/>
      <c r="O77" s="556" t="s">
        <v>805</v>
      </c>
      <c r="P77" s="557">
        <v>73</v>
      </c>
    </row>
    <row r="78" spans="10:16" x14ac:dyDescent="0.25">
      <c r="J78" s="913"/>
      <c r="L78" s="558"/>
      <c r="M78" s="558"/>
      <c r="N78" s="558"/>
      <c r="O78" s="558"/>
      <c r="P78" s="558"/>
    </row>
    <row r="79" spans="10:16" x14ac:dyDescent="0.25">
      <c r="J79" s="913"/>
    </row>
    <row r="80" spans="10:16" x14ac:dyDescent="0.25">
      <c r="J80" s="913"/>
    </row>
    <row r="81" spans="10:14" x14ac:dyDescent="0.25">
      <c r="J81" s="913"/>
    </row>
    <row r="82" spans="10:14" x14ac:dyDescent="0.25">
      <c r="J82" s="913"/>
    </row>
    <row r="83" spans="10:14" x14ac:dyDescent="0.25">
      <c r="J83" s="913"/>
    </row>
    <row r="84" spans="10:14" x14ac:dyDescent="0.25">
      <c r="J84" s="913"/>
    </row>
    <row r="85" spans="10:14" x14ac:dyDescent="0.25">
      <c r="J85" s="913"/>
    </row>
    <row r="86" spans="10:14" x14ac:dyDescent="0.25">
      <c r="J86" s="913"/>
    </row>
    <row r="87" spans="10:14" x14ac:dyDescent="0.25">
      <c r="J87" s="913"/>
    </row>
    <row r="88" spans="10:14" x14ac:dyDescent="0.25">
      <c r="J88" s="913"/>
    </row>
    <row r="89" spans="10:14" x14ac:dyDescent="0.25">
      <c r="J89" s="913"/>
    </row>
    <row r="90" spans="10:14" x14ac:dyDescent="0.25">
      <c r="J90" s="913"/>
    </row>
    <row r="91" spans="10:14" x14ac:dyDescent="0.25">
      <c r="J91" s="913"/>
    </row>
    <row r="92" spans="10:14" x14ac:dyDescent="0.25">
      <c r="J92" s="913"/>
    </row>
    <row r="93" spans="10:14" x14ac:dyDescent="0.25">
      <c r="J93" s="913"/>
      <c r="L93" s="556" t="s">
        <v>785</v>
      </c>
      <c r="M93" s="557">
        <f ca="1">IF(VCR=12,VLOOKUP(145,DATA_AN_MAA,15,FALSE),VLOOKUP(145,DATA_A_MAA,VCR+3,FALSE))</f>
        <v>1</v>
      </c>
      <c r="N93" s="558"/>
    </row>
    <row r="94" spans="10:14" x14ac:dyDescent="0.25">
      <c r="J94" s="913"/>
      <c r="L94" s="556" t="s">
        <v>786</v>
      </c>
      <c r="M94" s="557">
        <f ca="1">IF(VCR=12,VLOOKUP(146,DATA_AN_MAA,15,FALSE),VLOOKUP(146,DATA_A_MAA,VCR+3,FALSE))</f>
        <v>8</v>
      </c>
      <c r="N94" s="558"/>
    </row>
    <row r="95" spans="10:14" x14ac:dyDescent="0.25">
      <c r="J95" s="913"/>
      <c r="L95" s="556" t="s">
        <v>787</v>
      </c>
      <c r="M95" s="557">
        <f ca="1">IF(VCR=12,VLOOKUP(147,DATA_AN_MAA,15,FALSE),VLOOKUP(147,DATA_A_MAA,VCR+3,FALSE))</f>
        <v>0</v>
      </c>
      <c r="N95" s="558"/>
    </row>
    <row r="96" spans="10:14" x14ac:dyDescent="0.25">
      <c r="J96" s="913"/>
      <c r="L96" s="556" t="s">
        <v>788</v>
      </c>
      <c r="M96" s="557">
        <f ca="1">IF(VCR=12,VLOOKUP(149,DATA_AN_MAA,15,FALSE),VLOOKUP(149,DATA_A_MAA,VCR+3,FALSE))</f>
        <v>2</v>
      </c>
      <c r="N96" s="559" t="str">
        <f ca="1">IF(VCR=12,VLOOKUP(150,DATA_AN_MAA,15,FALSE)&amp;"/"&amp;VLOOKUP(151,DATA_AN_MAA,15,FALSE),VLOOKUP(150,DATA_A_MAA,VCR+3,FALSE)&amp;"/"&amp;VLOOKUP(151,DATA_A_MAA,VCR+3,FALSE))</f>
        <v>0/20</v>
      </c>
    </row>
    <row r="97" spans="10:10" x14ac:dyDescent="0.25">
      <c r="J97" s="913"/>
    </row>
    <row r="98" spans="10:10" x14ac:dyDescent="0.25">
      <c r="J98" s="913"/>
    </row>
    <row r="99" spans="10:10" ht="15.75" thickBot="1" x14ac:dyDescent="0.3">
      <c r="J99" s="914"/>
    </row>
  </sheetData>
  <mergeCells count="34">
    <mergeCell ref="J36:J67"/>
    <mergeCell ref="C14:I14"/>
    <mergeCell ref="C9:I9"/>
    <mergeCell ref="C10:I10"/>
    <mergeCell ref="C11:I11"/>
    <mergeCell ref="C12:I12"/>
    <mergeCell ref="C13:I13"/>
    <mergeCell ref="B42:C42"/>
    <mergeCell ref="B37:C37"/>
    <mergeCell ref="B38:C38"/>
    <mergeCell ref="B39:C39"/>
    <mergeCell ref="B40:C40"/>
    <mergeCell ref="B41:C41"/>
    <mergeCell ref="L6:M6"/>
    <mergeCell ref="L12:M12"/>
    <mergeCell ref="K4:S4"/>
    <mergeCell ref="S12:T12"/>
    <mergeCell ref="K48:L48"/>
    <mergeCell ref="J68:J99"/>
    <mergeCell ref="J5:J35"/>
    <mergeCell ref="B2:I3"/>
    <mergeCell ref="K2:S3"/>
    <mergeCell ref="L13:M13"/>
    <mergeCell ref="L14:M14"/>
    <mergeCell ref="L15:M15"/>
    <mergeCell ref="L7:M7"/>
    <mergeCell ref="L8:M8"/>
    <mergeCell ref="L9:M9"/>
    <mergeCell ref="L10:M10"/>
    <mergeCell ref="L11:M11"/>
    <mergeCell ref="B4:I4"/>
    <mergeCell ref="C6:I6"/>
    <mergeCell ref="C7:I7"/>
    <mergeCell ref="C8:I8"/>
  </mergeCell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5:K284"/>
  <sheetViews>
    <sheetView topLeftCell="A65" workbookViewId="0">
      <selection activeCell="G74" sqref="G74"/>
    </sheetView>
  </sheetViews>
  <sheetFormatPr baseColWidth="10" defaultRowHeight="15" x14ac:dyDescent="0.25"/>
  <cols>
    <col min="11" max="11" width="3.28515625" bestFit="1" customWidth="1"/>
  </cols>
  <sheetData>
    <row r="5" spans="1:11" ht="15.75" thickBot="1" x14ac:dyDescent="0.3">
      <c r="E5" s="31" t="s">
        <v>993</v>
      </c>
      <c r="F5" s="31" t="s">
        <v>994</v>
      </c>
      <c r="G5" s="31" t="s">
        <v>998</v>
      </c>
      <c r="H5" s="31" t="s">
        <v>995</v>
      </c>
      <c r="I5" s="31" t="s">
        <v>996</v>
      </c>
      <c r="J5" s="31" t="s">
        <v>999</v>
      </c>
      <c r="K5" s="31" t="s">
        <v>828</v>
      </c>
    </row>
    <row r="6" spans="1:11" ht="15.75" thickBot="1" x14ac:dyDescent="0.3">
      <c r="C6" s="806" t="s">
        <v>1</v>
      </c>
      <c r="D6" s="807"/>
      <c r="E6">
        <f ca="1">DAY(TODAY())</f>
        <v>9</v>
      </c>
      <c r="F6">
        <v>9</v>
      </c>
      <c r="H6">
        <f ca="1">VCR</f>
        <v>1</v>
      </c>
    </row>
    <row r="7" spans="1:11" ht="15.75" thickBot="1" x14ac:dyDescent="0.3">
      <c r="A7" s="157">
        <f>ROW(A7)</f>
        <v>7</v>
      </c>
      <c r="B7" s="41">
        <v>1</v>
      </c>
      <c r="C7" s="677" t="s">
        <v>2</v>
      </c>
      <c r="D7" s="728"/>
      <c r="E7" s="28" t="str">
        <f ca="1">ADDRESS(A7,$E$6+4)</f>
        <v>$M$7</v>
      </c>
      <c r="F7" s="28" t="str">
        <f t="shared" ref="F7:F17" si="0">ADDRESS(A7,$F$6+4)</f>
        <v>$M$7</v>
      </c>
      <c r="G7" s="28">
        <f t="shared" ref="G7:G17" si="1">IF(OR($F$6=0,$F$6=""),"",VLOOKUP($B7,DATA_M_MAIN,$F$6+3,FALSE))</f>
        <v>3</v>
      </c>
      <c r="H7" s="28" t="str">
        <f t="shared" ref="H7:H17" ca="1" si="2">ADDRESS(B7+7,VCR+4)</f>
        <v>$E$8</v>
      </c>
      <c r="I7" s="28" t="str">
        <f t="shared" ref="I7:I17" si="3">ADDRESS($B7+7,$I$6+4)</f>
        <v>$D$8</v>
      </c>
      <c r="J7" s="28" t="str">
        <f t="shared" ref="J7:J17" si="4">IF(OR($I$6=0,$I$6=""),"",VLOOKUP($B7,DATA_A_MAIN,$I$6+3,FALSE))</f>
        <v/>
      </c>
      <c r="K7" s="28">
        <f t="shared" ref="K7:K17" si="5">IF(OR(AND(G7&lt;&gt;"",G7&lt;&gt;0),AND(J7&lt;&gt;"",J7&lt;&gt;0)),1,0)</f>
        <v>1</v>
      </c>
    </row>
    <row r="8" spans="1:11" ht="15.75" thickBot="1" x14ac:dyDescent="0.3">
      <c r="A8" s="157">
        <f t="shared" ref="A8:A71" si="6">ROW(A8)</f>
        <v>8</v>
      </c>
      <c r="B8" s="74">
        <v>2</v>
      </c>
      <c r="C8" s="923" t="s">
        <v>3</v>
      </c>
      <c r="D8" s="750"/>
      <c r="E8" s="28" t="str">
        <f t="shared" ref="E8:E71" ca="1" si="7">ADDRESS(A8,$E$6+4)</f>
        <v>$M$8</v>
      </c>
      <c r="F8" s="28" t="str">
        <f t="shared" si="0"/>
        <v>$M$8</v>
      </c>
      <c r="G8" s="28">
        <f t="shared" si="1"/>
        <v>0</v>
      </c>
      <c r="H8" s="28" t="str">
        <f t="shared" ca="1" si="2"/>
        <v>$E$9</v>
      </c>
      <c r="I8" s="28" t="str">
        <f t="shared" si="3"/>
        <v>$D$9</v>
      </c>
      <c r="J8" s="28" t="str">
        <f t="shared" si="4"/>
        <v/>
      </c>
      <c r="K8" s="28">
        <f t="shared" si="5"/>
        <v>0</v>
      </c>
    </row>
    <row r="9" spans="1:11" x14ac:dyDescent="0.25">
      <c r="A9" s="157">
        <f t="shared" si="6"/>
        <v>9</v>
      </c>
      <c r="B9" s="74">
        <v>3</v>
      </c>
      <c r="C9" s="942" t="s">
        <v>23</v>
      </c>
      <c r="D9" s="772"/>
      <c r="E9" s="28" t="str">
        <f t="shared" ca="1" si="7"/>
        <v>$M$9</v>
      </c>
      <c r="F9" s="28" t="str">
        <f t="shared" si="0"/>
        <v>$M$9</v>
      </c>
      <c r="G9" s="28">
        <f t="shared" si="1"/>
        <v>0</v>
      </c>
      <c r="H9" s="28" t="str">
        <f t="shared" ca="1" si="2"/>
        <v>$E$10</v>
      </c>
      <c r="I9" s="28" t="str">
        <f t="shared" si="3"/>
        <v>$D$10</v>
      </c>
      <c r="J9" s="28" t="str">
        <f t="shared" si="4"/>
        <v/>
      </c>
      <c r="K9" s="28">
        <f t="shared" si="5"/>
        <v>0</v>
      </c>
    </row>
    <row r="10" spans="1:11" x14ac:dyDescent="0.25">
      <c r="A10" s="157">
        <f t="shared" si="6"/>
        <v>10</v>
      </c>
      <c r="B10" s="74">
        <v>4</v>
      </c>
      <c r="C10" s="943" t="s">
        <v>24</v>
      </c>
      <c r="D10" s="774"/>
      <c r="E10" s="28" t="str">
        <f t="shared" ca="1" si="7"/>
        <v>$M$10</v>
      </c>
      <c r="F10" s="28" t="str">
        <f t="shared" si="0"/>
        <v>$M$10</v>
      </c>
      <c r="G10" s="28">
        <f t="shared" si="1"/>
        <v>0</v>
      </c>
      <c r="H10" s="28" t="str">
        <f t="shared" ca="1" si="2"/>
        <v>$E$11</v>
      </c>
      <c r="I10" s="28" t="str">
        <f t="shared" si="3"/>
        <v>$D$11</v>
      </c>
      <c r="J10" s="28" t="str">
        <f t="shared" si="4"/>
        <v/>
      </c>
      <c r="K10" s="28">
        <f t="shared" si="5"/>
        <v>0</v>
      </c>
    </row>
    <row r="11" spans="1:11" x14ac:dyDescent="0.25">
      <c r="A11" s="157">
        <f t="shared" si="6"/>
        <v>11</v>
      </c>
      <c r="B11" s="74">
        <v>5</v>
      </c>
      <c r="C11" s="943" t="s">
        <v>25</v>
      </c>
      <c r="D11" s="774"/>
      <c r="E11" s="28" t="str">
        <f t="shared" ca="1" si="7"/>
        <v>$M$11</v>
      </c>
      <c r="F11" s="28" t="str">
        <f t="shared" si="0"/>
        <v>$M$11</v>
      </c>
      <c r="G11" s="28">
        <f t="shared" si="1"/>
        <v>0</v>
      </c>
      <c r="H11" s="28" t="str">
        <f t="shared" ca="1" si="2"/>
        <v>$E$12</v>
      </c>
      <c r="I11" s="28" t="str">
        <f t="shared" si="3"/>
        <v>$D$12</v>
      </c>
      <c r="J11" s="28" t="str">
        <f t="shared" si="4"/>
        <v/>
      </c>
      <c r="K11" s="28">
        <f t="shared" si="5"/>
        <v>0</v>
      </c>
    </row>
    <row r="12" spans="1:11" x14ac:dyDescent="0.25">
      <c r="A12" s="157">
        <f t="shared" si="6"/>
        <v>12</v>
      </c>
      <c r="B12" s="74">
        <v>6</v>
      </c>
      <c r="C12" s="943" t="s">
        <v>26</v>
      </c>
      <c r="D12" s="774"/>
      <c r="E12" s="28" t="str">
        <f t="shared" ca="1" si="7"/>
        <v>$M$12</v>
      </c>
      <c r="F12" s="28" t="str">
        <f t="shared" si="0"/>
        <v>$M$12</v>
      </c>
      <c r="G12" s="28">
        <f t="shared" si="1"/>
        <v>0</v>
      </c>
      <c r="H12" s="28" t="str">
        <f t="shared" ca="1" si="2"/>
        <v>$E$13</v>
      </c>
      <c r="I12" s="28" t="str">
        <f t="shared" si="3"/>
        <v>$D$13</v>
      </c>
      <c r="J12" s="28" t="str">
        <f t="shared" si="4"/>
        <v/>
      </c>
      <c r="K12" s="28">
        <f t="shared" si="5"/>
        <v>0</v>
      </c>
    </row>
    <row r="13" spans="1:11" x14ac:dyDescent="0.25">
      <c r="A13" s="157">
        <f t="shared" si="6"/>
        <v>13</v>
      </c>
      <c r="B13" s="74">
        <v>7</v>
      </c>
      <c r="C13" s="943" t="s">
        <v>27</v>
      </c>
      <c r="D13" s="774"/>
      <c r="E13" s="28" t="str">
        <f t="shared" ca="1" si="7"/>
        <v>$M$13</v>
      </c>
      <c r="F13" s="28" t="str">
        <f t="shared" si="0"/>
        <v>$M$13</v>
      </c>
      <c r="G13" s="28">
        <f t="shared" si="1"/>
        <v>0</v>
      </c>
      <c r="H13" s="28" t="str">
        <f t="shared" ca="1" si="2"/>
        <v>$E$14</v>
      </c>
      <c r="I13" s="28" t="str">
        <f t="shared" si="3"/>
        <v>$D$14</v>
      </c>
      <c r="J13" s="28" t="str">
        <f t="shared" si="4"/>
        <v/>
      </c>
      <c r="K13" s="28">
        <f t="shared" si="5"/>
        <v>0</v>
      </c>
    </row>
    <row r="14" spans="1:11" x14ac:dyDescent="0.25">
      <c r="A14" s="157">
        <f t="shared" si="6"/>
        <v>14</v>
      </c>
      <c r="B14" s="74">
        <v>8</v>
      </c>
      <c r="C14" s="943" t="s">
        <v>28</v>
      </c>
      <c r="D14" s="774"/>
      <c r="E14" s="28" t="str">
        <f t="shared" ca="1" si="7"/>
        <v>$M$14</v>
      </c>
      <c r="F14" s="28" t="str">
        <f t="shared" si="0"/>
        <v>$M$14</v>
      </c>
      <c r="G14" s="28">
        <f t="shared" si="1"/>
        <v>0</v>
      </c>
      <c r="H14" s="28" t="str">
        <f t="shared" ca="1" si="2"/>
        <v>$E$15</v>
      </c>
      <c r="I14" s="28" t="str">
        <f t="shared" si="3"/>
        <v>$D$15</v>
      </c>
      <c r="J14" s="28" t="str">
        <f t="shared" si="4"/>
        <v/>
      </c>
      <c r="K14" s="28">
        <f t="shared" si="5"/>
        <v>0</v>
      </c>
    </row>
    <row r="15" spans="1:11" x14ac:dyDescent="0.25">
      <c r="A15" s="157">
        <f t="shared" si="6"/>
        <v>15</v>
      </c>
      <c r="B15" s="74">
        <v>9</v>
      </c>
      <c r="C15" s="943" t="s">
        <v>29</v>
      </c>
      <c r="D15" s="774"/>
      <c r="E15" s="28" t="str">
        <f t="shared" ca="1" si="7"/>
        <v>$M$15</v>
      </c>
      <c r="F15" s="28" t="str">
        <f t="shared" si="0"/>
        <v>$M$15</v>
      </c>
      <c r="G15" s="28">
        <f t="shared" si="1"/>
        <v>0</v>
      </c>
      <c r="H15" s="28" t="str">
        <f t="shared" ca="1" si="2"/>
        <v>$E$16</v>
      </c>
      <c r="I15" s="28" t="str">
        <f t="shared" si="3"/>
        <v>$D$16</v>
      </c>
      <c r="J15" s="28" t="str">
        <f t="shared" si="4"/>
        <v/>
      </c>
      <c r="K15" s="28">
        <f t="shared" si="5"/>
        <v>0</v>
      </c>
    </row>
    <row r="16" spans="1:11" x14ac:dyDescent="0.25">
      <c r="A16" s="157">
        <f t="shared" si="6"/>
        <v>16</v>
      </c>
      <c r="B16" s="74">
        <v>10</v>
      </c>
      <c r="C16" s="943" t="s">
        <v>30</v>
      </c>
      <c r="D16" s="774"/>
      <c r="E16" s="28" t="str">
        <f t="shared" ca="1" si="7"/>
        <v>$M$16</v>
      </c>
      <c r="F16" s="28" t="str">
        <f t="shared" si="0"/>
        <v>$M$16</v>
      </c>
      <c r="G16" s="28">
        <f t="shared" si="1"/>
        <v>0</v>
      </c>
      <c r="H16" s="28" t="str">
        <f t="shared" ca="1" si="2"/>
        <v>$E$17</v>
      </c>
      <c r="I16" s="28" t="str">
        <f t="shared" si="3"/>
        <v>$D$17</v>
      </c>
      <c r="J16" s="28" t="str">
        <f t="shared" si="4"/>
        <v/>
      </c>
      <c r="K16" s="28">
        <f t="shared" si="5"/>
        <v>0</v>
      </c>
    </row>
    <row r="17" spans="1:11" ht="15.75" thickBot="1" x14ac:dyDescent="0.3">
      <c r="A17" s="157">
        <f t="shared" si="6"/>
        <v>17</v>
      </c>
      <c r="B17" s="74">
        <v>11</v>
      </c>
      <c r="C17" s="944" t="s">
        <v>31</v>
      </c>
      <c r="D17" s="782"/>
      <c r="E17" s="28" t="str">
        <f t="shared" ca="1" si="7"/>
        <v>$M$17</v>
      </c>
      <c r="F17" s="28" t="str">
        <f t="shared" si="0"/>
        <v>$M$17</v>
      </c>
      <c r="G17" s="28">
        <f t="shared" si="1"/>
        <v>0</v>
      </c>
      <c r="H17" s="28" t="str">
        <f t="shared" ca="1" si="2"/>
        <v>$E$18</v>
      </c>
      <c r="I17" s="28" t="str">
        <f t="shared" si="3"/>
        <v>$D$18</v>
      </c>
      <c r="J17" s="28" t="str">
        <f t="shared" si="4"/>
        <v/>
      </c>
      <c r="K17" s="28">
        <f t="shared" si="5"/>
        <v>0</v>
      </c>
    </row>
    <row r="18" spans="1:11" ht="15.75" thickBot="1" x14ac:dyDescent="0.3">
      <c r="A18" s="157">
        <f t="shared" si="6"/>
        <v>18</v>
      </c>
      <c r="B18" s="74"/>
      <c r="C18" s="939" t="s">
        <v>4</v>
      </c>
      <c r="D18" s="807"/>
      <c r="E18" s="170"/>
      <c r="F18" s="170"/>
      <c r="G18" s="170"/>
      <c r="H18" s="170"/>
      <c r="I18" s="170"/>
      <c r="J18" s="170"/>
      <c r="K18" s="170"/>
    </row>
    <row r="19" spans="1:11" x14ac:dyDescent="0.25">
      <c r="A19" s="157">
        <f t="shared" si="6"/>
        <v>19</v>
      </c>
      <c r="B19" s="74">
        <v>12</v>
      </c>
      <c r="C19" s="677" t="s">
        <v>5</v>
      </c>
      <c r="D19" s="728"/>
      <c r="E19" s="28" t="str">
        <f t="shared" ca="1" si="7"/>
        <v>$M$19</v>
      </c>
      <c r="F19" s="28" t="str">
        <f>ADDRESS(A19,$F$6+4)</f>
        <v>$M$19</v>
      </c>
      <c r="G19" s="28">
        <f>IF(OR($F$6=0,$F$6=""),"",VLOOKUP($B19,DATA_M_MAIN,$F$6+3,FALSE))</f>
        <v>1</v>
      </c>
      <c r="H19" s="28" t="str">
        <f ca="1">ADDRESS(B19+8,VCR+4)</f>
        <v>$E$20</v>
      </c>
      <c r="I19" s="28" t="str">
        <f>ADDRESS($B19+8,$I$6+4)</f>
        <v>$D$20</v>
      </c>
      <c r="J19" s="28" t="str">
        <f>IF(OR($I$6=0,$I$6=""),"",VLOOKUP($B19,DATA_A_MAIN,$I$6+3,FALSE))</f>
        <v/>
      </c>
      <c r="K19" s="28">
        <f>IF(OR(AND(G19&lt;&gt;"",G19&lt;&gt;0),AND(J19&lt;&gt;"",J19&lt;&gt;0)),1,0)</f>
        <v>1</v>
      </c>
    </row>
    <row r="20" spans="1:11" x14ac:dyDescent="0.25">
      <c r="A20" s="157">
        <f t="shared" si="6"/>
        <v>20</v>
      </c>
      <c r="B20" s="74">
        <v>13</v>
      </c>
      <c r="C20" s="677" t="s">
        <v>6</v>
      </c>
      <c r="D20" s="728"/>
      <c r="E20" s="28" t="str">
        <f t="shared" ca="1" si="7"/>
        <v>$M$20</v>
      </c>
      <c r="F20" s="28" t="str">
        <f>ADDRESS(A20,$F$6+4)</f>
        <v>$M$20</v>
      </c>
      <c r="G20" s="28">
        <f>IF(OR($F$6=0,$F$6=""),"",VLOOKUP($B20,DATA_M_MAIN,$F$6+3,FALSE))</f>
        <v>0</v>
      </c>
      <c r="H20" s="28" t="str">
        <f ca="1">ADDRESS(B20+8,VCR+4)</f>
        <v>$E$21</v>
      </c>
      <c r="I20" s="28" t="str">
        <f>ADDRESS($B20+8,$I$6+4)</f>
        <v>$D$21</v>
      </c>
      <c r="J20" s="28" t="str">
        <f>IF(OR($I$6=0,$I$6=""),"",VLOOKUP($B20,DATA_A_MAIN,$I$6+3,FALSE))</f>
        <v/>
      </c>
      <c r="K20" s="28">
        <f>IF(OR(AND(G20&lt;&gt;"",G20&lt;&gt;0),AND(J20&lt;&gt;"",J20&lt;&gt;0)),1,0)</f>
        <v>0</v>
      </c>
    </row>
    <row r="21" spans="1:11" ht="15.75" thickBot="1" x14ac:dyDescent="0.3">
      <c r="A21" s="157">
        <f t="shared" si="6"/>
        <v>21</v>
      </c>
      <c r="B21" s="74">
        <v>14</v>
      </c>
      <c r="C21" s="811" t="s">
        <v>352</v>
      </c>
      <c r="D21" s="744"/>
      <c r="E21" s="28" t="str">
        <f t="shared" ca="1" si="7"/>
        <v>$M$21</v>
      </c>
      <c r="F21" s="28" t="str">
        <f>ADDRESS(A21,$F$6+4)</f>
        <v>$M$21</v>
      </c>
      <c r="G21" s="28">
        <f>IF(OR($F$6=0,$F$6=""),"",VLOOKUP($B21,DATA_M_MAIN,$F$6+3,FALSE))</f>
        <v>0</v>
      </c>
      <c r="H21" s="28" t="str">
        <f ca="1">ADDRESS(B21+8,VCR+4)</f>
        <v>$E$22</v>
      </c>
      <c r="I21" s="28" t="str">
        <f>ADDRESS($B21+8,$I$6+4)</f>
        <v>$D$22</v>
      </c>
      <c r="J21" s="28" t="str">
        <f>IF(OR($I$6=0,$I$6=""),"",VLOOKUP($B21,DATA_A_MAIN,$I$6+3,FALSE))</f>
        <v/>
      </c>
      <c r="K21" s="28">
        <f>IF(OR(AND(G21&lt;&gt;"",G21&lt;&gt;0),AND(J21&lt;&gt;"",J21&lt;&gt;0)),1,0)</f>
        <v>0</v>
      </c>
    </row>
    <row r="22" spans="1:11" ht="15.75" thickBot="1" x14ac:dyDescent="0.3">
      <c r="A22" s="157">
        <f t="shared" si="6"/>
        <v>22</v>
      </c>
      <c r="B22" s="74">
        <v>15</v>
      </c>
      <c r="C22" s="63"/>
      <c r="D22" s="64" t="s">
        <v>353</v>
      </c>
      <c r="E22" s="28" t="str">
        <f t="shared" ca="1" si="7"/>
        <v>$M$22</v>
      </c>
      <c r="F22" s="28" t="str">
        <f>ADDRESS(A22,$F$6+4)</f>
        <v>$M$22</v>
      </c>
      <c r="G22" s="28">
        <f>IF(OR($F$6=0,$F$6=""),"",VLOOKUP($B22,DATA_M_MAIN,$F$6+3,FALSE))</f>
        <v>0</v>
      </c>
      <c r="H22" s="28"/>
      <c r="I22" s="28"/>
      <c r="J22" s="28"/>
      <c r="K22" s="28">
        <f>IF(OR(AND(G22&lt;&gt;"",G22&lt;&gt;0),AND(J22&lt;&gt;"",J22&lt;&gt;0)),1,0)</f>
        <v>0</v>
      </c>
    </row>
    <row r="23" spans="1:11" ht="15.75" thickBot="1" x14ac:dyDescent="0.3">
      <c r="A23" s="157">
        <f t="shared" si="6"/>
        <v>23</v>
      </c>
      <c r="B23" s="74"/>
      <c r="C23" s="939" t="s">
        <v>7</v>
      </c>
      <c r="D23" s="807"/>
      <c r="E23" s="170"/>
      <c r="F23" s="170"/>
      <c r="G23" s="170"/>
      <c r="H23" s="170"/>
      <c r="I23" s="170"/>
      <c r="J23" s="170"/>
      <c r="K23" s="170"/>
    </row>
    <row r="24" spans="1:11" x14ac:dyDescent="0.25">
      <c r="A24" s="157">
        <f t="shared" si="6"/>
        <v>24</v>
      </c>
      <c r="B24" s="74">
        <v>16</v>
      </c>
      <c r="C24" s="810" t="s">
        <v>8</v>
      </c>
      <c r="D24" s="738"/>
      <c r="E24" s="28" t="str">
        <f t="shared" ca="1" si="7"/>
        <v>$M$24</v>
      </c>
      <c r="F24" s="28" t="str">
        <f>ADDRESS(A24,$F$6+4)</f>
        <v>$M$24</v>
      </c>
      <c r="G24" s="28">
        <f>IF(OR($F$6=0,$F$6=""),"",VLOOKUP($B24,DATA_M_MAIN,$F$6+3,FALSE))</f>
        <v>0</v>
      </c>
      <c r="H24" s="28" t="str">
        <f ca="1">ADDRESS(B24+9,VCR+4)</f>
        <v>$E$25</v>
      </c>
      <c r="I24" s="28" t="str">
        <f>ADDRESS($B24+9,$I$6+4)</f>
        <v>$D$25</v>
      </c>
      <c r="J24" s="28" t="str">
        <f>IF(OR($I$6=0,$I$6=""),"",VLOOKUP($B24,DATA_A_MAIN,$I$6+3,FALSE))</f>
        <v/>
      </c>
      <c r="K24" s="28">
        <f t="shared" ref="K24:K29" si="8">IF(OR(AND(G24&lt;&gt;"",G24&lt;&gt;0),AND(J24&lt;&gt;"",J24&lt;&gt;0)),1,0)</f>
        <v>0</v>
      </c>
    </row>
    <row r="25" spans="1:11" x14ac:dyDescent="0.25">
      <c r="A25" s="157">
        <f t="shared" si="6"/>
        <v>25</v>
      </c>
      <c r="B25" s="74">
        <v>17</v>
      </c>
      <c r="C25" s="677" t="s">
        <v>9</v>
      </c>
      <c r="D25" s="728"/>
      <c r="E25" s="28" t="str">
        <f t="shared" ca="1" si="7"/>
        <v>$M$25</v>
      </c>
      <c r="F25" s="28" t="str">
        <f>ADDRESS(A25,$F$6+4)</f>
        <v>$M$25</v>
      </c>
      <c r="G25" s="28">
        <f>IF(OR($F$6=0,$F$6=""),"",VLOOKUP($B25,DATA_M_MAIN,$F$6+3,FALSE))</f>
        <v>0</v>
      </c>
      <c r="H25" s="28" t="str">
        <f ca="1">ADDRESS(B25+9,VCR+4)</f>
        <v>$E$26</v>
      </c>
      <c r="I25" s="28" t="str">
        <f>ADDRESS($B25+9,$I$6+4)</f>
        <v>$D$26</v>
      </c>
      <c r="J25" s="28" t="str">
        <f>IF(OR($I$6=0,$I$6=""),"",VLOOKUP($B25,DATA_A_MAIN,$I$6+3,FALSE))</f>
        <v/>
      </c>
      <c r="K25" s="28">
        <f t="shared" si="8"/>
        <v>0</v>
      </c>
    </row>
    <row r="26" spans="1:11" x14ac:dyDescent="0.25">
      <c r="A26" s="157">
        <f t="shared" si="6"/>
        <v>26</v>
      </c>
      <c r="B26" s="74">
        <v>18</v>
      </c>
      <c r="C26" s="677" t="s">
        <v>10</v>
      </c>
      <c r="D26" s="728"/>
      <c r="E26" s="28" t="str">
        <f t="shared" ca="1" si="7"/>
        <v>$M$26</v>
      </c>
      <c r="F26" s="28" t="str">
        <f>ADDRESS(A26,$F$6+4)</f>
        <v>$M$26</v>
      </c>
      <c r="G26" s="28">
        <f>IF(OR($F$6=0,$F$6=""),"",VLOOKUP($B26,DATA_M_MAIN,$F$6+3,FALSE))</f>
        <v>0</v>
      </c>
      <c r="H26" s="28" t="str">
        <f ca="1">ADDRESS(B26+9,VCR+4)</f>
        <v>$E$27</v>
      </c>
      <c r="I26" s="28" t="str">
        <f>ADDRESS($B26+9,$I$6+4)</f>
        <v>$D$27</v>
      </c>
      <c r="J26" s="28" t="str">
        <f>IF(OR($I$6=0,$I$6=""),"",VLOOKUP($B26,DATA_A_MAIN,$I$6+3,FALSE))</f>
        <v/>
      </c>
      <c r="K26" s="28">
        <f t="shared" si="8"/>
        <v>0</v>
      </c>
    </row>
    <row r="27" spans="1:11" ht="15.75" thickBot="1" x14ac:dyDescent="0.3">
      <c r="A27" s="157">
        <f t="shared" si="6"/>
        <v>27</v>
      </c>
      <c r="B27" s="74">
        <v>19</v>
      </c>
      <c r="C27" s="811" t="s">
        <v>11</v>
      </c>
      <c r="D27" s="744"/>
      <c r="E27" s="28" t="str">
        <f t="shared" ca="1" si="7"/>
        <v>$M$27</v>
      </c>
      <c r="F27" s="28" t="str">
        <f>ADDRESS(A27,$F$6+4)</f>
        <v>$M$27</v>
      </c>
      <c r="G27" s="28">
        <f>IF(OR($F$6=0,$F$6=""),"",VLOOKUP($B27,DATA_M_MAIN,$F$6+3,FALSE))</f>
        <v>0</v>
      </c>
      <c r="H27" s="28" t="str">
        <f ca="1">ADDRESS(B27+9,VCR+4)</f>
        <v>$E$28</v>
      </c>
      <c r="I27" s="28" t="str">
        <f>ADDRESS($B27+9,$I$6+4)</f>
        <v>$D$28</v>
      </c>
      <c r="J27" s="28" t="str">
        <f>IF(OR($I$6=0,$I$6=""),"",VLOOKUP($B27,DATA_A_MAIN,$I$6+3,FALSE))</f>
        <v/>
      </c>
      <c r="K27" s="28">
        <f t="shared" si="8"/>
        <v>0</v>
      </c>
    </row>
    <row r="28" spans="1:11" ht="15.75" thickBot="1" x14ac:dyDescent="0.3">
      <c r="A28" s="157">
        <f t="shared" si="6"/>
        <v>28</v>
      </c>
      <c r="B28" s="74"/>
      <c r="C28" s="170"/>
      <c r="D28" s="170"/>
      <c r="E28" s="170"/>
      <c r="F28" s="170"/>
      <c r="G28" s="170"/>
      <c r="H28" s="170"/>
      <c r="I28" s="170"/>
      <c r="J28" s="170"/>
      <c r="K28" s="170"/>
    </row>
    <row r="29" spans="1:11" ht="15.75" thickBot="1" x14ac:dyDescent="0.3">
      <c r="A29" s="157">
        <f t="shared" si="6"/>
        <v>29</v>
      </c>
      <c r="B29" s="74">
        <v>20</v>
      </c>
      <c r="C29" s="939" t="s">
        <v>12</v>
      </c>
      <c r="D29" s="807"/>
      <c r="E29" s="28" t="str">
        <f t="shared" ca="1" si="7"/>
        <v>$M$29</v>
      </c>
      <c r="F29" s="28" t="str">
        <f>ADDRESS(A29,$F$6+4)</f>
        <v>$M$29</v>
      </c>
      <c r="G29" s="28">
        <f>IF(OR($F$6=0,$F$6=""),"",VLOOKUP($B29,DATA_M_MAIN,$F$6+3,FALSE))</f>
        <v>1</v>
      </c>
      <c r="H29" s="28" t="str">
        <f ca="1">ADDRESS(B29+10,VCR+4)</f>
        <v>$E$30</v>
      </c>
      <c r="I29" s="28" t="str">
        <f>ADDRESS($B29+10,$I$6+4)</f>
        <v>$D$30</v>
      </c>
      <c r="J29" s="28" t="str">
        <f>IF(OR($I$6=0,$I$6=""),"",VLOOKUP($B29,DATA_A_MAIN,$I$6+3,FALSE))</f>
        <v/>
      </c>
      <c r="K29" s="28">
        <f t="shared" si="8"/>
        <v>1</v>
      </c>
    </row>
    <row r="30" spans="1:11" ht="15.75" thickBot="1" x14ac:dyDescent="0.3">
      <c r="A30" s="157">
        <f t="shared" si="6"/>
        <v>30</v>
      </c>
      <c r="B30" s="74"/>
      <c r="C30" s="170"/>
      <c r="D30" s="170"/>
      <c r="E30" s="170"/>
      <c r="F30" s="170"/>
      <c r="G30" s="170"/>
      <c r="H30" s="170"/>
      <c r="I30" s="170"/>
      <c r="J30" s="170"/>
      <c r="K30" s="170"/>
    </row>
    <row r="31" spans="1:11" ht="15.75" thickBot="1" x14ac:dyDescent="0.3">
      <c r="A31" s="157">
        <f t="shared" si="6"/>
        <v>31</v>
      </c>
      <c r="B31" s="74"/>
      <c r="C31" s="939" t="s">
        <v>16</v>
      </c>
      <c r="D31" s="807"/>
      <c r="E31" s="170"/>
      <c r="F31" s="170"/>
      <c r="G31" s="170"/>
      <c r="H31" s="170"/>
      <c r="I31" s="170"/>
      <c r="J31" s="170"/>
      <c r="K31" s="170"/>
    </row>
    <row r="32" spans="1:11" x14ac:dyDescent="0.25">
      <c r="A32" s="157">
        <f t="shared" si="6"/>
        <v>32</v>
      </c>
      <c r="B32" s="74">
        <v>21</v>
      </c>
      <c r="C32" s="810" t="s">
        <v>13</v>
      </c>
      <c r="D32" s="738"/>
      <c r="E32" s="28" t="str">
        <f t="shared" ca="1" si="7"/>
        <v>$M$32</v>
      </c>
      <c r="F32" s="28" t="str">
        <f>ADDRESS(A32,$F$6+4)</f>
        <v>$M$32</v>
      </c>
      <c r="G32" s="28">
        <f>IF(OR($F$6=0,$F$6=""),"",VLOOKUP($B32,DATA_M_MAIN,$F$6+3,FALSE))</f>
        <v>0</v>
      </c>
      <c r="H32" s="28" t="str">
        <f ca="1">ADDRESS(B32+12,VCR+4)</f>
        <v>$E$33</v>
      </c>
      <c r="I32" s="28" t="str">
        <f>ADDRESS($B32+12,$I$6+4)</f>
        <v>$D$33</v>
      </c>
      <c r="J32" s="28" t="str">
        <f>IF(OR($I$6=0,$I$6=""),"",VLOOKUP($B32,DATA_A_MAIN,$I$6+3,FALSE))</f>
        <v/>
      </c>
      <c r="K32" s="28">
        <f>IF(OR(AND(G32&lt;&gt;"",G32&lt;&gt;0),AND(J32&lt;&gt;"",J32&lt;&gt;0)),1,0)</f>
        <v>0</v>
      </c>
    </row>
    <row r="33" spans="1:11" x14ac:dyDescent="0.25">
      <c r="A33" s="157">
        <f t="shared" si="6"/>
        <v>33</v>
      </c>
      <c r="B33" s="74">
        <v>22</v>
      </c>
      <c r="C33" s="677" t="s">
        <v>14</v>
      </c>
      <c r="D33" s="728"/>
      <c r="E33" s="28" t="str">
        <f t="shared" ca="1" si="7"/>
        <v>$M$33</v>
      </c>
      <c r="F33" s="28" t="str">
        <f>ADDRESS(A33,$F$6+4)</f>
        <v>$M$33</v>
      </c>
      <c r="G33" s="28">
        <f>IF(OR($F$6=0,$F$6=""),"",VLOOKUP($B33,DATA_M_MAIN,$F$6+3,FALSE))</f>
        <v>0</v>
      </c>
      <c r="H33" s="28" t="str">
        <f ca="1">ADDRESS(B33+12,VCR+4)</f>
        <v>$E$34</v>
      </c>
      <c r="I33" s="28" t="str">
        <f>ADDRESS($B33+12,$I$6+4)</f>
        <v>$D$34</v>
      </c>
      <c r="J33" s="28" t="str">
        <f>IF(OR($I$6=0,$I$6=""),"",VLOOKUP($B33,DATA_A_MAIN,$I$6+3,FALSE))</f>
        <v/>
      </c>
      <c r="K33" s="28">
        <f>IF(OR(AND(G33&lt;&gt;"",G33&lt;&gt;0),AND(J33&lt;&gt;"",J33&lt;&gt;0)),1,0)</f>
        <v>0</v>
      </c>
    </row>
    <row r="34" spans="1:11" x14ac:dyDescent="0.25">
      <c r="A34" s="157">
        <f t="shared" si="6"/>
        <v>34</v>
      </c>
      <c r="B34" s="74">
        <v>23</v>
      </c>
      <c r="C34" s="677" t="s">
        <v>15</v>
      </c>
      <c r="D34" s="728"/>
      <c r="E34" s="28" t="str">
        <f t="shared" ca="1" si="7"/>
        <v>$M$34</v>
      </c>
      <c r="F34" s="28" t="str">
        <f>ADDRESS(A34,$F$6+4)</f>
        <v>$M$34</v>
      </c>
      <c r="G34" s="28">
        <f>IF(OR($F$6=0,$F$6=""),"",VLOOKUP($B34,DATA_M_MAIN,$F$6+3,FALSE))</f>
        <v>0</v>
      </c>
      <c r="H34" s="28" t="str">
        <f ca="1">ADDRESS(B34+12,VCR+4)</f>
        <v>$E$35</v>
      </c>
      <c r="I34" s="28" t="str">
        <f>ADDRESS($B34+12,$I$6+4)</f>
        <v>$D$35</v>
      </c>
      <c r="J34" s="28" t="str">
        <f>IF(OR($I$6=0,$I$6=""),"",VLOOKUP($B34,DATA_A_MAIN,$I$6+3,FALSE))</f>
        <v/>
      </c>
      <c r="K34" s="28">
        <f>IF(OR(AND(G34&lt;&gt;"",G34&lt;&gt;0),AND(J34&lt;&gt;"",J34&lt;&gt;0)),1,0)</f>
        <v>0</v>
      </c>
    </row>
    <row r="35" spans="1:11" x14ac:dyDescent="0.25">
      <c r="A35" s="157">
        <f t="shared" si="6"/>
        <v>35</v>
      </c>
      <c r="B35" s="74">
        <v>24</v>
      </c>
      <c r="C35" s="677" t="s">
        <v>18</v>
      </c>
      <c r="D35" s="728"/>
      <c r="E35" s="28" t="str">
        <f t="shared" ca="1" si="7"/>
        <v>$M$35</v>
      </c>
      <c r="F35" s="28" t="str">
        <f>ADDRESS(A35,$F$6+4)</f>
        <v>$M$35</v>
      </c>
      <c r="G35" s="28">
        <f>IF(OR($F$6=0,$F$6=""),"",VLOOKUP($B35,DATA_M_MAIN,$F$6+3,FALSE))</f>
        <v>0</v>
      </c>
      <c r="H35" s="28" t="str">
        <f ca="1">ADDRESS(B35+12,VCR+4)</f>
        <v>$E$36</v>
      </c>
      <c r="I35" s="28" t="str">
        <f>ADDRESS($B35+12,$I$6+4)</f>
        <v>$D$36</v>
      </c>
      <c r="J35" s="28" t="str">
        <f>IF(OR($I$6=0,$I$6=""),"",VLOOKUP($B35,DATA_A_MAIN,$I$6+3,FALSE))</f>
        <v/>
      </c>
      <c r="K35" s="28">
        <f>IF(OR(AND(G35&lt;&gt;"",G35&lt;&gt;0),AND(J35&lt;&gt;"",J35&lt;&gt;0)),1,0)</f>
        <v>0</v>
      </c>
    </row>
    <row r="36" spans="1:11" ht="15.75" thickBot="1" x14ac:dyDescent="0.3">
      <c r="A36" s="157">
        <f t="shared" si="6"/>
        <v>36</v>
      </c>
      <c r="B36" s="74">
        <v>25</v>
      </c>
      <c r="C36" s="811" t="s">
        <v>19</v>
      </c>
      <c r="D36" s="744"/>
      <c r="E36" s="28" t="str">
        <f t="shared" ca="1" si="7"/>
        <v>$M$36</v>
      </c>
      <c r="F36" s="28" t="str">
        <f>ADDRESS(A36,$F$6+4)</f>
        <v>$M$36</v>
      </c>
      <c r="G36" s="28">
        <f>IF(OR($F$6=0,$F$6=""),"",VLOOKUP($B36,DATA_M_MAIN,$F$6+3,FALSE))</f>
        <v>0</v>
      </c>
      <c r="H36" s="28" t="str">
        <f ca="1">ADDRESS(B36+12,VCR+4)</f>
        <v>$E$37</v>
      </c>
      <c r="I36" s="28" t="str">
        <f>ADDRESS($B36+12,$I$6+4)</f>
        <v>$D$37</v>
      </c>
      <c r="J36" s="28" t="str">
        <f>IF(OR($I$6=0,$I$6=""),"",VLOOKUP($B36,DATA_A_MAIN,$I$6+3,FALSE))</f>
        <v/>
      </c>
      <c r="K36" s="28">
        <f>IF(OR(AND(G36&lt;&gt;"",G36&lt;&gt;0),AND(J36&lt;&gt;"",J36&lt;&gt;0)),1,0)</f>
        <v>0</v>
      </c>
    </row>
    <row r="37" spans="1:11" ht="15.75" thickBot="1" x14ac:dyDescent="0.3">
      <c r="A37" s="157">
        <f t="shared" si="6"/>
        <v>37</v>
      </c>
      <c r="B37" s="74"/>
      <c r="C37" s="170"/>
      <c r="D37" s="170"/>
      <c r="E37" s="170"/>
      <c r="F37" s="170"/>
      <c r="G37" s="170"/>
      <c r="H37" s="170"/>
      <c r="I37" s="170"/>
      <c r="J37" s="170"/>
      <c r="K37" s="170"/>
    </row>
    <row r="38" spans="1:11" ht="15.75" thickBot="1" x14ac:dyDescent="0.3">
      <c r="A38" s="157">
        <f t="shared" si="6"/>
        <v>38</v>
      </c>
      <c r="B38" s="74"/>
      <c r="C38" s="939" t="s">
        <v>20</v>
      </c>
      <c r="D38" s="807"/>
      <c r="E38" s="170"/>
      <c r="F38" s="170"/>
      <c r="G38" s="170"/>
      <c r="H38" s="170"/>
      <c r="I38" s="170"/>
      <c r="J38" s="170"/>
      <c r="K38" s="170"/>
    </row>
    <row r="39" spans="1:11" x14ac:dyDescent="0.25">
      <c r="A39" s="157">
        <f t="shared" si="6"/>
        <v>39</v>
      </c>
      <c r="B39" s="74">
        <v>26</v>
      </c>
      <c r="C39" s="794" t="s">
        <v>174</v>
      </c>
      <c r="D39" s="59" t="s">
        <v>172</v>
      </c>
      <c r="E39" s="28" t="str">
        <f t="shared" ca="1" si="7"/>
        <v>$M$39</v>
      </c>
      <c r="F39" s="28" t="str">
        <f t="shared" ref="F39:F44" si="9">ADDRESS(A39,$F$6+4)</f>
        <v>$M$39</v>
      </c>
      <c r="G39" s="28">
        <f t="shared" ref="G39:G44" si="10">IF(OR($F$6=0,$F$6=""),"",VLOOKUP($B39,DATA_M_MAIN,$F$6+3,FALSE))</f>
        <v>0</v>
      </c>
      <c r="H39" s="28" t="str">
        <f ca="1">ADDRESS(B39+14,VCR+4)</f>
        <v>$E$40</v>
      </c>
      <c r="I39" s="28" t="str">
        <f>ADDRESS($B39+14,$I$6+4)</f>
        <v>$D$40</v>
      </c>
      <c r="J39" s="28" t="str">
        <f>IF(OR($I$6=0,$I$6=""),"",VLOOKUP($B39,DATA_A_MAIN,$I$6+3,FALSE))</f>
        <v/>
      </c>
      <c r="K39" s="28">
        <f t="shared" ref="K39:K44" si="11">IF(OR(AND(G39&lt;&gt;"",G39&lt;&gt;0),AND(J39&lt;&gt;"",J39&lt;&gt;0)),1,0)</f>
        <v>0</v>
      </c>
    </row>
    <row r="40" spans="1:11" x14ac:dyDescent="0.25">
      <c r="A40" s="157">
        <f t="shared" si="6"/>
        <v>40</v>
      </c>
      <c r="B40" s="74">
        <v>27</v>
      </c>
      <c r="C40" s="945"/>
      <c r="D40" s="35" t="s">
        <v>173</v>
      </c>
      <c r="E40" s="28" t="str">
        <f t="shared" ca="1" si="7"/>
        <v>$M$40</v>
      </c>
      <c r="F40" s="28" t="str">
        <f t="shared" si="9"/>
        <v>$M$40</v>
      </c>
      <c r="G40" s="28">
        <f t="shared" si="10"/>
        <v>1</v>
      </c>
      <c r="H40" s="28" t="str">
        <f ca="1">ADDRESS(B40+14,VCR+4)</f>
        <v>$E$41</v>
      </c>
      <c r="I40" s="28" t="str">
        <f>ADDRESS($B40+14,$I$6+4)</f>
        <v>$D$41</v>
      </c>
      <c r="J40" s="28" t="str">
        <f>IF(OR($I$6=0,$I$6=""),"",VLOOKUP($B40,DATA_A_MAIN,$I$6+3,FALSE))</f>
        <v/>
      </c>
      <c r="K40" s="28">
        <f t="shared" si="11"/>
        <v>1</v>
      </c>
    </row>
    <row r="41" spans="1:11" x14ac:dyDescent="0.25">
      <c r="A41" s="157">
        <f t="shared" si="6"/>
        <v>41</v>
      </c>
      <c r="B41" s="74">
        <v>28</v>
      </c>
      <c r="C41" s="951" t="s">
        <v>168</v>
      </c>
      <c r="D41" s="38" t="s">
        <v>169</v>
      </c>
      <c r="E41" s="28" t="str">
        <f t="shared" ca="1" si="7"/>
        <v>$M$41</v>
      </c>
      <c r="F41" s="28" t="str">
        <f t="shared" si="9"/>
        <v>$M$41</v>
      </c>
      <c r="G41" s="28">
        <f t="shared" si="10"/>
        <v>1</v>
      </c>
      <c r="H41" s="28" t="str">
        <f ca="1">ADDRESS(B41+14,VCR+4)</f>
        <v>$E$42</v>
      </c>
      <c r="I41" s="28" t="str">
        <f>ADDRESS($B41+14,$I$6+4)</f>
        <v>$D$42</v>
      </c>
      <c r="J41" s="28" t="str">
        <f>IF(OR($I$6=0,$I$6=""),"",VLOOKUP($B41,DATA_A_MAIN,$I$6+3,FALSE))</f>
        <v/>
      </c>
      <c r="K41" s="28">
        <f t="shared" si="11"/>
        <v>1</v>
      </c>
    </row>
    <row r="42" spans="1:11" x14ac:dyDescent="0.25">
      <c r="A42" s="157">
        <f t="shared" si="6"/>
        <v>42</v>
      </c>
      <c r="B42" s="74">
        <v>29</v>
      </c>
      <c r="C42" s="801"/>
      <c r="D42" s="37" t="s">
        <v>185</v>
      </c>
      <c r="E42" s="28" t="str">
        <f t="shared" ca="1" si="7"/>
        <v>$M$42</v>
      </c>
      <c r="F42" s="28" t="str">
        <f t="shared" si="9"/>
        <v>$M$42</v>
      </c>
      <c r="G42" s="28">
        <f t="shared" si="10"/>
        <v>0</v>
      </c>
      <c r="H42" s="28" t="str">
        <f ca="1">ADDRESS(B42+14,VCR+4)</f>
        <v>$E$43</v>
      </c>
      <c r="I42" s="28" t="str">
        <f>ADDRESS($B42+14,$I$6+4)</f>
        <v>$D$43</v>
      </c>
      <c r="J42" s="28" t="str">
        <f>IF(OR($I$6=0,$I$6=""),"",VLOOKUP($B42,DATA_A_MAIN,$I$6+3,FALSE))</f>
        <v/>
      </c>
      <c r="K42" s="28">
        <f t="shared" si="11"/>
        <v>0</v>
      </c>
    </row>
    <row r="43" spans="1:11" x14ac:dyDescent="0.25">
      <c r="A43" s="157">
        <f t="shared" si="6"/>
        <v>43</v>
      </c>
      <c r="B43" s="74">
        <v>30</v>
      </c>
      <c r="C43" s="945"/>
      <c r="D43" s="39" t="s">
        <v>170</v>
      </c>
      <c r="E43" s="28" t="str">
        <f t="shared" ca="1" si="7"/>
        <v>$M$43</v>
      </c>
      <c r="F43" s="28" t="str">
        <f t="shared" si="9"/>
        <v>$M$43</v>
      </c>
      <c r="G43" s="28">
        <f t="shared" si="10"/>
        <v>0</v>
      </c>
      <c r="H43" s="28" t="str">
        <f ca="1">ADDRESS(B43+14,VCR+4)</f>
        <v>$E$44</v>
      </c>
      <c r="I43" s="28" t="str">
        <f>ADDRESS($B43+14,$I$6+4)</f>
        <v>$D$44</v>
      </c>
      <c r="J43" s="28" t="str">
        <f>IF(OR($I$6=0,$I$6=""),"",VLOOKUP($B43,DATA_A_MAIN,$I$6+3,FALSE))</f>
        <v/>
      </c>
      <c r="K43" s="28">
        <f t="shared" si="11"/>
        <v>0</v>
      </c>
    </row>
    <row r="44" spans="1:11" ht="15.75" thickBot="1" x14ac:dyDescent="0.3">
      <c r="A44" s="157">
        <f t="shared" si="6"/>
        <v>44</v>
      </c>
      <c r="B44" s="74">
        <v>31</v>
      </c>
      <c r="C44" s="715" t="s">
        <v>171</v>
      </c>
      <c r="D44" s="716"/>
      <c r="E44" s="28" t="str">
        <f t="shared" ca="1" si="7"/>
        <v>$M$44</v>
      </c>
      <c r="F44" s="28" t="str">
        <f t="shared" si="9"/>
        <v>$M$44</v>
      </c>
      <c r="G44" s="28" t="str">
        <f t="shared" si="10"/>
        <v>0051</v>
      </c>
      <c r="H44" s="28"/>
      <c r="I44" s="28"/>
      <c r="J44" s="28"/>
      <c r="K44" s="28">
        <f t="shared" si="11"/>
        <v>1</v>
      </c>
    </row>
    <row r="45" spans="1:11" ht="15.75" thickBot="1" x14ac:dyDescent="0.3">
      <c r="A45" s="157">
        <f t="shared" si="6"/>
        <v>45</v>
      </c>
      <c r="B45" s="74"/>
      <c r="C45" s="170"/>
      <c r="D45" s="170"/>
      <c r="E45" s="170"/>
      <c r="F45" s="170"/>
      <c r="G45" s="170"/>
      <c r="H45" s="170"/>
      <c r="I45" s="170"/>
      <c r="J45" s="170"/>
      <c r="K45" s="170"/>
    </row>
    <row r="46" spans="1:11" ht="15.75" thickBot="1" x14ac:dyDescent="0.3">
      <c r="A46" s="157">
        <f t="shared" si="6"/>
        <v>46</v>
      </c>
      <c r="B46" s="74"/>
      <c r="C46" s="939" t="s">
        <v>21</v>
      </c>
      <c r="D46" s="807"/>
      <c r="E46" s="170"/>
      <c r="F46" s="170"/>
      <c r="G46" s="170"/>
      <c r="H46" s="170"/>
      <c r="I46" s="170"/>
      <c r="J46" s="170"/>
      <c r="K46" s="170"/>
    </row>
    <row r="47" spans="1:11" x14ac:dyDescent="0.25">
      <c r="A47" s="157">
        <f t="shared" si="6"/>
        <v>47</v>
      </c>
      <c r="B47" s="74">
        <v>32</v>
      </c>
      <c r="C47" s="952" t="s">
        <v>617</v>
      </c>
      <c r="D47" s="825"/>
      <c r="E47" s="28" t="str">
        <f t="shared" ca="1" si="7"/>
        <v>$M$47</v>
      </c>
      <c r="F47" s="28" t="str">
        <f t="shared" ref="F47:F54" si="12">ADDRESS(A47,$F$6+4)</f>
        <v>$M$47</v>
      </c>
      <c r="G47" s="28">
        <f t="shared" ref="G47:G54" si="13">IF(OR($F$6=0,$F$6=""),"",VLOOKUP($B47,DATA_M_MAIN,$F$6+3,FALSE))</f>
        <v>0</v>
      </c>
      <c r="H47" s="28" t="str">
        <f t="shared" ref="H47:H54" ca="1" si="14">ADDRESS(B47+16,VCR+4)</f>
        <v>$E$48</v>
      </c>
      <c r="I47" s="28" t="str">
        <f t="shared" ref="I47:I54" si="15">ADDRESS($B47+16,$I$6+4)</f>
        <v>$D$48</v>
      </c>
      <c r="J47" s="28" t="str">
        <f t="shared" ref="J47:J54" si="16">IF(OR($I$6=0,$I$6=""),"",VLOOKUP($B47,DATA_A_MAIN,$I$6+3,FALSE))</f>
        <v/>
      </c>
      <c r="K47" s="28">
        <f t="shared" ref="K47:K54" si="17">IF(OR(AND(G47&lt;&gt;"",G47&lt;&gt;0),AND(J47&lt;&gt;"",J47&lt;&gt;0)),1,0)</f>
        <v>0</v>
      </c>
    </row>
    <row r="48" spans="1:11" x14ac:dyDescent="0.25">
      <c r="A48" s="157">
        <f t="shared" si="6"/>
        <v>48</v>
      </c>
      <c r="B48" s="74">
        <v>33</v>
      </c>
      <c r="C48" s="948" t="s">
        <v>42</v>
      </c>
      <c r="D48" s="818"/>
      <c r="E48" s="28" t="str">
        <f t="shared" ca="1" si="7"/>
        <v>$M$48</v>
      </c>
      <c r="F48" s="28" t="str">
        <f t="shared" si="12"/>
        <v>$M$48</v>
      </c>
      <c r="G48" s="28">
        <f t="shared" si="13"/>
        <v>0</v>
      </c>
      <c r="H48" s="28" t="str">
        <f t="shared" ca="1" si="14"/>
        <v>$E$49</v>
      </c>
      <c r="I48" s="28" t="str">
        <f t="shared" si="15"/>
        <v>$D$49</v>
      </c>
      <c r="J48" s="28" t="str">
        <f t="shared" si="16"/>
        <v/>
      </c>
      <c r="K48" s="28">
        <f t="shared" si="17"/>
        <v>0</v>
      </c>
    </row>
    <row r="49" spans="1:11" ht="15.75" customHeight="1" x14ac:dyDescent="0.25">
      <c r="A49" s="157">
        <f t="shared" si="6"/>
        <v>49</v>
      </c>
      <c r="B49" s="74">
        <v>34</v>
      </c>
      <c r="C49" s="953" t="s">
        <v>166</v>
      </c>
      <c r="D49" s="827"/>
      <c r="E49" s="28" t="str">
        <f t="shared" ca="1" si="7"/>
        <v>$M$49</v>
      </c>
      <c r="F49" s="28" t="str">
        <f t="shared" si="12"/>
        <v>$M$49</v>
      </c>
      <c r="G49" s="28">
        <f t="shared" si="13"/>
        <v>0</v>
      </c>
      <c r="H49" s="28" t="str">
        <f t="shared" ca="1" si="14"/>
        <v>$E$50</v>
      </c>
      <c r="I49" s="28" t="str">
        <f t="shared" si="15"/>
        <v>$D$50</v>
      </c>
      <c r="J49" s="28" t="str">
        <f t="shared" si="16"/>
        <v/>
      </c>
      <c r="K49" s="28">
        <f t="shared" si="17"/>
        <v>0</v>
      </c>
    </row>
    <row r="50" spans="1:11" x14ac:dyDescent="0.25">
      <c r="A50" s="157">
        <f t="shared" si="6"/>
        <v>50</v>
      </c>
      <c r="B50" s="74">
        <v>35</v>
      </c>
      <c r="C50" s="946" t="s">
        <v>618</v>
      </c>
      <c r="D50" s="814"/>
      <c r="E50" s="28" t="str">
        <f t="shared" ca="1" si="7"/>
        <v>$M$50</v>
      </c>
      <c r="F50" s="28" t="str">
        <f t="shared" si="12"/>
        <v>$M$50</v>
      </c>
      <c r="G50" s="28">
        <f t="shared" si="13"/>
        <v>0</v>
      </c>
      <c r="H50" s="28" t="str">
        <f t="shared" ca="1" si="14"/>
        <v>$E$51</v>
      </c>
      <c r="I50" s="28" t="str">
        <f t="shared" si="15"/>
        <v>$D$51</v>
      </c>
      <c r="J50" s="28" t="str">
        <f t="shared" si="16"/>
        <v/>
      </c>
      <c r="K50" s="28">
        <f t="shared" si="17"/>
        <v>0</v>
      </c>
    </row>
    <row r="51" spans="1:11" x14ac:dyDescent="0.25">
      <c r="A51" s="157">
        <f t="shared" si="6"/>
        <v>51</v>
      </c>
      <c r="B51" s="74">
        <v>36</v>
      </c>
      <c r="C51" s="947" t="s">
        <v>175</v>
      </c>
      <c r="D51" s="816"/>
      <c r="E51" s="28" t="str">
        <f t="shared" ca="1" si="7"/>
        <v>$M$51</v>
      </c>
      <c r="F51" s="28" t="str">
        <f t="shared" si="12"/>
        <v>$M$51</v>
      </c>
      <c r="G51" s="28">
        <f t="shared" si="13"/>
        <v>0</v>
      </c>
      <c r="H51" s="28" t="str">
        <f t="shared" ca="1" si="14"/>
        <v>$E$52</v>
      </c>
      <c r="I51" s="28" t="str">
        <f t="shared" si="15"/>
        <v>$D$52</v>
      </c>
      <c r="J51" s="28" t="str">
        <f t="shared" si="16"/>
        <v/>
      </c>
      <c r="K51" s="28">
        <f t="shared" si="17"/>
        <v>0</v>
      </c>
    </row>
    <row r="52" spans="1:11" x14ac:dyDescent="0.25">
      <c r="A52" s="157">
        <f t="shared" si="6"/>
        <v>52</v>
      </c>
      <c r="B52" s="74">
        <v>37</v>
      </c>
      <c r="C52" s="948" t="s">
        <v>619</v>
      </c>
      <c r="D52" s="818"/>
      <c r="E52" s="28" t="str">
        <f t="shared" ca="1" si="7"/>
        <v>$M$52</v>
      </c>
      <c r="F52" s="28" t="str">
        <f t="shared" si="12"/>
        <v>$M$52</v>
      </c>
      <c r="G52" s="28">
        <f t="shared" si="13"/>
        <v>0</v>
      </c>
      <c r="H52" s="28" t="str">
        <f t="shared" ca="1" si="14"/>
        <v>$E$53</v>
      </c>
      <c r="I52" s="28" t="str">
        <f t="shared" si="15"/>
        <v>$D$53</v>
      </c>
      <c r="J52" s="28" t="str">
        <f t="shared" si="16"/>
        <v/>
      </c>
      <c r="K52" s="28">
        <f t="shared" si="17"/>
        <v>0</v>
      </c>
    </row>
    <row r="53" spans="1:11" ht="15.75" customHeight="1" x14ac:dyDescent="0.25">
      <c r="A53" s="157">
        <f t="shared" si="6"/>
        <v>53</v>
      </c>
      <c r="B53" s="74">
        <v>38</v>
      </c>
      <c r="C53" s="947" t="s">
        <v>167</v>
      </c>
      <c r="D53" s="816"/>
      <c r="E53" s="28" t="str">
        <f t="shared" ca="1" si="7"/>
        <v>$M$53</v>
      </c>
      <c r="F53" s="28" t="str">
        <f t="shared" si="12"/>
        <v>$M$53</v>
      </c>
      <c r="G53" s="28">
        <f t="shared" si="13"/>
        <v>0</v>
      </c>
      <c r="H53" s="28" t="str">
        <f t="shared" ca="1" si="14"/>
        <v>$E$54</v>
      </c>
      <c r="I53" s="28" t="str">
        <f t="shared" si="15"/>
        <v>$D$54</v>
      </c>
      <c r="J53" s="28" t="str">
        <f t="shared" si="16"/>
        <v/>
      </c>
      <c r="K53" s="28">
        <f t="shared" si="17"/>
        <v>0</v>
      </c>
    </row>
    <row r="54" spans="1:11" ht="15.75" thickBot="1" x14ac:dyDescent="0.3">
      <c r="A54" s="157">
        <f t="shared" si="6"/>
        <v>54</v>
      </c>
      <c r="B54" s="74">
        <v>39</v>
      </c>
      <c r="C54" s="949" t="s">
        <v>43</v>
      </c>
      <c r="D54" s="820"/>
      <c r="E54" s="28" t="str">
        <f t="shared" ca="1" si="7"/>
        <v>$M$54</v>
      </c>
      <c r="F54" s="28" t="str">
        <f t="shared" si="12"/>
        <v>$M$54</v>
      </c>
      <c r="G54" s="28">
        <f t="shared" si="13"/>
        <v>0</v>
      </c>
      <c r="H54" s="28" t="str">
        <f t="shared" ca="1" si="14"/>
        <v>$E$55</v>
      </c>
      <c r="I54" s="28" t="str">
        <f t="shared" si="15"/>
        <v>$D$55</v>
      </c>
      <c r="J54" s="28" t="str">
        <f t="shared" si="16"/>
        <v/>
      </c>
      <c r="K54" s="28">
        <f t="shared" si="17"/>
        <v>0</v>
      </c>
    </row>
    <row r="55" spans="1:11" ht="15.75" thickBot="1" x14ac:dyDescent="0.3">
      <c r="A55" s="157">
        <f t="shared" si="6"/>
        <v>55</v>
      </c>
      <c r="B55" s="74">
        <v>40</v>
      </c>
      <c r="C55" s="950" t="s">
        <v>41</v>
      </c>
      <c r="D55" s="822"/>
      <c r="E55" s="28"/>
      <c r="F55" s="28"/>
      <c r="G55" s="28"/>
      <c r="H55" s="28"/>
      <c r="I55" s="28"/>
      <c r="J55" s="28"/>
      <c r="K55" s="28"/>
    </row>
    <row r="56" spans="1:11" x14ac:dyDescent="0.25">
      <c r="A56" s="157">
        <f t="shared" si="6"/>
        <v>56</v>
      </c>
      <c r="B56" s="74">
        <v>41</v>
      </c>
      <c r="C56" s="803" t="s">
        <v>178</v>
      </c>
      <c r="D56" s="41" t="s">
        <v>176</v>
      </c>
      <c r="E56" s="28" t="str">
        <f t="shared" ca="1" si="7"/>
        <v>$M$56</v>
      </c>
      <c r="F56" s="28" t="str">
        <f>ADDRESS(A56,$F$6+4)</f>
        <v>$M$56</v>
      </c>
      <c r="G56" s="28">
        <f>IF(OR($F$6=0,$F$6=""),"",VLOOKUP($B56,DATA_M_MAIN,$F$6+3,FALSE))</f>
        <v>0</v>
      </c>
      <c r="H56" s="28" t="str">
        <f ca="1">ADDRESS(B56+16,VCR+4)</f>
        <v>$E$57</v>
      </c>
      <c r="I56" s="28" t="str">
        <f>ADDRESS($B56+16,$I$6+4)</f>
        <v>$D$57</v>
      </c>
      <c r="J56" s="28" t="str">
        <f>IF(OR($I$6=0,$I$6=""),"",VLOOKUP($B56,DATA_A_MAIN,$I$6+3,FALSE))</f>
        <v/>
      </c>
      <c r="K56" s="28">
        <f>IF(OR(AND(G56&lt;&gt;"",G56&lt;&gt;0),AND(J56&lt;&gt;"",J56&lt;&gt;0)),1,0)</f>
        <v>0</v>
      </c>
    </row>
    <row r="57" spans="1:11" ht="15.75" thickBot="1" x14ac:dyDescent="0.3">
      <c r="A57" s="157">
        <f t="shared" si="6"/>
        <v>57</v>
      </c>
      <c r="B57" s="74">
        <v>42</v>
      </c>
      <c r="C57" s="960"/>
      <c r="D57" s="42" t="s">
        <v>177</v>
      </c>
      <c r="E57" s="28" t="str">
        <f t="shared" ca="1" si="7"/>
        <v>$M$57</v>
      </c>
      <c r="F57" s="28" t="str">
        <f>ADDRESS(A57,$F$6+4)</f>
        <v>$M$57</v>
      </c>
      <c r="G57" s="28">
        <f>IF(OR($F$6=0,$F$6=""),"",VLOOKUP($B57,DATA_M_MAIN,$F$6+3,FALSE))</f>
        <v>0</v>
      </c>
      <c r="H57" s="28" t="str">
        <f ca="1">ADDRESS(B57+16,VCR+4)</f>
        <v>$E$58</v>
      </c>
      <c r="I57" s="28" t="str">
        <f>ADDRESS($B57+16,$I$6+4)</f>
        <v>$D$58</v>
      </c>
      <c r="J57" s="28" t="str">
        <f>IF(OR($I$6=0,$I$6=""),"",VLOOKUP($B57,DATA_A_MAIN,$I$6+3,FALSE))</f>
        <v/>
      </c>
      <c r="K57" s="28">
        <f>IF(OR(AND(G57&lt;&gt;"",G57&lt;&gt;0),AND(J57&lt;&gt;"",J57&lt;&gt;0)),1,0)</f>
        <v>0</v>
      </c>
    </row>
    <row r="58" spans="1:11" ht="15.75" thickBot="1" x14ac:dyDescent="0.3">
      <c r="A58" s="157">
        <f t="shared" si="6"/>
        <v>58</v>
      </c>
      <c r="B58" s="74"/>
      <c r="C58" s="170"/>
      <c r="D58" s="170"/>
      <c r="E58" s="170"/>
      <c r="F58" s="170"/>
      <c r="G58" s="170"/>
      <c r="H58" s="170"/>
      <c r="I58" s="170"/>
      <c r="J58" s="170"/>
      <c r="K58" s="170"/>
    </row>
    <row r="59" spans="1:11" ht="15.75" thickBot="1" x14ac:dyDescent="0.3">
      <c r="A59" s="157">
        <f t="shared" si="6"/>
        <v>59</v>
      </c>
      <c r="B59" s="74"/>
      <c r="C59" s="939" t="s">
        <v>421</v>
      </c>
      <c r="D59" s="807"/>
      <c r="E59" s="170"/>
      <c r="F59" s="170"/>
      <c r="G59" s="170"/>
      <c r="H59" s="170"/>
      <c r="I59" s="170"/>
      <c r="J59" s="170"/>
      <c r="K59" s="170"/>
    </row>
    <row r="60" spans="1:11" x14ac:dyDescent="0.25">
      <c r="A60" s="157">
        <f t="shared" si="6"/>
        <v>60</v>
      </c>
      <c r="B60" s="74"/>
      <c r="C60" s="51"/>
      <c r="D60" s="59" t="s">
        <v>422</v>
      </c>
      <c r="E60" s="170"/>
      <c r="F60" s="170"/>
      <c r="G60" s="170"/>
      <c r="H60" s="170"/>
      <c r="I60" s="170"/>
      <c r="J60" s="170"/>
      <c r="K60" s="170"/>
    </row>
    <row r="61" spans="1:11" x14ac:dyDescent="0.25">
      <c r="A61" s="157">
        <f t="shared" si="6"/>
        <v>61</v>
      </c>
      <c r="B61" s="74">
        <v>43</v>
      </c>
      <c r="C61" s="540"/>
      <c r="D61" s="104">
        <v>1</v>
      </c>
      <c r="E61" s="28" t="str">
        <f t="shared" ca="1" si="7"/>
        <v>$M$61</v>
      </c>
      <c r="F61" s="28" t="str">
        <f>ADDRESS(A61,$F$6+4)</f>
        <v>$M$61</v>
      </c>
      <c r="G61" s="28">
        <f>IF(OR($F$6=0,$F$6=""),"",VLOOKUP($B61,DATA_M_MAIN,$F$6+3,FALSE))</f>
        <v>0</v>
      </c>
      <c r="H61" s="28" t="str">
        <f ca="1">ADDRESS(B61+19,VCR+4)</f>
        <v>$E$62</v>
      </c>
      <c r="I61" s="28" t="str">
        <f>ADDRESS($B61+19,$I$6+4)</f>
        <v>$D$62</v>
      </c>
      <c r="J61" s="28" t="str">
        <f>IF(OR($I$6=0,$I$6=""),"",VLOOKUP($B61,DATA_A_MAIN,$I$6+3,FALSE))</f>
        <v/>
      </c>
      <c r="K61" s="28">
        <f t="shared" ref="K61:K75" si="18">IF(OR(AND(G61&lt;&gt;"",G61&lt;&gt;0),AND(J61&lt;&gt;"",J61&lt;&gt;0)),1,0)</f>
        <v>0</v>
      </c>
    </row>
    <row r="62" spans="1:11" x14ac:dyDescent="0.25">
      <c r="A62" s="157">
        <f t="shared" si="6"/>
        <v>62</v>
      </c>
      <c r="B62" s="74">
        <v>44</v>
      </c>
      <c r="C62" s="10"/>
      <c r="D62" s="104">
        <v>2</v>
      </c>
      <c r="E62" s="28" t="str">
        <f t="shared" ca="1" si="7"/>
        <v>$M$62</v>
      </c>
      <c r="F62" s="28" t="str">
        <f>ADDRESS(A62,$F$6+4)</f>
        <v>$M$62</v>
      </c>
      <c r="G62" s="28">
        <f>IF(OR($F$6=0,$F$6=""),"",VLOOKUP($B62,DATA_M_MAIN,$F$6+3,FALSE))</f>
        <v>0</v>
      </c>
      <c r="H62" s="28" t="str">
        <f ca="1">ADDRESS(B62+19,VCR+4)</f>
        <v>$E$63</v>
      </c>
      <c r="I62" s="28" t="str">
        <f>ADDRESS($B62+19,$I$6+4)</f>
        <v>$D$63</v>
      </c>
      <c r="J62" s="28" t="str">
        <f>IF(OR($I$6=0,$I$6=""),"",VLOOKUP($B62,DATA_A_MAIN,$I$6+3,FALSE))</f>
        <v/>
      </c>
      <c r="K62" s="28">
        <f t="shared" si="18"/>
        <v>0</v>
      </c>
    </row>
    <row r="63" spans="1:11" x14ac:dyDescent="0.25">
      <c r="A63" s="157">
        <f t="shared" si="6"/>
        <v>63</v>
      </c>
      <c r="B63" s="74">
        <v>45</v>
      </c>
      <c r="C63" s="10"/>
      <c r="D63" s="104">
        <v>3</v>
      </c>
      <c r="E63" s="28" t="str">
        <f t="shared" ca="1" si="7"/>
        <v>$M$63</v>
      </c>
      <c r="F63" s="28" t="str">
        <f>ADDRESS(A63,$F$6+4)</f>
        <v>$M$63</v>
      </c>
      <c r="G63" s="28">
        <f>IF(OR($F$6=0,$F$6=""),"",VLOOKUP($B63,DATA_M_MAIN,$F$6+3,FALSE))</f>
        <v>0</v>
      </c>
      <c r="H63" s="28" t="str">
        <f ca="1">ADDRESS(B63+19,VCR+4)</f>
        <v>$E$64</v>
      </c>
      <c r="I63" s="28" t="str">
        <f>ADDRESS($B63+19,$I$6+4)</f>
        <v>$D$64</v>
      </c>
      <c r="J63" s="28" t="str">
        <f>IF(OR($I$6=0,$I$6=""),"",VLOOKUP($B63,DATA_A_MAIN,$I$6+3,FALSE))</f>
        <v/>
      </c>
      <c r="K63" s="28">
        <f t="shared" si="18"/>
        <v>0</v>
      </c>
    </row>
    <row r="64" spans="1:11" x14ac:dyDescent="0.25">
      <c r="A64" s="157">
        <f t="shared" si="6"/>
        <v>64</v>
      </c>
      <c r="B64" s="74">
        <v>46</v>
      </c>
      <c r="C64" s="10"/>
      <c r="D64" s="104">
        <v>4</v>
      </c>
      <c r="E64" s="28" t="str">
        <f t="shared" ca="1" si="7"/>
        <v>$M$64</v>
      </c>
      <c r="F64" s="28" t="str">
        <f>ADDRESS(A64,$F$6+4)</f>
        <v>$M$64</v>
      </c>
      <c r="G64" s="28">
        <f>IF(OR($F$6=0,$F$6=""),"",VLOOKUP($B64,DATA_M_MAIN,$F$6+3,FALSE))</f>
        <v>0</v>
      </c>
      <c r="H64" s="28" t="str">
        <f ca="1">ADDRESS(B64+19,VCR+4)</f>
        <v>$E$65</v>
      </c>
      <c r="I64" s="28" t="str">
        <f>ADDRESS($B64+19,$I$6+4)</f>
        <v>$D$65</v>
      </c>
      <c r="J64" s="28" t="str">
        <f>IF(OR($I$6=0,$I$6=""),"",VLOOKUP($B64,DATA_A_MAIN,$I$6+3,FALSE))</f>
        <v/>
      </c>
      <c r="K64" s="28">
        <f t="shared" si="18"/>
        <v>0</v>
      </c>
    </row>
    <row r="65" spans="1:11" x14ac:dyDescent="0.25">
      <c r="A65" s="157">
        <f t="shared" si="6"/>
        <v>65</v>
      </c>
      <c r="B65" s="74"/>
      <c r="C65" s="10"/>
      <c r="D65" s="96" t="s">
        <v>182</v>
      </c>
      <c r="E65" s="28"/>
      <c r="F65" s="28"/>
      <c r="G65" s="28">
        <f>SUM(G61:G64)</f>
        <v>0</v>
      </c>
      <c r="H65" s="28"/>
      <c r="I65" s="28"/>
      <c r="J65" s="28">
        <f>SUM(J61:J64)</f>
        <v>0</v>
      </c>
      <c r="K65" s="28">
        <f t="shared" si="18"/>
        <v>0</v>
      </c>
    </row>
    <row r="66" spans="1:11" x14ac:dyDescent="0.25">
      <c r="A66" s="157">
        <f t="shared" si="6"/>
        <v>66</v>
      </c>
      <c r="B66" s="74">
        <v>47</v>
      </c>
      <c r="C66" s="10"/>
      <c r="D66" s="105">
        <v>5</v>
      </c>
      <c r="E66" s="28" t="str">
        <f t="shared" ca="1" si="7"/>
        <v>$M$66</v>
      </c>
      <c r="F66" s="28" t="str">
        <f t="shared" ref="F66:F73" si="19">ADDRESS(A66,$F$6+4)</f>
        <v>$M$66</v>
      </c>
      <c r="G66" s="28">
        <f t="shared" ref="G66:G73" si="20">IF(OR($F$6=0,$F$6=""),"",VLOOKUP($B66,DATA_M_MAIN,$F$6+3,FALSE))</f>
        <v>0</v>
      </c>
      <c r="H66" s="28" t="str">
        <f t="shared" ref="H66:H73" ca="1" si="21">ADDRESS(B66+20,VCR+4)</f>
        <v>$E$67</v>
      </c>
      <c r="I66" s="28" t="str">
        <f t="shared" ref="I66:I73" si="22">ADDRESS($B66+20,$I$6+4)</f>
        <v>$D$67</v>
      </c>
      <c r="J66" s="28" t="str">
        <f t="shared" ref="J66:J73" si="23">IF(OR($I$6=0,$I$6=""),"",VLOOKUP($B66,DATA_A_MAIN,$I$6+3,FALSE))</f>
        <v/>
      </c>
      <c r="K66" s="28">
        <f t="shared" si="18"/>
        <v>0</v>
      </c>
    </row>
    <row r="67" spans="1:11" x14ac:dyDescent="0.25">
      <c r="A67" s="157">
        <f t="shared" si="6"/>
        <v>67</v>
      </c>
      <c r="B67" s="74">
        <v>48</v>
      </c>
      <c r="C67" s="10"/>
      <c r="D67" s="105">
        <v>6</v>
      </c>
      <c r="E67" s="28" t="str">
        <f t="shared" ca="1" si="7"/>
        <v>$M$67</v>
      </c>
      <c r="F67" s="28" t="str">
        <f t="shared" si="19"/>
        <v>$M$67</v>
      </c>
      <c r="G67" s="28">
        <f t="shared" si="20"/>
        <v>0</v>
      </c>
      <c r="H67" s="28" t="str">
        <f t="shared" ca="1" si="21"/>
        <v>$E$68</v>
      </c>
      <c r="I67" s="28" t="str">
        <f t="shared" si="22"/>
        <v>$D$68</v>
      </c>
      <c r="J67" s="28" t="str">
        <f t="shared" si="23"/>
        <v/>
      </c>
      <c r="K67" s="28">
        <f t="shared" si="18"/>
        <v>0</v>
      </c>
    </row>
    <row r="68" spans="1:11" x14ac:dyDescent="0.25">
      <c r="A68" s="157">
        <f t="shared" si="6"/>
        <v>68</v>
      </c>
      <c r="B68" s="74">
        <v>49</v>
      </c>
      <c r="C68" s="10"/>
      <c r="D68" s="105">
        <v>7</v>
      </c>
      <c r="E68" s="28" t="str">
        <f t="shared" ca="1" si="7"/>
        <v>$M$68</v>
      </c>
      <c r="F68" s="28" t="str">
        <f t="shared" si="19"/>
        <v>$M$68</v>
      </c>
      <c r="G68" s="28">
        <f t="shared" si="20"/>
        <v>0</v>
      </c>
      <c r="H68" s="28" t="str">
        <f t="shared" ca="1" si="21"/>
        <v>$E$69</v>
      </c>
      <c r="I68" s="28" t="str">
        <f t="shared" si="22"/>
        <v>$D$69</v>
      </c>
      <c r="J68" s="28" t="str">
        <f t="shared" si="23"/>
        <v/>
      </c>
      <c r="K68" s="28">
        <f t="shared" si="18"/>
        <v>0</v>
      </c>
    </row>
    <row r="69" spans="1:11" x14ac:dyDescent="0.25">
      <c r="A69" s="157">
        <f t="shared" si="6"/>
        <v>69</v>
      </c>
      <c r="B69" s="74">
        <v>50</v>
      </c>
      <c r="C69" s="10"/>
      <c r="D69" s="105">
        <v>8</v>
      </c>
      <c r="E69" s="28" t="str">
        <f t="shared" ca="1" si="7"/>
        <v>$M$69</v>
      </c>
      <c r="F69" s="28" t="str">
        <f t="shared" si="19"/>
        <v>$M$69</v>
      </c>
      <c r="G69" s="28">
        <f t="shared" si="20"/>
        <v>0</v>
      </c>
      <c r="H69" s="28" t="str">
        <f t="shared" ca="1" si="21"/>
        <v>$E$70</v>
      </c>
      <c r="I69" s="28" t="str">
        <f t="shared" si="22"/>
        <v>$D$70</v>
      </c>
      <c r="J69" s="28" t="str">
        <f t="shared" si="23"/>
        <v/>
      </c>
      <c r="K69" s="28">
        <f t="shared" si="18"/>
        <v>0</v>
      </c>
    </row>
    <row r="70" spans="1:11" x14ac:dyDescent="0.25">
      <c r="A70" s="157">
        <f t="shared" si="6"/>
        <v>70</v>
      </c>
      <c r="B70" s="74">
        <v>51</v>
      </c>
      <c r="C70" s="10"/>
      <c r="D70" s="105">
        <v>9</v>
      </c>
      <c r="E70" s="28" t="str">
        <f t="shared" ca="1" si="7"/>
        <v>$M$70</v>
      </c>
      <c r="F70" s="28" t="str">
        <f t="shared" si="19"/>
        <v>$M$70</v>
      </c>
      <c r="G70" s="28">
        <f t="shared" si="20"/>
        <v>0</v>
      </c>
      <c r="H70" s="28" t="str">
        <f t="shared" ca="1" si="21"/>
        <v>$E$71</v>
      </c>
      <c r="I70" s="28" t="str">
        <f t="shared" si="22"/>
        <v>$D$71</v>
      </c>
      <c r="J70" s="28" t="str">
        <f t="shared" si="23"/>
        <v/>
      </c>
      <c r="K70" s="28">
        <f t="shared" si="18"/>
        <v>0</v>
      </c>
    </row>
    <row r="71" spans="1:11" x14ac:dyDescent="0.25">
      <c r="A71" s="157">
        <f t="shared" si="6"/>
        <v>71</v>
      </c>
      <c r="B71" s="74">
        <v>52</v>
      </c>
      <c r="C71" s="10"/>
      <c r="D71" s="105">
        <v>10</v>
      </c>
      <c r="E71" s="28" t="str">
        <f t="shared" ca="1" si="7"/>
        <v>$M$71</v>
      </c>
      <c r="F71" s="28" t="str">
        <f t="shared" si="19"/>
        <v>$M$71</v>
      </c>
      <c r="G71" s="28">
        <f t="shared" si="20"/>
        <v>0</v>
      </c>
      <c r="H71" s="28" t="str">
        <f t="shared" ca="1" si="21"/>
        <v>$E$72</v>
      </c>
      <c r="I71" s="28" t="str">
        <f t="shared" si="22"/>
        <v>$D$72</v>
      </c>
      <c r="J71" s="28" t="str">
        <f t="shared" si="23"/>
        <v/>
      </c>
      <c r="K71" s="28">
        <f t="shared" si="18"/>
        <v>0</v>
      </c>
    </row>
    <row r="72" spans="1:11" x14ac:dyDescent="0.25">
      <c r="A72" s="157">
        <f t="shared" ref="A72:A135" si="24">ROW(A72)</f>
        <v>72</v>
      </c>
      <c r="B72" s="74">
        <v>53</v>
      </c>
      <c r="C72" s="10"/>
      <c r="D72" s="105">
        <v>11</v>
      </c>
      <c r="E72" s="28" t="str">
        <f t="shared" ref="E72:E135" ca="1" si="25">ADDRESS(A72,$E$6+4)</f>
        <v>$M$72</v>
      </c>
      <c r="F72" s="28" t="str">
        <f t="shared" si="19"/>
        <v>$M$72</v>
      </c>
      <c r="G72" s="28">
        <f t="shared" si="20"/>
        <v>0</v>
      </c>
      <c r="H72" s="28" t="str">
        <f t="shared" ca="1" si="21"/>
        <v>$E$73</v>
      </c>
      <c r="I72" s="28" t="str">
        <f t="shared" si="22"/>
        <v>$D$73</v>
      </c>
      <c r="J72" s="28" t="str">
        <f t="shared" si="23"/>
        <v/>
      </c>
      <c r="K72" s="28">
        <f t="shared" si="18"/>
        <v>0</v>
      </c>
    </row>
    <row r="73" spans="1:11" x14ac:dyDescent="0.25">
      <c r="A73" s="157">
        <f t="shared" si="24"/>
        <v>73</v>
      </c>
      <c r="B73" s="74">
        <v>54</v>
      </c>
      <c r="C73" s="10"/>
      <c r="D73" s="105">
        <v>12</v>
      </c>
      <c r="E73" s="28" t="str">
        <f t="shared" ca="1" si="25"/>
        <v>$M$73</v>
      </c>
      <c r="F73" s="28" t="str">
        <f t="shared" si="19"/>
        <v>$M$73</v>
      </c>
      <c r="G73" s="28">
        <f t="shared" si="20"/>
        <v>0</v>
      </c>
      <c r="H73" s="28" t="str">
        <f t="shared" ca="1" si="21"/>
        <v>$E$74</v>
      </c>
      <c r="I73" s="28" t="str">
        <f t="shared" si="22"/>
        <v>$D$74</v>
      </c>
      <c r="J73" s="28" t="str">
        <f t="shared" si="23"/>
        <v/>
      </c>
      <c r="K73" s="28">
        <f t="shared" si="18"/>
        <v>0</v>
      </c>
    </row>
    <row r="74" spans="1:11" x14ac:dyDescent="0.25">
      <c r="A74" s="157">
        <f t="shared" si="24"/>
        <v>74</v>
      </c>
      <c r="B74" s="74"/>
      <c r="C74" s="10"/>
      <c r="D74" s="96" t="s">
        <v>182</v>
      </c>
      <c r="E74" s="28"/>
      <c r="F74" s="28"/>
      <c r="G74" s="28">
        <f>SUM(G66:G73)</f>
        <v>0</v>
      </c>
      <c r="H74" s="28"/>
      <c r="I74" s="28"/>
      <c r="J74" s="28">
        <f>SUM(J66:J73)</f>
        <v>0</v>
      </c>
      <c r="K74" s="28">
        <f t="shared" si="18"/>
        <v>0</v>
      </c>
    </row>
    <row r="75" spans="1:11" ht="15.75" thickBot="1" x14ac:dyDescent="0.3">
      <c r="A75" s="157">
        <f t="shared" si="24"/>
        <v>75</v>
      </c>
      <c r="B75" s="74">
        <v>55</v>
      </c>
      <c r="C75" s="439"/>
      <c r="D75" s="64" t="s">
        <v>184</v>
      </c>
      <c r="E75" s="28" t="str">
        <f t="shared" ca="1" si="25"/>
        <v>$M$75</v>
      </c>
      <c r="F75" s="28" t="str">
        <f>ADDRESS(A75,$F$6+4)</f>
        <v>$M$75</v>
      </c>
      <c r="G75" s="28">
        <f>IF(OR($F$6=0,$F$6=""),"",VLOOKUP($B75,DATA_M_MAIN,$F$6+3,FALSE))</f>
        <v>0</v>
      </c>
      <c r="H75" s="28"/>
      <c r="I75" s="28"/>
      <c r="J75" s="28"/>
      <c r="K75" s="28">
        <f t="shared" si="18"/>
        <v>0</v>
      </c>
    </row>
    <row r="76" spans="1:11" ht="15.75" thickBot="1" x14ac:dyDescent="0.3">
      <c r="A76" s="157">
        <f t="shared" si="24"/>
        <v>76</v>
      </c>
      <c r="B76" s="74"/>
      <c r="C76" s="170"/>
      <c r="D76" s="170"/>
      <c r="E76" s="170"/>
      <c r="F76" s="170"/>
      <c r="G76" s="170"/>
      <c r="H76" s="170"/>
      <c r="I76" s="170"/>
      <c r="J76" s="170"/>
      <c r="K76" s="170"/>
    </row>
    <row r="77" spans="1:11" x14ac:dyDescent="0.25">
      <c r="A77" s="157">
        <f t="shared" si="24"/>
        <v>77</v>
      </c>
      <c r="B77" s="74"/>
      <c r="C77" s="932" t="s">
        <v>55</v>
      </c>
      <c r="D77" s="932"/>
      <c r="E77" s="932"/>
      <c r="F77" s="932"/>
      <c r="G77" s="932"/>
      <c r="H77" s="932"/>
      <c r="I77" s="932"/>
      <c r="J77" s="932"/>
      <c r="K77" s="933"/>
    </row>
    <row r="78" spans="1:11" ht="15.75" thickBot="1" x14ac:dyDescent="0.3">
      <c r="A78" s="157">
        <f t="shared" si="24"/>
        <v>78</v>
      </c>
      <c r="B78" s="74"/>
      <c r="C78" s="934"/>
      <c r="D78" s="934"/>
      <c r="E78" s="934"/>
      <c r="F78" s="934"/>
      <c r="G78" s="934"/>
      <c r="H78" s="934"/>
      <c r="I78" s="934"/>
      <c r="J78" s="934"/>
      <c r="K78" s="935"/>
    </row>
    <row r="79" spans="1:11" ht="15.75" thickBot="1" x14ac:dyDescent="0.3">
      <c r="A79" s="157">
        <f t="shared" si="24"/>
        <v>79</v>
      </c>
      <c r="B79" s="74"/>
      <c r="C79" s="950" t="s">
        <v>623</v>
      </c>
      <c r="D79" s="822"/>
      <c r="E79" s="170"/>
      <c r="F79" s="170"/>
      <c r="G79" s="170"/>
      <c r="H79" s="170"/>
      <c r="I79" s="170"/>
      <c r="J79" s="170"/>
      <c r="K79" s="170"/>
    </row>
    <row r="80" spans="1:11" x14ac:dyDescent="0.25">
      <c r="A80" s="157">
        <f t="shared" si="24"/>
        <v>80</v>
      </c>
      <c r="B80" s="74"/>
      <c r="C80" s="677" t="s">
        <v>425</v>
      </c>
      <c r="D80" s="728"/>
      <c r="E80" s="170"/>
      <c r="F80" s="170"/>
      <c r="G80" s="170"/>
      <c r="H80" s="170"/>
      <c r="I80" s="170"/>
      <c r="J80" s="170"/>
      <c r="K80" s="170"/>
    </row>
    <row r="81" spans="1:11" x14ac:dyDescent="0.25">
      <c r="A81" s="157">
        <f t="shared" si="24"/>
        <v>81</v>
      </c>
      <c r="B81" s="74"/>
      <c r="C81" s="677" t="s">
        <v>64</v>
      </c>
      <c r="D81" s="728"/>
      <c r="E81" s="170"/>
      <c r="F81" s="170"/>
      <c r="G81" s="170"/>
      <c r="H81" s="170"/>
      <c r="I81" s="170"/>
      <c r="J81" s="170"/>
      <c r="K81" s="170"/>
    </row>
    <row r="82" spans="1:11" x14ac:dyDescent="0.25">
      <c r="A82" s="157">
        <f t="shared" si="24"/>
        <v>82</v>
      </c>
      <c r="B82" s="74"/>
      <c r="C82" s="931" t="s">
        <v>65</v>
      </c>
      <c r="D82" s="764"/>
      <c r="E82" s="170"/>
      <c r="F82" s="170"/>
      <c r="G82" s="170"/>
      <c r="H82" s="170"/>
      <c r="I82" s="170"/>
      <c r="J82" s="170"/>
      <c r="K82" s="170"/>
    </row>
    <row r="83" spans="1:11" ht="15.75" thickBot="1" x14ac:dyDescent="0.3">
      <c r="A83" s="157">
        <f t="shared" si="24"/>
        <v>83</v>
      </c>
      <c r="B83" s="74"/>
      <c r="C83" s="954" t="s">
        <v>67</v>
      </c>
      <c r="D83" s="766"/>
      <c r="E83" s="170"/>
      <c r="F83" s="170"/>
      <c r="G83" s="170"/>
      <c r="H83" s="170"/>
      <c r="I83" s="170"/>
      <c r="J83" s="170"/>
      <c r="K83" s="170"/>
    </row>
    <row r="84" spans="1:11" ht="15.75" thickBot="1" x14ac:dyDescent="0.3">
      <c r="A84" s="157">
        <f t="shared" si="24"/>
        <v>84</v>
      </c>
      <c r="B84" s="74"/>
      <c r="C84" s="955" t="s">
        <v>624</v>
      </c>
      <c r="D84" s="829"/>
      <c r="E84" s="170"/>
      <c r="F84" s="170"/>
      <c r="G84" s="170"/>
      <c r="H84" s="170"/>
      <c r="I84" s="170"/>
      <c r="J84" s="170"/>
      <c r="K84" s="170"/>
    </row>
    <row r="85" spans="1:11" x14ac:dyDescent="0.25">
      <c r="A85" s="157">
        <f t="shared" si="24"/>
        <v>85</v>
      </c>
      <c r="B85" s="74">
        <v>183</v>
      </c>
      <c r="C85" s="90"/>
      <c r="D85" s="110" t="str">
        <f>HDG_1</f>
        <v>AFR</v>
      </c>
      <c r="E85" s="28" t="str">
        <f t="shared" ca="1" si="25"/>
        <v>$M$85</v>
      </c>
      <c r="F85" s="28" t="str">
        <f t="shared" ref="F85:F96" si="26">ADDRESS(A85,$F$6+4)</f>
        <v>$M$85</v>
      </c>
      <c r="G85" s="28">
        <f t="shared" ref="G85:G96" si="27">IF(OR($F$6=0,$F$6=""),"",VLOOKUP($B85,DATA_M_TRA,$F$6+3,FALSE))</f>
        <v>0</v>
      </c>
      <c r="H85" s="170"/>
      <c r="I85" s="170"/>
      <c r="J85" s="28" t="str">
        <f t="shared" ref="J85:J96" si="28">IF(OR($I$6=0,$I$6=""),"",VLOOKUP($B85,DATA_A_TRA,$I$6+3,FALSE))</f>
        <v/>
      </c>
      <c r="K85" s="28">
        <f t="shared" ref="K85:K96" si="29">IF(OR(AND(G85&lt;&gt;"",G85&lt;&gt;0),AND(J85&lt;&gt;"",J85&lt;&gt;0)),1,0)</f>
        <v>0</v>
      </c>
    </row>
    <row r="86" spans="1:11" x14ac:dyDescent="0.25">
      <c r="A86" s="157">
        <f t="shared" si="24"/>
        <v>86</v>
      </c>
      <c r="B86" s="74">
        <v>184</v>
      </c>
      <c r="C86" s="98"/>
      <c r="D86" s="68" t="str">
        <f>HDG_2</f>
        <v>AVP</v>
      </c>
      <c r="E86" s="28" t="str">
        <f t="shared" ca="1" si="25"/>
        <v>$M$86</v>
      </c>
      <c r="F86" s="28" t="str">
        <f t="shared" si="26"/>
        <v>$M$86</v>
      </c>
      <c r="G86" s="28">
        <f t="shared" si="27"/>
        <v>0</v>
      </c>
      <c r="H86" s="170"/>
      <c r="I86" s="170"/>
      <c r="J86" s="28" t="str">
        <f t="shared" si="28"/>
        <v/>
      </c>
      <c r="K86" s="28">
        <f t="shared" si="29"/>
        <v>0</v>
      </c>
    </row>
    <row r="87" spans="1:11" x14ac:dyDescent="0.25">
      <c r="A87" s="157">
        <f t="shared" si="24"/>
        <v>87</v>
      </c>
      <c r="B87" s="74">
        <v>185</v>
      </c>
      <c r="C87" s="98"/>
      <c r="D87" s="68" t="str">
        <f>HDG_3</f>
        <v>ALZ</v>
      </c>
      <c r="E87" s="28" t="str">
        <f t="shared" ca="1" si="25"/>
        <v>$M$87</v>
      </c>
      <c r="F87" s="28" t="str">
        <f t="shared" si="26"/>
        <v>$M$87</v>
      </c>
      <c r="G87" s="28">
        <f t="shared" si="27"/>
        <v>0</v>
      </c>
      <c r="H87" s="170"/>
      <c r="I87" s="170"/>
      <c r="J87" s="28" t="str">
        <f t="shared" si="28"/>
        <v/>
      </c>
      <c r="K87" s="28">
        <f t="shared" si="29"/>
        <v>0</v>
      </c>
    </row>
    <row r="88" spans="1:11" x14ac:dyDescent="0.25">
      <c r="A88" s="157">
        <f t="shared" si="24"/>
        <v>88</v>
      </c>
      <c r="B88" s="74">
        <v>186</v>
      </c>
      <c r="C88" s="98"/>
      <c r="D88" s="68" t="str">
        <f>HDG_4</f>
        <v>MZS</v>
      </c>
      <c r="E88" s="28" t="str">
        <f t="shared" ca="1" si="25"/>
        <v>$M$88</v>
      </c>
      <c r="F88" s="28" t="str">
        <f t="shared" si="26"/>
        <v>$M$88</v>
      </c>
      <c r="G88" s="28">
        <f t="shared" si="27"/>
        <v>0</v>
      </c>
      <c r="H88" s="170"/>
      <c r="I88" s="170"/>
      <c r="J88" s="28" t="str">
        <f t="shared" si="28"/>
        <v/>
      </c>
      <c r="K88" s="28">
        <f t="shared" si="29"/>
        <v>0</v>
      </c>
    </row>
    <row r="89" spans="1:11" x14ac:dyDescent="0.25">
      <c r="A89" s="157">
        <f t="shared" si="24"/>
        <v>89</v>
      </c>
      <c r="B89" s="74">
        <v>187</v>
      </c>
      <c r="C89" s="98"/>
      <c r="D89" s="68" t="str">
        <f>HDG_5</f>
        <v>APR</v>
      </c>
      <c r="E89" s="28" t="str">
        <f t="shared" ca="1" si="25"/>
        <v>$M$89</v>
      </c>
      <c r="F89" s="28" t="str">
        <f t="shared" si="26"/>
        <v>$M$89</v>
      </c>
      <c r="G89" s="28">
        <f t="shared" si="27"/>
        <v>0</v>
      </c>
      <c r="H89" s="170"/>
      <c r="I89" s="170"/>
      <c r="J89" s="28" t="str">
        <f t="shared" si="28"/>
        <v/>
      </c>
      <c r="K89" s="28">
        <f t="shared" si="29"/>
        <v>0</v>
      </c>
    </row>
    <row r="90" spans="1:11" x14ac:dyDescent="0.25">
      <c r="A90" s="157">
        <f t="shared" si="24"/>
        <v>90</v>
      </c>
      <c r="B90" s="74">
        <v>188</v>
      </c>
      <c r="C90" s="98"/>
      <c r="D90" s="68" t="str">
        <f>HDG_6</f>
        <v>DCG</v>
      </c>
      <c r="E90" s="28" t="str">
        <f t="shared" ca="1" si="25"/>
        <v>$M$90</v>
      </c>
      <c r="F90" s="28" t="str">
        <f t="shared" si="26"/>
        <v>$M$90</v>
      </c>
      <c r="G90" s="28">
        <f t="shared" si="27"/>
        <v>0</v>
      </c>
      <c r="H90" s="170"/>
      <c r="I90" s="170"/>
      <c r="J90" s="28" t="str">
        <f t="shared" si="28"/>
        <v/>
      </c>
      <c r="K90" s="28">
        <f t="shared" si="29"/>
        <v>0</v>
      </c>
    </row>
    <row r="91" spans="1:11" x14ac:dyDescent="0.25">
      <c r="A91" s="157">
        <f t="shared" si="24"/>
        <v>91</v>
      </c>
      <c r="B91" s="74">
        <v>189</v>
      </c>
      <c r="C91" s="98"/>
      <c r="D91" s="68" t="str">
        <f>HDG_7</f>
        <v>SFS</v>
      </c>
      <c r="E91" s="28" t="str">
        <f t="shared" ca="1" si="25"/>
        <v>$M$91</v>
      </c>
      <c r="F91" s="28" t="str">
        <f t="shared" si="26"/>
        <v>$M$91</v>
      </c>
      <c r="G91" s="28">
        <f t="shared" si="27"/>
        <v>0</v>
      </c>
      <c r="H91" s="170"/>
      <c r="I91" s="170"/>
      <c r="J91" s="28" t="str">
        <f t="shared" si="28"/>
        <v/>
      </c>
      <c r="K91" s="28">
        <f t="shared" si="29"/>
        <v>0</v>
      </c>
    </row>
    <row r="92" spans="1:11" x14ac:dyDescent="0.25">
      <c r="A92" s="157">
        <f t="shared" si="24"/>
        <v>92</v>
      </c>
      <c r="B92" s="74">
        <v>190</v>
      </c>
      <c r="C92" s="98"/>
      <c r="D92" s="68" t="str">
        <f>HDG_8</f>
        <v>AZH</v>
      </c>
      <c r="E92" s="28" t="str">
        <f t="shared" ca="1" si="25"/>
        <v>$M$92</v>
      </c>
      <c r="F92" s="28" t="str">
        <f t="shared" si="26"/>
        <v>$M$92</v>
      </c>
      <c r="G92" s="28">
        <f t="shared" si="27"/>
        <v>0</v>
      </c>
      <c r="H92" s="170"/>
      <c r="I92" s="170"/>
      <c r="J92" s="28" t="str">
        <f t="shared" si="28"/>
        <v/>
      </c>
      <c r="K92" s="28">
        <f t="shared" si="29"/>
        <v>0</v>
      </c>
    </row>
    <row r="93" spans="1:11" x14ac:dyDescent="0.25">
      <c r="A93" s="157">
        <f t="shared" si="24"/>
        <v>93</v>
      </c>
      <c r="B93" s="74">
        <v>191</v>
      </c>
      <c r="C93" s="98"/>
      <c r="D93" s="68" t="str">
        <f>HDG_9</f>
        <v>HLI</v>
      </c>
      <c r="E93" s="28" t="str">
        <f t="shared" ca="1" si="25"/>
        <v>$M$93</v>
      </c>
      <c r="F93" s="28" t="str">
        <f t="shared" si="26"/>
        <v>$M$93</v>
      </c>
      <c r="G93" s="28">
        <f t="shared" si="27"/>
        <v>0</v>
      </c>
      <c r="H93" s="170"/>
      <c r="I93" s="170"/>
      <c r="J93" s="28" t="str">
        <f t="shared" si="28"/>
        <v/>
      </c>
      <c r="K93" s="28">
        <f t="shared" si="29"/>
        <v>0</v>
      </c>
    </row>
    <row r="94" spans="1:11" x14ac:dyDescent="0.25">
      <c r="A94" s="157">
        <f t="shared" si="24"/>
        <v>94</v>
      </c>
      <c r="B94" s="74">
        <v>192</v>
      </c>
      <c r="C94" s="98"/>
      <c r="D94" s="68" t="str">
        <f>HDG_10</f>
        <v>MCM</v>
      </c>
      <c r="E94" s="28" t="str">
        <f t="shared" ca="1" si="25"/>
        <v>$M$94</v>
      </c>
      <c r="F94" s="28" t="str">
        <f t="shared" si="26"/>
        <v>$M$94</v>
      </c>
      <c r="G94" s="28">
        <f t="shared" si="27"/>
        <v>0</v>
      </c>
      <c r="H94" s="170"/>
      <c r="I94" s="170"/>
      <c r="J94" s="28" t="str">
        <f t="shared" si="28"/>
        <v/>
      </c>
      <c r="K94" s="28">
        <f t="shared" si="29"/>
        <v>0</v>
      </c>
    </row>
    <row r="95" spans="1:11" x14ac:dyDescent="0.25">
      <c r="A95" s="157">
        <f t="shared" si="24"/>
        <v>95</v>
      </c>
      <c r="B95" s="74">
        <v>193</v>
      </c>
      <c r="C95" s="98"/>
      <c r="D95" s="68" t="str">
        <f>HDG_11</f>
        <v>MCR</v>
      </c>
      <c r="E95" s="28" t="str">
        <f t="shared" ca="1" si="25"/>
        <v>$M$95</v>
      </c>
      <c r="F95" s="28" t="str">
        <f t="shared" si="26"/>
        <v>$M$95</v>
      </c>
      <c r="G95" s="28">
        <f t="shared" si="27"/>
        <v>0</v>
      </c>
      <c r="H95" s="170"/>
      <c r="I95" s="170"/>
      <c r="J95" s="28" t="str">
        <f t="shared" si="28"/>
        <v/>
      </c>
      <c r="K95" s="28">
        <f t="shared" si="29"/>
        <v>0</v>
      </c>
    </row>
    <row r="96" spans="1:11" ht="15.75" thickBot="1" x14ac:dyDescent="0.3">
      <c r="A96" s="157">
        <f t="shared" si="24"/>
        <v>96</v>
      </c>
      <c r="B96" s="74">
        <v>194</v>
      </c>
      <c r="C96" s="92"/>
      <c r="D96" s="69" t="s">
        <v>406</v>
      </c>
      <c r="E96" s="28" t="str">
        <f t="shared" ca="1" si="25"/>
        <v>$M$96</v>
      </c>
      <c r="F96" s="28" t="str">
        <f t="shared" si="26"/>
        <v>$M$96</v>
      </c>
      <c r="G96" s="28">
        <f t="shared" si="27"/>
        <v>0</v>
      </c>
      <c r="H96" s="170"/>
      <c r="I96" s="170"/>
      <c r="J96" s="28" t="str">
        <f t="shared" si="28"/>
        <v/>
      </c>
      <c r="K96" s="28">
        <f t="shared" si="29"/>
        <v>0</v>
      </c>
    </row>
    <row r="97" spans="1:11" x14ac:dyDescent="0.25">
      <c r="A97" s="157">
        <f t="shared" si="24"/>
        <v>97</v>
      </c>
      <c r="B97" s="74"/>
      <c r="C97" s="535"/>
      <c r="D97" s="535"/>
      <c r="E97" s="535"/>
      <c r="F97" s="535"/>
      <c r="G97" s="535"/>
      <c r="H97" s="535"/>
      <c r="I97" s="535"/>
      <c r="J97" s="535"/>
      <c r="K97" s="535"/>
    </row>
    <row r="98" spans="1:11" ht="15.75" thickBot="1" x14ac:dyDescent="0.3">
      <c r="A98" s="157">
        <f t="shared" si="24"/>
        <v>98</v>
      </c>
      <c r="B98" s="74"/>
      <c r="C98" s="535"/>
      <c r="D98" s="535"/>
      <c r="E98" s="535"/>
      <c r="F98" s="535"/>
      <c r="G98" s="535"/>
      <c r="H98" s="535"/>
      <c r="I98" s="535"/>
      <c r="J98" s="535"/>
      <c r="K98" s="535"/>
    </row>
    <row r="99" spans="1:11" ht="15.75" thickBot="1" x14ac:dyDescent="0.3">
      <c r="A99" s="157">
        <f t="shared" si="24"/>
        <v>99</v>
      </c>
      <c r="B99" s="74"/>
      <c r="C99" s="956" t="s">
        <v>55</v>
      </c>
      <c r="D99" s="831"/>
      <c r="E99" s="535"/>
      <c r="F99" s="535"/>
      <c r="G99" s="535"/>
      <c r="H99" s="535"/>
      <c r="I99" s="535"/>
      <c r="J99" s="535"/>
      <c r="K99" s="535"/>
    </row>
    <row r="100" spans="1:11" ht="15.75" thickBot="1" x14ac:dyDescent="0.3">
      <c r="A100" s="157">
        <f t="shared" si="24"/>
        <v>100</v>
      </c>
      <c r="B100" s="74">
        <v>56</v>
      </c>
      <c r="C100" s="677" t="s">
        <v>425</v>
      </c>
      <c r="D100" s="728"/>
      <c r="E100" s="28" t="str">
        <f t="shared" ca="1" si="25"/>
        <v>$M$100</v>
      </c>
      <c r="F100" s="28" t="str">
        <f>ADDRESS(A100,$F$6+4)</f>
        <v>$M$100</v>
      </c>
      <c r="G100" s="28">
        <f>IF(OR($F$6=0,$F$6=""),"",VLOOKUP($B100,DATA_M_TRA,$F$6+3,FALSE))</f>
        <v>0</v>
      </c>
      <c r="H100" s="28" t="str">
        <f ca="1">ADDRESS(B100+45,VCR+4)</f>
        <v>$E$101</v>
      </c>
      <c r="I100" s="28" t="str">
        <f>ADDRESS($B100+45,$I$6+4)</f>
        <v>$D$101</v>
      </c>
      <c r="J100" s="28" t="str">
        <f>IF(OR($I$6=0,$I$6=""),"",VLOOKUP($B100,DATA_A_TRA,$I$6+3,FALSE))</f>
        <v/>
      </c>
      <c r="K100" s="28">
        <f>IF(OR(AND(G100&lt;&gt;"",G100&lt;&gt;0),AND(J100&lt;&gt;"",J100&lt;&gt;0)),1,0)</f>
        <v>0</v>
      </c>
    </row>
    <row r="101" spans="1:11" ht="15.75" thickBot="1" x14ac:dyDescent="0.3">
      <c r="A101" s="157">
        <f t="shared" si="24"/>
        <v>101</v>
      </c>
      <c r="B101" s="74"/>
      <c r="C101" s="955" t="s">
        <v>56</v>
      </c>
      <c r="D101" s="829"/>
      <c r="E101" s="535"/>
      <c r="F101" s="535"/>
      <c r="G101" s="535"/>
      <c r="H101" s="535"/>
      <c r="I101" s="535"/>
      <c r="J101" s="535"/>
      <c r="K101" s="535"/>
    </row>
    <row r="102" spans="1:11" x14ac:dyDescent="0.25">
      <c r="A102" s="157">
        <f t="shared" si="24"/>
        <v>102</v>
      </c>
      <c r="B102" s="74">
        <v>57</v>
      </c>
      <c r="C102" s="957"/>
      <c r="D102" s="110" t="str">
        <f>HDG_1</f>
        <v>AFR</v>
      </c>
      <c r="E102" s="28" t="str">
        <f t="shared" ca="1" si="25"/>
        <v>$M$102</v>
      </c>
      <c r="F102" s="28" t="str">
        <f t="shared" ref="F102:F113" si="30">ADDRESS(A102,$F$6+4)</f>
        <v>$M$102</v>
      </c>
      <c r="G102" s="28">
        <f t="shared" ref="G102:G113" si="31">IF(OR($F$6=0,$F$6=""),"",VLOOKUP($B102,DATA_M_TRA,$F$6+3,FALSE))</f>
        <v>0</v>
      </c>
      <c r="H102" s="28" t="str">
        <f t="shared" ref="H102:H113" ca="1" si="32">ADDRESS(B102+46,VCR+4)</f>
        <v>$E$103</v>
      </c>
      <c r="I102" s="28" t="str">
        <f t="shared" ref="I102:I113" si="33">ADDRESS($B102+46,$I$6+4)</f>
        <v>$D$103</v>
      </c>
      <c r="J102" s="535"/>
      <c r="K102" s="28">
        <f t="shared" ref="K102:K113" si="34">IF(OR(AND(G102&lt;&gt;"",G102&lt;&gt;0),AND(J102&lt;&gt;"",J102&lt;&gt;0)),1,0)</f>
        <v>0</v>
      </c>
    </row>
    <row r="103" spans="1:11" x14ac:dyDescent="0.25">
      <c r="A103" s="157">
        <f t="shared" si="24"/>
        <v>103</v>
      </c>
      <c r="B103" s="74">
        <v>58</v>
      </c>
      <c r="C103" s="958"/>
      <c r="D103" s="68" t="str">
        <f>HDG_2</f>
        <v>AVP</v>
      </c>
      <c r="E103" s="28" t="str">
        <f t="shared" ca="1" si="25"/>
        <v>$M$103</v>
      </c>
      <c r="F103" s="28" t="str">
        <f t="shared" si="30"/>
        <v>$M$103</v>
      </c>
      <c r="G103" s="28">
        <f t="shared" si="31"/>
        <v>0</v>
      </c>
      <c r="H103" s="28" t="str">
        <f t="shared" ca="1" si="32"/>
        <v>$E$104</v>
      </c>
      <c r="I103" s="28" t="str">
        <f t="shared" si="33"/>
        <v>$D$104</v>
      </c>
      <c r="J103" s="535"/>
      <c r="K103" s="28">
        <f t="shared" si="34"/>
        <v>0</v>
      </c>
    </row>
    <row r="104" spans="1:11" x14ac:dyDescent="0.25">
      <c r="A104" s="157">
        <f t="shared" si="24"/>
        <v>104</v>
      </c>
      <c r="B104" s="74">
        <v>59</v>
      </c>
      <c r="C104" s="958"/>
      <c r="D104" s="68" t="str">
        <f>HDG_3</f>
        <v>ALZ</v>
      </c>
      <c r="E104" s="28" t="str">
        <f t="shared" ca="1" si="25"/>
        <v>$M$104</v>
      </c>
      <c r="F104" s="28" t="str">
        <f t="shared" si="30"/>
        <v>$M$104</v>
      </c>
      <c r="G104" s="28">
        <f t="shared" si="31"/>
        <v>0</v>
      </c>
      <c r="H104" s="28" t="str">
        <f t="shared" ca="1" si="32"/>
        <v>$E$105</v>
      </c>
      <c r="I104" s="28" t="str">
        <f t="shared" si="33"/>
        <v>$D$105</v>
      </c>
      <c r="J104" s="535"/>
      <c r="K104" s="28">
        <f t="shared" si="34"/>
        <v>0</v>
      </c>
    </row>
    <row r="105" spans="1:11" x14ac:dyDescent="0.25">
      <c r="A105" s="157">
        <f t="shared" si="24"/>
        <v>105</v>
      </c>
      <c r="B105" s="74">
        <v>60</v>
      </c>
      <c r="C105" s="958"/>
      <c r="D105" s="68" t="str">
        <f>HDG_4</f>
        <v>MZS</v>
      </c>
      <c r="E105" s="28" t="str">
        <f t="shared" ca="1" si="25"/>
        <v>$M$105</v>
      </c>
      <c r="F105" s="28" t="str">
        <f t="shared" si="30"/>
        <v>$M$105</v>
      </c>
      <c r="G105" s="28">
        <f t="shared" si="31"/>
        <v>0</v>
      </c>
      <c r="H105" s="28" t="str">
        <f t="shared" ca="1" si="32"/>
        <v>$E$106</v>
      </c>
      <c r="I105" s="28" t="str">
        <f t="shared" si="33"/>
        <v>$D$106</v>
      </c>
      <c r="J105" s="535"/>
      <c r="K105" s="28">
        <f t="shared" si="34"/>
        <v>0</v>
      </c>
    </row>
    <row r="106" spans="1:11" x14ac:dyDescent="0.25">
      <c r="A106" s="157">
        <f t="shared" si="24"/>
        <v>106</v>
      </c>
      <c r="B106" s="74">
        <v>61</v>
      </c>
      <c r="C106" s="958"/>
      <c r="D106" s="68" t="str">
        <f>HDG_5</f>
        <v>APR</v>
      </c>
      <c r="E106" s="28" t="str">
        <f t="shared" ca="1" si="25"/>
        <v>$M$106</v>
      </c>
      <c r="F106" s="28" t="str">
        <f t="shared" si="30"/>
        <v>$M$106</v>
      </c>
      <c r="G106" s="28">
        <f t="shared" si="31"/>
        <v>0</v>
      </c>
      <c r="H106" s="28" t="str">
        <f t="shared" ca="1" si="32"/>
        <v>$E$107</v>
      </c>
      <c r="I106" s="28" t="str">
        <f t="shared" si="33"/>
        <v>$D$107</v>
      </c>
      <c r="J106" s="535"/>
      <c r="K106" s="28">
        <f t="shared" si="34"/>
        <v>0</v>
      </c>
    </row>
    <row r="107" spans="1:11" x14ac:dyDescent="0.25">
      <c r="A107" s="157">
        <f t="shared" si="24"/>
        <v>107</v>
      </c>
      <c r="B107" s="74">
        <v>62</v>
      </c>
      <c r="C107" s="958"/>
      <c r="D107" s="68" t="str">
        <f>HDG_6</f>
        <v>DCG</v>
      </c>
      <c r="E107" s="28" t="str">
        <f t="shared" ca="1" si="25"/>
        <v>$M$107</v>
      </c>
      <c r="F107" s="28" t="str">
        <f t="shared" si="30"/>
        <v>$M$107</v>
      </c>
      <c r="G107" s="28">
        <f t="shared" si="31"/>
        <v>0</v>
      </c>
      <c r="H107" s="28" t="str">
        <f t="shared" ca="1" si="32"/>
        <v>$E$108</v>
      </c>
      <c r="I107" s="28" t="str">
        <f t="shared" si="33"/>
        <v>$D$108</v>
      </c>
      <c r="J107" s="535"/>
      <c r="K107" s="28">
        <f t="shared" si="34"/>
        <v>0</v>
      </c>
    </row>
    <row r="108" spans="1:11" x14ac:dyDescent="0.25">
      <c r="A108" s="157">
        <f t="shared" si="24"/>
        <v>108</v>
      </c>
      <c r="B108" s="74">
        <v>63</v>
      </c>
      <c r="C108" s="958"/>
      <c r="D108" s="68" t="str">
        <f>HDG_7</f>
        <v>SFS</v>
      </c>
      <c r="E108" s="28" t="str">
        <f t="shared" ca="1" si="25"/>
        <v>$M$108</v>
      </c>
      <c r="F108" s="28" t="str">
        <f t="shared" si="30"/>
        <v>$M$108</v>
      </c>
      <c r="G108" s="28">
        <f t="shared" si="31"/>
        <v>0</v>
      </c>
      <c r="H108" s="28" t="str">
        <f t="shared" ca="1" si="32"/>
        <v>$E$109</v>
      </c>
      <c r="I108" s="28" t="str">
        <f t="shared" si="33"/>
        <v>$D$109</v>
      </c>
      <c r="J108" s="535"/>
      <c r="K108" s="28">
        <f t="shared" si="34"/>
        <v>0</v>
      </c>
    </row>
    <row r="109" spans="1:11" x14ac:dyDescent="0.25">
      <c r="A109" s="157">
        <f t="shared" si="24"/>
        <v>109</v>
      </c>
      <c r="B109" s="74">
        <v>64</v>
      </c>
      <c r="C109" s="958"/>
      <c r="D109" s="68" t="str">
        <f>HDG_8</f>
        <v>AZH</v>
      </c>
      <c r="E109" s="28" t="str">
        <f t="shared" ca="1" si="25"/>
        <v>$M$109</v>
      </c>
      <c r="F109" s="28" t="str">
        <f t="shared" si="30"/>
        <v>$M$109</v>
      </c>
      <c r="G109" s="28">
        <f t="shared" si="31"/>
        <v>0</v>
      </c>
      <c r="H109" s="28" t="str">
        <f t="shared" ca="1" si="32"/>
        <v>$E$110</v>
      </c>
      <c r="I109" s="28" t="str">
        <f t="shared" si="33"/>
        <v>$D$110</v>
      </c>
      <c r="J109" s="535"/>
      <c r="K109" s="28">
        <f t="shared" si="34"/>
        <v>0</v>
      </c>
    </row>
    <row r="110" spans="1:11" x14ac:dyDescent="0.25">
      <c r="A110" s="157">
        <f t="shared" si="24"/>
        <v>110</v>
      </c>
      <c r="B110" s="74">
        <v>65</v>
      </c>
      <c r="C110" s="958"/>
      <c r="D110" s="68" t="str">
        <f>HDG_9</f>
        <v>HLI</v>
      </c>
      <c r="E110" s="28" t="str">
        <f t="shared" ca="1" si="25"/>
        <v>$M$110</v>
      </c>
      <c r="F110" s="28" t="str">
        <f t="shared" si="30"/>
        <v>$M$110</v>
      </c>
      <c r="G110" s="28">
        <f t="shared" si="31"/>
        <v>0</v>
      </c>
      <c r="H110" s="28" t="str">
        <f t="shared" ca="1" si="32"/>
        <v>$E$111</v>
      </c>
      <c r="I110" s="28" t="str">
        <f t="shared" si="33"/>
        <v>$D$111</v>
      </c>
      <c r="J110" s="535"/>
      <c r="K110" s="28">
        <f t="shared" si="34"/>
        <v>0</v>
      </c>
    </row>
    <row r="111" spans="1:11" x14ac:dyDescent="0.25">
      <c r="A111" s="157">
        <f t="shared" si="24"/>
        <v>111</v>
      </c>
      <c r="B111" s="74">
        <v>66</v>
      </c>
      <c r="C111" s="958"/>
      <c r="D111" s="68" t="str">
        <f>HDG_10</f>
        <v>MCM</v>
      </c>
      <c r="E111" s="28" t="str">
        <f t="shared" ca="1" si="25"/>
        <v>$M$111</v>
      </c>
      <c r="F111" s="28" t="str">
        <f t="shared" si="30"/>
        <v>$M$111</v>
      </c>
      <c r="G111" s="28">
        <f t="shared" si="31"/>
        <v>0</v>
      </c>
      <c r="H111" s="28" t="str">
        <f t="shared" ca="1" si="32"/>
        <v>$E$112</v>
      </c>
      <c r="I111" s="28" t="str">
        <f t="shared" si="33"/>
        <v>$D$112</v>
      </c>
      <c r="J111" s="535"/>
      <c r="K111" s="28">
        <f t="shared" si="34"/>
        <v>0</v>
      </c>
    </row>
    <row r="112" spans="1:11" x14ac:dyDescent="0.25">
      <c r="A112" s="157">
        <f t="shared" si="24"/>
        <v>112</v>
      </c>
      <c r="B112" s="74">
        <v>67</v>
      </c>
      <c r="C112" s="958"/>
      <c r="D112" s="68" t="str">
        <f>HDG_11</f>
        <v>MCR</v>
      </c>
      <c r="E112" s="28" t="str">
        <f t="shared" ca="1" si="25"/>
        <v>$M$112</v>
      </c>
      <c r="F112" s="28" t="str">
        <f t="shared" si="30"/>
        <v>$M$112</v>
      </c>
      <c r="G112" s="28">
        <f t="shared" si="31"/>
        <v>0</v>
      </c>
      <c r="H112" s="28" t="str">
        <f t="shared" ca="1" si="32"/>
        <v>$E$113</v>
      </c>
      <c r="I112" s="28" t="str">
        <f t="shared" si="33"/>
        <v>$D$113</v>
      </c>
      <c r="J112" s="535"/>
      <c r="K112" s="28">
        <f t="shared" si="34"/>
        <v>0</v>
      </c>
    </row>
    <row r="113" spans="1:11" ht="15.75" thickBot="1" x14ac:dyDescent="0.3">
      <c r="A113" s="157">
        <f t="shared" si="24"/>
        <v>113</v>
      </c>
      <c r="B113" s="74">
        <v>68</v>
      </c>
      <c r="C113" s="959"/>
      <c r="D113" s="69" t="s">
        <v>406</v>
      </c>
      <c r="E113" s="28" t="str">
        <f t="shared" ca="1" si="25"/>
        <v>$M$113</v>
      </c>
      <c r="F113" s="28" t="str">
        <f t="shared" si="30"/>
        <v>$M$113</v>
      </c>
      <c r="G113" s="28">
        <f t="shared" si="31"/>
        <v>0</v>
      </c>
      <c r="H113" s="28" t="str">
        <f t="shared" ca="1" si="32"/>
        <v>$E$114</v>
      </c>
      <c r="I113" s="28" t="str">
        <f t="shared" si="33"/>
        <v>$D$114</v>
      </c>
      <c r="J113" s="535"/>
      <c r="K113" s="28">
        <f t="shared" si="34"/>
        <v>0</v>
      </c>
    </row>
    <row r="114" spans="1:11" ht="15.75" thickBot="1" x14ac:dyDescent="0.3">
      <c r="A114" s="157">
        <f t="shared" si="24"/>
        <v>114</v>
      </c>
      <c r="B114" s="74"/>
      <c r="C114" s="535"/>
      <c r="D114" s="535"/>
      <c r="E114" s="535"/>
      <c r="F114" s="535"/>
      <c r="G114" s="535"/>
      <c r="H114" s="535"/>
      <c r="I114" s="535"/>
      <c r="J114" s="535"/>
      <c r="K114" s="535"/>
    </row>
    <row r="115" spans="1:11" ht="15.75" thickBot="1" x14ac:dyDescent="0.3">
      <c r="A115" s="157">
        <f t="shared" si="24"/>
        <v>115</v>
      </c>
      <c r="B115" s="74"/>
      <c r="C115" s="956" t="s">
        <v>55</v>
      </c>
      <c r="D115" s="831"/>
      <c r="E115" s="535"/>
      <c r="F115" s="535"/>
      <c r="G115" s="535"/>
      <c r="H115" s="535"/>
      <c r="I115" s="535"/>
      <c r="J115" s="535"/>
      <c r="K115" s="535"/>
    </row>
    <row r="116" spans="1:11" ht="15.75" thickBot="1" x14ac:dyDescent="0.3">
      <c r="A116" s="157">
        <f t="shared" si="24"/>
        <v>116</v>
      </c>
      <c r="B116" s="74">
        <v>69</v>
      </c>
      <c r="C116" s="677" t="s">
        <v>64</v>
      </c>
      <c r="D116" s="728"/>
      <c r="E116" s="28" t="str">
        <f t="shared" ca="1" si="25"/>
        <v>$M$116</v>
      </c>
      <c r="F116" s="28" t="str">
        <f>ADDRESS(A116,$F$6+4)</f>
        <v>$M$116</v>
      </c>
      <c r="G116" s="28">
        <f>IF(OR($F$6=0,$F$6=""),"",VLOOKUP($B116,DATA_M_TRA,$F$6+3,FALSE))</f>
        <v>0</v>
      </c>
      <c r="H116" s="28" t="str">
        <f ca="1">ADDRESS(B116+48,VCR+4)</f>
        <v>$E$117</v>
      </c>
      <c r="I116" s="28" t="str">
        <f>ADDRESS($B116+48,$I$6+4)</f>
        <v>$D$117</v>
      </c>
      <c r="J116" s="28" t="str">
        <f>IF(OR($I$6=0,$I$6=""),"",VLOOKUP($B116,DATA_A_TRA,$I$6+3,FALSE))</f>
        <v/>
      </c>
      <c r="K116" s="28">
        <f>IF(OR(AND(G116&lt;&gt;"",G116&lt;&gt;0),AND(J116&lt;&gt;"",J116&lt;&gt;0)),1,0)</f>
        <v>0</v>
      </c>
    </row>
    <row r="117" spans="1:11" ht="15.75" thickBot="1" x14ac:dyDescent="0.3">
      <c r="A117" s="157">
        <f t="shared" si="24"/>
        <v>117</v>
      </c>
      <c r="B117" s="74"/>
      <c r="C117" s="955" t="s">
        <v>56</v>
      </c>
      <c r="D117" s="829"/>
      <c r="E117" s="535"/>
      <c r="F117" s="535"/>
      <c r="G117" s="535"/>
      <c r="H117" s="535"/>
      <c r="I117" s="535"/>
      <c r="J117" s="535"/>
      <c r="K117" s="535"/>
    </row>
    <row r="118" spans="1:11" x14ac:dyDescent="0.25">
      <c r="A118" s="157">
        <f t="shared" si="24"/>
        <v>118</v>
      </c>
      <c r="B118" s="74">
        <v>70</v>
      </c>
      <c r="C118" s="957"/>
      <c r="D118" s="110" t="str">
        <f>HDG_1</f>
        <v>AFR</v>
      </c>
      <c r="E118" s="28" t="str">
        <f t="shared" ca="1" si="25"/>
        <v>$M$118</v>
      </c>
      <c r="F118" s="28" t="str">
        <f t="shared" ref="F118:F129" si="35">ADDRESS(A118,$F$6+4)</f>
        <v>$M$118</v>
      </c>
      <c r="G118" s="28">
        <f t="shared" ref="G118:G129" si="36">IF(OR($F$6=0,$F$6=""),"",VLOOKUP($B118,DATA_M_TRA,$F$6+3,FALSE))</f>
        <v>0</v>
      </c>
      <c r="H118" s="28" t="str">
        <f t="shared" ref="H118:H129" ca="1" si="37">ADDRESS(B118+49,VCR+4)</f>
        <v>$E$119</v>
      </c>
      <c r="I118" s="28" t="str">
        <f t="shared" ref="I118:I129" si="38">ADDRESS($B118+49,$I$6+4)</f>
        <v>$D$119</v>
      </c>
      <c r="J118" s="535"/>
      <c r="K118" s="28">
        <f t="shared" ref="K118:K129" si="39">IF(OR(AND(G118&lt;&gt;"",G118&lt;&gt;0),AND(J118&lt;&gt;"",J118&lt;&gt;0)),1,0)</f>
        <v>0</v>
      </c>
    </row>
    <row r="119" spans="1:11" x14ac:dyDescent="0.25">
      <c r="A119" s="157">
        <f t="shared" si="24"/>
        <v>119</v>
      </c>
      <c r="B119" s="74">
        <v>71</v>
      </c>
      <c r="C119" s="958"/>
      <c r="D119" s="68" t="str">
        <f>HDG_2</f>
        <v>AVP</v>
      </c>
      <c r="E119" s="28" t="str">
        <f t="shared" ca="1" si="25"/>
        <v>$M$119</v>
      </c>
      <c r="F119" s="28" t="str">
        <f t="shared" si="35"/>
        <v>$M$119</v>
      </c>
      <c r="G119" s="28">
        <f t="shared" si="36"/>
        <v>0</v>
      </c>
      <c r="H119" s="28" t="str">
        <f t="shared" ca="1" si="37"/>
        <v>$E$120</v>
      </c>
      <c r="I119" s="28" t="str">
        <f t="shared" si="38"/>
        <v>$D$120</v>
      </c>
      <c r="J119" s="535"/>
      <c r="K119" s="28">
        <f t="shared" si="39"/>
        <v>0</v>
      </c>
    </row>
    <row r="120" spans="1:11" x14ac:dyDescent="0.25">
      <c r="A120" s="157">
        <f t="shared" si="24"/>
        <v>120</v>
      </c>
      <c r="B120" s="74">
        <v>72</v>
      </c>
      <c r="C120" s="958"/>
      <c r="D120" s="68" t="str">
        <f>HDG_3</f>
        <v>ALZ</v>
      </c>
      <c r="E120" s="28" t="str">
        <f t="shared" ca="1" si="25"/>
        <v>$M$120</v>
      </c>
      <c r="F120" s="28" t="str">
        <f t="shared" si="35"/>
        <v>$M$120</v>
      </c>
      <c r="G120" s="28">
        <f t="shared" si="36"/>
        <v>0</v>
      </c>
      <c r="H120" s="28" t="str">
        <f t="shared" ca="1" si="37"/>
        <v>$E$121</v>
      </c>
      <c r="I120" s="28" t="str">
        <f t="shared" si="38"/>
        <v>$D$121</v>
      </c>
      <c r="J120" s="535"/>
      <c r="K120" s="28">
        <f t="shared" si="39"/>
        <v>0</v>
      </c>
    </row>
    <row r="121" spans="1:11" x14ac:dyDescent="0.25">
      <c r="A121" s="157">
        <f t="shared" si="24"/>
        <v>121</v>
      </c>
      <c r="B121" s="74">
        <v>73</v>
      </c>
      <c r="C121" s="958"/>
      <c r="D121" s="68" t="str">
        <f>HDG_4</f>
        <v>MZS</v>
      </c>
      <c r="E121" s="28" t="str">
        <f t="shared" ca="1" si="25"/>
        <v>$M$121</v>
      </c>
      <c r="F121" s="28" t="str">
        <f t="shared" si="35"/>
        <v>$M$121</v>
      </c>
      <c r="G121" s="28">
        <f t="shared" si="36"/>
        <v>0</v>
      </c>
      <c r="H121" s="28" t="str">
        <f t="shared" ca="1" si="37"/>
        <v>$E$122</v>
      </c>
      <c r="I121" s="28" t="str">
        <f t="shared" si="38"/>
        <v>$D$122</v>
      </c>
      <c r="J121" s="535"/>
      <c r="K121" s="28">
        <f t="shared" si="39"/>
        <v>0</v>
      </c>
    </row>
    <row r="122" spans="1:11" x14ac:dyDescent="0.25">
      <c r="A122" s="157">
        <f t="shared" si="24"/>
        <v>122</v>
      </c>
      <c r="B122" s="74">
        <v>74</v>
      </c>
      <c r="C122" s="958"/>
      <c r="D122" s="68" t="str">
        <f>HDG_5</f>
        <v>APR</v>
      </c>
      <c r="E122" s="28" t="str">
        <f t="shared" ca="1" si="25"/>
        <v>$M$122</v>
      </c>
      <c r="F122" s="28" t="str">
        <f t="shared" si="35"/>
        <v>$M$122</v>
      </c>
      <c r="G122" s="28">
        <f t="shared" si="36"/>
        <v>0</v>
      </c>
      <c r="H122" s="28" t="str">
        <f t="shared" ca="1" si="37"/>
        <v>$E$123</v>
      </c>
      <c r="I122" s="28" t="str">
        <f t="shared" si="38"/>
        <v>$D$123</v>
      </c>
      <c r="J122" s="535"/>
      <c r="K122" s="28">
        <f t="shared" si="39"/>
        <v>0</v>
      </c>
    </row>
    <row r="123" spans="1:11" x14ac:dyDescent="0.25">
      <c r="A123" s="157">
        <f t="shared" si="24"/>
        <v>123</v>
      </c>
      <c r="B123" s="74">
        <v>75</v>
      </c>
      <c r="C123" s="958"/>
      <c r="D123" s="68" t="str">
        <f>HDG_6</f>
        <v>DCG</v>
      </c>
      <c r="E123" s="28" t="str">
        <f t="shared" ca="1" si="25"/>
        <v>$M$123</v>
      </c>
      <c r="F123" s="28" t="str">
        <f t="shared" si="35"/>
        <v>$M$123</v>
      </c>
      <c r="G123" s="28">
        <f t="shared" si="36"/>
        <v>0</v>
      </c>
      <c r="H123" s="28" t="str">
        <f t="shared" ca="1" si="37"/>
        <v>$E$124</v>
      </c>
      <c r="I123" s="28" t="str">
        <f t="shared" si="38"/>
        <v>$D$124</v>
      </c>
      <c r="J123" s="535"/>
      <c r="K123" s="28">
        <f t="shared" si="39"/>
        <v>0</v>
      </c>
    </row>
    <row r="124" spans="1:11" x14ac:dyDescent="0.25">
      <c r="A124" s="157">
        <f t="shared" si="24"/>
        <v>124</v>
      </c>
      <c r="B124" s="74">
        <v>76</v>
      </c>
      <c r="C124" s="958"/>
      <c r="D124" s="68" t="str">
        <f>HDG_7</f>
        <v>SFS</v>
      </c>
      <c r="E124" s="28" t="str">
        <f t="shared" ca="1" si="25"/>
        <v>$M$124</v>
      </c>
      <c r="F124" s="28" t="str">
        <f t="shared" si="35"/>
        <v>$M$124</v>
      </c>
      <c r="G124" s="28">
        <f t="shared" si="36"/>
        <v>0</v>
      </c>
      <c r="H124" s="28" t="str">
        <f t="shared" ca="1" si="37"/>
        <v>$E$125</v>
      </c>
      <c r="I124" s="28" t="str">
        <f t="shared" si="38"/>
        <v>$D$125</v>
      </c>
      <c r="J124" s="535"/>
      <c r="K124" s="28">
        <f t="shared" si="39"/>
        <v>0</v>
      </c>
    </row>
    <row r="125" spans="1:11" x14ac:dyDescent="0.25">
      <c r="A125" s="157">
        <f t="shared" si="24"/>
        <v>125</v>
      </c>
      <c r="B125" s="74">
        <v>77</v>
      </c>
      <c r="C125" s="958"/>
      <c r="D125" s="68" t="str">
        <f>HDG_8</f>
        <v>AZH</v>
      </c>
      <c r="E125" s="28" t="str">
        <f t="shared" ca="1" si="25"/>
        <v>$M$125</v>
      </c>
      <c r="F125" s="28" t="str">
        <f t="shared" si="35"/>
        <v>$M$125</v>
      </c>
      <c r="G125" s="28">
        <f t="shared" si="36"/>
        <v>0</v>
      </c>
      <c r="H125" s="28" t="str">
        <f t="shared" ca="1" si="37"/>
        <v>$E$126</v>
      </c>
      <c r="I125" s="28" t="str">
        <f t="shared" si="38"/>
        <v>$D$126</v>
      </c>
      <c r="J125" s="535"/>
      <c r="K125" s="28">
        <f t="shared" si="39"/>
        <v>0</v>
      </c>
    </row>
    <row r="126" spans="1:11" x14ac:dyDescent="0.25">
      <c r="A126" s="157">
        <f t="shared" si="24"/>
        <v>126</v>
      </c>
      <c r="B126" s="74">
        <v>78</v>
      </c>
      <c r="C126" s="958"/>
      <c r="D126" s="68" t="str">
        <f>HDG_9</f>
        <v>HLI</v>
      </c>
      <c r="E126" s="28" t="str">
        <f t="shared" ca="1" si="25"/>
        <v>$M$126</v>
      </c>
      <c r="F126" s="28" t="str">
        <f t="shared" si="35"/>
        <v>$M$126</v>
      </c>
      <c r="G126" s="28">
        <f t="shared" si="36"/>
        <v>0</v>
      </c>
      <c r="H126" s="28" t="str">
        <f t="shared" ca="1" si="37"/>
        <v>$E$127</v>
      </c>
      <c r="I126" s="28" t="str">
        <f t="shared" si="38"/>
        <v>$D$127</v>
      </c>
      <c r="J126" s="535"/>
      <c r="K126" s="28">
        <f t="shared" si="39"/>
        <v>0</v>
      </c>
    </row>
    <row r="127" spans="1:11" x14ac:dyDescent="0.25">
      <c r="A127" s="157">
        <f t="shared" si="24"/>
        <v>127</v>
      </c>
      <c r="B127" s="74">
        <v>79</v>
      </c>
      <c r="C127" s="958"/>
      <c r="D127" s="68" t="str">
        <f>HDG_10</f>
        <v>MCM</v>
      </c>
      <c r="E127" s="28" t="str">
        <f t="shared" ca="1" si="25"/>
        <v>$M$127</v>
      </c>
      <c r="F127" s="28" t="str">
        <f t="shared" si="35"/>
        <v>$M$127</v>
      </c>
      <c r="G127" s="28">
        <f t="shared" si="36"/>
        <v>0</v>
      </c>
      <c r="H127" s="28" t="str">
        <f t="shared" ca="1" si="37"/>
        <v>$E$128</v>
      </c>
      <c r="I127" s="28" t="str">
        <f t="shared" si="38"/>
        <v>$D$128</v>
      </c>
      <c r="J127" s="535"/>
      <c r="K127" s="28">
        <f t="shared" si="39"/>
        <v>0</v>
      </c>
    </row>
    <row r="128" spans="1:11" x14ac:dyDescent="0.25">
      <c r="A128" s="157">
        <f t="shared" si="24"/>
        <v>128</v>
      </c>
      <c r="B128" s="74">
        <v>80</v>
      </c>
      <c r="C128" s="958"/>
      <c r="D128" s="68" t="str">
        <f>HDG_11</f>
        <v>MCR</v>
      </c>
      <c r="E128" s="28" t="str">
        <f t="shared" ca="1" si="25"/>
        <v>$M$128</v>
      </c>
      <c r="F128" s="28" t="str">
        <f t="shared" si="35"/>
        <v>$M$128</v>
      </c>
      <c r="G128" s="28">
        <f t="shared" si="36"/>
        <v>0</v>
      </c>
      <c r="H128" s="28" t="str">
        <f t="shared" ca="1" si="37"/>
        <v>$E$129</v>
      </c>
      <c r="I128" s="28" t="str">
        <f t="shared" si="38"/>
        <v>$D$129</v>
      </c>
      <c r="J128" s="535"/>
      <c r="K128" s="28">
        <f t="shared" si="39"/>
        <v>0</v>
      </c>
    </row>
    <row r="129" spans="1:11" ht="15.75" thickBot="1" x14ac:dyDescent="0.3">
      <c r="A129" s="157">
        <f t="shared" si="24"/>
        <v>129</v>
      </c>
      <c r="B129" s="74">
        <v>81</v>
      </c>
      <c r="C129" s="959"/>
      <c r="D129" s="69" t="s">
        <v>406</v>
      </c>
      <c r="E129" s="28" t="str">
        <f t="shared" ca="1" si="25"/>
        <v>$M$129</v>
      </c>
      <c r="F129" s="28" t="str">
        <f t="shared" si="35"/>
        <v>$M$129</v>
      </c>
      <c r="G129" s="28">
        <f t="shared" si="36"/>
        <v>0</v>
      </c>
      <c r="H129" s="28" t="str">
        <f t="shared" ca="1" si="37"/>
        <v>$E$130</v>
      </c>
      <c r="I129" s="28" t="str">
        <f t="shared" si="38"/>
        <v>$D$130</v>
      </c>
      <c r="J129" s="535"/>
      <c r="K129" s="28">
        <f t="shared" si="39"/>
        <v>0</v>
      </c>
    </row>
    <row r="130" spans="1:11" ht="15.75" thickBot="1" x14ac:dyDescent="0.3">
      <c r="A130" s="157">
        <f t="shared" si="24"/>
        <v>130</v>
      </c>
      <c r="B130" s="74"/>
      <c r="C130" s="535"/>
      <c r="D130" s="535"/>
      <c r="E130" s="535"/>
      <c r="F130" s="535"/>
      <c r="G130" s="535"/>
      <c r="H130" s="535"/>
      <c r="I130" s="535"/>
      <c r="J130" s="535"/>
      <c r="K130" s="535"/>
    </row>
    <row r="131" spans="1:11" ht="15.75" thickBot="1" x14ac:dyDescent="0.3">
      <c r="A131" s="157">
        <f t="shared" si="24"/>
        <v>131</v>
      </c>
      <c r="B131" s="74"/>
      <c r="C131" s="956" t="s">
        <v>55</v>
      </c>
      <c r="D131" s="831"/>
      <c r="E131" s="535"/>
      <c r="F131" s="535"/>
      <c r="G131" s="535"/>
      <c r="H131" s="535"/>
      <c r="I131" s="535"/>
      <c r="J131" s="535"/>
      <c r="K131" s="535"/>
    </row>
    <row r="132" spans="1:11" ht="15.75" thickBot="1" x14ac:dyDescent="0.3">
      <c r="A132" s="157">
        <f t="shared" si="24"/>
        <v>132</v>
      </c>
      <c r="B132" s="74">
        <v>82</v>
      </c>
      <c r="C132" s="931" t="s">
        <v>65</v>
      </c>
      <c r="D132" s="764"/>
      <c r="E132" s="28" t="str">
        <f t="shared" ca="1" si="25"/>
        <v>$M$132</v>
      </c>
      <c r="F132" s="28" t="str">
        <f>ADDRESS(A132,$F$6+4)</f>
        <v>$M$132</v>
      </c>
      <c r="G132" s="28">
        <f>IF(OR($F$6=0,$F$6=""),"",VLOOKUP($B132,DATA_M_TRA,$F$6+3,FALSE))</f>
        <v>0</v>
      </c>
      <c r="H132" s="28" t="str">
        <f ca="1">ADDRESS(B132+51,VCR+4)</f>
        <v>$E$133</v>
      </c>
      <c r="I132" s="28" t="str">
        <f>ADDRESS($B132+51,$I$6+4)</f>
        <v>$D$133</v>
      </c>
      <c r="J132" s="28" t="str">
        <f>IF(OR($I$6=0,$I$6=""),"",VLOOKUP($B132,DATA_A_TRA,$I$6+3,FALSE))</f>
        <v/>
      </c>
      <c r="K132" s="28">
        <f>IF(OR(AND(G132&lt;&gt;"",G132&lt;&gt;0),AND(J132&lt;&gt;"",J132&lt;&gt;0)),1,0)</f>
        <v>0</v>
      </c>
    </row>
    <row r="133" spans="1:11" ht="15.75" thickBot="1" x14ac:dyDescent="0.3">
      <c r="A133" s="157">
        <f t="shared" si="24"/>
        <v>133</v>
      </c>
      <c r="B133" s="74"/>
      <c r="C133" s="955" t="s">
        <v>56</v>
      </c>
      <c r="D133" s="829"/>
      <c r="E133" s="535"/>
      <c r="F133" s="535"/>
      <c r="G133" s="535"/>
      <c r="H133" s="535"/>
      <c r="I133" s="535"/>
      <c r="J133" s="535"/>
      <c r="K133" s="535"/>
    </row>
    <row r="134" spans="1:11" x14ac:dyDescent="0.25">
      <c r="A134" s="157">
        <f t="shared" si="24"/>
        <v>134</v>
      </c>
      <c r="B134" s="74">
        <v>83</v>
      </c>
      <c r="C134" s="957"/>
      <c r="D134" s="110" t="str">
        <f>HDG_1</f>
        <v>AFR</v>
      </c>
      <c r="E134" s="28" t="str">
        <f t="shared" ca="1" si="25"/>
        <v>$M$134</v>
      </c>
      <c r="F134" s="28" t="str">
        <f t="shared" ref="F134:F145" si="40">ADDRESS(A134,$F$6+4)</f>
        <v>$M$134</v>
      </c>
      <c r="G134" s="28">
        <f t="shared" ref="G134:G145" si="41">IF(OR($F$6=0,$F$6=""),"",VLOOKUP($B134,DATA_M_TRA,$F$6+3,FALSE))</f>
        <v>0</v>
      </c>
      <c r="H134" s="28" t="str">
        <f t="shared" ref="H134:H145" ca="1" si="42">ADDRESS(B134+52,VCR+4)</f>
        <v>$E$135</v>
      </c>
      <c r="I134" s="28" t="str">
        <f t="shared" ref="I134:I145" si="43">ADDRESS($B134+52,$I$6+4)</f>
        <v>$D$135</v>
      </c>
      <c r="J134" s="535"/>
      <c r="K134" s="28">
        <f t="shared" ref="K134:K145" si="44">IF(OR(AND(G134&lt;&gt;"",G134&lt;&gt;0),AND(J134&lt;&gt;"",J134&lt;&gt;0)),1,0)</f>
        <v>0</v>
      </c>
    </row>
    <row r="135" spans="1:11" x14ac:dyDescent="0.25">
      <c r="A135" s="157">
        <f t="shared" si="24"/>
        <v>135</v>
      </c>
      <c r="B135" s="74">
        <v>84</v>
      </c>
      <c r="C135" s="958"/>
      <c r="D135" s="68" t="str">
        <f>HDG_2</f>
        <v>AVP</v>
      </c>
      <c r="E135" s="28" t="str">
        <f t="shared" ca="1" si="25"/>
        <v>$M$135</v>
      </c>
      <c r="F135" s="28" t="str">
        <f t="shared" si="40"/>
        <v>$M$135</v>
      </c>
      <c r="G135" s="28">
        <f t="shared" si="41"/>
        <v>0</v>
      </c>
      <c r="H135" s="28" t="str">
        <f t="shared" ca="1" si="42"/>
        <v>$E$136</v>
      </c>
      <c r="I135" s="28" t="str">
        <f t="shared" si="43"/>
        <v>$D$136</v>
      </c>
      <c r="J135" s="535"/>
      <c r="K135" s="28">
        <f t="shared" si="44"/>
        <v>0</v>
      </c>
    </row>
    <row r="136" spans="1:11" x14ac:dyDescent="0.25">
      <c r="A136" s="157">
        <f t="shared" ref="A136:A199" si="45">ROW(A136)</f>
        <v>136</v>
      </c>
      <c r="B136" s="74">
        <v>85</v>
      </c>
      <c r="C136" s="958"/>
      <c r="D136" s="68" t="str">
        <f>HDG_3</f>
        <v>ALZ</v>
      </c>
      <c r="E136" s="28" t="str">
        <f t="shared" ref="E136:E199" ca="1" si="46">ADDRESS(A136,$E$6+4)</f>
        <v>$M$136</v>
      </c>
      <c r="F136" s="28" t="str">
        <f t="shared" si="40"/>
        <v>$M$136</v>
      </c>
      <c r="G136" s="28">
        <f t="shared" si="41"/>
        <v>0</v>
      </c>
      <c r="H136" s="28" t="str">
        <f t="shared" ca="1" si="42"/>
        <v>$E$137</v>
      </c>
      <c r="I136" s="28" t="str">
        <f t="shared" si="43"/>
        <v>$D$137</v>
      </c>
      <c r="J136" s="535"/>
      <c r="K136" s="28">
        <f t="shared" si="44"/>
        <v>0</v>
      </c>
    </row>
    <row r="137" spans="1:11" x14ac:dyDescent="0.25">
      <c r="A137" s="157">
        <f t="shared" si="45"/>
        <v>137</v>
      </c>
      <c r="B137" s="74">
        <v>86</v>
      </c>
      <c r="C137" s="958"/>
      <c r="D137" s="68" t="str">
        <f>HDG_4</f>
        <v>MZS</v>
      </c>
      <c r="E137" s="28" t="str">
        <f t="shared" ca="1" si="46"/>
        <v>$M$137</v>
      </c>
      <c r="F137" s="28" t="str">
        <f t="shared" si="40"/>
        <v>$M$137</v>
      </c>
      <c r="G137" s="28">
        <f t="shared" si="41"/>
        <v>0</v>
      </c>
      <c r="H137" s="28" t="str">
        <f t="shared" ca="1" si="42"/>
        <v>$E$138</v>
      </c>
      <c r="I137" s="28" t="str">
        <f t="shared" si="43"/>
        <v>$D$138</v>
      </c>
      <c r="J137" s="535"/>
      <c r="K137" s="28">
        <f t="shared" si="44"/>
        <v>0</v>
      </c>
    </row>
    <row r="138" spans="1:11" x14ac:dyDescent="0.25">
      <c r="A138" s="157">
        <f t="shared" si="45"/>
        <v>138</v>
      </c>
      <c r="B138" s="74">
        <v>87</v>
      </c>
      <c r="C138" s="958"/>
      <c r="D138" s="68" t="str">
        <f>HDG_5</f>
        <v>APR</v>
      </c>
      <c r="E138" s="28" t="str">
        <f t="shared" ca="1" si="46"/>
        <v>$M$138</v>
      </c>
      <c r="F138" s="28" t="str">
        <f t="shared" si="40"/>
        <v>$M$138</v>
      </c>
      <c r="G138" s="28">
        <f t="shared" si="41"/>
        <v>0</v>
      </c>
      <c r="H138" s="28" t="str">
        <f t="shared" ca="1" si="42"/>
        <v>$E$139</v>
      </c>
      <c r="I138" s="28" t="str">
        <f t="shared" si="43"/>
        <v>$D$139</v>
      </c>
      <c r="J138" s="535"/>
      <c r="K138" s="28">
        <f t="shared" si="44"/>
        <v>0</v>
      </c>
    </row>
    <row r="139" spans="1:11" x14ac:dyDescent="0.25">
      <c r="A139" s="157">
        <f t="shared" si="45"/>
        <v>139</v>
      </c>
      <c r="B139" s="74">
        <v>88</v>
      </c>
      <c r="C139" s="958"/>
      <c r="D139" s="68" t="str">
        <f>HDG_6</f>
        <v>DCG</v>
      </c>
      <c r="E139" s="28" t="str">
        <f t="shared" ca="1" si="46"/>
        <v>$M$139</v>
      </c>
      <c r="F139" s="28" t="str">
        <f t="shared" si="40"/>
        <v>$M$139</v>
      </c>
      <c r="G139" s="28">
        <f t="shared" si="41"/>
        <v>0</v>
      </c>
      <c r="H139" s="28" t="str">
        <f t="shared" ca="1" si="42"/>
        <v>$E$140</v>
      </c>
      <c r="I139" s="28" t="str">
        <f t="shared" si="43"/>
        <v>$D$140</v>
      </c>
      <c r="J139" s="535"/>
      <c r="K139" s="28">
        <f t="shared" si="44"/>
        <v>0</v>
      </c>
    </row>
    <row r="140" spans="1:11" x14ac:dyDescent="0.25">
      <c r="A140" s="157">
        <f t="shared" si="45"/>
        <v>140</v>
      </c>
      <c r="B140" s="74">
        <v>89</v>
      </c>
      <c r="C140" s="958"/>
      <c r="D140" s="68" t="str">
        <f>HDG_7</f>
        <v>SFS</v>
      </c>
      <c r="E140" s="28" t="str">
        <f t="shared" ca="1" si="46"/>
        <v>$M$140</v>
      </c>
      <c r="F140" s="28" t="str">
        <f t="shared" si="40"/>
        <v>$M$140</v>
      </c>
      <c r="G140" s="28">
        <f t="shared" si="41"/>
        <v>0</v>
      </c>
      <c r="H140" s="28" t="str">
        <f t="shared" ca="1" si="42"/>
        <v>$E$141</v>
      </c>
      <c r="I140" s="28" t="str">
        <f t="shared" si="43"/>
        <v>$D$141</v>
      </c>
      <c r="J140" s="535"/>
      <c r="K140" s="28">
        <f t="shared" si="44"/>
        <v>0</v>
      </c>
    </row>
    <row r="141" spans="1:11" x14ac:dyDescent="0.25">
      <c r="A141" s="157">
        <f t="shared" si="45"/>
        <v>141</v>
      </c>
      <c r="B141" s="74">
        <v>90</v>
      </c>
      <c r="C141" s="958"/>
      <c r="D141" s="68" t="str">
        <f>HDG_8</f>
        <v>AZH</v>
      </c>
      <c r="E141" s="28" t="str">
        <f t="shared" ca="1" si="46"/>
        <v>$M$141</v>
      </c>
      <c r="F141" s="28" t="str">
        <f t="shared" si="40"/>
        <v>$M$141</v>
      </c>
      <c r="G141" s="28">
        <f t="shared" si="41"/>
        <v>0</v>
      </c>
      <c r="H141" s="28" t="str">
        <f t="shared" ca="1" si="42"/>
        <v>$E$142</v>
      </c>
      <c r="I141" s="28" t="str">
        <f t="shared" si="43"/>
        <v>$D$142</v>
      </c>
      <c r="J141" s="535"/>
      <c r="K141" s="28">
        <f t="shared" si="44"/>
        <v>0</v>
      </c>
    </row>
    <row r="142" spans="1:11" x14ac:dyDescent="0.25">
      <c r="A142" s="157">
        <f t="shared" si="45"/>
        <v>142</v>
      </c>
      <c r="B142" s="74">
        <v>91</v>
      </c>
      <c r="C142" s="958"/>
      <c r="D142" s="68" t="str">
        <f>HDG_9</f>
        <v>HLI</v>
      </c>
      <c r="E142" s="28" t="str">
        <f t="shared" ca="1" si="46"/>
        <v>$M$142</v>
      </c>
      <c r="F142" s="28" t="str">
        <f t="shared" si="40"/>
        <v>$M$142</v>
      </c>
      <c r="G142" s="28">
        <f t="shared" si="41"/>
        <v>0</v>
      </c>
      <c r="H142" s="28" t="str">
        <f t="shared" ca="1" si="42"/>
        <v>$E$143</v>
      </c>
      <c r="I142" s="28" t="str">
        <f t="shared" si="43"/>
        <v>$D$143</v>
      </c>
      <c r="J142" s="535"/>
      <c r="K142" s="28">
        <f t="shared" si="44"/>
        <v>0</v>
      </c>
    </row>
    <row r="143" spans="1:11" x14ac:dyDescent="0.25">
      <c r="A143" s="157">
        <f t="shared" si="45"/>
        <v>143</v>
      </c>
      <c r="B143" s="74">
        <v>92</v>
      </c>
      <c r="C143" s="958"/>
      <c r="D143" s="68" t="str">
        <f>HDG_10</f>
        <v>MCM</v>
      </c>
      <c r="E143" s="28" t="str">
        <f t="shared" ca="1" si="46"/>
        <v>$M$143</v>
      </c>
      <c r="F143" s="28" t="str">
        <f t="shared" si="40"/>
        <v>$M$143</v>
      </c>
      <c r="G143" s="28">
        <f t="shared" si="41"/>
        <v>0</v>
      </c>
      <c r="H143" s="28" t="str">
        <f t="shared" ca="1" si="42"/>
        <v>$E$144</v>
      </c>
      <c r="I143" s="28" t="str">
        <f t="shared" si="43"/>
        <v>$D$144</v>
      </c>
      <c r="J143" s="535"/>
      <c r="K143" s="28">
        <f t="shared" si="44"/>
        <v>0</v>
      </c>
    </row>
    <row r="144" spans="1:11" x14ac:dyDescent="0.25">
      <c r="A144" s="157">
        <f t="shared" si="45"/>
        <v>144</v>
      </c>
      <c r="B144" s="74">
        <v>93</v>
      </c>
      <c r="C144" s="958"/>
      <c r="D144" s="68" t="str">
        <f>HDG_11</f>
        <v>MCR</v>
      </c>
      <c r="E144" s="28" t="str">
        <f t="shared" ca="1" si="46"/>
        <v>$M$144</v>
      </c>
      <c r="F144" s="28" t="str">
        <f t="shared" si="40"/>
        <v>$M$144</v>
      </c>
      <c r="G144" s="28">
        <f t="shared" si="41"/>
        <v>0</v>
      </c>
      <c r="H144" s="28" t="str">
        <f t="shared" ca="1" si="42"/>
        <v>$E$145</v>
      </c>
      <c r="I144" s="28" t="str">
        <f t="shared" si="43"/>
        <v>$D$145</v>
      </c>
      <c r="J144" s="535"/>
      <c r="K144" s="28">
        <f t="shared" si="44"/>
        <v>0</v>
      </c>
    </row>
    <row r="145" spans="1:11" ht="15.75" thickBot="1" x14ac:dyDescent="0.3">
      <c r="A145" s="157">
        <f t="shared" si="45"/>
        <v>145</v>
      </c>
      <c r="B145" s="74">
        <v>94</v>
      </c>
      <c r="C145" s="959"/>
      <c r="D145" s="69" t="s">
        <v>406</v>
      </c>
      <c r="E145" s="28" t="str">
        <f t="shared" ca="1" si="46"/>
        <v>$M$145</v>
      </c>
      <c r="F145" s="28" t="str">
        <f t="shared" si="40"/>
        <v>$M$145</v>
      </c>
      <c r="G145" s="28">
        <f t="shared" si="41"/>
        <v>0</v>
      </c>
      <c r="H145" s="28" t="str">
        <f t="shared" ca="1" si="42"/>
        <v>$E$146</v>
      </c>
      <c r="I145" s="28" t="str">
        <f t="shared" si="43"/>
        <v>$D$146</v>
      </c>
      <c r="J145" s="535"/>
      <c r="K145" s="28">
        <f t="shared" si="44"/>
        <v>0</v>
      </c>
    </row>
    <row r="146" spans="1:11" ht="15.75" thickBot="1" x14ac:dyDescent="0.3">
      <c r="A146" s="157">
        <f t="shared" si="45"/>
        <v>146</v>
      </c>
      <c r="B146" s="74"/>
      <c r="C146" s="535"/>
      <c r="D146" s="535"/>
      <c r="E146" s="535"/>
      <c r="F146" s="535"/>
      <c r="G146" s="535"/>
      <c r="H146" s="535"/>
      <c r="I146" s="535"/>
      <c r="J146" s="535"/>
      <c r="K146" s="535"/>
    </row>
    <row r="147" spans="1:11" ht="15.75" thickBot="1" x14ac:dyDescent="0.3">
      <c r="A147" s="157">
        <f t="shared" si="45"/>
        <v>147</v>
      </c>
      <c r="B147" s="74"/>
      <c r="C147" s="956" t="s">
        <v>55</v>
      </c>
      <c r="D147" s="831"/>
      <c r="E147" s="535"/>
      <c r="F147" s="535"/>
      <c r="G147" s="535"/>
      <c r="H147" s="535"/>
      <c r="I147" s="535"/>
      <c r="J147" s="535"/>
      <c r="K147" s="535"/>
    </row>
    <row r="148" spans="1:11" ht="15.75" thickBot="1" x14ac:dyDescent="0.3">
      <c r="A148" s="157">
        <f t="shared" si="45"/>
        <v>148</v>
      </c>
      <c r="B148" s="74">
        <v>95</v>
      </c>
      <c r="C148" s="954" t="s">
        <v>67</v>
      </c>
      <c r="D148" s="766"/>
      <c r="E148" s="28" t="str">
        <f t="shared" ca="1" si="46"/>
        <v>$M$148</v>
      </c>
      <c r="F148" s="28" t="str">
        <f>ADDRESS(A148,$F$6+4)</f>
        <v>$M$148</v>
      </c>
      <c r="G148" s="28">
        <f>IF(OR($F$6=0,$F$6=""),"",VLOOKUP($B148,DATA_M_TRA,$F$6+3,FALSE))</f>
        <v>0</v>
      </c>
      <c r="H148" s="28" t="str">
        <f ca="1">ADDRESS(B148+54,VCR+4)</f>
        <v>$E$149</v>
      </c>
      <c r="I148" s="28" t="str">
        <f>ADDRESS($B148+54,$I$6+4)</f>
        <v>$D$149</v>
      </c>
      <c r="J148" s="28" t="str">
        <f>IF(OR($I$6=0,$I$6=""),"",VLOOKUP($B148,DATA_A_TRA,$I$6+3,FALSE))</f>
        <v/>
      </c>
      <c r="K148" s="28">
        <f>IF(OR(AND(G148&lt;&gt;"",G148&lt;&gt;0),AND(J148&lt;&gt;"",J148&lt;&gt;0)),1,0)</f>
        <v>0</v>
      </c>
    </row>
    <row r="149" spans="1:11" ht="15.75" thickBot="1" x14ac:dyDescent="0.3">
      <c r="A149" s="157">
        <f t="shared" si="45"/>
        <v>149</v>
      </c>
      <c r="B149" s="74"/>
      <c r="C149" s="955" t="s">
        <v>56</v>
      </c>
      <c r="D149" s="829"/>
      <c r="E149" s="535"/>
      <c r="F149" s="535"/>
      <c r="G149" s="535"/>
      <c r="H149" s="535"/>
      <c r="I149" s="535"/>
      <c r="J149" s="535"/>
      <c r="K149" s="535"/>
    </row>
    <row r="150" spans="1:11" x14ac:dyDescent="0.25">
      <c r="A150" s="157">
        <f t="shared" si="45"/>
        <v>150</v>
      </c>
      <c r="B150" s="74">
        <v>96</v>
      </c>
      <c r="C150" s="957"/>
      <c r="D150" s="110" t="str">
        <f>HDG_1</f>
        <v>AFR</v>
      </c>
      <c r="E150" s="28" t="str">
        <f t="shared" ca="1" si="46"/>
        <v>$M$150</v>
      </c>
      <c r="F150" s="28" t="str">
        <f t="shared" ref="F150:F161" si="47">ADDRESS(A150,$F$6+4)</f>
        <v>$M$150</v>
      </c>
      <c r="G150" s="28">
        <f t="shared" ref="G150:G161" si="48">IF(OR($F$6=0,$F$6=""),"",VLOOKUP($B150,DATA_M_TRA,$F$6+3,FALSE))</f>
        <v>0</v>
      </c>
      <c r="H150" s="28" t="str">
        <f t="shared" ref="H150:H161" ca="1" si="49">ADDRESS(B150+55,VCR+4)</f>
        <v>$E$151</v>
      </c>
      <c r="I150" s="28" t="str">
        <f t="shared" ref="I150:I161" si="50">ADDRESS($B150+55,$I$6+4)</f>
        <v>$D$151</v>
      </c>
      <c r="J150" s="535"/>
      <c r="K150" s="28">
        <f t="shared" ref="K150:K161" si="51">IF(OR(AND(G150&lt;&gt;"",G150&lt;&gt;0),AND(J150&lt;&gt;"",J150&lt;&gt;0)),1,0)</f>
        <v>0</v>
      </c>
    </row>
    <row r="151" spans="1:11" x14ac:dyDescent="0.25">
      <c r="A151" s="157">
        <f t="shared" si="45"/>
        <v>151</v>
      </c>
      <c r="B151" s="74">
        <v>97</v>
      </c>
      <c r="C151" s="958"/>
      <c r="D151" s="68" t="str">
        <f>HDG_2</f>
        <v>AVP</v>
      </c>
      <c r="E151" s="28" t="str">
        <f t="shared" ca="1" si="46"/>
        <v>$M$151</v>
      </c>
      <c r="F151" s="28" t="str">
        <f t="shared" si="47"/>
        <v>$M$151</v>
      </c>
      <c r="G151" s="28">
        <f t="shared" si="48"/>
        <v>0</v>
      </c>
      <c r="H151" s="28" t="str">
        <f t="shared" ca="1" si="49"/>
        <v>$E$152</v>
      </c>
      <c r="I151" s="28" t="str">
        <f t="shared" si="50"/>
        <v>$D$152</v>
      </c>
      <c r="J151" s="535"/>
      <c r="K151" s="28">
        <f t="shared" si="51"/>
        <v>0</v>
      </c>
    </row>
    <row r="152" spans="1:11" x14ac:dyDescent="0.25">
      <c r="A152" s="157">
        <f t="shared" si="45"/>
        <v>152</v>
      </c>
      <c r="B152" s="74">
        <v>98</v>
      </c>
      <c r="C152" s="958"/>
      <c r="D152" s="68" t="str">
        <f>HDG_3</f>
        <v>ALZ</v>
      </c>
      <c r="E152" s="28" t="str">
        <f t="shared" ca="1" si="46"/>
        <v>$M$152</v>
      </c>
      <c r="F152" s="28" t="str">
        <f t="shared" si="47"/>
        <v>$M$152</v>
      </c>
      <c r="G152" s="28">
        <f t="shared" si="48"/>
        <v>0</v>
      </c>
      <c r="H152" s="28" t="str">
        <f t="shared" ca="1" si="49"/>
        <v>$E$153</v>
      </c>
      <c r="I152" s="28" t="str">
        <f t="shared" si="50"/>
        <v>$D$153</v>
      </c>
      <c r="J152" s="535"/>
      <c r="K152" s="28">
        <f t="shared" si="51"/>
        <v>0</v>
      </c>
    </row>
    <row r="153" spans="1:11" x14ac:dyDescent="0.25">
      <c r="A153" s="157">
        <f t="shared" si="45"/>
        <v>153</v>
      </c>
      <c r="B153" s="74">
        <v>99</v>
      </c>
      <c r="C153" s="958"/>
      <c r="D153" s="68" t="str">
        <f>HDG_4</f>
        <v>MZS</v>
      </c>
      <c r="E153" s="28" t="str">
        <f t="shared" ca="1" si="46"/>
        <v>$M$153</v>
      </c>
      <c r="F153" s="28" t="str">
        <f t="shared" si="47"/>
        <v>$M$153</v>
      </c>
      <c r="G153" s="28">
        <f t="shared" si="48"/>
        <v>0</v>
      </c>
      <c r="H153" s="28" t="str">
        <f t="shared" ca="1" si="49"/>
        <v>$E$154</v>
      </c>
      <c r="I153" s="28" t="str">
        <f t="shared" si="50"/>
        <v>$D$154</v>
      </c>
      <c r="J153" s="535"/>
      <c r="K153" s="28">
        <f t="shared" si="51"/>
        <v>0</v>
      </c>
    </row>
    <row r="154" spans="1:11" x14ac:dyDescent="0.25">
      <c r="A154" s="157">
        <f t="shared" si="45"/>
        <v>154</v>
      </c>
      <c r="B154" s="74">
        <v>100</v>
      </c>
      <c r="C154" s="958"/>
      <c r="D154" s="68" t="str">
        <f>HDG_5</f>
        <v>APR</v>
      </c>
      <c r="E154" s="28" t="str">
        <f t="shared" ca="1" si="46"/>
        <v>$M$154</v>
      </c>
      <c r="F154" s="28" t="str">
        <f t="shared" si="47"/>
        <v>$M$154</v>
      </c>
      <c r="G154" s="28">
        <f t="shared" si="48"/>
        <v>0</v>
      </c>
      <c r="H154" s="28" t="str">
        <f t="shared" ca="1" si="49"/>
        <v>$E$155</v>
      </c>
      <c r="I154" s="28" t="str">
        <f t="shared" si="50"/>
        <v>$D$155</v>
      </c>
      <c r="J154" s="535"/>
      <c r="K154" s="28">
        <f t="shared" si="51"/>
        <v>0</v>
      </c>
    </row>
    <row r="155" spans="1:11" x14ac:dyDescent="0.25">
      <c r="A155" s="157">
        <f t="shared" si="45"/>
        <v>155</v>
      </c>
      <c r="B155" s="74">
        <v>101</v>
      </c>
      <c r="C155" s="958"/>
      <c r="D155" s="68" t="str">
        <f>HDG_6</f>
        <v>DCG</v>
      </c>
      <c r="E155" s="28" t="str">
        <f t="shared" ca="1" si="46"/>
        <v>$M$155</v>
      </c>
      <c r="F155" s="28" t="str">
        <f t="shared" si="47"/>
        <v>$M$155</v>
      </c>
      <c r="G155" s="28">
        <f t="shared" si="48"/>
        <v>0</v>
      </c>
      <c r="H155" s="28" t="str">
        <f t="shared" ca="1" si="49"/>
        <v>$E$156</v>
      </c>
      <c r="I155" s="28" t="str">
        <f t="shared" si="50"/>
        <v>$D$156</v>
      </c>
      <c r="J155" s="535"/>
      <c r="K155" s="28">
        <f t="shared" si="51"/>
        <v>0</v>
      </c>
    </row>
    <row r="156" spans="1:11" x14ac:dyDescent="0.25">
      <c r="A156" s="157">
        <f t="shared" si="45"/>
        <v>156</v>
      </c>
      <c r="B156" s="74">
        <v>102</v>
      </c>
      <c r="C156" s="958"/>
      <c r="D156" s="68" t="str">
        <f>HDG_7</f>
        <v>SFS</v>
      </c>
      <c r="E156" s="28" t="str">
        <f t="shared" ca="1" si="46"/>
        <v>$M$156</v>
      </c>
      <c r="F156" s="28" t="str">
        <f t="shared" si="47"/>
        <v>$M$156</v>
      </c>
      <c r="G156" s="28">
        <f t="shared" si="48"/>
        <v>0</v>
      </c>
      <c r="H156" s="28" t="str">
        <f t="shared" ca="1" si="49"/>
        <v>$E$157</v>
      </c>
      <c r="I156" s="28" t="str">
        <f t="shared" si="50"/>
        <v>$D$157</v>
      </c>
      <c r="J156" s="535"/>
      <c r="K156" s="28">
        <f t="shared" si="51"/>
        <v>0</v>
      </c>
    </row>
    <row r="157" spans="1:11" x14ac:dyDescent="0.25">
      <c r="A157" s="157">
        <f t="shared" si="45"/>
        <v>157</v>
      </c>
      <c r="B157" s="74">
        <v>103</v>
      </c>
      <c r="C157" s="958"/>
      <c r="D157" s="68" t="str">
        <f>HDG_8</f>
        <v>AZH</v>
      </c>
      <c r="E157" s="28" t="str">
        <f t="shared" ca="1" si="46"/>
        <v>$M$157</v>
      </c>
      <c r="F157" s="28" t="str">
        <f t="shared" si="47"/>
        <v>$M$157</v>
      </c>
      <c r="G157" s="28">
        <f t="shared" si="48"/>
        <v>0</v>
      </c>
      <c r="H157" s="28" t="str">
        <f t="shared" ca="1" si="49"/>
        <v>$E$158</v>
      </c>
      <c r="I157" s="28" t="str">
        <f t="shared" si="50"/>
        <v>$D$158</v>
      </c>
      <c r="J157" s="535"/>
      <c r="K157" s="28">
        <f t="shared" si="51"/>
        <v>0</v>
      </c>
    </row>
    <row r="158" spans="1:11" x14ac:dyDescent="0.25">
      <c r="A158" s="157">
        <f t="shared" si="45"/>
        <v>158</v>
      </c>
      <c r="B158" s="74">
        <v>104</v>
      </c>
      <c r="C158" s="958"/>
      <c r="D158" s="68" t="str">
        <f>HDG_9</f>
        <v>HLI</v>
      </c>
      <c r="E158" s="28" t="str">
        <f t="shared" ca="1" si="46"/>
        <v>$M$158</v>
      </c>
      <c r="F158" s="28" t="str">
        <f t="shared" si="47"/>
        <v>$M$158</v>
      </c>
      <c r="G158" s="28">
        <f t="shared" si="48"/>
        <v>0</v>
      </c>
      <c r="H158" s="28" t="str">
        <f t="shared" ca="1" si="49"/>
        <v>$E$159</v>
      </c>
      <c r="I158" s="28" t="str">
        <f t="shared" si="50"/>
        <v>$D$159</v>
      </c>
      <c r="J158" s="535"/>
      <c r="K158" s="28">
        <f t="shared" si="51"/>
        <v>0</v>
      </c>
    </row>
    <row r="159" spans="1:11" x14ac:dyDescent="0.25">
      <c r="A159" s="157">
        <f t="shared" si="45"/>
        <v>159</v>
      </c>
      <c r="B159" s="74">
        <v>105</v>
      </c>
      <c r="C159" s="958"/>
      <c r="D159" s="68" t="str">
        <f>HDG_10</f>
        <v>MCM</v>
      </c>
      <c r="E159" s="28" t="str">
        <f t="shared" ca="1" si="46"/>
        <v>$M$159</v>
      </c>
      <c r="F159" s="28" t="str">
        <f t="shared" si="47"/>
        <v>$M$159</v>
      </c>
      <c r="G159" s="28">
        <f t="shared" si="48"/>
        <v>0</v>
      </c>
      <c r="H159" s="28" t="str">
        <f t="shared" ca="1" si="49"/>
        <v>$E$160</v>
      </c>
      <c r="I159" s="28" t="str">
        <f t="shared" si="50"/>
        <v>$D$160</v>
      </c>
      <c r="J159" s="535"/>
      <c r="K159" s="28">
        <f t="shared" si="51"/>
        <v>0</v>
      </c>
    </row>
    <row r="160" spans="1:11" x14ac:dyDescent="0.25">
      <c r="A160" s="157">
        <f t="shared" si="45"/>
        <v>160</v>
      </c>
      <c r="B160" s="74">
        <v>106</v>
      </c>
      <c r="C160" s="958"/>
      <c r="D160" s="68" t="str">
        <f>HDG_11</f>
        <v>MCR</v>
      </c>
      <c r="E160" s="28" t="str">
        <f t="shared" ca="1" si="46"/>
        <v>$M$160</v>
      </c>
      <c r="F160" s="28" t="str">
        <f t="shared" si="47"/>
        <v>$M$160</v>
      </c>
      <c r="G160" s="28">
        <f t="shared" si="48"/>
        <v>0</v>
      </c>
      <c r="H160" s="28" t="str">
        <f t="shared" ca="1" si="49"/>
        <v>$E$161</v>
      </c>
      <c r="I160" s="28" t="str">
        <f t="shared" si="50"/>
        <v>$D$161</v>
      </c>
      <c r="J160" s="535"/>
      <c r="K160" s="28">
        <f t="shared" si="51"/>
        <v>0</v>
      </c>
    </row>
    <row r="161" spans="1:11" ht="15.75" thickBot="1" x14ac:dyDescent="0.3">
      <c r="A161" s="157">
        <f t="shared" si="45"/>
        <v>161</v>
      </c>
      <c r="B161" s="74">
        <v>107</v>
      </c>
      <c r="C161" s="958"/>
      <c r="D161" s="68" t="s">
        <v>406</v>
      </c>
      <c r="E161" s="28" t="str">
        <f t="shared" ca="1" si="46"/>
        <v>$M$161</v>
      </c>
      <c r="F161" s="28" t="str">
        <f t="shared" si="47"/>
        <v>$M$161</v>
      </c>
      <c r="G161" s="28">
        <f t="shared" si="48"/>
        <v>0</v>
      </c>
      <c r="H161" s="28" t="str">
        <f t="shared" ca="1" si="49"/>
        <v>$E$162</v>
      </c>
      <c r="I161" s="28" t="str">
        <f t="shared" si="50"/>
        <v>$D$162</v>
      </c>
      <c r="J161" s="535"/>
      <c r="K161" s="28">
        <f t="shared" si="51"/>
        <v>0</v>
      </c>
    </row>
    <row r="162" spans="1:11" x14ac:dyDescent="0.25">
      <c r="A162" s="157">
        <f t="shared" si="45"/>
        <v>162</v>
      </c>
      <c r="B162" s="74"/>
      <c r="C162" s="932" t="s">
        <v>622</v>
      </c>
      <c r="D162" s="932"/>
      <c r="E162" s="932"/>
      <c r="F162" s="932"/>
      <c r="G162" s="932"/>
      <c r="H162" s="932"/>
      <c r="I162" s="932"/>
      <c r="J162" s="932"/>
      <c r="K162" s="933"/>
    </row>
    <row r="163" spans="1:11" ht="15.75" thickBot="1" x14ac:dyDescent="0.3">
      <c r="A163" s="157">
        <f t="shared" si="45"/>
        <v>163</v>
      </c>
      <c r="B163" s="74"/>
      <c r="C163" s="934"/>
      <c r="D163" s="934"/>
      <c r="E163" s="934"/>
      <c r="F163" s="934"/>
      <c r="G163" s="934"/>
      <c r="H163" s="934"/>
      <c r="I163" s="934"/>
      <c r="J163" s="934"/>
      <c r="K163" s="935"/>
    </row>
    <row r="164" spans="1:11" x14ac:dyDescent="0.25">
      <c r="A164" s="157">
        <f t="shared" si="45"/>
        <v>164</v>
      </c>
      <c r="B164" s="74">
        <v>108</v>
      </c>
      <c r="C164" s="677" t="s">
        <v>604</v>
      </c>
      <c r="D164" s="728"/>
      <c r="E164" s="28" t="str">
        <f t="shared" ca="1" si="46"/>
        <v>$M$164</v>
      </c>
      <c r="F164" s="28" t="str">
        <f>ADDRESS(A164,$F$6+4)</f>
        <v>$M$164</v>
      </c>
      <c r="G164" s="28">
        <f>IF(OR($F$6=0,$F$6=""),"",VLOOKUP($B164,DATA_M_FACT,$F$6+3,FALSE))</f>
        <v>0</v>
      </c>
      <c r="H164" s="28" t="str">
        <f ca="1">ADDRESS(B164+57,VCR+4)</f>
        <v>$E$165</v>
      </c>
      <c r="I164" s="28" t="str">
        <f>ADDRESS($B164+57,$I$6+4)</f>
        <v>$D$165</v>
      </c>
      <c r="J164" s="28" t="str">
        <f>IF(OR($I$6=0,$I$6=""),"",VLOOKUP($B164,DATA_A_FAC,$I$6+3,FALSE))</f>
        <v/>
      </c>
      <c r="K164" s="28">
        <f>IF(OR(AND(G164&lt;&gt;"",G164&lt;&gt;0),AND(J164&lt;&gt;"",J164&lt;&gt;0)),1,0)</f>
        <v>0</v>
      </c>
    </row>
    <row r="165" spans="1:11" x14ac:dyDescent="0.25">
      <c r="A165" s="157">
        <f t="shared" si="45"/>
        <v>165</v>
      </c>
      <c r="B165" s="74"/>
      <c r="C165" s="677" t="s">
        <v>63</v>
      </c>
      <c r="D165" s="728"/>
      <c r="E165" s="535"/>
      <c r="F165" s="535"/>
      <c r="G165" s="535"/>
      <c r="H165" s="535"/>
      <c r="I165" s="535"/>
      <c r="J165" s="535"/>
      <c r="K165" s="535"/>
    </row>
    <row r="166" spans="1:11" x14ac:dyDescent="0.25">
      <c r="A166" s="157">
        <f t="shared" si="45"/>
        <v>166</v>
      </c>
      <c r="B166" s="74"/>
      <c r="C166" s="677" t="s">
        <v>179</v>
      </c>
      <c r="D166" s="728"/>
      <c r="E166" s="535"/>
      <c r="F166" s="535"/>
      <c r="G166" s="535"/>
      <c r="H166" s="535"/>
      <c r="I166" s="535"/>
      <c r="J166" s="535"/>
      <c r="K166" s="535"/>
    </row>
    <row r="167" spans="1:11" x14ac:dyDescent="0.25">
      <c r="A167" s="157">
        <f t="shared" si="45"/>
        <v>167</v>
      </c>
      <c r="B167" s="74">
        <v>110</v>
      </c>
      <c r="C167" s="677" t="s">
        <v>607</v>
      </c>
      <c r="D167" s="728"/>
      <c r="E167" s="28" t="str">
        <f t="shared" ca="1" si="46"/>
        <v>$M$167</v>
      </c>
      <c r="F167" s="28" t="str">
        <f>ADDRESS(A167,$F$6+4)</f>
        <v>$M$167</v>
      </c>
      <c r="G167" s="28">
        <f>IF(OR($F$6=0,$F$6=""),"",VLOOKUP($B167,DATA_M_FACT,$F$6+3,FALSE))</f>
        <v>0</v>
      </c>
      <c r="H167" s="28" t="str">
        <f ca="1">ADDRESS(B167+58,VCR+4)</f>
        <v>$E$168</v>
      </c>
      <c r="I167" s="28" t="str">
        <f>ADDRESS($B167+58,$I$6+4)</f>
        <v>$D$168</v>
      </c>
      <c r="J167" s="28" t="str">
        <f>IF(OR($I$6=0,$I$6=""),"",VLOOKUP($B167,DATA_A_FAC,$I$6+3,FALSE))</f>
        <v/>
      </c>
      <c r="K167" s="28">
        <f>IF(OR(AND(G167&lt;&gt;"",G167&lt;&gt;0),AND(J167&lt;&gt;"",J167&lt;&gt;0)),1,0)</f>
        <v>0</v>
      </c>
    </row>
    <row r="168" spans="1:11" x14ac:dyDescent="0.25">
      <c r="A168" s="157">
        <f t="shared" si="45"/>
        <v>168</v>
      </c>
      <c r="B168" s="74"/>
      <c r="C168" s="677" t="s">
        <v>605</v>
      </c>
      <c r="D168" s="728"/>
      <c r="E168" s="535"/>
      <c r="F168" s="535"/>
      <c r="G168" s="535"/>
      <c r="H168" s="535"/>
      <c r="I168" s="535"/>
      <c r="J168" s="535"/>
      <c r="K168" s="535"/>
    </row>
    <row r="169" spans="1:11" ht="15.75" thickBot="1" x14ac:dyDescent="0.3">
      <c r="A169" s="157">
        <f t="shared" si="45"/>
        <v>169</v>
      </c>
      <c r="B169" s="74">
        <v>111</v>
      </c>
      <c r="C169" s="811" t="s">
        <v>17</v>
      </c>
      <c r="D169" s="744"/>
      <c r="E169" s="28" t="str">
        <f t="shared" ca="1" si="46"/>
        <v>$M$169</v>
      </c>
      <c r="F169" s="28" t="str">
        <f>ADDRESS(A169,$F$6+4)</f>
        <v>$M$169</v>
      </c>
      <c r="G169" s="28">
        <f>IF(OR($F$6=0,$F$6=""),"",VLOOKUP($B169,DATA_M_FACT,$F$6+3,FALSE))</f>
        <v>0</v>
      </c>
      <c r="H169" s="28" t="str">
        <f ca="1">ADDRESS(B169+59,VCR+4)</f>
        <v>$E$170</v>
      </c>
      <c r="I169" s="28" t="str">
        <f>ADDRESS($B169+59,$I$6+4)</f>
        <v>$D$170</v>
      </c>
      <c r="J169" s="28" t="str">
        <f>IF(OR($I$6=0,$I$6=""),"",VLOOKUP($B169,DATA_A_FAC,$I$6+3,FALSE))</f>
        <v/>
      </c>
      <c r="K169" s="28">
        <f>IF(OR(AND(G169&lt;&gt;"",G169&lt;&gt;0),AND(J169&lt;&gt;"",J169&lt;&gt;0)),1,0)</f>
        <v>0</v>
      </c>
    </row>
    <row r="170" spans="1:11" ht="15.75" thickBot="1" x14ac:dyDescent="0.3">
      <c r="A170" s="157">
        <f t="shared" si="45"/>
        <v>170</v>
      </c>
      <c r="B170" s="74"/>
      <c r="C170" s="61"/>
      <c r="D170" s="61"/>
      <c r="E170" s="535"/>
      <c r="F170" s="535"/>
      <c r="G170" s="535"/>
      <c r="H170" s="535"/>
      <c r="I170" s="535"/>
      <c r="J170" s="535"/>
      <c r="K170" s="535"/>
    </row>
    <row r="171" spans="1:11" ht="15.75" thickBot="1" x14ac:dyDescent="0.3">
      <c r="A171" s="157">
        <f t="shared" si="45"/>
        <v>171</v>
      </c>
      <c r="B171" s="74">
        <v>109</v>
      </c>
      <c r="C171" s="810" t="s">
        <v>179</v>
      </c>
      <c r="D171" s="738"/>
      <c r="E171" s="28" t="str">
        <f t="shared" ca="1" si="46"/>
        <v>$M$171</v>
      </c>
      <c r="F171" s="28" t="str">
        <f>ADDRESS(A171,$F$6+4)</f>
        <v>$M$171</v>
      </c>
      <c r="G171" s="28">
        <f>IF(OR($F$6=0,$F$6=""),"",VLOOKUP($B171,DATA_M_FACT,$F$6+3,FALSE))</f>
        <v>0</v>
      </c>
      <c r="H171" s="28" t="str">
        <f ca="1">ADDRESS(B171+70,VCR+4)</f>
        <v>$E$179</v>
      </c>
      <c r="I171" s="28" t="str">
        <f>ADDRESS($B171+70,$I$6+4)</f>
        <v>$D$179</v>
      </c>
      <c r="J171" s="28" t="str">
        <f>IF(OR($I$6=0,$I$6=""),"",VLOOKUP($B171,DATA_A_FAC,$I$6+3,FALSE))</f>
        <v/>
      </c>
      <c r="K171" s="28">
        <f>IF(OR(AND(G171&lt;&gt;"",G171&lt;&gt;0),AND(J171&lt;&gt;"",J171&lt;&gt;0)),1,0)</f>
        <v>0</v>
      </c>
    </row>
    <row r="172" spans="1:11" ht="15.75" thickBot="1" x14ac:dyDescent="0.3">
      <c r="A172" s="157">
        <f t="shared" si="45"/>
        <v>172</v>
      </c>
      <c r="B172" s="74"/>
      <c r="C172" s="955" t="s">
        <v>56</v>
      </c>
      <c r="D172" s="829"/>
      <c r="E172" s="535"/>
      <c r="F172" s="535"/>
      <c r="G172" s="535"/>
      <c r="H172" s="535"/>
      <c r="I172" s="535"/>
      <c r="J172" s="535"/>
      <c r="K172" s="535"/>
    </row>
    <row r="173" spans="1:11" x14ac:dyDescent="0.25">
      <c r="A173" s="157">
        <f t="shared" si="45"/>
        <v>173</v>
      </c>
      <c r="B173" s="74">
        <v>195</v>
      </c>
      <c r="C173" s="957"/>
      <c r="D173" s="110" t="str">
        <f>HDG_1</f>
        <v>AFR</v>
      </c>
      <c r="E173" s="28" t="str">
        <f t="shared" ca="1" si="46"/>
        <v>$M$173</v>
      </c>
      <c r="F173" s="28" t="str">
        <f t="shared" ref="F173:F184" si="52">ADDRESS(A173,$F$6+4)</f>
        <v>$M$173</v>
      </c>
      <c r="G173" s="28">
        <f t="shared" ref="G173:G184" si="53">IF(OR($F$6=0,$F$6=""),"",VLOOKUP($B173,DATA_M_FACT,$F$6+3,FALSE))</f>
        <v>0</v>
      </c>
      <c r="H173" s="28" t="str">
        <f t="shared" ref="H173:H184" ca="1" si="54">ADDRESS(B173-14,VCR+4)</f>
        <v>$E$181</v>
      </c>
      <c r="I173" s="28" t="str">
        <f t="shared" ref="I173:I184" si="55">ADDRESS($B173-14,$I$6+4)</f>
        <v>$D$181</v>
      </c>
      <c r="J173" s="28" t="str">
        <f t="shared" ref="J173:J184" si="56">IF(OR($I$6=0,$I$6=""),"",VLOOKUP($B173,DATA_A_FAC,$I$6+3,FALSE))</f>
        <v/>
      </c>
      <c r="K173" s="28">
        <f t="shared" ref="K173:K184" si="57">IF(OR(AND(G173&lt;&gt;"",G173&lt;&gt;0),AND(J173&lt;&gt;"",J173&lt;&gt;0)),1,0)</f>
        <v>0</v>
      </c>
    </row>
    <row r="174" spans="1:11" x14ac:dyDescent="0.25">
      <c r="A174" s="157">
        <f t="shared" si="45"/>
        <v>174</v>
      </c>
      <c r="B174" s="74">
        <v>196</v>
      </c>
      <c r="C174" s="958"/>
      <c r="D174" s="68" t="str">
        <f>HDG_2</f>
        <v>AVP</v>
      </c>
      <c r="E174" s="28" t="str">
        <f t="shared" ca="1" si="46"/>
        <v>$M$174</v>
      </c>
      <c r="F174" s="28" t="str">
        <f t="shared" si="52"/>
        <v>$M$174</v>
      </c>
      <c r="G174" s="28">
        <f t="shared" si="53"/>
        <v>0</v>
      </c>
      <c r="H174" s="28" t="str">
        <f t="shared" ca="1" si="54"/>
        <v>$E$182</v>
      </c>
      <c r="I174" s="28" t="str">
        <f t="shared" si="55"/>
        <v>$D$182</v>
      </c>
      <c r="J174" s="28" t="str">
        <f t="shared" si="56"/>
        <v/>
      </c>
      <c r="K174" s="28">
        <f t="shared" si="57"/>
        <v>0</v>
      </c>
    </row>
    <row r="175" spans="1:11" x14ac:dyDescent="0.25">
      <c r="A175" s="157">
        <f t="shared" si="45"/>
        <v>175</v>
      </c>
      <c r="B175" s="74">
        <v>197</v>
      </c>
      <c r="C175" s="958"/>
      <c r="D175" s="68" t="str">
        <f>HDG_3</f>
        <v>ALZ</v>
      </c>
      <c r="E175" s="28" t="str">
        <f t="shared" ca="1" si="46"/>
        <v>$M$175</v>
      </c>
      <c r="F175" s="28" t="str">
        <f t="shared" si="52"/>
        <v>$M$175</v>
      </c>
      <c r="G175" s="28">
        <f t="shared" si="53"/>
        <v>0</v>
      </c>
      <c r="H175" s="28" t="str">
        <f t="shared" ca="1" si="54"/>
        <v>$E$183</v>
      </c>
      <c r="I175" s="28" t="str">
        <f t="shared" si="55"/>
        <v>$D$183</v>
      </c>
      <c r="J175" s="28" t="str">
        <f t="shared" si="56"/>
        <v/>
      </c>
      <c r="K175" s="28">
        <f t="shared" si="57"/>
        <v>0</v>
      </c>
    </row>
    <row r="176" spans="1:11" x14ac:dyDescent="0.25">
      <c r="A176" s="157">
        <f t="shared" si="45"/>
        <v>176</v>
      </c>
      <c r="B176" s="74">
        <v>198</v>
      </c>
      <c r="C176" s="958"/>
      <c r="D176" s="68" t="str">
        <f>HDG_4</f>
        <v>MZS</v>
      </c>
      <c r="E176" s="28" t="str">
        <f t="shared" ca="1" si="46"/>
        <v>$M$176</v>
      </c>
      <c r="F176" s="28" t="str">
        <f t="shared" si="52"/>
        <v>$M$176</v>
      </c>
      <c r="G176" s="28">
        <f t="shared" si="53"/>
        <v>0</v>
      </c>
      <c r="H176" s="28" t="str">
        <f t="shared" ca="1" si="54"/>
        <v>$E$184</v>
      </c>
      <c r="I176" s="28" t="str">
        <f t="shared" si="55"/>
        <v>$D$184</v>
      </c>
      <c r="J176" s="28" t="str">
        <f t="shared" si="56"/>
        <v/>
      </c>
      <c r="K176" s="28">
        <f t="shared" si="57"/>
        <v>0</v>
      </c>
    </row>
    <row r="177" spans="1:11" x14ac:dyDescent="0.25">
      <c r="A177" s="157">
        <f t="shared" si="45"/>
        <v>177</v>
      </c>
      <c r="B177" s="74">
        <v>199</v>
      </c>
      <c r="C177" s="958"/>
      <c r="D177" s="68" t="str">
        <f>HDG_5</f>
        <v>APR</v>
      </c>
      <c r="E177" s="28" t="str">
        <f t="shared" ca="1" si="46"/>
        <v>$M$177</v>
      </c>
      <c r="F177" s="28" t="str">
        <f t="shared" si="52"/>
        <v>$M$177</v>
      </c>
      <c r="G177" s="28">
        <f t="shared" si="53"/>
        <v>0</v>
      </c>
      <c r="H177" s="28" t="str">
        <f t="shared" ca="1" si="54"/>
        <v>$E$185</v>
      </c>
      <c r="I177" s="28" t="str">
        <f t="shared" si="55"/>
        <v>$D$185</v>
      </c>
      <c r="J177" s="28" t="str">
        <f t="shared" si="56"/>
        <v/>
      </c>
      <c r="K177" s="28">
        <f t="shared" si="57"/>
        <v>0</v>
      </c>
    </row>
    <row r="178" spans="1:11" x14ac:dyDescent="0.25">
      <c r="A178" s="157">
        <f t="shared" si="45"/>
        <v>178</v>
      </c>
      <c r="B178" s="74">
        <v>200</v>
      </c>
      <c r="C178" s="958"/>
      <c r="D178" s="68" t="str">
        <f>HDG_6</f>
        <v>DCG</v>
      </c>
      <c r="E178" s="28" t="str">
        <f t="shared" ca="1" si="46"/>
        <v>$M$178</v>
      </c>
      <c r="F178" s="28" t="str">
        <f t="shared" si="52"/>
        <v>$M$178</v>
      </c>
      <c r="G178" s="28">
        <f t="shared" si="53"/>
        <v>0</v>
      </c>
      <c r="H178" s="28" t="str">
        <f t="shared" ca="1" si="54"/>
        <v>$E$186</v>
      </c>
      <c r="I178" s="28" t="str">
        <f t="shared" si="55"/>
        <v>$D$186</v>
      </c>
      <c r="J178" s="28" t="str">
        <f t="shared" si="56"/>
        <v/>
      </c>
      <c r="K178" s="28">
        <f t="shared" si="57"/>
        <v>0</v>
      </c>
    </row>
    <row r="179" spans="1:11" x14ac:dyDescent="0.25">
      <c r="A179" s="157">
        <f t="shared" si="45"/>
        <v>179</v>
      </c>
      <c r="B179" s="74">
        <v>201</v>
      </c>
      <c r="C179" s="958"/>
      <c r="D179" s="68" t="str">
        <f>HDG_7</f>
        <v>SFS</v>
      </c>
      <c r="E179" s="28" t="str">
        <f t="shared" ca="1" si="46"/>
        <v>$M$179</v>
      </c>
      <c r="F179" s="28" t="str">
        <f t="shared" si="52"/>
        <v>$M$179</v>
      </c>
      <c r="G179" s="28">
        <f t="shared" si="53"/>
        <v>0</v>
      </c>
      <c r="H179" s="28" t="str">
        <f t="shared" ca="1" si="54"/>
        <v>$E$187</v>
      </c>
      <c r="I179" s="28" t="str">
        <f t="shared" si="55"/>
        <v>$D$187</v>
      </c>
      <c r="J179" s="28" t="str">
        <f t="shared" si="56"/>
        <v/>
      </c>
      <c r="K179" s="28">
        <f t="shared" si="57"/>
        <v>0</v>
      </c>
    </row>
    <row r="180" spans="1:11" x14ac:dyDescent="0.25">
      <c r="A180" s="157">
        <f t="shared" si="45"/>
        <v>180</v>
      </c>
      <c r="B180" s="74">
        <v>202</v>
      </c>
      <c r="C180" s="958"/>
      <c r="D180" s="68" t="str">
        <f>HDG_8</f>
        <v>AZH</v>
      </c>
      <c r="E180" s="28" t="str">
        <f t="shared" ca="1" si="46"/>
        <v>$M$180</v>
      </c>
      <c r="F180" s="28" t="str">
        <f t="shared" si="52"/>
        <v>$M$180</v>
      </c>
      <c r="G180" s="28">
        <f t="shared" si="53"/>
        <v>0</v>
      </c>
      <c r="H180" s="28" t="str">
        <f t="shared" ca="1" si="54"/>
        <v>$E$188</v>
      </c>
      <c r="I180" s="28" t="str">
        <f t="shared" si="55"/>
        <v>$D$188</v>
      </c>
      <c r="J180" s="28" t="str">
        <f t="shared" si="56"/>
        <v/>
      </c>
      <c r="K180" s="28">
        <f t="shared" si="57"/>
        <v>0</v>
      </c>
    </row>
    <row r="181" spans="1:11" x14ac:dyDescent="0.25">
      <c r="A181" s="157">
        <f t="shared" si="45"/>
        <v>181</v>
      </c>
      <c r="B181" s="74">
        <v>203</v>
      </c>
      <c r="C181" s="958"/>
      <c r="D181" s="68" t="str">
        <f>HDG_9</f>
        <v>HLI</v>
      </c>
      <c r="E181" s="28" t="str">
        <f t="shared" ca="1" si="46"/>
        <v>$M$181</v>
      </c>
      <c r="F181" s="28" t="str">
        <f t="shared" si="52"/>
        <v>$M$181</v>
      </c>
      <c r="G181" s="28">
        <f t="shared" si="53"/>
        <v>0</v>
      </c>
      <c r="H181" s="28" t="str">
        <f t="shared" ca="1" si="54"/>
        <v>$E$189</v>
      </c>
      <c r="I181" s="28" t="str">
        <f t="shared" si="55"/>
        <v>$D$189</v>
      </c>
      <c r="J181" s="28" t="str">
        <f t="shared" si="56"/>
        <v/>
      </c>
      <c r="K181" s="28">
        <f t="shared" si="57"/>
        <v>0</v>
      </c>
    </row>
    <row r="182" spans="1:11" x14ac:dyDescent="0.25">
      <c r="A182" s="157">
        <f t="shared" si="45"/>
        <v>182</v>
      </c>
      <c r="B182" s="74">
        <v>204</v>
      </c>
      <c r="C182" s="958"/>
      <c r="D182" s="68" t="str">
        <f>HDG_10</f>
        <v>MCM</v>
      </c>
      <c r="E182" s="28" t="str">
        <f t="shared" ca="1" si="46"/>
        <v>$M$182</v>
      </c>
      <c r="F182" s="28" t="str">
        <f t="shared" si="52"/>
        <v>$M$182</v>
      </c>
      <c r="G182" s="28">
        <f t="shared" si="53"/>
        <v>0</v>
      </c>
      <c r="H182" s="28" t="str">
        <f t="shared" ca="1" si="54"/>
        <v>$E$190</v>
      </c>
      <c r="I182" s="28" t="str">
        <f t="shared" si="55"/>
        <v>$D$190</v>
      </c>
      <c r="J182" s="28" t="str">
        <f t="shared" si="56"/>
        <v/>
      </c>
      <c r="K182" s="28">
        <f t="shared" si="57"/>
        <v>0</v>
      </c>
    </row>
    <row r="183" spans="1:11" x14ac:dyDescent="0.25">
      <c r="A183" s="157">
        <f t="shared" si="45"/>
        <v>183</v>
      </c>
      <c r="B183" s="74">
        <v>205</v>
      </c>
      <c r="C183" s="958"/>
      <c r="D183" s="68" t="str">
        <f>HDG_11</f>
        <v>MCR</v>
      </c>
      <c r="E183" s="28" t="str">
        <f t="shared" ca="1" si="46"/>
        <v>$M$183</v>
      </c>
      <c r="F183" s="28" t="str">
        <f t="shared" si="52"/>
        <v>$M$183</v>
      </c>
      <c r="G183" s="28">
        <f t="shared" si="53"/>
        <v>0</v>
      </c>
      <c r="H183" s="28" t="str">
        <f t="shared" ca="1" si="54"/>
        <v>$E$191</v>
      </c>
      <c r="I183" s="28" t="str">
        <f t="shared" si="55"/>
        <v>$D$191</v>
      </c>
      <c r="J183" s="28" t="str">
        <f t="shared" si="56"/>
        <v/>
      </c>
      <c r="K183" s="28">
        <f t="shared" si="57"/>
        <v>0</v>
      </c>
    </row>
    <row r="184" spans="1:11" ht="15.75" thickBot="1" x14ac:dyDescent="0.3">
      <c r="A184" s="157">
        <f t="shared" si="45"/>
        <v>184</v>
      </c>
      <c r="B184" s="74">
        <v>206</v>
      </c>
      <c r="C184" s="959"/>
      <c r="D184" s="69" t="s">
        <v>406</v>
      </c>
      <c r="E184" s="28" t="str">
        <f t="shared" ca="1" si="46"/>
        <v>$M$184</v>
      </c>
      <c r="F184" s="28" t="str">
        <f t="shared" si="52"/>
        <v>$M$184</v>
      </c>
      <c r="G184" s="28">
        <f t="shared" si="53"/>
        <v>0</v>
      </c>
      <c r="H184" s="28" t="str">
        <f t="shared" ca="1" si="54"/>
        <v>$E$192</v>
      </c>
      <c r="I184" s="28" t="str">
        <f t="shared" si="55"/>
        <v>$D$192</v>
      </c>
      <c r="J184" s="28" t="str">
        <f t="shared" si="56"/>
        <v/>
      </c>
      <c r="K184" s="28">
        <f t="shared" si="57"/>
        <v>0</v>
      </c>
    </row>
    <row r="185" spans="1:11" ht="15.75" thickBot="1" x14ac:dyDescent="0.3">
      <c r="A185" s="157">
        <f t="shared" si="45"/>
        <v>185</v>
      </c>
      <c r="B185" s="74"/>
      <c r="C185" s="366"/>
      <c r="D185" s="366"/>
      <c r="E185" s="535"/>
      <c r="F185" s="535"/>
      <c r="G185" s="535"/>
      <c r="H185" s="535"/>
      <c r="I185" s="535"/>
      <c r="J185" s="535"/>
      <c r="K185" s="535"/>
    </row>
    <row r="186" spans="1:11" ht="15.75" thickBot="1" x14ac:dyDescent="0.3">
      <c r="A186" s="157">
        <f t="shared" si="45"/>
        <v>186</v>
      </c>
      <c r="B186" s="74">
        <v>112</v>
      </c>
      <c r="C186" s="923" t="s">
        <v>63</v>
      </c>
      <c r="D186" s="750"/>
      <c r="E186" s="28" t="str">
        <f t="shared" ca="1" si="46"/>
        <v>$M$186</v>
      </c>
      <c r="F186" s="28" t="str">
        <f>ADDRESS(A186,$F$6+4)</f>
        <v>$M$186</v>
      </c>
      <c r="G186" s="28">
        <f>IF(OR($F$6=0,$F$6=""),"",VLOOKUP($B186,DATA_M_FACT,$F$6+3,FALSE))</f>
        <v>0</v>
      </c>
      <c r="H186" s="28" t="str">
        <f ca="1">ADDRESS(B186+82,VCR+4)</f>
        <v>$E$194</v>
      </c>
      <c r="I186" s="28" t="str">
        <f>ADDRESS($B186+82,$I$6+4)</f>
        <v>$D$194</v>
      </c>
      <c r="J186" s="28" t="str">
        <f>IF(OR($I$6=0,$I$6=""),"",VLOOKUP($B186,DATA_A_FAC,$I$6+3,FALSE))</f>
        <v/>
      </c>
      <c r="K186" s="28">
        <f>IF(OR(AND(G186&lt;&gt;"",G186&lt;&gt;0),AND(J186&lt;&gt;"",J186&lt;&gt;0)),1,0)</f>
        <v>0</v>
      </c>
    </row>
    <row r="187" spans="1:11" ht="15.75" thickBot="1" x14ac:dyDescent="0.3">
      <c r="A187" s="157">
        <f t="shared" si="45"/>
        <v>187</v>
      </c>
      <c r="B187" s="74"/>
      <c r="C187" s="955" t="s">
        <v>56</v>
      </c>
      <c r="D187" s="829"/>
      <c r="E187" s="535"/>
      <c r="F187" s="535"/>
      <c r="G187" s="535"/>
      <c r="H187" s="535"/>
      <c r="I187" s="535"/>
      <c r="J187" s="535"/>
      <c r="K187" s="535"/>
    </row>
    <row r="188" spans="1:11" x14ac:dyDescent="0.25">
      <c r="A188" s="157">
        <f t="shared" si="45"/>
        <v>188</v>
      </c>
      <c r="B188" s="74">
        <v>113</v>
      </c>
      <c r="C188" s="957"/>
      <c r="D188" s="110" t="str">
        <f>HDG_1</f>
        <v>AFR</v>
      </c>
      <c r="E188" s="28" t="str">
        <f t="shared" ca="1" si="46"/>
        <v>$M$188</v>
      </c>
      <c r="F188" s="28" t="str">
        <f t="shared" ref="F188:F199" si="58">ADDRESS(A188,$F$6+4)</f>
        <v>$M$188</v>
      </c>
      <c r="G188" s="28">
        <f t="shared" ref="G188:G199" si="59">IF(OR($F$6=0,$F$6=""),"",VLOOKUP($B188,DATA_M_FACT,$F$6+3,FALSE))</f>
        <v>0</v>
      </c>
      <c r="H188" s="28" t="str">
        <f t="shared" ref="H188:H199" ca="1" si="60">ADDRESS(B188+83,VCR+4)</f>
        <v>$E$196</v>
      </c>
      <c r="I188" s="28" t="str">
        <f t="shared" ref="I188:I199" si="61">ADDRESS($B188+83,$I$6+4)</f>
        <v>$D$196</v>
      </c>
      <c r="J188" s="28" t="str">
        <f t="shared" ref="J188:J199" si="62">IF(OR($I$6=0,$I$6=""),"",VLOOKUP($B188,DATA_A_FAC,$I$6+3,FALSE))</f>
        <v/>
      </c>
      <c r="K188" s="28">
        <f t="shared" ref="K188:K199" si="63">IF(OR(AND(G188&lt;&gt;"",G188&lt;&gt;0),AND(J188&lt;&gt;"",J188&lt;&gt;0)),1,0)</f>
        <v>0</v>
      </c>
    </row>
    <row r="189" spans="1:11" x14ac:dyDescent="0.25">
      <c r="A189" s="157">
        <f t="shared" si="45"/>
        <v>189</v>
      </c>
      <c r="B189" s="74">
        <v>114</v>
      </c>
      <c r="C189" s="958"/>
      <c r="D189" s="68" t="str">
        <f>HDG_2</f>
        <v>AVP</v>
      </c>
      <c r="E189" s="28" t="str">
        <f t="shared" ca="1" si="46"/>
        <v>$M$189</v>
      </c>
      <c r="F189" s="28" t="str">
        <f t="shared" si="58"/>
        <v>$M$189</v>
      </c>
      <c r="G189" s="28">
        <f t="shared" si="59"/>
        <v>0</v>
      </c>
      <c r="H189" s="28" t="str">
        <f t="shared" ca="1" si="60"/>
        <v>$E$197</v>
      </c>
      <c r="I189" s="28" t="str">
        <f t="shared" si="61"/>
        <v>$D$197</v>
      </c>
      <c r="J189" s="28" t="str">
        <f t="shared" si="62"/>
        <v/>
      </c>
      <c r="K189" s="28">
        <f t="shared" si="63"/>
        <v>0</v>
      </c>
    </row>
    <row r="190" spans="1:11" x14ac:dyDescent="0.25">
      <c r="A190" s="157">
        <f t="shared" si="45"/>
        <v>190</v>
      </c>
      <c r="B190" s="74">
        <v>115</v>
      </c>
      <c r="C190" s="958"/>
      <c r="D190" s="68" t="str">
        <f>HDG_3</f>
        <v>ALZ</v>
      </c>
      <c r="E190" s="28" t="str">
        <f t="shared" ca="1" si="46"/>
        <v>$M$190</v>
      </c>
      <c r="F190" s="28" t="str">
        <f t="shared" si="58"/>
        <v>$M$190</v>
      </c>
      <c r="G190" s="28">
        <f t="shared" si="59"/>
        <v>0</v>
      </c>
      <c r="H190" s="28" t="str">
        <f t="shared" ca="1" si="60"/>
        <v>$E$198</v>
      </c>
      <c r="I190" s="28" t="str">
        <f t="shared" si="61"/>
        <v>$D$198</v>
      </c>
      <c r="J190" s="28" t="str">
        <f t="shared" si="62"/>
        <v/>
      </c>
      <c r="K190" s="28">
        <f t="shared" si="63"/>
        <v>0</v>
      </c>
    </row>
    <row r="191" spans="1:11" x14ac:dyDescent="0.25">
      <c r="A191" s="157">
        <f t="shared" si="45"/>
        <v>191</v>
      </c>
      <c r="B191" s="74">
        <v>116</v>
      </c>
      <c r="C191" s="958"/>
      <c r="D191" s="68" t="str">
        <f>HDG_4</f>
        <v>MZS</v>
      </c>
      <c r="E191" s="28" t="str">
        <f t="shared" ca="1" si="46"/>
        <v>$M$191</v>
      </c>
      <c r="F191" s="28" t="str">
        <f t="shared" si="58"/>
        <v>$M$191</v>
      </c>
      <c r="G191" s="28">
        <f t="shared" si="59"/>
        <v>0</v>
      </c>
      <c r="H191" s="28" t="str">
        <f t="shared" ca="1" si="60"/>
        <v>$E$199</v>
      </c>
      <c r="I191" s="28" t="str">
        <f t="shared" si="61"/>
        <v>$D$199</v>
      </c>
      <c r="J191" s="28" t="str">
        <f t="shared" si="62"/>
        <v/>
      </c>
      <c r="K191" s="28">
        <f t="shared" si="63"/>
        <v>0</v>
      </c>
    </row>
    <row r="192" spans="1:11" x14ac:dyDescent="0.25">
      <c r="A192" s="157">
        <f t="shared" si="45"/>
        <v>192</v>
      </c>
      <c r="B192" s="74">
        <v>117</v>
      </c>
      <c r="C192" s="958"/>
      <c r="D192" s="68" t="str">
        <f>HDG_5</f>
        <v>APR</v>
      </c>
      <c r="E192" s="28" t="str">
        <f t="shared" ca="1" si="46"/>
        <v>$M$192</v>
      </c>
      <c r="F192" s="28" t="str">
        <f t="shared" si="58"/>
        <v>$M$192</v>
      </c>
      <c r="G192" s="28">
        <f t="shared" si="59"/>
        <v>0</v>
      </c>
      <c r="H192" s="28" t="str">
        <f t="shared" ca="1" si="60"/>
        <v>$E$200</v>
      </c>
      <c r="I192" s="28" t="str">
        <f t="shared" si="61"/>
        <v>$D$200</v>
      </c>
      <c r="J192" s="28" t="str">
        <f t="shared" si="62"/>
        <v/>
      </c>
      <c r="K192" s="28">
        <f t="shared" si="63"/>
        <v>0</v>
      </c>
    </row>
    <row r="193" spans="1:11" x14ac:dyDescent="0.25">
      <c r="A193" s="157">
        <f t="shared" si="45"/>
        <v>193</v>
      </c>
      <c r="B193" s="74">
        <v>118</v>
      </c>
      <c r="C193" s="958"/>
      <c r="D193" s="68" t="str">
        <f>HDG_6</f>
        <v>DCG</v>
      </c>
      <c r="E193" s="28" t="str">
        <f t="shared" ca="1" si="46"/>
        <v>$M$193</v>
      </c>
      <c r="F193" s="28" t="str">
        <f t="shared" si="58"/>
        <v>$M$193</v>
      </c>
      <c r="G193" s="28">
        <f t="shared" si="59"/>
        <v>0</v>
      </c>
      <c r="H193" s="28" t="str">
        <f t="shared" ca="1" si="60"/>
        <v>$E$201</v>
      </c>
      <c r="I193" s="28" t="str">
        <f t="shared" si="61"/>
        <v>$D$201</v>
      </c>
      <c r="J193" s="28" t="str">
        <f t="shared" si="62"/>
        <v/>
      </c>
      <c r="K193" s="28">
        <f t="shared" si="63"/>
        <v>0</v>
      </c>
    </row>
    <row r="194" spans="1:11" x14ac:dyDescent="0.25">
      <c r="A194" s="157">
        <f t="shared" si="45"/>
        <v>194</v>
      </c>
      <c r="B194" s="74">
        <v>119</v>
      </c>
      <c r="C194" s="958"/>
      <c r="D194" s="68" t="str">
        <f>HDG_7</f>
        <v>SFS</v>
      </c>
      <c r="E194" s="28" t="str">
        <f t="shared" ca="1" si="46"/>
        <v>$M$194</v>
      </c>
      <c r="F194" s="28" t="str">
        <f t="shared" si="58"/>
        <v>$M$194</v>
      </c>
      <c r="G194" s="28">
        <f t="shared" si="59"/>
        <v>0</v>
      </c>
      <c r="H194" s="28" t="str">
        <f t="shared" ca="1" si="60"/>
        <v>$E$202</v>
      </c>
      <c r="I194" s="28" t="str">
        <f t="shared" si="61"/>
        <v>$D$202</v>
      </c>
      <c r="J194" s="28" t="str">
        <f t="shared" si="62"/>
        <v/>
      </c>
      <c r="K194" s="28">
        <f t="shared" si="63"/>
        <v>0</v>
      </c>
    </row>
    <row r="195" spans="1:11" x14ac:dyDescent="0.25">
      <c r="A195" s="157">
        <f t="shared" si="45"/>
        <v>195</v>
      </c>
      <c r="B195" s="74">
        <v>120</v>
      </c>
      <c r="C195" s="958"/>
      <c r="D195" s="68" t="str">
        <f>HDG_8</f>
        <v>AZH</v>
      </c>
      <c r="E195" s="28" t="str">
        <f t="shared" ca="1" si="46"/>
        <v>$M$195</v>
      </c>
      <c r="F195" s="28" t="str">
        <f t="shared" si="58"/>
        <v>$M$195</v>
      </c>
      <c r="G195" s="28">
        <f t="shared" si="59"/>
        <v>0</v>
      </c>
      <c r="H195" s="28" t="str">
        <f t="shared" ca="1" si="60"/>
        <v>$E$203</v>
      </c>
      <c r="I195" s="28" t="str">
        <f t="shared" si="61"/>
        <v>$D$203</v>
      </c>
      <c r="J195" s="28" t="str">
        <f t="shared" si="62"/>
        <v/>
      </c>
      <c r="K195" s="28">
        <f t="shared" si="63"/>
        <v>0</v>
      </c>
    </row>
    <row r="196" spans="1:11" x14ac:dyDescent="0.25">
      <c r="A196" s="157">
        <f t="shared" si="45"/>
        <v>196</v>
      </c>
      <c r="B196" s="74">
        <v>121</v>
      </c>
      <c r="C196" s="958"/>
      <c r="D196" s="68" t="str">
        <f>HDG_9</f>
        <v>HLI</v>
      </c>
      <c r="E196" s="28" t="str">
        <f t="shared" ca="1" si="46"/>
        <v>$M$196</v>
      </c>
      <c r="F196" s="28" t="str">
        <f t="shared" si="58"/>
        <v>$M$196</v>
      </c>
      <c r="G196" s="28">
        <f t="shared" si="59"/>
        <v>0</v>
      </c>
      <c r="H196" s="28" t="str">
        <f t="shared" ca="1" si="60"/>
        <v>$E$204</v>
      </c>
      <c r="I196" s="28" t="str">
        <f t="shared" si="61"/>
        <v>$D$204</v>
      </c>
      <c r="J196" s="28" t="str">
        <f t="shared" si="62"/>
        <v/>
      </c>
      <c r="K196" s="28">
        <f t="shared" si="63"/>
        <v>0</v>
      </c>
    </row>
    <row r="197" spans="1:11" x14ac:dyDescent="0.25">
      <c r="A197" s="157">
        <f t="shared" si="45"/>
        <v>197</v>
      </c>
      <c r="B197" s="74">
        <v>122</v>
      </c>
      <c r="C197" s="958"/>
      <c r="D197" s="68" t="str">
        <f>HDG_10</f>
        <v>MCM</v>
      </c>
      <c r="E197" s="28" t="str">
        <f t="shared" ca="1" si="46"/>
        <v>$M$197</v>
      </c>
      <c r="F197" s="28" t="str">
        <f t="shared" si="58"/>
        <v>$M$197</v>
      </c>
      <c r="G197" s="28">
        <f t="shared" si="59"/>
        <v>0</v>
      </c>
      <c r="H197" s="28" t="str">
        <f t="shared" ca="1" si="60"/>
        <v>$E$205</v>
      </c>
      <c r="I197" s="28" t="str">
        <f t="shared" si="61"/>
        <v>$D$205</v>
      </c>
      <c r="J197" s="28" t="str">
        <f t="shared" si="62"/>
        <v/>
      </c>
      <c r="K197" s="28">
        <f t="shared" si="63"/>
        <v>0</v>
      </c>
    </row>
    <row r="198" spans="1:11" x14ac:dyDescent="0.25">
      <c r="A198" s="157">
        <f t="shared" si="45"/>
        <v>198</v>
      </c>
      <c r="B198" s="74">
        <v>123</v>
      </c>
      <c r="C198" s="958"/>
      <c r="D198" s="68" t="str">
        <f>HDG_11</f>
        <v>MCR</v>
      </c>
      <c r="E198" s="28" t="str">
        <f t="shared" ca="1" si="46"/>
        <v>$M$198</v>
      </c>
      <c r="F198" s="28" t="str">
        <f t="shared" si="58"/>
        <v>$M$198</v>
      </c>
      <c r="G198" s="28">
        <f t="shared" si="59"/>
        <v>0</v>
      </c>
      <c r="H198" s="28" t="str">
        <f t="shared" ca="1" si="60"/>
        <v>$E$206</v>
      </c>
      <c r="I198" s="28" t="str">
        <f t="shared" si="61"/>
        <v>$D$206</v>
      </c>
      <c r="J198" s="28" t="str">
        <f t="shared" si="62"/>
        <v/>
      </c>
      <c r="K198" s="28">
        <f t="shared" si="63"/>
        <v>0</v>
      </c>
    </row>
    <row r="199" spans="1:11" ht="15.75" thickBot="1" x14ac:dyDescent="0.3">
      <c r="A199" s="157">
        <f t="shared" si="45"/>
        <v>199</v>
      </c>
      <c r="B199" s="74">
        <v>124</v>
      </c>
      <c r="C199" s="959"/>
      <c r="D199" s="69" t="s">
        <v>406</v>
      </c>
      <c r="E199" s="28" t="str">
        <f t="shared" ca="1" si="46"/>
        <v>$M$199</v>
      </c>
      <c r="F199" s="28" t="str">
        <f t="shared" si="58"/>
        <v>$M$199</v>
      </c>
      <c r="G199" s="28">
        <f t="shared" si="59"/>
        <v>0</v>
      </c>
      <c r="H199" s="28" t="str">
        <f t="shared" ca="1" si="60"/>
        <v>$E$207</v>
      </c>
      <c r="I199" s="28" t="str">
        <f t="shared" si="61"/>
        <v>$D$207</v>
      </c>
      <c r="J199" s="28" t="str">
        <f t="shared" si="62"/>
        <v/>
      </c>
      <c r="K199" s="28">
        <f t="shared" si="63"/>
        <v>0</v>
      </c>
    </row>
    <row r="200" spans="1:11" ht="15.75" thickBot="1" x14ac:dyDescent="0.3">
      <c r="A200" s="157">
        <f t="shared" ref="A200:A234" si="64">ROW(A200)</f>
        <v>200</v>
      </c>
      <c r="B200" s="74"/>
      <c r="C200" s="366"/>
      <c r="D200" s="366"/>
      <c r="E200" s="535"/>
      <c r="F200" s="535"/>
      <c r="G200" s="535"/>
      <c r="H200" s="535"/>
      <c r="I200" s="535"/>
      <c r="J200" s="535"/>
      <c r="K200" s="535"/>
    </row>
    <row r="201" spans="1:11" ht="15.75" thickBot="1" x14ac:dyDescent="0.3">
      <c r="A201" s="157">
        <f t="shared" si="64"/>
        <v>201</v>
      </c>
      <c r="B201" s="74">
        <v>125</v>
      </c>
      <c r="C201" s="923" t="s">
        <v>66</v>
      </c>
      <c r="D201" s="750"/>
      <c r="E201" s="28" t="str">
        <f t="shared" ref="E201:E234" ca="1" si="65">ADDRESS(A201,$E$6+4)</f>
        <v>$M$201</v>
      </c>
      <c r="F201" s="28" t="str">
        <f>ADDRESS(A201,$F$6+4)</f>
        <v>$M$201</v>
      </c>
      <c r="G201" s="28">
        <f>IF(OR($F$6=0,$F$6=""),"",VLOOKUP($B201,DATA_M_FACT,$F$6+3,FALSE))</f>
        <v>0</v>
      </c>
      <c r="H201" s="28" t="str">
        <f ca="1">ADDRESS(B201+84,VCR+4)</f>
        <v>$E$209</v>
      </c>
      <c r="I201" s="28" t="str">
        <f>ADDRESS($B201+84,$I$6+4)</f>
        <v>$D$209</v>
      </c>
      <c r="J201" s="28" t="str">
        <f>IF(OR($I$6=0,$I$6=""),"",VLOOKUP($B201,DATA_A_FAC,$I$6+3,FALSE))</f>
        <v/>
      </c>
      <c r="K201" s="28">
        <f>IF(OR(AND(G201&lt;&gt;"",G201&lt;&gt;0),AND(J201&lt;&gt;"",J201&lt;&gt;0)),1,0)</f>
        <v>0</v>
      </c>
    </row>
    <row r="202" spans="1:11" ht="15.75" thickBot="1" x14ac:dyDescent="0.3">
      <c r="A202" s="157">
        <f t="shared" si="64"/>
        <v>202</v>
      </c>
      <c r="B202" s="74"/>
      <c r="C202" s="955" t="s">
        <v>56</v>
      </c>
      <c r="D202" s="829"/>
      <c r="E202" s="535"/>
      <c r="F202" s="535"/>
      <c r="G202" s="535"/>
      <c r="H202" s="535"/>
      <c r="I202" s="535"/>
      <c r="J202" s="535"/>
      <c r="K202" s="535"/>
    </row>
    <row r="203" spans="1:11" x14ac:dyDescent="0.25">
      <c r="A203" s="157">
        <f t="shared" si="64"/>
        <v>203</v>
      </c>
      <c r="B203" s="74">
        <v>126</v>
      </c>
      <c r="C203" s="962"/>
      <c r="D203" s="110" t="str">
        <f>HDG_1</f>
        <v>AFR</v>
      </c>
      <c r="E203" s="28" t="str">
        <f t="shared" ca="1" si="65"/>
        <v>$M$203</v>
      </c>
      <c r="F203" s="28" t="str">
        <f t="shared" ref="F203:F214" si="66">ADDRESS(A203,$F$6+4)</f>
        <v>$M$203</v>
      </c>
      <c r="G203" s="28">
        <f t="shared" ref="G203:G214" si="67">IF(OR($F$6=0,$F$6=""),"",VLOOKUP($B203,DATA_M_FACT,$F$6+3,FALSE))</f>
        <v>0</v>
      </c>
      <c r="H203" s="28" t="str">
        <f t="shared" ref="H203:H214" ca="1" si="68">ADDRESS(B203+85,VCR+4)</f>
        <v>$E$211</v>
      </c>
      <c r="I203" s="28" t="str">
        <f t="shared" ref="I203:I214" si="69">ADDRESS($B203+85,$I$6+4)</f>
        <v>$D$211</v>
      </c>
      <c r="J203" s="28" t="str">
        <f t="shared" ref="J203:J214" si="70">IF(OR($I$6=0,$I$6=""),"",VLOOKUP($B203,DATA_A_FAC,$I$6+3,FALSE))</f>
        <v/>
      </c>
      <c r="K203" s="28">
        <f t="shared" ref="K203:K214" si="71">IF(OR(AND(G203&lt;&gt;"",G203&lt;&gt;0),AND(J203&lt;&gt;"",J203&lt;&gt;0)),1,0)</f>
        <v>0</v>
      </c>
    </row>
    <row r="204" spans="1:11" x14ac:dyDescent="0.25">
      <c r="A204" s="157">
        <f t="shared" si="64"/>
        <v>204</v>
      </c>
      <c r="B204" s="74">
        <v>127</v>
      </c>
      <c r="C204" s="963"/>
      <c r="D204" s="68" t="str">
        <f>HDG_2</f>
        <v>AVP</v>
      </c>
      <c r="E204" s="28" t="str">
        <f t="shared" ca="1" si="65"/>
        <v>$M$204</v>
      </c>
      <c r="F204" s="28" t="str">
        <f t="shared" si="66"/>
        <v>$M$204</v>
      </c>
      <c r="G204" s="28">
        <f t="shared" si="67"/>
        <v>0</v>
      </c>
      <c r="H204" s="28" t="str">
        <f t="shared" ca="1" si="68"/>
        <v>$E$212</v>
      </c>
      <c r="I204" s="28" t="str">
        <f t="shared" si="69"/>
        <v>$D$212</v>
      </c>
      <c r="J204" s="28" t="str">
        <f t="shared" si="70"/>
        <v/>
      </c>
      <c r="K204" s="28">
        <f t="shared" si="71"/>
        <v>0</v>
      </c>
    </row>
    <row r="205" spans="1:11" x14ac:dyDescent="0.25">
      <c r="A205" s="157">
        <f t="shared" si="64"/>
        <v>205</v>
      </c>
      <c r="B205" s="74">
        <v>128</v>
      </c>
      <c r="C205" s="963"/>
      <c r="D205" s="68" t="str">
        <f>HDG_3</f>
        <v>ALZ</v>
      </c>
      <c r="E205" s="28" t="str">
        <f t="shared" ca="1" si="65"/>
        <v>$M$205</v>
      </c>
      <c r="F205" s="28" t="str">
        <f t="shared" si="66"/>
        <v>$M$205</v>
      </c>
      <c r="G205" s="28">
        <f t="shared" si="67"/>
        <v>0</v>
      </c>
      <c r="H205" s="28" t="str">
        <f t="shared" ca="1" si="68"/>
        <v>$E$213</v>
      </c>
      <c r="I205" s="28" t="str">
        <f t="shared" si="69"/>
        <v>$D$213</v>
      </c>
      <c r="J205" s="28" t="str">
        <f t="shared" si="70"/>
        <v/>
      </c>
      <c r="K205" s="28">
        <f t="shared" si="71"/>
        <v>0</v>
      </c>
    </row>
    <row r="206" spans="1:11" x14ac:dyDescent="0.25">
      <c r="A206" s="157">
        <f t="shared" si="64"/>
        <v>206</v>
      </c>
      <c r="B206" s="74">
        <v>129</v>
      </c>
      <c r="C206" s="963"/>
      <c r="D206" s="68" t="str">
        <f>HDG_4</f>
        <v>MZS</v>
      </c>
      <c r="E206" s="28" t="str">
        <f t="shared" ca="1" si="65"/>
        <v>$M$206</v>
      </c>
      <c r="F206" s="28" t="str">
        <f t="shared" si="66"/>
        <v>$M$206</v>
      </c>
      <c r="G206" s="28">
        <f t="shared" si="67"/>
        <v>0</v>
      </c>
      <c r="H206" s="28" t="str">
        <f t="shared" ca="1" si="68"/>
        <v>$E$214</v>
      </c>
      <c r="I206" s="28" t="str">
        <f t="shared" si="69"/>
        <v>$D$214</v>
      </c>
      <c r="J206" s="28" t="str">
        <f t="shared" si="70"/>
        <v/>
      </c>
      <c r="K206" s="28">
        <f t="shared" si="71"/>
        <v>0</v>
      </c>
    </row>
    <row r="207" spans="1:11" x14ac:dyDescent="0.25">
      <c r="A207" s="157">
        <f t="shared" si="64"/>
        <v>207</v>
      </c>
      <c r="B207" s="74">
        <v>130</v>
      </c>
      <c r="C207" s="963"/>
      <c r="D207" s="68" t="str">
        <f>HDG_5</f>
        <v>APR</v>
      </c>
      <c r="E207" s="28" t="str">
        <f t="shared" ca="1" si="65"/>
        <v>$M$207</v>
      </c>
      <c r="F207" s="28" t="str">
        <f t="shared" si="66"/>
        <v>$M$207</v>
      </c>
      <c r="G207" s="28">
        <f t="shared" si="67"/>
        <v>0</v>
      </c>
      <c r="H207" s="28" t="str">
        <f t="shared" ca="1" si="68"/>
        <v>$E$215</v>
      </c>
      <c r="I207" s="28" t="str">
        <f t="shared" si="69"/>
        <v>$D$215</v>
      </c>
      <c r="J207" s="28" t="str">
        <f t="shared" si="70"/>
        <v/>
      </c>
      <c r="K207" s="28">
        <f t="shared" si="71"/>
        <v>0</v>
      </c>
    </row>
    <row r="208" spans="1:11" x14ac:dyDescent="0.25">
      <c r="A208" s="157">
        <f t="shared" si="64"/>
        <v>208</v>
      </c>
      <c r="B208" s="74">
        <v>131</v>
      </c>
      <c r="C208" s="963"/>
      <c r="D208" s="68" t="str">
        <f>HDG_6</f>
        <v>DCG</v>
      </c>
      <c r="E208" s="28" t="str">
        <f t="shared" ca="1" si="65"/>
        <v>$M$208</v>
      </c>
      <c r="F208" s="28" t="str">
        <f t="shared" si="66"/>
        <v>$M$208</v>
      </c>
      <c r="G208" s="28">
        <f t="shared" si="67"/>
        <v>0</v>
      </c>
      <c r="H208" s="28" t="str">
        <f t="shared" ca="1" si="68"/>
        <v>$E$216</v>
      </c>
      <c r="I208" s="28" t="str">
        <f t="shared" si="69"/>
        <v>$D$216</v>
      </c>
      <c r="J208" s="28" t="str">
        <f t="shared" si="70"/>
        <v/>
      </c>
      <c r="K208" s="28">
        <f t="shared" si="71"/>
        <v>0</v>
      </c>
    </row>
    <row r="209" spans="1:11" x14ac:dyDescent="0.25">
      <c r="A209" s="157">
        <f t="shared" si="64"/>
        <v>209</v>
      </c>
      <c r="B209" s="74">
        <v>132</v>
      </c>
      <c r="C209" s="963"/>
      <c r="D209" s="68" t="str">
        <f>HDG_7</f>
        <v>SFS</v>
      </c>
      <c r="E209" s="28" t="str">
        <f t="shared" ca="1" si="65"/>
        <v>$M$209</v>
      </c>
      <c r="F209" s="28" t="str">
        <f t="shared" si="66"/>
        <v>$M$209</v>
      </c>
      <c r="G209" s="28">
        <f t="shared" si="67"/>
        <v>0</v>
      </c>
      <c r="H209" s="28" t="str">
        <f t="shared" ca="1" si="68"/>
        <v>$E$217</v>
      </c>
      <c r="I209" s="28" t="str">
        <f t="shared" si="69"/>
        <v>$D$217</v>
      </c>
      <c r="J209" s="28" t="str">
        <f t="shared" si="70"/>
        <v/>
      </c>
      <c r="K209" s="28">
        <f t="shared" si="71"/>
        <v>0</v>
      </c>
    </row>
    <row r="210" spans="1:11" x14ac:dyDescent="0.25">
      <c r="A210" s="157">
        <f t="shared" si="64"/>
        <v>210</v>
      </c>
      <c r="B210" s="74">
        <v>133</v>
      </c>
      <c r="C210" s="963"/>
      <c r="D210" s="68" t="str">
        <f>HDG_8</f>
        <v>AZH</v>
      </c>
      <c r="E210" s="28" t="str">
        <f t="shared" ca="1" si="65"/>
        <v>$M$210</v>
      </c>
      <c r="F210" s="28" t="str">
        <f t="shared" si="66"/>
        <v>$M$210</v>
      </c>
      <c r="G210" s="28">
        <f t="shared" si="67"/>
        <v>0</v>
      </c>
      <c r="H210" s="28" t="str">
        <f t="shared" ca="1" si="68"/>
        <v>$E$218</v>
      </c>
      <c r="I210" s="28" t="str">
        <f t="shared" si="69"/>
        <v>$D$218</v>
      </c>
      <c r="J210" s="28" t="str">
        <f t="shared" si="70"/>
        <v/>
      </c>
      <c r="K210" s="28">
        <f t="shared" si="71"/>
        <v>0</v>
      </c>
    </row>
    <row r="211" spans="1:11" x14ac:dyDescent="0.25">
      <c r="A211" s="157">
        <f t="shared" si="64"/>
        <v>211</v>
      </c>
      <c r="B211" s="74">
        <v>134</v>
      </c>
      <c r="C211" s="963"/>
      <c r="D211" s="68" t="str">
        <f>HDG_9</f>
        <v>HLI</v>
      </c>
      <c r="E211" s="28" t="str">
        <f t="shared" ca="1" si="65"/>
        <v>$M$211</v>
      </c>
      <c r="F211" s="28" t="str">
        <f t="shared" si="66"/>
        <v>$M$211</v>
      </c>
      <c r="G211" s="28">
        <f t="shared" si="67"/>
        <v>0</v>
      </c>
      <c r="H211" s="28" t="str">
        <f t="shared" ca="1" si="68"/>
        <v>$E$219</v>
      </c>
      <c r="I211" s="28" t="str">
        <f t="shared" si="69"/>
        <v>$D$219</v>
      </c>
      <c r="J211" s="28" t="str">
        <f t="shared" si="70"/>
        <v/>
      </c>
      <c r="K211" s="28">
        <f t="shared" si="71"/>
        <v>0</v>
      </c>
    </row>
    <row r="212" spans="1:11" x14ac:dyDescent="0.25">
      <c r="A212" s="157">
        <f t="shared" si="64"/>
        <v>212</v>
      </c>
      <c r="B212" s="74">
        <v>135</v>
      </c>
      <c r="C212" s="963"/>
      <c r="D212" s="68" t="str">
        <f>HDG_10</f>
        <v>MCM</v>
      </c>
      <c r="E212" s="28" t="str">
        <f t="shared" ca="1" si="65"/>
        <v>$M$212</v>
      </c>
      <c r="F212" s="28" t="str">
        <f t="shared" si="66"/>
        <v>$M$212</v>
      </c>
      <c r="G212" s="28">
        <f t="shared" si="67"/>
        <v>0</v>
      </c>
      <c r="H212" s="28" t="str">
        <f t="shared" ca="1" si="68"/>
        <v>$E$220</v>
      </c>
      <c r="I212" s="28" t="str">
        <f t="shared" si="69"/>
        <v>$D$220</v>
      </c>
      <c r="J212" s="28" t="str">
        <f t="shared" si="70"/>
        <v/>
      </c>
      <c r="K212" s="28">
        <f t="shared" si="71"/>
        <v>0</v>
      </c>
    </row>
    <row r="213" spans="1:11" x14ac:dyDescent="0.25">
      <c r="A213" s="157">
        <f t="shared" si="64"/>
        <v>213</v>
      </c>
      <c r="B213" s="74">
        <v>136</v>
      </c>
      <c r="C213" s="963"/>
      <c r="D213" s="68" t="str">
        <f>HDG_11</f>
        <v>MCR</v>
      </c>
      <c r="E213" s="28" t="str">
        <f t="shared" ca="1" si="65"/>
        <v>$M$213</v>
      </c>
      <c r="F213" s="28" t="str">
        <f t="shared" si="66"/>
        <v>$M$213</v>
      </c>
      <c r="G213" s="28">
        <f t="shared" si="67"/>
        <v>0</v>
      </c>
      <c r="H213" s="28" t="str">
        <f t="shared" ca="1" si="68"/>
        <v>$E$221</v>
      </c>
      <c r="I213" s="28" t="str">
        <f t="shared" si="69"/>
        <v>$D$221</v>
      </c>
      <c r="J213" s="28" t="str">
        <f t="shared" si="70"/>
        <v/>
      </c>
      <c r="K213" s="28">
        <f t="shared" si="71"/>
        <v>0</v>
      </c>
    </row>
    <row r="214" spans="1:11" ht="15.75" thickBot="1" x14ac:dyDescent="0.3">
      <c r="A214" s="157">
        <f t="shared" si="64"/>
        <v>214</v>
      </c>
      <c r="B214" s="74">
        <v>137</v>
      </c>
      <c r="C214" s="964"/>
      <c r="D214" s="69" t="s">
        <v>406</v>
      </c>
      <c r="E214" s="28" t="str">
        <f t="shared" ca="1" si="65"/>
        <v>$M$214</v>
      </c>
      <c r="F214" s="28" t="str">
        <f t="shared" si="66"/>
        <v>$M$214</v>
      </c>
      <c r="G214" s="28">
        <f t="shared" si="67"/>
        <v>0</v>
      </c>
      <c r="H214" s="28" t="str">
        <f t="shared" ca="1" si="68"/>
        <v>$E$222</v>
      </c>
      <c r="I214" s="28" t="str">
        <f t="shared" si="69"/>
        <v>$D$222</v>
      </c>
      <c r="J214" s="28" t="str">
        <f t="shared" si="70"/>
        <v/>
      </c>
      <c r="K214" s="28">
        <f t="shared" si="71"/>
        <v>0</v>
      </c>
    </row>
    <row r="215" spans="1:11" ht="15.75" thickBot="1" x14ac:dyDescent="0.3">
      <c r="A215" s="157">
        <f t="shared" si="64"/>
        <v>215</v>
      </c>
      <c r="B215" s="74"/>
      <c r="C215" s="535"/>
      <c r="D215" s="535"/>
      <c r="E215" s="535"/>
      <c r="F215" s="535"/>
      <c r="G215" s="535"/>
      <c r="H215" s="535"/>
      <c r="I215" s="535"/>
      <c r="J215" s="535"/>
      <c r="K215" s="535"/>
    </row>
    <row r="216" spans="1:11" x14ac:dyDescent="0.25">
      <c r="A216" s="157">
        <f t="shared" si="64"/>
        <v>216</v>
      </c>
      <c r="B216" s="74"/>
      <c r="C216" s="932" t="s">
        <v>175</v>
      </c>
      <c r="D216" s="932"/>
      <c r="E216" s="932"/>
      <c r="F216" s="932"/>
      <c r="G216" s="932"/>
      <c r="H216" s="932"/>
      <c r="I216" s="932"/>
      <c r="J216" s="932"/>
      <c r="K216" s="933"/>
    </row>
    <row r="217" spans="1:11" ht="15.75" thickBot="1" x14ac:dyDescent="0.3">
      <c r="A217" s="157">
        <f t="shared" si="64"/>
        <v>217</v>
      </c>
      <c r="B217" s="74"/>
      <c r="C217" s="934"/>
      <c r="D217" s="934"/>
      <c r="E217" s="934"/>
      <c r="F217" s="934"/>
      <c r="G217" s="934"/>
      <c r="H217" s="934"/>
      <c r="I217" s="934"/>
      <c r="J217" s="934"/>
      <c r="K217" s="935"/>
    </row>
    <row r="218" spans="1:11" x14ac:dyDescent="0.25">
      <c r="A218" s="157">
        <f t="shared" si="64"/>
        <v>218</v>
      </c>
      <c r="B218" s="74">
        <v>138</v>
      </c>
      <c r="C218" s="961" t="s">
        <v>75</v>
      </c>
      <c r="D218" s="835"/>
      <c r="E218" s="535"/>
      <c r="F218" s="535"/>
      <c r="G218" s="535"/>
      <c r="H218" s="28" t="str">
        <f>ADDRESS(B218+80,36)</f>
        <v>$AJ$218</v>
      </c>
      <c r="I218" s="28" t="str">
        <f t="shared" ref="I218:I224" si="72">ADDRESS($B218+87,$I$6+4)</f>
        <v>$D$225</v>
      </c>
      <c r="J218" s="28" t="str">
        <f t="shared" ref="J218:J224" si="73">IF(OR($I$6=0,$I$6=""),"",VLOOKUP($B218,DATA_A_TVX,$I$6+3,FALSE))</f>
        <v/>
      </c>
      <c r="K218" s="28">
        <f t="shared" ref="K218:K224" si="74">IF(OR(AND(G218&lt;&gt;"",G218&lt;&gt;0),AND(J218&lt;&gt;"",J218&lt;&gt;0)),1,0)</f>
        <v>0</v>
      </c>
    </row>
    <row r="219" spans="1:11" x14ac:dyDescent="0.25">
      <c r="A219" s="157">
        <f t="shared" si="64"/>
        <v>219</v>
      </c>
      <c r="B219" s="74">
        <v>139</v>
      </c>
      <c r="C219" s="961" t="s">
        <v>76</v>
      </c>
      <c r="D219" s="835"/>
      <c r="E219" s="535"/>
      <c r="F219" s="535"/>
      <c r="G219" s="535"/>
      <c r="H219" s="547" t="str">
        <f t="shared" ref="H219:H223" si="75">ADDRESS(B219+80,36)</f>
        <v>$AJ$219</v>
      </c>
      <c r="I219" s="28" t="str">
        <f t="shared" si="72"/>
        <v>$D$226</v>
      </c>
      <c r="J219" s="28" t="str">
        <f t="shared" si="73"/>
        <v/>
      </c>
      <c r="K219" s="28">
        <f t="shared" si="74"/>
        <v>0</v>
      </c>
    </row>
    <row r="220" spans="1:11" x14ac:dyDescent="0.25">
      <c r="A220" s="157">
        <f t="shared" si="64"/>
        <v>220</v>
      </c>
      <c r="B220" s="74">
        <v>140</v>
      </c>
      <c r="C220" s="961" t="s">
        <v>77</v>
      </c>
      <c r="D220" s="835"/>
      <c r="E220" s="535"/>
      <c r="F220" s="535"/>
      <c r="G220" s="535"/>
      <c r="H220" s="547" t="str">
        <f t="shared" si="75"/>
        <v>$AJ$220</v>
      </c>
      <c r="I220" s="28" t="str">
        <f t="shared" si="72"/>
        <v>$D$227</v>
      </c>
      <c r="J220" s="28" t="str">
        <f t="shared" si="73"/>
        <v/>
      </c>
      <c r="K220" s="28">
        <f t="shared" si="74"/>
        <v>0</v>
      </c>
    </row>
    <row r="221" spans="1:11" x14ac:dyDescent="0.25">
      <c r="A221" s="157">
        <f t="shared" si="64"/>
        <v>221</v>
      </c>
      <c r="B221" s="74">
        <v>141</v>
      </c>
      <c r="C221" s="961" t="s">
        <v>78</v>
      </c>
      <c r="D221" s="835"/>
      <c r="E221" s="535"/>
      <c r="F221" s="535"/>
      <c r="G221" s="535"/>
      <c r="H221" s="547" t="str">
        <f t="shared" si="75"/>
        <v>$AJ$221</v>
      </c>
      <c r="I221" s="28" t="str">
        <f t="shared" si="72"/>
        <v>$D$228</v>
      </c>
      <c r="J221" s="28" t="str">
        <f t="shared" si="73"/>
        <v/>
      </c>
      <c r="K221" s="28">
        <f t="shared" si="74"/>
        <v>0</v>
      </c>
    </row>
    <row r="222" spans="1:11" x14ac:dyDescent="0.25">
      <c r="A222" s="157">
        <f t="shared" si="64"/>
        <v>222</v>
      </c>
      <c r="B222" s="74">
        <v>142</v>
      </c>
      <c r="C222" s="961" t="s">
        <v>669</v>
      </c>
      <c r="D222" s="835"/>
      <c r="E222" s="535"/>
      <c r="F222" s="535"/>
      <c r="G222" s="535"/>
      <c r="H222" s="547" t="str">
        <f t="shared" si="75"/>
        <v>$AJ$222</v>
      </c>
      <c r="I222" s="28" t="str">
        <f t="shared" si="72"/>
        <v>$D$229</v>
      </c>
      <c r="J222" s="28" t="str">
        <f t="shared" si="73"/>
        <v/>
      </c>
      <c r="K222" s="28">
        <f t="shared" si="74"/>
        <v>0</v>
      </c>
    </row>
    <row r="223" spans="1:11" x14ac:dyDescent="0.25">
      <c r="A223" s="157">
        <f t="shared" si="64"/>
        <v>223</v>
      </c>
      <c r="B223" s="74">
        <v>143</v>
      </c>
      <c r="C223" s="961" t="s">
        <v>670</v>
      </c>
      <c r="D223" s="835"/>
      <c r="E223" s="535"/>
      <c r="F223" s="535"/>
      <c r="G223" s="535"/>
      <c r="H223" s="547" t="str">
        <f t="shared" si="75"/>
        <v>$AJ$223</v>
      </c>
      <c r="I223" s="28" t="str">
        <f t="shared" si="72"/>
        <v>$D$230</v>
      </c>
      <c r="J223" s="28" t="str">
        <f t="shared" si="73"/>
        <v/>
      </c>
      <c r="K223" s="28">
        <f t="shared" si="74"/>
        <v>0</v>
      </c>
    </row>
    <row r="224" spans="1:11" ht="15.75" thickBot="1" x14ac:dyDescent="0.3">
      <c r="A224" s="157">
        <f t="shared" si="64"/>
        <v>224</v>
      </c>
      <c r="B224" s="74">
        <v>144</v>
      </c>
      <c r="C224" s="811" t="s">
        <v>187</v>
      </c>
      <c r="D224" s="744"/>
      <c r="E224" s="28" t="str">
        <f t="shared" ca="1" si="65"/>
        <v>$M$224</v>
      </c>
      <c r="F224" s="28" t="str">
        <f>ADDRESS(A224,$F$6+4)</f>
        <v>$M$224</v>
      </c>
      <c r="G224" s="28">
        <f>IF(OR($F$6=0,$F$6=""),"",VLOOKUP($B224,DATA_M_TVX,$F$6+3,FALSE))</f>
        <v>0</v>
      </c>
      <c r="H224" s="28" t="str">
        <f t="shared" ref="H224" ca="1" si="76">ADDRESS(B224+87,VCR+4)</f>
        <v>$E$231</v>
      </c>
      <c r="I224" s="28" t="str">
        <f t="shared" si="72"/>
        <v>$D$231</v>
      </c>
      <c r="J224" s="28" t="str">
        <f t="shared" si="73"/>
        <v/>
      </c>
      <c r="K224" s="28">
        <f t="shared" si="74"/>
        <v>0</v>
      </c>
    </row>
    <row r="225" spans="1:11" ht="15.75" thickBot="1" x14ac:dyDescent="0.3">
      <c r="A225" s="157">
        <f t="shared" si="64"/>
        <v>225</v>
      </c>
      <c r="B225" s="74"/>
      <c r="C225" s="535"/>
      <c r="D225" s="535"/>
      <c r="E225" s="535"/>
      <c r="F225" s="535"/>
      <c r="G225" s="535"/>
      <c r="H225" s="535"/>
      <c r="I225" s="535"/>
      <c r="J225" s="535"/>
      <c r="K225" s="535"/>
    </row>
    <row r="226" spans="1:11" x14ac:dyDescent="0.25">
      <c r="A226" s="157">
        <f t="shared" si="64"/>
        <v>226</v>
      </c>
      <c r="B226" s="74"/>
      <c r="C226" s="932" t="s">
        <v>71</v>
      </c>
      <c r="D226" s="932"/>
      <c r="E226" s="932"/>
      <c r="F226" s="932"/>
      <c r="G226" s="932"/>
      <c r="H226" s="932"/>
      <c r="I226" s="932"/>
      <c r="J226" s="932"/>
      <c r="K226" s="933"/>
    </row>
    <row r="227" spans="1:11" ht="15.75" thickBot="1" x14ac:dyDescent="0.3">
      <c r="A227" s="157">
        <f t="shared" si="64"/>
        <v>227</v>
      </c>
      <c r="B227" s="74"/>
      <c r="C227" s="934"/>
      <c r="D227" s="934"/>
      <c r="E227" s="934"/>
      <c r="F227" s="934"/>
      <c r="G227" s="934"/>
      <c r="H227" s="934"/>
      <c r="I227" s="934"/>
      <c r="J227" s="934"/>
      <c r="K227" s="935"/>
    </row>
    <row r="228" spans="1:11" x14ac:dyDescent="0.25">
      <c r="A228" s="157">
        <f t="shared" si="64"/>
        <v>228</v>
      </c>
      <c r="B228" s="74">
        <v>145</v>
      </c>
      <c r="C228" s="677" t="s">
        <v>72</v>
      </c>
      <c r="D228" s="728"/>
      <c r="E228" s="28" t="str">
        <f t="shared" ca="1" si="65"/>
        <v>$M$228</v>
      </c>
      <c r="F228" s="28" t="str">
        <f t="shared" ref="F228:F234" si="77">ADDRESS(A228,$F$6+4)</f>
        <v>$M$228</v>
      </c>
      <c r="G228" s="28">
        <f t="shared" ref="G228:G234" si="78">IF(OR($F$6=0,$F$6=""),"",VLOOKUP($B228,DATA_M_MAA,$F$6+3,FALSE))</f>
        <v>0</v>
      </c>
      <c r="H228" s="28" t="str">
        <f t="shared" ref="H228:H234" ca="1" si="79">ADDRESS(B228+89,VCR+4)</f>
        <v>$E$234</v>
      </c>
      <c r="I228" s="28" t="str">
        <f t="shared" ref="I228:I234" si="80">ADDRESS($B228+89,$I$6+4)</f>
        <v>$D$234</v>
      </c>
      <c r="J228" s="28" t="str">
        <f t="shared" ref="J228:J234" si="81">IF(OR($I$6=0,$I$6=""),"",VLOOKUP($B228,DATA_A_MAA,$I$6+3,FALSE))</f>
        <v/>
      </c>
      <c r="K228" s="28">
        <f t="shared" ref="K228:K234" si="82">IF(OR(AND(G228&lt;&gt;"",G228&lt;&gt;0),AND(J228&lt;&gt;"",J228&lt;&gt;0)),1,0)</f>
        <v>0</v>
      </c>
    </row>
    <row r="229" spans="1:11" x14ac:dyDescent="0.25">
      <c r="A229" s="157">
        <f t="shared" si="64"/>
        <v>229</v>
      </c>
      <c r="B229" s="74">
        <v>146</v>
      </c>
      <c r="C229" s="677" t="s">
        <v>73</v>
      </c>
      <c r="D229" s="728"/>
      <c r="E229" s="28" t="str">
        <f t="shared" ca="1" si="65"/>
        <v>$M$229</v>
      </c>
      <c r="F229" s="28" t="str">
        <f t="shared" si="77"/>
        <v>$M$229</v>
      </c>
      <c r="G229" s="28">
        <f t="shared" si="78"/>
        <v>0</v>
      </c>
      <c r="H229" s="28" t="str">
        <f t="shared" ca="1" si="79"/>
        <v>$E$235</v>
      </c>
      <c r="I229" s="28" t="str">
        <f t="shared" si="80"/>
        <v>$D$235</v>
      </c>
      <c r="J229" s="28" t="str">
        <f t="shared" si="81"/>
        <v/>
      </c>
      <c r="K229" s="28">
        <f t="shared" si="82"/>
        <v>0</v>
      </c>
    </row>
    <row r="230" spans="1:11" x14ac:dyDescent="0.25">
      <c r="A230" s="157">
        <f t="shared" si="64"/>
        <v>230</v>
      </c>
      <c r="B230" s="74">
        <v>147</v>
      </c>
      <c r="C230" s="677" t="s">
        <v>180</v>
      </c>
      <c r="D230" s="728"/>
      <c r="E230" s="28" t="str">
        <f t="shared" ca="1" si="65"/>
        <v>$M$230</v>
      </c>
      <c r="F230" s="28" t="str">
        <f t="shared" si="77"/>
        <v>$M$230</v>
      </c>
      <c r="G230" s="28">
        <f t="shared" si="78"/>
        <v>0</v>
      </c>
      <c r="H230" s="28" t="str">
        <f t="shared" ca="1" si="79"/>
        <v>$E$236</v>
      </c>
      <c r="I230" s="28" t="str">
        <f t="shared" si="80"/>
        <v>$D$236</v>
      </c>
      <c r="J230" s="28" t="str">
        <f t="shared" si="81"/>
        <v/>
      </c>
      <c r="K230" s="28">
        <f t="shared" si="82"/>
        <v>0</v>
      </c>
    </row>
    <row r="231" spans="1:11" ht="15.75" thickBot="1" x14ac:dyDescent="0.3">
      <c r="A231" s="157">
        <f t="shared" si="64"/>
        <v>231</v>
      </c>
      <c r="B231" s="74">
        <v>148</v>
      </c>
      <c r="C231" s="677" t="s">
        <v>74</v>
      </c>
      <c r="D231" s="728"/>
      <c r="E231" s="28" t="str">
        <f t="shared" ca="1" si="65"/>
        <v>$M$231</v>
      </c>
      <c r="F231" s="28" t="str">
        <f t="shared" si="77"/>
        <v>$M$231</v>
      </c>
      <c r="G231" s="28">
        <f t="shared" si="78"/>
        <v>0</v>
      </c>
      <c r="H231" s="28" t="str">
        <f t="shared" ca="1" si="79"/>
        <v>$E$237</v>
      </c>
      <c r="I231" s="28" t="str">
        <f t="shared" si="80"/>
        <v>$D$237</v>
      </c>
      <c r="J231" s="28" t="str">
        <f t="shared" si="81"/>
        <v/>
      </c>
      <c r="K231" s="28">
        <f t="shared" si="82"/>
        <v>0</v>
      </c>
    </row>
    <row r="232" spans="1:11" ht="15.75" thickBot="1" x14ac:dyDescent="0.3">
      <c r="A232" s="157">
        <f t="shared" si="64"/>
        <v>232</v>
      </c>
      <c r="B232" s="74">
        <v>149</v>
      </c>
      <c r="C232" s="923" t="s">
        <v>181</v>
      </c>
      <c r="D232" s="750"/>
      <c r="E232" s="28" t="str">
        <f t="shared" ca="1" si="65"/>
        <v>$M$232</v>
      </c>
      <c r="F232" s="28" t="str">
        <f t="shared" si="77"/>
        <v>$M$232</v>
      </c>
      <c r="G232" s="28">
        <f t="shared" si="78"/>
        <v>0</v>
      </c>
      <c r="H232" s="28" t="str">
        <f t="shared" ca="1" si="79"/>
        <v>$E$238</v>
      </c>
      <c r="I232" s="28" t="str">
        <f t="shared" si="80"/>
        <v>$D$238</v>
      </c>
      <c r="J232" s="28" t="str">
        <f t="shared" si="81"/>
        <v/>
      </c>
      <c r="K232" s="28">
        <f t="shared" si="82"/>
        <v>0</v>
      </c>
    </row>
    <row r="233" spans="1:11" ht="15.75" thickBot="1" x14ac:dyDescent="0.3">
      <c r="A233" s="157">
        <f t="shared" si="64"/>
        <v>233</v>
      </c>
      <c r="B233" s="74">
        <v>150</v>
      </c>
      <c r="C233" s="90"/>
      <c r="D233" s="57" t="s">
        <v>620</v>
      </c>
      <c r="E233" s="28" t="str">
        <f t="shared" ca="1" si="65"/>
        <v>$M$233</v>
      </c>
      <c r="F233" s="28" t="str">
        <f t="shared" si="77"/>
        <v>$M$233</v>
      </c>
      <c r="G233" s="28">
        <f t="shared" si="78"/>
        <v>0</v>
      </c>
      <c r="H233" s="28" t="str">
        <f t="shared" ca="1" si="79"/>
        <v>$E$239</v>
      </c>
      <c r="I233" s="28" t="str">
        <f t="shared" si="80"/>
        <v>$D$239</v>
      </c>
      <c r="J233" s="28" t="str">
        <f t="shared" si="81"/>
        <v/>
      </c>
      <c r="K233" s="28">
        <f t="shared" si="82"/>
        <v>0</v>
      </c>
    </row>
    <row r="234" spans="1:11" ht="15.75" thickBot="1" x14ac:dyDescent="0.3">
      <c r="A234" s="157">
        <f t="shared" si="64"/>
        <v>234</v>
      </c>
      <c r="B234" s="74">
        <v>151</v>
      </c>
      <c r="C234" s="98"/>
      <c r="D234" s="74" t="s">
        <v>621</v>
      </c>
      <c r="E234" s="28" t="str">
        <f t="shared" ca="1" si="65"/>
        <v>$M$234</v>
      </c>
      <c r="F234" s="28" t="str">
        <f t="shared" si="77"/>
        <v>$M$234</v>
      </c>
      <c r="G234" s="28">
        <f t="shared" si="78"/>
        <v>0</v>
      </c>
      <c r="H234" s="28" t="str">
        <f t="shared" ca="1" si="79"/>
        <v>$E$240</v>
      </c>
      <c r="I234" s="28" t="str">
        <f t="shared" si="80"/>
        <v>$D$240</v>
      </c>
      <c r="J234" s="28" t="str">
        <f t="shared" si="81"/>
        <v/>
      </c>
      <c r="K234" s="28">
        <f t="shared" si="82"/>
        <v>0</v>
      </c>
    </row>
    <row r="235" spans="1:11" x14ac:dyDescent="0.25">
      <c r="A235" s="157"/>
      <c r="B235" s="74"/>
      <c r="C235" s="932" t="s">
        <v>953</v>
      </c>
      <c r="D235" s="932"/>
      <c r="E235" s="932"/>
      <c r="F235" s="932"/>
      <c r="G235" s="932"/>
      <c r="H235" s="932"/>
      <c r="I235" s="932"/>
      <c r="J235" s="932"/>
      <c r="K235" s="933"/>
    </row>
    <row r="236" spans="1:11" ht="15.75" thickBot="1" x14ac:dyDescent="0.3">
      <c r="A236" s="157"/>
      <c r="B236" s="74"/>
      <c r="C236" s="934"/>
      <c r="D236" s="934"/>
      <c r="E236" s="934"/>
      <c r="F236" s="934"/>
      <c r="G236" s="934"/>
      <c r="H236" s="934"/>
      <c r="I236" s="934"/>
      <c r="J236" s="934"/>
      <c r="K236" s="935"/>
    </row>
    <row r="237" spans="1:11" ht="15.75" thickBot="1" x14ac:dyDescent="0.3">
      <c r="A237" s="157"/>
      <c r="B237" s="74"/>
      <c r="C237" s="965" t="s">
        <v>79</v>
      </c>
      <c r="D237" s="837"/>
      <c r="E237" s="535"/>
      <c r="F237" s="535"/>
      <c r="G237" s="535"/>
      <c r="H237" s="535"/>
      <c r="I237" s="535"/>
      <c r="J237" s="535"/>
      <c r="K237" s="535"/>
    </row>
    <row r="238" spans="1:11" x14ac:dyDescent="0.25">
      <c r="A238" s="157"/>
      <c r="B238" s="74">
        <v>152</v>
      </c>
      <c r="C238" s="677" t="s">
        <v>80</v>
      </c>
      <c r="D238" s="728"/>
      <c r="E238" s="535"/>
      <c r="F238" s="535"/>
      <c r="G238" s="535"/>
      <c r="H238" s="28" t="str">
        <f>ADDRESS(B238+86,36)</f>
        <v>$AJ$238</v>
      </c>
      <c r="I238" s="28" t="str">
        <f t="shared" ref="I238:I243" si="83">ADDRESS($B238+92,$I$6+4)</f>
        <v>$D$244</v>
      </c>
      <c r="J238" s="28" t="str">
        <f t="shared" ref="J238:J243" si="84">IF(OR($I$6=0,$I$6=""),"",VLOOKUP($B238,DATA_A_CARB,$I$6+3,FALSE))</f>
        <v/>
      </c>
      <c r="K238" s="28">
        <f t="shared" ref="K238:K243" si="85">IF(OR(AND(G238&lt;&gt;"",G238&lt;&gt;0),AND(J238&lt;&gt;"",J238&lt;&gt;0)),1,0)</f>
        <v>0</v>
      </c>
    </row>
    <row r="239" spans="1:11" x14ac:dyDescent="0.25">
      <c r="A239" s="157"/>
      <c r="B239" s="74">
        <v>153</v>
      </c>
      <c r="C239" s="677" t="s">
        <v>81</v>
      </c>
      <c r="D239" s="728"/>
      <c r="E239" s="535"/>
      <c r="F239" s="535"/>
      <c r="G239" s="535"/>
      <c r="H239" s="547" t="str">
        <f t="shared" ref="H239:H243" si="86">ADDRESS(B239+86,36)</f>
        <v>$AJ$239</v>
      </c>
      <c r="I239" s="28" t="str">
        <f t="shared" si="83"/>
        <v>$D$245</v>
      </c>
      <c r="J239" s="28" t="str">
        <f t="shared" si="84"/>
        <v/>
      </c>
      <c r="K239" s="28">
        <f t="shared" si="85"/>
        <v>0</v>
      </c>
    </row>
    <row r="240" spans="1:11" x14ac:dyDescent="0.25">
      <c r="A240" s="157"/>
      <c r="B240" s="74">
        <v>154</v>
      </c>
      <c r="C240" s="677" t="s">
        <v>82</v>
      </c>
      <c r="D240" s="728"/>
      <c r="E240" s="535"/>
      <c r="F240" s="535"/>
      <c r="G240" s="535"/>
      <c r="H240" s="547" t="str">
        <f t="shared" si="86"/>
        <v>$AJ$240</v>
      </c>
      <c r="I240" s="28" t="str">
        <f t="shared" si="83"/>
        <v>$D$246</v>
      </c>
      <c r="J240" s="28" t="str">
        <f t="shared" si="84"/>
        <v/>
      </c>
      <c r="K240" s="28">
        <f t="shared" si="85"/>
        <v>0</v>
      </c>
    </row>
    <row r="241" spans="1:11" x14ac:dyDescent="0.25">
      <c r="A241" s="157"/>
      <c r="B241" s="74">
        <v>155</v>
      </c>
      <c r="C241" s="677" t="s">
        <v>83</v>
      </c>
      <c r="D241" s="728"/>
      <c r="E241" s="535"/>
      <c r="F241" s="535"/>
      <c r="G241" s="535"/>
      <c r="H241" s="547" t="str">
        <f t="shared" si="86"/>
        <v>$AJ$241</v>
      </c>
      <c r="I241" s="28" t="str">
        <f t="shared" si="83"/>
        <v>$D$247</v>
      </c>
      <c r="J241" s="28" t="str">
        <f t="shared" si="84"/>
        <v/>
      </c>
      <c r="K241" s="28">
        <f t="shared" si="85"/>
        <v>0</v>
      </c>
    </row>
    <row r="242" spans="1:11" x14ac:dyDescent="0.25">
      <c r="A242" s="157"/>
      <c r="B242" s="74">
        <v>156</v>
      </c>
      <c r="C242" s="677" t="s">
        <v>84</v>
      </c>
      <c r="D242" s="728"/>
      <c r="E242" s="535"/>
      <c r="F242" s="535"/>
      <c r="G242" s="535"/>
      <c r="H242" s="547" t="str">
        <f t="shared" si="86"/>
        <v>$AJ$242</v>
      </c>
      <c r="I242" s="28" t="str">
        <f t="shared" si="83"/>
        <v>$D$248</v>
      </c>
      <c r="J242" s="28" t="str">
        <f t="shared" si="84"/>
        <v/>
      </c>
      <c r="K242" s="28">
        <f t="shared" si="85"/>
        <v>0</v>
      </c>
    </row>
    <row r="243" spans="1:11" ht="15.75" thickBot="1" x14ac:dyDescent="0.3">
      <c r="A243" s="157"/>
      <c r="B243" s="74">
        <v>157</v>
      </c>
      <c r="C243" s="677" t="s">
        <v>85</v>
      </c>
      <c r="D243" s="728"/>
      <c r="E243" s="535"/>
      <c r="F243" s="535"/>
      <c r="G243" s="535"/>
      <c r="H243" s="547" t="str">
        <f t="shared" si="86"/>
        <v>$AJ$243</v>
      </c>
      <c r="I243" s="28" t="str">
        <f t="shared" si="83"/>
        <v>$D$249</v>
      </c>
      <c r="J243" s="28" t="str">
        <f t="shared" si="84"/>
        <v/>
      </c>
      <c r="K243" s="28">
        <f t="shared" si="85"/>
        <v>0</v>
      </c>
    </row>
    <row r="244" spans="1:11" ht="15.75" thickBot="1" x14ac:dyDescent="0.3">
      <c r="A244" s="157"/>
      <c r="B244" s="74"/>
      <c r="C244" s="939" t="s">
        <v>86</v>
      </c>
      <c r="D244" s="807"/>
      <c r="E244" s="535"/>
      <c r="F244" s="535"/>
      <c r="G244" s="535"/>
      <c r="H244" s="28"/>
      <c r="I244" s="28"/>
      <c r="J244" s="28"/>
      <c r="K244" s="28"/>
    </row>
    <row r="245" spans="1:11" x14ac:dyDescent="0.25">
      <c r="A245" s="157"/>
      <c r="B245" s="74">
        <v>158</v>
      </c>
      <c r="C245" s="677" t="s">
        <v>87</v>
      </c>
      <c r="D245" s="728"/>
      <c r="E245" s="535"/>
      <c r="F245" s="535"/>
      <c r="G245" s="535"/>
      <c r="H245" s="28" t="str">
        <f>ADDRESS(B245+87,36)</f>
        <v>$AJ$245</v>
      </c>
      <c r="I245" s="28" t="str">
        <f>ADDRESS($B245+93,$I$6+4)</f>
        <v>$D$251</v>
      </c>
      <c r="J245" s="28" t="str">
        <f>IF(OR($I$6=0,$I$6=""),"",VLOOKUP($B245,DATA_A_CARB,$I$6+3,FALSE))</f>
        <v/>
      </c>
      <c r="K245" s="28">
        <f>IF(OR(AND(G245&lt;&gt;"",G245&lt;&gt;0),AND(J245&lt;&gt;"",J245&lt;&gt;0)),1,0)</f>
        <v>0</v>
      </c>
    </row>
    <row r="246" spans="1:11" x14ac:dyDescent="0.25">
      <c r="A246" s="157"/>
      <c r="B246" s="74">
        <v>159</v>
      </c>
      <c r="C246" s="677" t="s">
        <v>88</v>
      </c>
      <c r="D246" s="728"/>
      <c r="E246" s="535"/>
      <c r="F246" s="535"/>
      <c r="G246" s="535"/>
      <c r="H246" s="547" t="str">
        <f t="shared" ref="H246:H248" si="87">ADDRESS(B246+87,36)</f>
        <v>$AJ$246</v>
      </c>
      <c r="I246" s="28" t="str">
        <f>ADDRESS($B246+93,$I$6+4)</f>
        <v>$D$252</v>
      </c>
      <c r="J246" s="28" t="str">
        <f>IF(OR($I$6=0,$I$6=""),"",VLOOKUP($B246,DATA_A_CARB,$I$6+3,FALSE))</f>
        <v/>
      </c>
      <c r="K246" s="28">
        <f>IF(OR(AND(G246&lt;&gt;"",G246&lt;&gt;0),AND(J246&lt;&gt;"",J246&lt;&gt;0)),1,0)</f>
        <v>0</v>
      </c>
    </row>
    <row r="247" spans="1:11" x14ac:dyDescent="0.25">
      <c r="A247" s="157"/>
      <c r="B247" s="74">
        <v>160</v>
      </c>
      <c r="C247" s="677" t="s">
        <v>89</v>
      </c>
      <c r="D247" s="728"/>
      <c r="E247" s="535"/>
      <c r="F247" s="535"/>
      <c r="G247" s="535"/>
      <c r="H247" s="547" t="str">
        <f t="shared" si="87"/>
        <v>$AJ$247</v>
      </c>
      <c r="I247" s="28" t="str">
        <f>ADDRESS($B247+93,$I$6+4)</f>
        <v>$D$253</v>
      </c>
      <c r="J247" s="28" t="str">
        <f>IF(OR($I$6=0,$I$6=""),"",VLOOKUP($B247,DATA_A_CARB,$I$6+3,FALSE))</f>
        <v/>
      </c>
      <c r="K247" s="28">
        <f>IF(OR(AND(G247&lt;&gt;"",G247&lt;&gt;0),AND(J247&lt;&gt;"",J247&lt;&gt;0)),1,0)</f>
        <v>0</v>
      </c>
    </row>
    <row r="248" spans="1:11" ht="15.75" thickBot="1" x14ac:dyDescent="0.3">
      <c r="A248" s="157"/>
      <c r="B248" s="74">
        <v>161</v>
      </c>
      <c r="C248" s="677" t="s">
        <v>90</v>
      </c>
      <c r="D248" s="728"/>
      <c r="E248" s="535"/>
      <c r="F248" s="535"/>
      <c r="G248" s="535"/>
      <c r="H248" s="547" t="str">
        <f t="shared" si="87"/>
        <v>$AJ$248</v>
      </c>
      <c r="I248" s="28" t="str">
        <f>ADDRESS($B248+93,$I$6+4)</f>
        <v>$D$254</v>
      </c>
      <c r="J248" s="28" t="str">
        <f>IF(OR($I$6=0,$I$6=""),"",VLOOKUP($B248,DATA_A_CARB,$I$6+3,FALSE))</f>
        <v/>
      </c>
      <c r="K248" s="28">
        <f>IF(OR(AND(G248&lt;&gt;"",G248&lt;&gt;0),AND(J248&lt;&gt;"",J248&lt;&gt;0)),1,0)</f>
        <v>0</v>
      </c>
    </row>
    <row r="249" spans="1:11" x14ac:dyDescent="0.25">
      <c r="A249" s="157"/>
      <c r="B249" s="74"/>
      <c r="C249" s="932" t="s">
        <v>742</v>
      </c>
      <c r="D249" s="932"/>
      <c r="E249" s="932"/>
      <c r="F249" s="932"/>
      <c r="G249" s="932"/>
      <c r="H249" s="932"/>
      <c r="I249" s="932"/>
      <c r="J249" s="932"/>
      <c r="K249" s="933"/>
    </row>
    <row r="250" spans="1:11" ht="15.75" thickBot="1" x14ac:dyDescent="0.3">
      <c r="A250" s="157"/>
      <c r="B250" s="74"/>
      <c r="C250" s="934"/>
      <c r="D250" s="934"/>
      <c r="E250" s="934"/>
      <c r="F250" s="934"/>
      <c r="G250" s="934"/>
      <c r="H250" s="934"/>
      <c r="I250" s="934"/>
      <c r="J250" s="934"/>
      <c r="K250" s="935"/>
    </row>
    <row r="251" spans="1:11" x14ac:dyDescent="0.25">
      <c r="A251" s="157"/>
      <c r="B251" s="74">
        <v>162</v>
      </c>
      <c r="C251" s="966" t="s">
        <v>646</v>
      </c>
      <c r="D251" s="855"/>
      <c r="E251" s="535"/>
      <c r="F251" s="535"/>
      <c r="G251" s="535"/>
      <c r="H251" s="28" t="str">
        <f>ADDRESS(B251+89,36)</f>
        <v>$AJ$251</v>
      </c>
      <c r="I251" s="28" t="str">
        <f>ADDRESS($B251+95,$I$6+4)</f>
        <v>$D$257</v>
      </c>
      <c r="J251" s="28" t="str">
        <f>IF(OR($I$6=0,$I$6=""),"",VLOOKUP($B251,DATA_A_PERMIS,$I$6+3,FALSE))</f>
        <v/>
      </c>
      <c r="K251" s="28">
        <f>IF(OR(AND(G251&lt;&gt;"",G251&lt;&gt;0),AND(J251&lt;&gt;"",J251&lt;&gt;0)),1,0)</f>
        <v>0</v>
      </c>
    </row>
    <row r="252" spans="1:11" x14ac:dyDescent="0.25">
      <c r="A252" s="157"/>
      <c r="B252" s="74">
        <v>163</v>
      </c>
      <c r="C252" s="966" t="s">
        <v>647</v>
      </c>
      <c r="D252" s="855"/>
      <c r="E252" s="535"/>
      <c r="F252" s="535"/>
      <c r="G252" s="535"/>
      <c r="H252" s="547" t="str">
        <f t="shared" ref="H252:H255" si="88">ADDRESS(B252+89,36)</f>
        <v>$AJ$252</v>
      </c>
      <c r="I252" s="28" t="str">
        <f>ADDRESS($B252+95,$I$6+4)</f>
        <v>$D$258</v>
      </c>
      <c r="J252" s="28" t="str">
        <f>IF(OR($I$6=0,$I$6=""),"",VLOOKUP($B252,DATA_A_PERMIS,$I$6+3,FALSE))</f>
        <v/>
      </c>
      <c r="K252" s="28">
        <f>IF(OR(AND(G252&lt;&gt;"",G252&lt;&gt;0),AND(J252&lt;&gt;"",J252&lt;&gt;0)),1,0)</f>
        <v>0</v>
      </c>
    </row>
    <row r="253" spans="1:11" x14ac:dyDescent="0.25">
      <c r="A253" s="157"/>
      <c r="B253" s="74">
        <v>164</v>
      </c>
      <c r="C253" s="966" t="s">
        <v>648</v>
      </c>
      <c r="D253" s="855"/>
      <c r="E253" s="535"/>
      <c r="F253" s="535"/>
      <c r="G253" s="535"/>
      <c r="H253" s="547" t="str">
        <f t="shared" si="88"/>
        <v>$AJ$253</v>
      </c>
      <c r="I253" s="28" t="str">
        <f>ADDRESS($B253+95,$I$6+4)</f>
        <v>$D$259</v>
      </c>
      <c r="J253" s="28" t="str">
        <f>IF(OR($I$6=0,$I$6=""),"",VLOOKUP($B253,DATA_A_PERMIS,$I$6+3,FALSE))</f>
        <v/>
      </c>
      <c r="K253" s="28">
        <f>IF(OR(AND(G253&lt;&gt;"",G253&lt;&gt;0),AND(J253&lt;&gt;"",J253&lt;&gt;0)),1,0)</f>
        <v>0</v>
      </c>
    </row>
    <row r="254" spans="1:11" x14ac:dyDescent="0.25">
      <c r="A254" s="157"/>
      <c r="B254" s="74">
        <v>165</v>
      </c>
      <c r="C254" s="966" t="s">
        <v>814</v>
      </c>
      <c r="D254" s="855"/>
      <c r="E254" s="535"/>
      <c r="F254" s="535"/>
      <c r="G254" s="535"/>
      <c r="H254" s="547" t="str">
        <f t="shared" si="88"/>
        <v>$AJ$254</v>
      </c>
      <c r="I254" s="28" t="str">
        <f>ADDRESS($B254+95,$I$6+4)</f>
        <v>$D$260</v>
      </c>
      <c r="J254" s="28" t="str">
        <f>IF(OR($I$6=0,$I$6=""),"",VLOOKUP($B254,DATA_A_PERMIS,$I$6+3,FALSE))</f>
        <v/>
      </c>
      <c r="K254" s="28">
        <f>IF(OR(AND(G254&lt;&gt;"",G254&lt;&gt;0),AND(J254&lt;&gt;"",J254&lt;&gt;0)),1,0)</f>
        <v>0</v>
      </c>
    </row>
    <row r="255" spans="1:11" ht="15.75" thickBot="1" x14ac:dyDescent="0.3">
      <c r="A255" s="157"/>
      <c r="B255" s="74">
        <v>166</v>
      </c>
      <c r="C255" s="967" t="s">
        <v>649</v>
      </c>
      <c r="D255" s="857"/>
      <c r="E255" s="535"/>
      <c r="F255" s="535"/>
      <c r="G255" s="535"/>
      <c r="H255" s="547" t="str">
        <f t="shared" si="88"/>
        <v>$AJ$255</v>
      </c>
      <c r="I255" s="28" t="str">
        <f>ADDRESS($B255+95,$I$6+4)</f>
        <v>$D$261</v>
      </c>
      <c r="J255" s="28" t="str">
        <f>IF(OR($I$6=0,$I$6=""),"",VLOOKUP($B255,DATA_A_PERMIS,$I$6+3,FALSE))</f>
        <v/>
      </c>
      <c r="K255" s="28">
        <f>IF(OR(AND(G255&lt;&gt;"",G255&lt;&gt;0),AND(J255&lt;&gt;"",J255&lt;&gt;0)),1,0)</f>
        <v>0</v>
      </c>
    </row>
    <row r="256" spans="1:11" ht="15.75" thickBot="1" x14ac:dyDescent="0.3">
      <c r="A256" s="157"/>
      <c r="B256" s="74"/>
      <c r="C256" s="968" t="s">
        <v>662</v>
      </c>
      <c r="D256" s="859"/>
      <c r="E256" s="535"/>
      <c r="F256" s="535"/>
      <c r="G256" s="535"/>
      <c r="H256" s="535"/>
      <c r="I256" s="535"/>
      <c r="J256" s="535"/>
      <c r="K256" s="535"/>
    </row>
    <row r="257" spans="1:11" x14ac:dyDescent="0.25">
      <c r="A257" s="157"/>
      <c r="B257" s="74">
        <v>167</v>
      </c>
      <c r="C257" s="969" t="s">
        <v>650</v>
      </c>
      <c r="D257" s="853"/>
      <c r="E257" s="535"/>
      <c r="F257" s="535"/>
      <c r="G257" s="535"/>
      <c r="H257" s="28" t="str">
        <f>ADDRESS(B257+90,36)</f>
        <v>$AJ$257</v>
      </c>
      <c r="I257" s="28" t="str">
        <f>ADDRESS($B257+96,$I$6+4)</f>
        <v>$D$263</v>
      </c>
      <c r="J257" s="28" t="str">
        <f>IF(OR($I$6=0,$I$6=""),"",VLOOKUP($B257,DATA_A_PERMIS,$I$6+3,FALSE))</f>
        <v/>
      </c>
      <c r="K257" s="28">
        <f>IF(OR(AND(G257&lt;&gt;"",G257&lt;&gt;0),AND(J257&lt;&gt;"",J257&lt;&gt;0)),1,0)</f>
        <v>0</v>
      </c>
    </row>
    <row r="258" spans="1:11" x14ac:dyDescent="0.25">
      <c r="A258" s="157"/>
      <c r="B258" s="74">
        <v>168</v>
      </c>
      <c r="C258" s="966" t="s">
        <v>651</v>
      </c>
      <c r="D258" s="855"/>
      <c r="E258" s="535"/>
      <c r="F258" s="535"/>
      <c r="G258" s="535"/>
      <c r="H258" s="547" t="str">
        <f t="shared" ref="H258:H261" si="89">ADDRESS(B258+90,36)</f>
        <v>$AJ$258</v>
      </c>
      <c r="I258" s="28" t="str">
        <f>ADDRESS($B258+96,$I$6+4)</f>
        <v>$D$264</v>
      </c>
      <c r="J258" s="28" t="str">
        <f>IF(OR($I$6=0,$I$6=""),"",VLOOKUP($B258,DATA_A_PERMIS,$I$6+3,FALSE))</f>
        <v/>
      </c>
      <c r="K258" s="28">
        <f>IF(OR(AND(G258&lt;&gt;"",G258&lt;&gt;0),AND(J258&lt;&gt;"",J258&lt;&gt;0)),1,0)</f>
        <v>0</v>
      </c>
    </row>
    <row r="259" spans="1:11" x14ac:dyDescent="0.25">
      <c r="A259" s="157"/>
      <c r="B259" s="74">
        <v>169</v>
      </c>
      <c r="C259" s="966" t="s">
        <v>652</v>
      </c>
      <c r="D259" s="855"/>
      <c r="E259" s="535"/>
      <c r="F259" s="535"/>
      <c r="G259" s="535"/>
      <c r="H259" s="547" t="str">
        <f t="shared" si="89"/>
        <v>$AJ$259</v>
      </c>
      <c r="I259" s="28" t="str">
        <f>ADDRESS($B259+96,$I$6+4)</f>
        <v>$D$265</v>
      </c>
      <c r="J259" s="28" t="str">
        <f>IF(OR($I$6=0,$I$6=""),"",VLOOKUP($B259,DATA_A_PERMIS,$I$6+3,FALSE))</f>
        <v/>
      </c>
      <c r="K259" s="28">
        <f>IF(OR(AND(G259&lt;&gt;"",G259&lt;&gt;0),AND(J259&lt;&gt;"",J259&lt;&gt;0)),1,0)</f>
        <v>0</v>
      </c>
    </row>
    <row r="260" spans="1:11" x14ac:dyDescent="0.25">
      <c r="A260" s="157"/>
      <c r="B260" s="74">
        <v>170</v>
      </c>
      <c r="C260" s="966" t="s">
        <v>815</v>
      </c>
      <c r="D260" s="855"/>
      <c r="E260" s="535"/>
      <c r="F260" s="535"/>
      <c r="G260" s="535"/>
      <c r="H260" s="547" t="str">
        <f t="shared" si="89"/>
        <v>$AJ$260</v>
      </c>
      <c r="I260" s="28" t="str">
        <f>ADDRESS($B260+96,$I$6+4)</f>
        <v>$D$266</v>
      </c>
      <c r="J260" s="28" t="str">
        <f>IF(OR($I$6=0,$I$6=""),"",VLOOKUP($B260,DATA_A_PERMIS,$I$6+3,FALSE))</f>
        <v/>
      </c>
      <c r="K260" s="28">
        <f>IF(OR(AND(G260&lt;&gt;"",G260&lt;&gt;0),AND(J260&lt;&gt;"",J260&lt;&gt;0)),1,0)</f>
        <v>0</v>
      </c>
    </row>
    <row r="261" spans="1:11" ht="15.75" thickBot="1" x14ac:dyDescent="0.3">
      <c r="A261" s="157"/>
      <c r="B261" s="74">
        <v>171</v>
      </c>
      <c r="C261" s="967" t="s">
        <v>649</v>
      </c>
      <c r="D261" s="857"/>
      <c r="E261" s="535"/>
      <c r="F261" s="535"/>
      <c r="G261" s="535"/>
      <c r="H261" s="547" t="str">
        <f t="shared" si="89"/>
        <v>$AJ$261</v>
      </c>
      <c r="I261" s="28" t="str">
        <f>ADDRESS($B261+96,$I$6+4)</f>
        <v>$D$267</v>
      </c>
      <c r="J261" s="28" t="str">
        <f>IF(OR($I$6=0,$I$6=""),"",VLOOKUP($B261,DATA_A_PERMIS,$I$6+3,FALSE))</f>
        <v/>
      </c>
      <c r="K261" s="28">
        <f>IF(OR(AND(G261&lt;&gt;"",G261&lt;&gt;0),AND(J261&lt;&gt;"",J261&lt;&gt;0)),1,0)</f>
        <v>0</v>
      </c>
    </row>
    <row r="262" spans="1:11" ht="15.75" thickBot="1" x14ac:dyDescent="0.3">
      <c r="A262" s="157"/>
      <c r="B262" s="74"/>
      <c r="C262" s="968" t="s">
        <v>662</v>
      </c>
      <c r="D262" s="859"/>
      <c r="E262" s="535"/>
      <c r="F262" s="535"/>
      <c r="G262" s="535"/>
      <c r="H262" s="535"/>
      <c r="I262" s="535"/>
      <c r="J262" s="535"/>
      <c r="K262" s="535"/>
    </row>
    <row r="263" spans="1:11" ht="15.75" thickBot="1" x14ac:dyDescent="0.3">
      <c r="A263" s="157"/>
      <c r="B263" s="74">
        <v>172</v>
      </c>
      <c r="C263" s="972" t="s">
        <v>816</v>
      </c>
      <c r="D263" s="851"/>
      <c r="E263" s="535"/>
      <c r="F263" s="535"/>
      <c r="G263" s="535"/>
      <c r="H263" s="28" t="str">
        <f>ADDRESS(B263+91,36)</f>
        <v>$AJ$263</v>
      </c>
      <c r="I263" s="28" t="str">
        <f>ADDRESS($B263+97,$I$6+4)</f>
        <v>$D$269</v>
      </c>
      <c r="J263" s="28" t="str">
        <f>IF(OR($I$6=0,$I$6=""),"",VLOOKUP($B263,DATA_A_PERMIS,$I$6+3,FALSE))</f>
        <v/>
      </c>
      <c r="K263" s="28">
        <f>IF(OR(AND(G263&lt;&gt;"",G263&lt;&gt;0),AND(J263&lt;&gt;"",J263&lt;&gt;0)),1,0)</f>
        <v>0</v>
      </c>
    </row>
    <row r="264" spans="1:11" ht="15.75" thickBot="1" x14ac:dyDescent="0.3">
      <c r="A264" s="157"/>
      <c r="B264" s="74"/>
      <c r="C264" s="535"/>
      <c r="D264" s="535"/>
      <c r="E264" s="535"/>
      <c r="F264" s="535"/>
      <c r="G264" s="535"/>
      <c r="H264" s="535"/>
      <c r="I264" s="535"/>
      <c r="J264" s="535"/>
      <c r="K264" s="535"/>
    </row>
    <row r="265" spans="1:11" x14ac:dyDescent="0.25">
      <c r="A265" s="157"/>
      <c r="B265" s="74">
        <v>173</v>
      </c>
      <c r="C265" s="973" t="s">
        <v>398</v>
      </c>
      <c r="D265" s="788"/>
      <c r="E265" s="535"/>
      <c r="F265" s="535"/>
      <c r="G265" s="535"/>
      <c r="H265" s="28" t="str">
        <f>ADDRESS(B265+92,36)</f>
        <v>$AJ$265</v>
      </c>
      <c r="I265" s="28" t="str">
        <f t="shared" ref="I265:I274" si="90">ADDRESS($B265+98,$I$6+4)</f>
        <v>$D$271</v>
      </c>
      <c r="J265" s="28" t="str">
        <f t="shared" ref="J265:J274" si="91">IF(OR($I$6=0,$I$6=""),"",VLOOKUP($B265,DATA_A_PERMIS,$I$6+3,FALSE))</f>
        <v/>
      </c>
      <c r="K265" s="28">
        <f t="shared" ref="K265:K274" si="92">IF(OR(AND(G265&lt;&gt;"",G265&lt;&gt;0),AND(J265&lt;&gt;"",J265&lt;&gt;0)),1,0)</f>
        <v>0</v>
      </c>
    </row>
    <row r="266" spans="1:11" x14ac:dyDescent="0.25">
      <c r="A266" s="157"/>
      <c r="B266" s="74">
        <v>174</v>
      </c>
      <c r="C266" s="970" t="s">
        <v>399</v>
      </c>
      <c r="D266" s="790"/>
      <c r="E266" s="535"/>
      <c r="F266" s="535"/>
      <c r="G266" s="535"/>
      <c r="H266" s="547" t="str">
        <f t="shared" ref="H266:H274" si="93">ADDRESS(B266+92,36)</f>
        <v>$AJ$266</v>
      </c>
      <c r="I266" s="28" t="str">
        <f t="shared" si="90"/>
        <v>$D$272</v>
      </c>
      <c r="J266" s="28" t="str">
        <f t="shared" si="91"/>
        <v/>
      </c>
      <c r="K266" s="28">
        <f t="shared" si="92"/>
        <v>0</v>
      </c>
    </row>
    <row r="267" spans="1:11" x14ac:dyDescent="0.25">
      <c r="A267" s="157"/>
      <c r="B267" s="74">
        <v>175</v>
      </c>
      <c r="C267" s="970" t="s">
        <v>400</v>
      </c>
      <c r="D267" s="790"/>
      <c r="E267" s="535"/>
      <c r="F267" s="535"/>
      <c r="G267" s="535"/>
      <c r="H267" s="547" t="str">
        <f t="shared" si="93"/>
        <v>$AJ$267</v>
      </c>
      <c r="I267" s="28" t="str">
        <f t="shared" si="90"/>
        <v>$D$273</v>
      </c>
      <c r="J267" s="28" t="str">
        <f t="shared" si="91"/>
        <v/>
      </c>
      <c r="K267" s="28">
        <f t="shared" si="92"/>
        <v>0</v>
      </c>
    </row>
    <row r="268" spans="1:11" x14ac:dyDescent="0.25">
      <c r="A268" s="157"/>
      <c r="B268" s="74">
        <v>176</v>
      </c>
      <c r="C268" s="970" t="s">
        <v>401</v>
      </c>
      <c r="D268" s="790"/>
      <c r="E268" s="535"/>
      <c r="F268" s="535"/>
      <c r="G268" s="535"/>
      <c r="H268" s="547" t="str">
        <f t="shared" si="93"/>
        <v>$AJ$268</v>
      </c>
      <c r="I268" s="28" t="str">
        <f t="shared" si="90"/>
        <v>$D$274</v>
      </c>
      <c r="J268" s="28" t="str">
        <f t="shared" si="91"/>
        <v/>
      </c>
      <c r="K268" s="28">
        <f t="shared" si="92"/>
        <v>0</v>
      </c>
    </row>
    <row r="269" spans="1:11" x14ac:dyDescent="0.25">
      <c r="A269" s="157"/>
      <c r="B269" s="74">
        <v>177</v>
      </c>
      <c r="C269" s="970" t="s">
        <v>402</v>
      </c>
      <c r="D269" s="790"/>
      <c r="E269" s="535"/>
      <c r="F269" s="535"/>
      <c r="G269" s="535"/>
      <c r="H269" s="547" t="str">
        <f t="shared" si="93"/>
        <v>$AJ$269</v>
      </c>
      <c r="I269" s="28" t="str">
        <f t="shared" si="90"/>
        <v>$D$275</v>
      </c>
      <c r="J269" s="28" t="str">
        <f t="shared" si="91"/>
        <v/>
      </c>
      <c r="K269" s="28">
        <f t="shared" si="92"/>
        <v>0</v>
      </c>
    </row>
    <row r="270" spans="1:11" x14ac:dyDescent="0.25">
      <c r="A270" s="157"/>
      <c r="B270" s="74">
        <v>178</v>
      </c>
      <c r="C270" s="970" t="s">
        <v>730</v>
      </c>
      <c r="D270" s="790"/>
      <c r="E270" s="535"/>
      <c r="F270" s="535"/>
      <c r="G270" s="535"/>
      <c r="H270" s="547" t="str">
        <f t="shared" si="93"/>
        <v>$AJ$270</v>
      </c>
      <c r="I270" s="28" t="str">
        <f t="shared" si="90"/>
        <v>$D$276</v>
      </c>
      <c r="J270" s="28" t="str">
        <f t="shared" si="91"/>
        <v/>
      </c>
      <c r="K270" s="28">
        <f t="shared" si="92"/>
        <v>0</v>
      </c>
    </row>
    <row r="271" spans="1:11" x14ac:dyDescent="0.25">
      <c r="A271" s="157"/>
      <c r="B271" s="74">
        <v>179</v>
      </c>
      <c r="C271" s="970" t="s">
        <v>731</v>
      </c>
      <c r="D271" s="790"/>
      <c r="E271" s="535"/>
      <c r="F271" s="535"/>
      <c r="G271" s="535"/>
      <c r="H271" s="547" t="str">
        <f t="shared" si="93"/>
        <v>$AJ$271</v>
      </c>
      <c r="I271" s="28" t="str">
        <f t="shared" si="90"/>
        <v>$D$277</v>
      </c>
      <c r="J271" s="28" t="str">
        <f t="shared" si="91"/>
        <v/>
      </c>
      <c r="K271" s="28">
        <f t="shared" si="92"/>
        <v>0</v>
      </c>
    </row>
    <row r="272" spans="1:11" x14ac:dyDescent="0.25">
      <c r="A272" s="157"/>
      <c r="B272" s="74">
        <v>180</v>
      </c>
      <c r="C272" s="970" t="s">
        <v>732</v>
      </c>
      <c r="D272" s="790"/>
      <c r="E272" s="535"/>
      <c r="F272" s="535"/>
      <c r="G272" s="535"/>
      <c r="H272" s="547" t="str">
        <f t="shared" si="93"/>
        <v>$AJ$272</v>
      </c>
      <c r="I272" s="28" t="str">
        <f t="shared" si="90"/>
        <v>$D$278</v>
      </c>
      <c r="J272" s="28" t="str">
        <f t="shared" si="91"/>
        <v/>
      </c>
      <c r="K272" s="28">
        <f t="shared" si="92"/>
        <v>0</v>
      </c>
    </row>
    <row r="273" spans="1:11" x14ac:dyDescent="0.25">
      <c r="A273" s="157"/>
      <c r="B273" s="74">
        <v>181</v>
      </c>
      <c r="C273" s="970" t="s">
        <v>733</v>
      </c>
      <c r="D273" s="790"/>
      <c r="E273" s="535"/>
      <c r="F273" s="535"/>
      <c r="G273" s="535"/>
      <c r="H273" s="547" t="str">
        <f t="shared" si="93"/>
        <v>$AJ$273</v>
      </c>
      <c r="I273" s="28" t="str">
        <f t="shared" si="90"/>
        <v>$D$279</v>
      </c>
      <c r="J273" s="28" t="str">
        <f t="shared" si="91"/>
        <v/>
      </c>
      <c r="K273" s="28">
        <f t="shared" si="92"/>
        <v>0</v>
      </c>
    </row>
    <row r="274" spans="1:11" ht="15.75" thickBot="1" x14ac:dyDescent="0.3">
      <c r="A274" s="157"/>
      <c r="B274" s="74">
        <v>182</v>
      </c>
      <c r="C274" s="971" t="s">
        <v>967</v>
      </c>
      <c r="D274" s="786"/>
      <c r="E274" s="535"/>
      <c r="F274" s="535"/>
      <c r="G274" s="535"/>
      <c r="H274" s="547" t="str">
        <f t="shared" si="93"/>
        <v>$AJ$274</v>
      </c>
      <c r="I274" s="28" t="str">
        <f t="shared" si="90"/>
        <v>$D$280</v>
      </c>
      <c r="J274" s="28" t="str">
        <f t="shared" si="91"/>
        <v/>
      </c>
      <c r="K274" s="28">
        <f t="shared" si="92"/>
        <v>0</v>
      </c>
    </row>
    <row r="275" spans="1:11" ht="15.75" thickBot="1" x14ac:dyDescent="0.3">
      <c r="B275" s="42"/>
      <c r="C275" s="535"/>
      <c r="D275" s="535"/>
      <c r="E275" s="535"/>
      <c r="F275" s="535"/>
      <c r="G275" s="535"/>
      <c r="H275" s="535"/>
      <c r="I275" s="535"/>
      <c r="J275" s="535"/>
      <c r="K275" s="535"/>
    </row>
    <row r="276" spans="1:11" ht="15.75" thickBot="1" x14ac:dyDescent="0.3">
      <c r="B276" s="936" t="s">
        <v>1000</v>
      </c>
      <c r="C276" s="940" t="s">
        <v>55</v>
      </c>
      <c r="D276" s="941"/>
      <c r="E276" s="50"/>
      <c r="F276" s="52"/>
      <c r="G276" s="535"/>
      <c r="H276" s="535"/>
      <c r="I276" s="535"/>
      <c r="J276" s="535"/>
      <c r="K276" s="535"/>
    </row>
    <row r="277" spans="1:11" ht="15.75" thickBot="1" x14ac:dyDescent="0.3">
      <c r="B277" s="937"/>
      <c r="C277" s="534">
        <v>2</v>
      </c>
      <c r="D277" s="73">
        <f>IF(ADD_TRA_MAIN=1,100,IF(ADD_TRA_MAIN=2,116,IF(ADD_TRA_MAIN=3,132,IF(ADD_TRA_MAIN=4,148,""))))</f>
        <v>116</v>
      </c>
      <c r="E277" s="532" t="str">
        <f ca="1">ADDRESS(D277,E6+4)</f>
        <v>$M$116</v>
      </c>
      <c r="F277" s="533" t="str">
        <f>ADDRESS(D277,F6+4)</f>
        <v>$M$116</v>
      </c>
      <c r="G277" s="535"/>
      <c r="H277" s="535"/>
      <c r="I277" s="535"/>
      <c r="J277" s="535"/>
      <c r="K277" s="535"/>
    </row>
    <row r="278" spans="1:11" ht="15.75" thickBot="1" x14ac:dyDescent="0.3">
      <c r="B278" s="937"/>
      <c r="C278" s="939" t="s">
        <v>56</v>
      </c>
      <c r="D278" s="807"/>
      <c r="E278" s="529"/>
      <c r="F278" s="530"/>
      <c r="G278" s="535"/>
      <c r="H278" s="535"/>
      <c r="I278" s="535"/>
      <c r="J278" s="535"/>
      <c r="K278" s="535"/>
    </row>
    <row r="279" spans="1:11" ht="15.75" thickBot="1" x14ac:dyDescent="0.3">
      <c r="B279" s="937"/>
      <c r="C279" s="539">
        <v>1</v>
      </c>
      <c r="D279" s="73">
        <f>IF(ADD_TRAF_HDG=1,D277+2,D277+1+ADD_TRAF_HDG)</f>
        <v>118</v>
      </c>
      <c r="E279" s="119" t="str">
        <f ca="1">ADDRESS(D279,E6+4)</f>
        <v>$M$118</v>
      </c>
      <c r="F279" s="531" t="str">
        <f>ADDRESS(D279,F6+4)</f>
        <v>$M$118</v>
      </c>
      <c r="G279" s="535"/>
      <c r="H279" s="535"/>
      <c r="I279" s="535"/>
      <c r="J279" s="535"/>
      <c r="K279" s="535"/>
    </row>
    <row r="280" spans="1:11" ht="15.75" thickBot="1" x14ac:dyDescent="0.3">
      <c r="B280" s="937"/>
      <c r="C280" s="535"/>
      <c r="D280" s="535"/>
      <c r="E280" s="535"/>
      <c r="F280" s="535"/>
      <c r="G280" s="535"/>
      <c r="H280" s="535"/>
      <c r="I280" s="535"/>
      <c r="J280" s="535"/>
      <c r="K280" s="535"/>
    </row>
    <row r="281" spans="1:11" ht="15.75" thickBot="1" x14ac:dyDescent="0.3">
      <c r="B281" s="937"/>
      <c r="C281" s="939" t="s">
        <v>588</v>
      </c>
      <c r="D281" s="829"/>
      <c r="E281" s="173"/>
      <c r="F281" s="139"/>
      <c r="G281" s="535"/>
      <c r="H281" s="535"/>
      <c r="I281" s="535"/>
      <c r="J281" s="535"/>
      <c r="K281" s="535"/>
    </row>
    <row r="282" spans="1:11" ht="15.75" thickBot="1" x14ac:dyDescent="0.3">
      <c r="B282" s="937"/>
      <c r="C282" s="534">
        <v>2</v>
      </c>
      <c r="D282" s="73">
        <f>IF(ADD_FACT_MAIN=1,164,IF(ADD_FACT_MAIN=2,186,IF(ADD_FACT_MAIN=3,171,IF(ADD_FACT_MAIN=4,167,IF(ADD_FACT_MAIN=5,201,IF(ADD_FACT_MAIN=6,169,""))))))</f>
        <v>186</v>
      </c>
      <c r="E282" s="532" t="str">
        <f ca="1">ADDRESS(D282,E6+4)</f>
        <v>$M$186</v>
      </c>
      <c r="F282" s="524" t="str">
        <f>ADDRESS(D282,F6+4)</f>
        <v>$M$186</v>
      </c>
      <c r="G282" s="535"/>
      <c r="H282" s="535"/>
      <c r="I282" s="535"/>
      <c r="J282" s="535"/>
      <c r="K282" s="535"/>
    </row>
    <row r="283" spans="1:11" ht="15.75" thickBot="1" x14ac:dyDescent="0.3">
      <c r="B283" s="937"/>
      <c r="C283" s="939" t="s">
        <v>56</v>
      </c>
      <c r="D283" s="807"/>
      <c r="E283" s="529"/>
      <c r="F283" s="530"/>
      <c r="G283" s="535"/>
      <c r="H283" s="535"/>
      <c r="I283" s="535"/>
      <c r="J283" s="535"/>
      <c r="K283" s="535"/>
    </row>
    <row r="284" spans="1:11" ht="15.75" thickBot="1" x14ac:dyDescent="0.3">
      <c r="B284" s="938"/>
      <c r="C284" s="539">
        <v>1</v>
      </c>
      <c r="D284" s="73">
        <f>IF(OR(ADD_FACT_MAIN=2,ADD_FACT_MAIN=5,ADD_FACT_MAIN=3),D282+1+ADD_FACT_HDG,"")</f>
        <v>188</v>
      </c>
      <c r="E284" s="119" t="str">
        <f ca="1">ADDRESS(D284,E6+4)</f>
        <v>$M$188</v>
      </c>
      <c r="F284" s="531" t="str">
        <f>ADDRESS(D284,F6+4)</f>
        <v>$M$188</v>
      </c>
      <c r="G284" s="535"/>
      <c r="H284" s="535"/>
      <c r="I284" s="535"/>
      <c r="J284" s="535"/>
      <c r="K284" s="535"/>
    </row>
  </sheetData>
  <mergeCells count="139">
    <mergeCell ref="C273:D273"/>
    <mergeCell ref="C274:D274"/>
    <mergeCell ref="C267:D267"/>
    <mergeCell ref="C268:D268"/>
    <mergeCell ref="C269:D269"/>
    <mergeCell ref="C270:D270"/>
    <mergeCell ref="C271:D271"/>
    <mergeCell ref="C272:D272"/>
    <mergeCell ref="C260:D260"/>
    <mergeCell ref="C261:D261"/>
    <mergeCell ref="C262:D262"/>
    <mergeCell ref="C263:D263"/>
    <mergeCell ref="C265:D265"/>
    <mergeCell ref="C266:D266"/>
    <mergeCell ref="C254:D254"/>
    <mergeCell ref="C255:D255"/>
    <mergeCell ref="C256:D256"/>
    <mergeCell ref="C257:D257"/>
    <mergeCell ref="C258:D258"/>
    <mergeCell ref="C259:D259"/>
    <mergeCell ref="C246:D246"/>
    <mergeCell ref="C247:D247"/>
    <mergeCell ref="C248:D248"/>
    <mergeCell ref="C251:D251"/>
    <mergeCell ref="C252:D252"/>
    <mergeCell ref="C253:D253"/>
    <mergeCell ref="C249:K250"/>
    <mergeCell ref="C240:D240"/>
    <mergeCell ref="C241:D241"/>
    <mergeCell ref="C242:D242"/>
    <mergeCell ref="C243:D243"/>
    <mergeCell ref="C244:D244"/>
    <mergeCell ref="C245:D245"/>
    <mergeCell ref="C230:D230"/>
    <mergeCell ref="C231:D231"/>
    <mergeCell ref="C232:D232"/>
    <mergeCell ref="C237:D237"/>
    <mergeCell ref="C238:D238"/>
    <mergeCell ref="C239:D239"/>
    <mergeCell ref="C235:K236"/>
    <mergeCell ref="C221:D221"/>
    <mergeCell ref="C222:D222"/>
    <mergeCell ref="C223:D223"/>
    <mergeCell ref="C224:D224"/>
    <mergeCell ref="C228:D228"/>
    <mergeCell ref="C229:D229"/>
    <mergeCell ref="C201:D201"/>
    <mergeCell ref="C202:D202"/>
    <mergeCell ref="C203:C214"/>
    <mergeCell ref="C218:D218"/>
    <mergeCell ref="C219:D219"/>
    <mergeCell ref="C220:D220"/>
    <mergeCell ref="C226:K227"/>
    <mergeCell ref="C216:K217"/>
    <mergeCell ref="C171:D171"/>
    <mergeCell ref="C172:D172"/>
    <mergeCell ref="C173:C184"/>
    <mergeCell ref="C186:D186"/>
    <mergeCell ref="C187:D187"/>
    <mergeCell ref="C188:C199"/>
    <mergeCell ref="C164:D164"/>
    <mergeCell ref="C165:D165"/>
    <mergeCell ref="C166:D166"/>
    <mergeCell ref="C167:D167"/>
    <mergeCell ref="C168:D168"/>
    <mergeCell ref="C169:D169"/>
    <mergeCell ref="C133:D133"/>
    <mergeCell ref="C134:C145"/>
    <mergeCell ref="C147:D147"/>
    <mergeCell ref="C148:D148"/>
    <mergeCell ref="C149:D149"/>
    <mergeCell ref="C150:C161"/>
    <mergeCell ref="C115:D115"/>
    <mergeCell ref="C116:D116"/>
    <mergeCell ref="C117:D117"/>
    <mergeCell ref="C118:C129"/>
    <mergeCell ref="C131:D131"/>
    <mergeCell ref="C132:D132"/>
    <mergeCell ref="C83:D83"/>
    <mergeCell ref="C84:D84"/>
    <mergeCell ref="C99:D99"/>
    <mergeCell ref="C100:D100"/>
    <mergeCell ref="C101:D101"/>
    <mergeCell ref="C102:C113"/>
    <mergeCell ref="C56:C57"/>
    <mergeCell ref="C59:D59"/>
    <mergeCell ref="C79:D79"/>
    <mergeCell ref="C80:D80"/>
    <mergeCell ref="C81:D81"/>
    <mergeCell ref="C82:D82"/>
    <mergeCell ref="C50:D50"/>
    <mergeCell ref="C51:D51"/>
    <mergeCell ref="C52:D52"/>
    <mergeCell ref="C53:D53"/>
    <mergeCell ref="C54:D54"/>
    <mergeCell ref="C55:D55"/>
    <mergeCell ref="C41:C43"/>
    <mergeCell ref="C44:D44"/>
    <mergeCell ref="C46:D46"/>
    <mergeCell ref="C47:D47"/>
    <mergeCell ref="C48:D48"/>
    <mergeCell ref="C49:D49"/>
    <mergeCell ref="C17:D17"/>
    <mergeCell ref="C33:D33"/>
    <mergeCell ref="C34:D34"/>
    <mergeCell ref="C35:D35"/>
    <mergeCell ref="C36:D36"/>
    <mergeCell ref="C38:D38"/>
    <mergeCell ref="C39:C40"/>
    <mergeCell ref="C25:D25"/>
    <mergeCell ref="C26:D26"/>
    <mergeCell ref="C27:D27"/>
    <mergeCell ref="C29:D29"/>
    <mergeCell ref="C31:D31"/>
    <mergeCell ref="C32:D32"/>
    <mergeCell ref="C162:K163"/>
    <mergeCell ref="C77:K78"/>
    <mergeCell ref="B276:B284"/>
    <mergeCell ref="C281:D281"/>
    <mergeCell ref="C283:D283"/>
    <mergeCell ref="C278:D278"/>
    <mergeCell ref="C276:D276"/>
    <mergeCell ref="C6:D6"/>
    <mergeCell ref="C7:D7"/>
    <mergeCell ref="C8:D8"/>
    <mergeCell ref="C9:D9"/>
    <mergeCell ref="C10:D10"/>
    <mergeCell ref="C11:D11"/>
    <mergeCell ref="C18:D18"/>
    <mergeCell ref="C19:D19"/>
    <mergeCell ref="C20:D20"/>
    <mergeCell ref="C21:D21"/>
    <mergeCell ref="C23:D23"/>
    <mergeCell ref="C24:D24"/>
    <mergeCell ref="C12:D12"/>
    <mergeCell ref="C13:D13"/>
    <mergeCell ref="C14:D14"/>
    <mergeCell ref="C15:D15"/>
    <mergeCell ref="C16:D16"/>
  </mergeCells>
  <pageMargins left="0.7" right="0.7" top="0.75" bottom="0.75" header="0.3" footer="0.3"/>
  <pageSetup paperSize="9" orientation="portrait" verticalDpi="0" r:id="rId1"/>
  <ignoredErrors>
    <ignoredError sqref="G65 J65 G74"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B1:AV277"/>
  <sheetViews>
    <sheetView workbookViewId="0">
      <selection activeCell="K12" sqref="K12"/>
    </sheetView>
  </sheetViews>
  <sheetFormatPr baseColWidth="10" defaultRowHeight="15" x14ac:dyDescent="0.25"/>
  <cols>
    <col min="3" max="3" width="3.5703125" bestFit="1" customWidth="1"/>
    <col min="5" max="5" width="3.28515625" bestFit="1" customWidth="1"/>
    <col min="6" max="6" width="5.7109375" bestFit="1" customWidth="1"/>
    <col min="7" max="7" width="5.42578125" customWidth="1"/>
    <col min="8" max="8" width="10.7109375" bestFit="1" customWidth="1"/>
    <col min="9" max="9" width="4.7109375" bestFit="1" customWidth="1"/>
    <col min="10" max="10" width="8.7109375" bestFit="1" customWidth="1"/>
    <col min="11" max="11" width="3.7109375" bestFit="1" customWidth="1"/>
    <col min="12" max="12" width="5.5703125" bestFit="1" customWidth="1"/>
    <col min="13" max="13" width="7.28515625" bestFit="1" customWidth="1"/>
    <col min="14" max="14" width="4.5703125" bestFit="1" customWidth="1"/>
    <col min="15" max="16" width="5.5703125" bestFit="1" customWidth="1"/>
    <col min="17" max="43" width="3" bestFit="1" customWidth="1"/>
    <col min="44" max="44" width="2.28515625" bestFit="1" customWidth="1"/>
    <col min="45" max="45" width="2" bestFit="1" customWidth="1"/>
    <col min="46" max="46" width="4" bestFit="1" customWidth="1"/>
    <col min="47" max="47" width="4.7109375" bestFit="1" customWidth="1"/>
  </cols>
  <sheetData>
    <row r="1" spans="2:48" ht="15.75" thickBot="1" x14ac:dyDescent="0.3">
      <c r="F1" s="385"/>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7"/>
      <c r="AL1" s="157"/>
      <c r="AM1" s="157"/>
      <c r="AN1" s="157"/>
      <c r="AO1" s="157"/>
      <c r="AP1" s="157"/>
      <c r="AQ1" s="157"/>
    </row>
    <row r="2" spans="2:48" x14ac:dyDescent="0.25">
      <c r="B2" s="977" t="s">
        <v>876</v>
      </c>
      <c r="C2" s="978"/>
      <c r="D2" s="978"/>
      <c r="E2" s="978"/>
      <c r="F2" s="978"/>
      <c r="G2" s="978"/>
      <c r="H2" s="978"/>
      <c r="I2" s="978"/>
      <c r="J2" s="978"/>
      <c r="K2" s="978"/>
      <c r="L2" s="978"/>
      <c r="M2" s="978"/>
      <c r="N2" s="978"/>
      <c r="O2" s="978"/>
      <c r="P2" s="978"/>
      <c r="Q2" s="978"/>
      <c r="R2" s="978"/>
      <c r="S2" s="978"/>
      <c r="T2" s="978"/>
      <c r="U2" s="978"/>
      <c r="V2" s="978"/>
      <c r="W2" s="978"/>
      <c r="X2" s="978"/>
      <c r="Y2" s="978"/>
      <c r="Z2" s="978"/>
      <c r="AA2" s="978"/>
      <c r="AB2" s="978"/>
      <c r="AC2" s="978"/>
      <c r="AD2" s="978"/>
      <c r="AE2" s="978"/>
      <c r="AF2" s="978"/>
      <c r="AG2" s="978"/>
      <c r="AH2" s="978"/>
      <c r="AI2" s="978"/>
      <c r="AJ2" s="978"/>
      <c r="AK2" s="978"/>
      <c r="AL2" s="978"/>
      <c r="AM2" s="978"/>
      <c r="AN2" s="978"/>
      <c r="AO2" s="978"/>
      <c r="AP2" s="978"/>
      <c r="AQ2" s="979"/>
    </row>
    <row r="3" spans="2:48" ht="29.25" customHeight="1" thickBot="1" x14ac:dyDescent="0.3">
      <c r="B3" s="980"/>
      <c r="C3" s="981"/>
      <c r="D3" s="981"/>
      <c r="E3" s="981"/>
      <c r="F3" s="981"/>
      <c r="G3" s="981"/>
      <c r="H3" s="981"/>
      <c r="I3" s="981"/>
      <c r="J3" s="981"/>
      <c r="K3" s="981"/>
      <c r="L3" s="981"/>
      <c r="M3" s="981"/>
      <c r="N3" s="981"/>
      <c r="O3" s="981"/>
      <c r="P3" s="981"/>
      <c r="Q3" s="981"/>
      <c r="R3" s="981"/>
      <c r="S3" s="981"/>
      <c r="T3" s="981"/>
      <c r="U3" s="981"/>
      <c r="V3" s="981"/>
      <c r="W3" s="981"/>
      <c r="X3" s="981"/>
      <c r="Y3" s="981"/>
      <c r="Z3" s="981"/>
      <c r="AA3" s="981"/>
      <c r="AB3" s="981"/>
      <c r="AC3" s="981"/>
      <c r="AD3" s="981"/>
      <c r="AE3" s="981"/>
      <c r="AF3" s="981"/>
      <c r="AG3" s="981"/>
      <c r="AH3" s="981"/>
      <c r="AI3" s="981"/>
      <c r="AJ3" s="981"/>
      <c r="AK3" s="981"/>
      <c r="AL3" s="981"/>
      <c r="AM3" s="981"/>
      <c r="AN3" s="981"/>
      <c r="AO3" s="981"/>
      <c r="AP3" s="981"/>
      <c r="AQ3" s="982"/>
      <c r="AV3" t="str">
        <f ca="1">"LOG SURVEILLANCES TOUCHES - "&amp;ANNEE_AM1</f>
        <v>LOG SURVEILLANCES TOUCHES - 2024</v>
      </c>
    </row>
    <row r="4" spans="2:48" ht="15.75" customHeight="1" thickBot="1" x14ac:dyDescent="0.3">
      <c r="B4" s="10"/>
      <c r="C4" s="10"/>
      <c r="D4" s="10"/>
      <c r="E4" s="10"/>
      <c r="F4" s="10"/>
      <c r="G4" s="10"/>
      <c r="H4" s="10"/>
      <c r="I4" s="61"/>
      <c r="J4" s="61"/>
      <c r="K4" s="61"/>
      <c r="L4" s="974" t="s">
        <v>103</v>
      </c>
      <c r="M4" s="975"/>
      <c r="N4" s="61"/>
      <c r="O4" s="974" t="s">
        <v>106</v>
      </c>
      <c r="P4" s="976"/>
      <c r="Q4" s="727" t="s">
        <v>390</v>
      </c>
      <c r="R4" s="677"/>
      <c r="S4" s="677"/>
      <c r="T4" s="677"/>
      <c r="U4" s="728"/>
      <c r="V4" s="727" t="s">
        <v>391</v>
      </c>
      <c r="W4" s="677"/>
      <c r="X4" s="728"/>
      <c r="Y4" s="727" t="s">
        <v>673</v>
      </c>
      <c r="Z4" s="677"/>
      <c r="AA4" s="677"/>
      <c r="AB4" s="677"/>
      <c r="AC4" s="728"/>
      <c r="AD4" s="727" t="s">
        <v>392</v>
      </c>
      <c r="AE4" s="677"/>
      <c r="AF4" s="677"/>
      <c r="AG4" s="677"/>
      <c r="AH4" s="728"/>
      <c r="AI4" s="727" t="s">
        <v>393</v>
      </c>
      <c r="AJ4" s="677"/>
      <c r="AK4" s="677"/>
      <c r="AL4" s="728"/>
      <c r="AM4" s="727" t="s">
        <v>394</v>
      </c>
      <c r="AN4" s="677"/>
      <c r="AO4" s="677"/>
      <c r="AP4" s="677"/>
      <c r="AQ4" s="728"/>
    </row>
    <row r="5" spans="2:48" ht="15.75" customHeight="1" thickBot="1" x14ac:dyDescent="0.3">
      <c r="B5" s="10"/>
      <c r="C5" s="10"/>
      <c r="D5" s="10"/>
      <c r="E5" s="10"/>
      <c r="F5" s="318" t="s">
        <v>186</v>
      </c>
      <c r="G5" s="318" t="s">
        <v>637</v>
      </c>
      <c r="H5" s="58" t="s">
        <v>671</v>
      </c>
      <c r="I5" s="60" t="s">
        <v>477</v>
      </c>
      <c r="J5" s="60" t="s">
        <v>643</v>
      </c>
      <c r="K5" s="60" t="s">
        <v>428</v>
      </c>
      <c r="L5" s="60" t="s">
        <v>105</v>
      </c>
      <c r="M5" s="60" t="s">
        <v>104</v>
      </c>
      <c r="N5" s="60" t="s">
        <v>486</v>
      </c>
      <c r="O5" s="60" t="s">
        <v>855</v>
      </c>
      <c r="P5" s="60" t="s">
        <v>856</v>
      </c>
      <c r="Q5" s="58">
        <v>11</v>
      </c>
      <c r="R5" s="60">
        <v>12</v>
      </c>
      <c r="S5" s="60">
        <v>13</v>
      </c>
      <c r="T5" s="60">
        <v>14</v>
      </c>
      <c r="U5" s="59">
        <v>15</v>
      </c>
      <c r="V5" s="58">
        <v>16</v>
      </c>
      <c r="W5" s="60">
        <v>17</v>
      </c>
      <c r="X5" s="59">
        <v>18</v>
      </c>
      <c r="Y5" s="58">
        <v>19</v>
      </c>
      <c r="Z5" s="60">
        <v>20</v>
      </c>
      <c r="AA5" s="60">
        <v>21</v>
      </c>
      <c r="AB5" s="60">
        <v>22</v>
      </c>
      <c r="AC5" s="59">
        <v>23</v>
      </c>
      <c r="AD5" s="58">
        <v>24</v>
      </c>
      <c r="AE5" s="60">
        <v>25</v>
      </c>
      <c r="AF5" s="60">
        <v>26</v>
      </c>
      <c r="AG5" s="60">
        <v>27</v>
      </c>
      <c r="AH5" s="59">
        <v>28</v>
      </c>
      <c r="AI5" s="58">
        <v>29</v>
      </c>
      <c r="AJ5" s="60">
        <v>30</v>
      </c>
      <c r="AK5" s="60">
        <v>31</v>
      </c>
      <c r="AL5" s="59">
        <v>32</v>
      </c>
      <c r="AM5" s="58">
        <v>33</v>
      </c>
      <c r="AN5" s="60">
        <v>34</v>
      </c>
      <c r="AO5" s="60">
        <v>35</v>
      </c>
      <c r="AP5" s="60">
        <v>36</v>
      </c>
      <c r="AQ5" s="59">
        <v>37</v>
      </c>
    </row>
    <row r="6" spans="2:48" ht="15" customHeight="1" thickBot="1" x14ac:dyDescent="0.3">
      <c r="B6" s="696" t="s">
        <v>877</v>
      </c>
      <c r="C6" s="988"/>
      <c r="D6" s="989"/>
      <c r="E6" s="120">
        <v>1</v>
      </c>
      <c r="F6" s="7">
        <f>IF(H6&lt;&gt;"",MONTH(H6),"")</f>
        <v>1</v>
      </c>
      <c r="G6" s="332">
        <v>1</v>
      </c>
      <c r="H6" s="564">
        <v>45660</v>
      </c>
      <c r="I6" s="60">
        <v>4</v>
      </c>
      <c r="J6" s="304">
        <v>0.70694444444444438</v>
      </c>
      <c r="K6" s="60">
        <v>8</v>
      </c>
      <c r="L6" s="60">
        <v>3</v>
      </c>
      <c r="M6" s="60" t="s">
        <v>940</v>
      </c>
      <c r="N6" s="60" t="s">
        <v>450</v>
      </c>
      <c r="O6" s="304">
        <v>0</v>
      </c>
      <c r="P6" s="304">
        <v>0</v>
      </c>
      <c r="Q6" s="58">
        <v>1</v>
      </c>
      <c r="R6" s="60">
        <v>1</v>
      </c>
      <c r="S6" s="60">
        <v>1</v>
      </c>
      <c r="T6" s="60">
        <v>1</v>
      </c>
      <c r="U6" s="59">
        <v>1</v>
      </c>
      <c r="V6" s="58">
        <v>1</v>
      </c>
      <c r="W6" s="60">
        <v>1</v>
      </c>
      <c r="X6" s="59">
        <v>1</v>
      </c>
      <c r="Y6" s="58">
        <v>1</v>
      </c>
      <c r="Z6" s="60">
        <v>1</v>
      </c>
      <c r="AA6" s="60">
        <v>1</v>
      </c>
      <c r="AB6" s="60">
        <v>1</v>
      </c>
      <c r="AC6" s="59">
        <v>1</v>
      </c>
      <c r="AD6" s="60">
        <v>3</v>
      </c>
      <c r="AE6" s="60">
        <v>0</v>
      </c>
      <c r="AF6" s="60">
        <v>0</v>
      </c>
      <c r="AG6" s="60">
        <v>1</v>
      </c>
      <c r="AH6" s="320" t="s">
        <v>424</v>
      </c>
      <c r="AI6" s="58">
        <v>0</v>
      </c>
      <c r="AJ6" s="60">
        <v>0</v>
      </c>
      <c r="AK6" s="60">
        <v>0</v>
      </c>
      <c r="AL6" s="59">
        <v>0</v>
      </c>
      <c r="AM6" s="58">
        <v>1</v>
      </c>
      <c r="AN6" s="60">
        <v>1</v>
      </c>
      <c r="AO6" s="60">
        <v>1</v>
      </c>
      <c r="AP6" s="60">
        <v>1</v>
      </c>
      <c r="AQ6" s="59">
        <v>1</v>
      </c>
      <c r="AS6" s="28"/>
      <c r="AT6" s="28"/>
    </row>
    <row r="7" spans="2:48" ht="15" customHeight="1" x14ac:dyDescent="0.25">
      <c r="B7" s="129" t="s">
        <v>0</v>
      </c>
      <c r="C7" s="152">
        <v>1</v>
      </c>
      <c r="D7" s="328">
        <f>COUNTIF($F$6:$F$161,"1")</f>
        <v>8</v>
      </c>
      <c r="E7" s="347">
        <f>IF($F7&lt;&gt;"",$E6+1,"")</f>
        <v>2</v>
      </c>
      <c r="F7" s="8">
        <f t="shared" ref="F7:F70" si="0">IF(H7&lt;&gt;"",MONTH(H7),"")</f>
        <v>1</v>
      </c>
      <c r="G7" s="6">
        <v>1</v>
      </c>
      <c r="H7" s="565">
        <v>45661</v>
      </c>
      <c r="I7" s="28">
        <v>6</v>
      </c>
      <c r="J7" s="299">
        <v>0.4236111111111111</v>
      </c>
      <c r="K7" s="28">
        <v>8</v>
      </c>
      <c r="L7" s="28">
        <v>8</v>
      </c>
      <c r="M7" s="28" t="s">
        <v>941</v>
      </c>
      <c r="N7" s="28" t="s">
        <v>450</v>
      </c>
      <c r="O7" s="299">
        <v>0.4284722222222222</v>
      </c>
      <c r="P7" s="299">
        <v>0.46666666666666662</v>
      </c>
      <c r="Q7" s="76">
        <v>1</v>
      </c>
      <c r="R7" s="28">
        <v>1</v>
      </c>
      <c r="S7" s="28">
        <v>1</v>
      </c>
      <c r="T7" s="28">
        <v>1</v>
      </c>
      <c r="U7" s="78">
        <v>1</v>
      </c>
      <c r="V7" s="76">
        <v>1</v>
      </c>
      <c r="W7" s="28">
        <v>1</v>
      </c>
      <c r="X7" s="78">
        <v>1</v>
      </c>
      <c r="Y7" s="76">
        <v>1</v>
      </c>
      <c r="Z7" s="28">
        <v>1</v>
      </c>
      <c r="AA7" s="28">
        <v>1</v>
      </c>
      <c r="AB7" s="28">
        <v>1</v>
      </c>
      <c r="AC7" s="78">
        <v>1</v>
      </c>
      <c r="AD7" s="28">
        <v>2</v>
      </c>
      <c r="AE7" s="28">
        <v>0</v>
      </c>
      <c r="AF7" s="28">
        <v>0</v>
      </c>
      <c r="AG7" s="28">
        <v>1</v>
      </c>
      <c r="AH7" s="37">
        <v>15</v>
      </c>
      <c r="AI7" s="76">
        <v>0</v>
      </c>
      <c r="AJ7" s="28">
        <v>0</v>
      </c>
      <c r="AK7" s="28">
        <v>0</v>
      </c>
      <c r="AL7" s="78">
        <v>0</v>
      </c>
      <c r="AM7" s="76">
        <v>1</v>
      </c>
      <c r="AN7" s="28">
        <v>1</v>
      </c>
      <c r="AO7" s="28">
        <v>1</v>
      </c>
      <c r="AP7" s="28">
        <v>1</v>
      </c>
      <c r="AQ7" s="78">
        <v>1</v>
      </c>
      <c r="AS7" s="28"/>
      <c r="AT7" s="28"/>
    </row>
    <row r="8" spans="2:48" ht="15" customHeight="1" x14ac:dyDescent="0.25">
      <c r="B8" s="36" t="s">
        <v>852</v>
      </c>
      <c r="C8" s="33">
        <v>2</v>
      </c>
      <c r="D8" s="329">
        <f>COUNTIF($F$6:$F$161,"2")</f>
        <v>4</v>
      </c>
      <c r="E8" s="347">
        <f t="shared" ref="E8:E71" si="1">IF($F8&lt;&gt;"",$E7+1,"")</f>
        <v>3</v>
      </c>
      <c r="F8" s="8">
        <f t="shared" si="0"/>
        <v>1</v>
      </c>
      <c r="G8" s="6">
        <v>2</v>
      </c>
      <c r="H8" s="565">
        <v>45666</v>
      </c>
      <c r="I8" s="28">
        <v>4</v>
      </c>
      <c r="J8" s="299">
        <v>0.41666666666666669</v>
      </c>
      <c r="K8" s="28">
        <v>28</v>
      </c>
      <c r="L8" s="28">
        <v>7</v>
      </c>
      <c r="M8" s="28" t="s">
        <v>943</v>
      </c>
      <c r="N8" s="28" t="s">
        <v>450</v>
      </c>
      <c r="O8" s="299">
        <v>0.42638888888888887</v>
      </c>
      <c r="P8" s="299">
        <v>0.45902777777777781</v>
      </c>
      <c r="Q8" s="76">
        <v>1</v>
      </c>
      <c r="R8" s="28">
        <v>1</v>
      </c>
      <c r="S8" s="28">
        <v>1</v>
      </c>
      <c r="T8" s="28">
        <v>1</v>
      </c>
      <c r="U8" s="78">
        <v>1</v>
      </c>
      <c r="V8" s="76">
        <v>1</v>
      </c>
      <c r="W8" s="28">
        <v>1</v>
      </c>
      <c r="X8" s="78">
        <v>1</v>
      </c>
      <c r="Y8" s="76">
        <v>1</v>
      </c>
      <c r="Z8" s="28">
        <v>1</v>
      </c>
      <c r="AA8" s="28">
        <v>1</v>
      </c>
      <c r="AB8" s="28">
        <v>1</v>
      </c>
      <c r="AC8" s="78">
        <v>1</v>
      </c>
      <c r="AD8" s="28" t="s">
        <v>424</v>
      </c>
      <c r="AE8" s="28">
        <v>0</v>
      </c>
      <c r="AF8" s="28">
        <v>0</v>
      </c>
      <c r="AG8" s="28">
        <v>1</v>
      </c>
      <c r="AH8" s="37">
        <v>6</v>
      </c>
      <c r="AI8" s="76">
        <v>0</v>
      </c>
      <c r="AJ8" s="28">
        <v>0</v>
      </c>
      <c r="AK8" s="28">
        <v>0</v>
      </c>
      <c r="AL8" s="78">
        <v>0</v>
      </c>
      <c r="AM8" s="76">
        <v>1</v>
      </c>
      <c r="AN8" s="28">
        <v>1</v>
      </c>
      <c r="AO8" s="28">
        <v>1</v>
      </c>
      <c r="AP8" s="28">
        <v>1</v>
      </c>
      <c r="AQ8" s="78">
        <v>1</v>
      </c>
      <c r="AS8" s="28"/>
      <c r="AT8" s="28"/>
    </row>
    <row r="9" spans="2:48" ht="15" customHeight="1" x14ac:dyDescent="0.25">
      <c r="B9" s="36" t="s">
        <v>45</v>
      </c>
      <c r="C9" s="33">
        <v>3</v>
      </c>
      <c r="D9" s="329">
        <f>COUNTIF($F$6:$F$161,"3")</f>
        <v>0</v>
      </c>
      <c r="E9" s="347">
        <f t="shared" si="1"/>
        <v>4</v>
      </c>
      <c r="F9" s="8">
        <f t="shared" si="0"/>
        <v>1</v>
      </c>
      <c r="G9" s="6">
        <v>2</v>
      </c>
      <c r="H9" s="565">
        <v>45667</v>
      </c>
      <c r="I9" s="28">
        <v>2</v>
      </c>
      <c r="J9" s="299">
        <v>0.44791666666666669</v>
      </c>
      <c r="K9" s="28">
        <v>0</v>
      </c>
      <c r="L9" s="28">
        <v>6</v>
      </c>
      <c r="M9" s="28" t="s">
        <v>945</v>
      </c>
      <c r="N9" s="28" t="s">
        <v>457</v>
      </c>
      <c r="O9" s="299">
        <v>0.44930555555555557</v>
      </c>
      <c r="P9" s="299">
        <v>0.48888888888888887</v>
      </c>
      <c r="Q9" s="76">
        <v>1</v>
      </c>
      <c r="R9" s="28">
        <v>1</v>
      </c>
      <c r="S9" s="28">
        <v>1</v>
      </c>
      <c r="T9" s="28">
        <v>1</v>
      </c>
      <c r="U9" s="78">
        <v>1</v>
      </c>
      <c r="V9" s="76">
        <v>1</v>
      </c>
      <c r="W9" s="28">
        <v>1</v>
      </c>
      <c r="X9" s="78">
        <v>1</v>
      </c>
      <c r="Y9" s="76">
        <v>1</v>
      </c>
      <c r="Z9" s="28">
        <v>1</v>
      </c>
      <c r="AA9" s="28">
        <v>1</v>
      </c>
      <c r="AB9" s="28">
        <v>1</v>
      </c>
      <c r="AC9" s="78">
        <v>1</v>
      </c>
      <c r="AD9" s="100">
        <v>5</v>
      </c>
      <c r="AE9" s="28">
        <v>0</v>
      </c>
      <c r="AF9" s="28">
        <v>0</v>
      </c>
      <c r="AG9" s="28">
        <v>1</v>
      </c>
      <c r="AH9" s="37" t="s">
        <v>424</v>
      </c>
      <c r="AI9" s="76">
        <v>0</v>
      </c>
      <c r="AJ9" s="28" t="s">
        <v>424</v>
      </c>
      <c r="AK9" s="28" t="s">
        <v>424</v>
      </c>
      <c r="AL9" s="78" t="s">
        <v>424</v>
      </c>
      <c r="AM9" s="76">
        <v>1</v>
      </c>
      <c r="AN9" s="28">
        <v>1</v>
      </c>
      <c r="AO9" s="28">
        <v>1</v>
      </c>
      <c r="AP9" s="28">
        <v>1</v>
      </c>
      <c r="AQ9" s="78">
        <v>1</v>
      </c>
      <c r="AS9" s="28"/>
      <c r="AT9" s="28"/>
    </row>
    <row r="10" spans="2:48" ht="15" customHeight="1" x14ac:dyDescent="0.25">
      <c r="B10" s="36" t="s">
        <v>46</v>
      </c>
      <c r="C10" s="33">
        <v>4</v>
      </c>
      <c r="D10" s="329">
        <f>COUNTIF($F$6:$F$161,"4")</f>
        <v>0</v>
      </c>
      <c r="E10" s="347">
        <f t="shared" si="1"/>
        <v>5</v>
      </c>
      <c r="F10" s="8">
        <f t="shared" si="0"/>
        <v>1</v>
      </c>
      <c r="G10" s="6">
        <v>4</v>
      </c>
      <c r="H10" s="565">
        <v>45671</v>
      </c>
      <c r="I10" s="28">
        <v>10</v>
      </c>
      <c r="J10" s="299">
        <v>0.29166666666666669</v>
      </c>
      <c r="K10" s="28">
        <v>68</v>
      </c>
      <c r="L10" s="28">
        <v>9</v>
      </c>
      <c r="M10" s="28" t="s">
        <v>947</v>
      </c>
      <c r="N10" s="28" t="s">
        <v>452</v>
      </c>
      <c r="O10" s="299">
        <v>0.29791666666666666</v>
      </c>
      <c r="P10" s="299">
        <v>0.35416666666666669</v>
      </c>
      <c r="Q10" s="76">
        <v>1</v>
      </c>
      <c r="R10" s="28">
        <v>1</v>
      </c>
      <c r="S10" s="28">
        <v>1</v>
      </c>
      <c r="T10" s="28">
        <v>1</v>
      </c>
      <c r="U10" s="78">
        <v>1</v>
      </c>
      <c r="V10" s="76">
        <v>1</v>
      </c>
      <c r="W10" s="28">
        <v>1</v>
      </c>
      <c r="X10" s="78">
        <v>1</v>
      </c>
      <c r="Y10" s="76">
        <v>1</v>
      </c>
      <c r="Z10" s="28">
        <v>1</v>
      </c>
      <c r="AA10" s="28">
        <v>1</v>
      </c>
      <c r="AB10" s="28">
        <v>1</v>
      </c>
      <c r="AC10" s="78">
        <v>1</v>
      </c>
      <c r="AD10" s="28">
        <v>2</v>
      </c>
      <c r="AE10" s="28">
        <v>0</v>
      </c>
      <c r="AF10" s="28">
        <v>0</v>
      </c>
      <c r="AG10" s="28">
        <v>1</v>
      </c>
      <c r="AH10" s="37" t="s">
        <v>424</v>
      </c>
      <c r="AI10" s="76">
        <v>0</v>
      </c>
      <c r="AJ10" s="28" t="s">
        <v>424</v>
      </c>
      <c r="AK10" s="28" t="s">
        <v>424</v>
      </c>
      <c r="AL10" s="78" t="s">
        <v>424</v>
      </c>
      <c r="AM10" s="76">
        <v>1</v>
      </c>
      <c r="AN10" s="28">
        <v>1</v>
      </c>
      <c r="AO10" s="28">
        <v>1</v>
      </c>
      <c r="AP10" s="28">
        <v>1</v>
      </c>
      <c r="AQ10" s="78">
        <v>1</v>
      </c>
      <c r="AS10" s="28"/>
      <c r="AT10" s="28"/>
    </row>
    <row r="11" spans="2:48" ht="15" customHeight="1" x14ac:dyDescent="0.25">
      <c r="B11" s="36" t="s">
        <v>47</v>
      </c>
      <c r="C11" s="33">
        <v>5</v>
      </c>
      <c r="D11" s="329">
        <f>COUNTIF($F$6:$F$161,"5")</f>
        <v>0</v>
      </c>
      <c r="E11" s="347">
        <f t="shared" si="1"/>
        <v>6</v>
      </c>
      <c r="F11" s="8">
        <f t="shared" si="0"/>
        <v>1</v>
      </c>
      <c r="G11" s="6">
        <v>4</v>
      </c>
      <c r="H11" s="565">
        <v>45672</v>
      </c>
      <c r="I11" s="28">
        <v>10</v>
      </c>
      <c r="J11" s="299">
        <v>0.39097222222222222</v>
      </c>
      <c r="K11" s="28">
        <v>29</v>
      </c>
      <c r="L11" s="28">
        <v>9</v>
      </c>
      <c r="M11" s="28" t="s">
        <v>949</v>
      </c>
      <c r="N11" s="28" t="s">
        <v>456</v>
      </c>
      <c r="O11" s="299">
        <v>0.3979166666666667</v>
      </c>
      <c r="P11" s="299">
        <v>0.47430555555555554</v>
      </c>
      <c r="Q11" s="76">
        <v>1</v>
      </c>
      <c r="R11" s="28">
        <v>1</v>
      </c>
      <c r="S11" s="28">
        <v>1</v>
      </c>
      <c r="T11" s="28">
        <v>1</v>
      </c>
      <c r="U11" s="78">
        <v>1</v>
      </c>
      <c r="V11" s="76">
        <v>1</v>
      </c>
      <c r="W11" s="28">
        <v>1</v>
      </c>
      <c r="X11" s="78">
        <v>1</v>
      </c>
      <c r="Y11" s="76">
        <v>1</v>
      </c>
      <c r="Z11" s="28">
        <v>1</v>
      </c>
      <c r="AA11" s="28">
        <v>1</v>
      </c>
      <c r="AB11" s="28">
        <v>1</v>
      </c>
      <c r="AC11" s="78">
        <v>1</v>
      </c>
      <c r="AD11" s="100">
        <v>3</v>
      </c>
      <c r="AE11" s="28">
        <v>0</v>
      </c>
      <c r="AF11" s="28">
        <v>0</v>
      </c>
      <c r="AG11" s="28">
        <v>1</v>
      </c>
      <c r="AH11" s="37" t="s">
        <v>424</v>
      </c>
      <c r="AI11" s="76">
        <v>0</v>
      </c>
      <c r="AJ11" s="28" t="s">
        <v>424</v>
      </c>
      <c r="AK11" s="28" t="s">
        <v>424</v>
      </c>
      <c r="AL11" s="78" t="s">
        <v>424</v>
      </c>
      <c r="AM11" s="76">
        <v>1</v>
      </c>
      <c r="AN11" s="28">
        <v>1</v>
      </c>
      <c r="AO11" s="28">
        <v>1</v>
      </c>
      <c r="AP11" s="28">
        <v>1</v>
      </c>
      <c r="AQ11" s="78">
        <v>1</v>
      </c>
      <c r="AS11" s="28"/>
      <c r="AT11" s="28"/>
    </row>
    <row r="12" spans="2:48" ht="15" customHeight="1" x14ac:dyDescent="0.25">
      <c r="B12" s="36" t="s">
        <v>48</v>
      </c>
      <c r="C12" s="33">
        <v>6</v>
      </c>
      <c r="D12" s="329">
        <f>COUNTIF($F$6:$F$161,"6")</f>
        <v>0</v>
      </c>
      <c r="E12" s="347">
        <f t="shared" si="1"/>
        <v>7</v>
      </c>
      <c r="F12" s="8">
        <f t="shared" si="0"/>
        <v>1</v>
      </c>
      <c r="G12" s="6">
        <v>3</v>
      </c>
      <c r="H12" s="565">
        <v>45675</v>
      </c>
      <c r="I12" s="28">
        <v>8</v>
      </c>
      <c r="J12" s="299">
        <v>0</v>
      </c>
      <c r="K12" s="28">
        <v>60</v>
      </c>
      <c r="L12" s="28">
        <v>6</v>
      </c>
      <c r="M12" s="28" t="s">
        <v>951</v>
      </c>
      <c r="N12" s="28" t="s">
        <v>446</v>
      </c>
      <c r="O12" s="299">
        <v>0</v>
      </c>
      <c r="P12" s="299">
        <v>0</v>
      </c>
      <c r="Q12" s="76">
        <v>1</v>
      </c>
      <c r="R12" s="28">
        <v>1</v>
      </c>
      <c r="S12" s="28">
        <v>1</v>
      </c>
      <c r="T12" s="28">
        <v>1</v>
      </c>
      <c r="U12" s="78">
        <v>1</v>
      </c>
      <c r="V12" s="76">
        <v>1</v>
      </c>
      <c r="W12" s="28">
        <v>1</v>
      </c>
      <c r="X12" s="78">
        <v>1</v>
      </c>
      <c r="Y12" s="76">
        <v>1</v>
      </c>
      <c r="Z12" s="28">
        <v>1</v>
      </c>
      <c r="AA12" s="28">
        <v>1</v>
      </c>
      <c r="AB12" s="28">
        <v>1</v>
      </c>
      <c r="AC12" s="78">
        <v>1</v>
      </c>
      <c r="AD12" s="28" t="s">
        <v>424</v>
      </c>
      <c r="AE12" s="28">
        <v>0</v>
      </c>
      <c r="AF12" s="28">
        <v>0</v>
      </c>
      <c r="AG12" s="28">
        <v>1</v>
      </c>
      <c r="AH12" s="37" t="s">
        <v>424</v>
      </c>
      <c r="AI12" s="76">
        <v>0</v>
      </c>
      <c r="AJ12" s="28">
        <v>0</v>
      </c>
      <c r="AK12" s="28">
        <v>0</v>
      </c>
      <c r="AL12" s="78">
        <v>0</v>
      </c>
      <c r="AM12" s="76">
        <v>1</v>
      </c>
      <c r="AN12" s="28">
        <v>1</v>
      </c>
      <c r="AO12" s="28">
        <v>1</v>
      </c>
      <c r="AP12" s="28">
        <v>1</v>
      </c>
      <c r="AQ12" s="78">
        <v>2</v>
      </c>
      <c r="AS12" s="28"/>
      <c r="AT12" s="28"/>
    </row>
    <row r="13" spans="2:48" ht="15" customHeight="1" x14ac:dyDescent="0.25">
      <c r="B13" s="36" t="s">
        <v>49</v>
      </c>
      <c r="C13" s="33">
        <v>7</v>
      </c>
      <c r="D13" s="329">
        <f>COUNTIF($F$6:$F$161,"7")</f>
        <v>0</v>
      </c>
      <c r="E13" s="347">
        <f t="shared" si="1"/>
        <v>8</v>
      </c>
      <c r="F13" s="8">
        <f t="shared" si="0"/>
        <v>1</v>
      </c>
      <c r="G13" s="6">
        <v>3</v>
      </c>
      <c r="H13" s="562">
        <v>45676</v>
      </c>
      <c r="I13" s="33">
        <v>8</v>
      </c>
      <c r="J13" s="331">
        <v>0</v>
      </c>
      <c r="K13" s="33">
        <v>65</v>
      </c>
      <c r="L13" s="33">
        <v>7</v>
      </c>
      <c r="M13" s="33" t="s">
        <v>952</v>
      </c>
      <c r="N13" s="33" t="s">
        <v>452</v>
      </c>
      <c r="O13" s="331">
        <v>0.68125000000000002</v>
      </c>
      <c r="P13" s="331">
        <v>0.70486111111111116</v>
      </c>
      <c r="Q13" s="76">
        <v>1</v>
      </c>
      <c r="R13" s="28">
        <v>1</v>
      </c>
      <c r="S13" s="28">
        <v>1</v>
      </c>
      <c r="T13" s="28">
        <v>1</v>
      </c>
      <c r="U13" s="78">
        <v>1</v>
      </c>
      <c r="V13" s="76">
        <v>1</v>
      </c>
      <c r="W13" s="28">
        <v>1</v>
      </c>
      <c r="X13" s="78">
        <v>1</v>
      </c>
      <c r="Y13" s="76">
        <v>1</v>
      </c>
      <c r="Z13" s="28">
        <v>1</v>
      </c>
      <c r="AA13" s="28">
        <v>1</v>
      </c>
      <c r="AB13" s="28">
        <v>1</v>
      </c>
      <c r="AC13" s="78">
        <v>1</v>
      </c>
      <c r="AD13" s="28" t="s">
        <v>424</v>
      </c>
      <c r="AE13" s="28">
        <v>0</v>
      </c>
      <c r="AF13" s="28">
        <v>0</v>
      </c>
      <c r="AG13" s="28">
        <v>1</v>
      </c>
      <c r="AH13" s="37" t="s">
        <v>424</v>
      </c>
      <c r="AI13" s="76">
        <v>0</v>
      </c>
      <c r="AJ13" s="28">
        <v>0</v>
      </c>
      <c r="AK13" s="28">
        <v>0</v>
      </c>
      <c r="AL13" s="78">
        <v>0</v>
      </c>
      <c r="AM13" s="76">
        <v>1</v>
      </c>
      <c r="AN13" s="28">
        <v>1</v>
      </c>
      <c r="AO13" s="28">
        <v>1</v>
      </c>
      <c r="AP13" s="28">
        <v>1</v>
      </c>
      <c r="AQ13" s="78">
        <v>2</v>
      </c>
      <c r="AS13" s="28"/>
      <c r="AT13" s="28"/>
    </row>
    <row r="14" spans="2:48" ht="15" customHeight="1" x14ac:dyDescent="0.25">
      <c r="B14" s="36" t="s">
        <v>853</v>
      </c>
      <c r="C14" s="33">
        <v>8</v>
      </c>
      <c r="D14" s="329">
        <f>COUNTIF($F$6:$F$161,"8")</f>
        <v>0</v>
      </c>
      <c r="E14" s="347">
        <f t="shared" si="1"/>
        <v>9</v>
      </c>
      <c r="F14" s="8">
        <f t="shared" si="0"/>
        <v>2</v>
      </c>
      <c r="G14" s="6">
        <v>1</v>
      </c>
      <c r="H14" s="562">
        <v>45692</v>
      </c>
      <c r="I14" s="33">
        <v>7</v>
      </c>
      <c r="J14" s="331">
        <v>0.44236111111111115</v>
      </c>
      <c r="K14" s="33">
        <v>8</v>
      </c>
      <c r="L14" s="33">
        <v>8</v>
      </c>
      <c r="M14" s="33" t="s">
        <v>1009</v>
      </c>
      <c r="N14" s="33" t="s">
        <v>450</v>
      </c>
      <c r="O14" s="331">
        <v>0.44722222222222219</v>
      </c>
      <c r="P14" s="331">
        <v>0.48402777777777778</v>
      </c>
      <c r="Q14" s="36">
        <v>1</v>
      </c>
      <c r="R14" s="33">
        <v>1</v>
      </c>
      <c r="S14" s="33">
        <v>1</v>
      </c>
      <c r="T14" s="33">
        <v>1</v>
      </c>
      <c r="U14" s="154">
        <v>1</v>
      </c>
      <c r="V14" s="36">
        <v>1</v>
      </c>
      <c r="W14" s="33">
        <v>1</v>
      </c>
      <c r="X14" s="154">
        <v>1</v>
      </c>
      <c r="Y14" s="36">
        <v>1</v>
      </c>
      <c r="Z14" s="33">
        <v>1</v>
      </c>
      <c r="AA14" s="33">
        <v>1</v>
      </c>
      <c r="AB14" s="33">
        <v>1</v>
      </c>
      <c r="AC14" s="154">
        <v>1</v>
      </c>
      <c r="AD14" s="33" t="s">
        <v>424</v>
      </c>
      <c r="AE14" s="33">
        <v>0</v>
      </c>
      <c r="AF14" s="33">
        <v>0</v>
      </c>
      <c r="AG14" s="33">
        <v>1</v>
      </c>
      <c r="AH14" s="154">
        <v>9</v>
      </c>
      <c r="AI14" s="36" t="s">
        <v>424</v>
      </c>
      <c r="AJ14" s="33" t="s">
        <v>424</v>
      </c>
      <c r="AK14" s="33" t="s">
        <v>424</v>
      </c>
      <c r="AL14" s="154" t="s">
        <v>424</v>
      </c>
      <c r="AM14" s="36">
        <v>1</v>
      </c>
      <c r="AN14" s="33">
        <v>1</v>
      </c>
      <c r="AO14" s="33">
        <v>1</v>
      </c>
      <c r="AP14" s="33">
        <v>1</v>
      </c>
      <c r="AQ14" s="154">
        <v>1</v>
      </c>
      <c r="AS14" s="28"/>
      <c r="AT14" s="28"/>
    </row>
    <row r="15" spans="2:48" ht="15" customHeight="1" x14ac:dyDescent="0.25">
      <c r="B15" s="36" t="s">
        <v>51</v>
      </c>
      <c r="C15" s="33">
        <v>9</v>
      </c>
      <c r="D15" s="329">
        <f>COUNTIF($F$6:$F$161,"9")</f>
        <v>0</v>
      </c>
      <c r="E15" s="347">
        <f t="shared" si="1"/>
        <v>10</v>
      </c>
      <c r="F15" s="8">
        <f t="shared" si="0"/>
        <v>2</v>
      </c>
      <c r="G15" s="6">
        <v>1</v>
      </c>
      <c r="H15" s="562">
        <v>45691</v>
      </c>
      <c r="I15" s="33">
        <v>6</v>
      </c>
      <c r="J15" s="331">
        <v>0.38194444444444442</v>
      </c>
      <c r="K15" s="33">
        <v>8</v>
      </c>
      <c r="L15" s="33">
        <v>3</v>
      </c>
      <c r="M15" s="33" t="s">
        <v>1010</v>
      </c>
      <c r="N15" s="33" t="s">
        <v>439</v>
      </c>
      <c r="O15" s="331">
        <v>0.39097222222222222</v>
      </c>
      <c r="P15" s="331">
        <v>0.4284722222222222</v>
      </c>
      <c r="Q15" s="36">
        <v>1</v>
      </c>
      <c r="R15" s="33">
        <v>1</v>
      </c>
      <c r="S15" s="33">
        <v>1</v>
      </c>
      <c r="T15" s="33">
        <v>1</v>
      </c>
      <c r="U15" s="154">
        <v>1</v>
      </c>
      <c r="V15" s="36">
        <v>1</v>
      </c>
      <c r="W15" s="33">
        <v>1</v>
      </c>
      <c r="X15" s="154">
        <v>1</v>
      </c>
      <c r="Y15" s="36">
        <v>1</v>
      </c>
      <c r="Z15" s="33">
        <v>1</v>
      </c>
      <c r="AA15" s="33">
        <v>1</v>
      </c>
      <c r="AB15" s="33">
        <v>1</v>
      </c>
      <c r="AC15" s="154">
        <v>1</v>
      </c>
      <c r="AD15" s="33">
        <v>6</v>
      </c>
      <c r="AE15" s="33">
        <v>0</v>
      </c>
      <c r="AF15" s="33">
        <v>0</v>
      </c>
      <c r="AG15" s="33">
        <v>1</v>
      </c>
      <c r="AH15" s="154" t="s">
        <v>424</v>
      </c>
      <c r="AI15" s="36">
        <v>0</v>
      </c>
      <c r="AJ15" s="33">
        <v>0</v>
      </c>
      <c r="AK15" s="33">
        <v>0</v>
      </c>
      <c r="AL15" s="154">
        <v>0</v>
      </c>
      <c r="AM15" s="36">
        <v>1</v>
      </c>
      <c r="AN15" s="33">
        <v>1</v>
      </c>
      <c r="AO15" s="33">
        <v>1</v>
      </c>
      <c r="AP15" s="33">
        <v>1</v>
      </c>
      <c r="AQ15" s="154">
        <v>1</v>
      </c>
      <c r="AS15" s="28"/>
      <c r="AT15" s="28"/>
    </row>
    <row r="16" spans="2:48" ht="15" customHeight="1" x14ac:dyDescent="0.25">
      <c r="B16" s="36" t="s">
        <v>52</v>
      </c>
      <c r="C16" s="33">
        <v>10</v>
      </c>
      <c r="D16" s="329">
        <f>COUNTIF($F$6:$F$161,"10")</f>
        <v>0</v>
      </c>
      <c r="E16" s="347">
        <f t="shared" si="1"/>
        <v>11</v>
      </c>
      <c r="F16" s="8">
        <f t="shared" si="0"/>
        <v>2</v>
      </c>
      <c r="G16" s="6">
        <v>2</v>
      </c>
      <c r="H16" s="565">
        <v>45695</v>
      </c>
      <c r="I16" s="28">
        <v>6</v>
      </c>
      <c r="J16" s="299">
        <v>0.44791666666666669</v>
      </c>
      <c r="K16" s="28">
        <v>48</v>
      </c>
      <c r="L16" s="28">
        <v>50</v>
      </c>
      <c r="M16" s="28" t="s">
        <v>1017</v>
      </c>
      <c r="N16" s="28" t="s">
        <v>446</v>
      </c>
      <c r="O16" s="299">
        <v>0.45694444444444443</v>
      </c>
      <c r="P16" s="299">
        <v>0.49513888888888885</v>
      </c>
      <c r="Q16" s="76">
        <v>1</v>
      </c>
      <c r="R16" s="28">
        <v>1</v>
      </c>
      <c r="S16" s="28">
        <v>1</v>
      </c>
      <c r="T16" s="28">
        <v>1</v>
      </c>
      <c r="U16" s="78">
        <v>1</v>
      </c>
      <c r="V16" s="76">
        <v>1</v>
      </c>
      <c r="W16" s="28">
        <v>1</v>
      </c>
      <c r="X16" s="78">
        <v>1</v>
      </c>
      <c r="Y16" s="76">
        <v>1</v>
      </c>
      <c r="Z16" s="28">
        <v>1</v>
      </c>
      <c r="AA16" s="28">
        <v>1</v>
      </c>
      <c r="AB16" s="28">
        <v>1</v>
      </c>
      <c r="AC16" s="78">
        <v>1</v>
      </c>
      <c r="AD16" s="28">
        <v>7</v>
      </c>
      <c r="AE16" s="28">
        <v>0</v>
      </c>
      <c r="AF16" s="28">
        <v>0</v>
      </c>
      <c r="AG16" s="28">
        <v>1</v>
      </c>
      <c r="AH16" s="78"/>
      <c r="AI16" s="76">
        <v>0</v>
      </c>
      <c r="AJ16" s="28" t="s">
        <v>424</v>
      </c>
      <c r="AK16" s="28" t="s">
        <v>424</v>
      </c>
      <c r="AL16" s="78" t="s">
        <v>424</v>
      </c>
      <c r="AM16" s="76">
        <v>1</v>
      </c>
      <c r="AN16" s="28">
        <v>1</v>
      </c>
      <c r="AO16" s="28">
        <v>1</v>
      </c>
      <c r="AP16" s="28">
        <v>1</v>
      </c>
      <c r="AQ16" s="78">
        <v>1</v>
      </c>
      <c r="AS16" s="28"/>
      <c r="AT16" s="28"/>
    </row>
    <row r="17" spans="2:46" ht="15.75" customHeight="1" x14ac:dyDescent="0.25">
      <c r="B17" s="36" t="s">
        <v>53</v>
      </c>
      <c r="C17" s="33">
        <v>11</v>
      </c>
      <c r="D17" s="329">
        <f>COUNTIF($F$6:$F$161,"11")</f>
        <v>0</v>
      </c>
      <c r="E17" s="347">
        <f t="shared" si="1"/>
        <v>12</v>
      </c>
      <c r="F17" s="8">
        <f t="shared" si="0"/>
        <v>2</v>
      </c>
      <c r="G17" s="6">
        <v>2</v>
      </c>
      <c r="H17" s="566">
        <v>45696</v>
      </c>
      <c r="I17" s="22">
        <v>10</v>
      </c>
      <c r="J17" s="623">
        <v>0.59027777777777779</v>
      </c>
      <c r="K17" s="22">
        <v>16</v>
      </c>
      <c r="L17" s="22">
        <v>52</v>
      </c>
      <c r="M17" s="22" t="s">
        <v>1018</v>
      </c>
      <c r="N17" s="22" t="s">
        <v>460</v>
      </c>
      <c r="O17" s="623">
        <v>0.59583333333333333</v>
      </c>
      <c r="P17" s="623">
        <v>0.63055555555555554</v>
      </c>
      <c r="Q17" s="76">
        <v>1</v>
      </c>
      <c r="R17" s="28">
        <v>1</v>
      </c>
      <c r="S17" s="28">
        <v>1</v>
      </c>
      <c r="T17" s="28">
        <v>1</v>
      </c>
      <c r="U17" s="78">
        <v>1</v>
      </c>
      <c r="V17" s="76">
        <v>1</v>
      </c>
      <c r="W17" s="28">
        <v>1</v>
      </c>
      <c r="X17" s="78">
        <v>1</v>
      </c>
      <c r="Y17" s="76">
        <v>1</v>
      </c>
      <c r="Z17" s="28">
        <v>1</v>
      </c>
      <c r="AA17" s="28">
        <v>1</v>
      </c>
      <c r="AB17" s="28">
        <v>1</v>
      </c>
      <c r="AC17" s="78">
        <v>1</v>
      </c>
      <c r="AD17" s="28">
        <v>5</v>
      </c>
      <c r="AE17" s="28">
        <v>0</v>
      </c>
      <c r="AF17" s="28">
        <v>0</v>
      </c>
      <c r="AG17" s="28">
        <v>1</v>
      </c>
      <c r="AH17" s="78"/>
      <c r="AI17" s="76">
        <v>0</v>
      </c>
      <c r="AJ17" s="28" t="s">
        <v>424</v>
      </c>
      <c r="AK17" s="28" t="s">
        <v>424</v>
      </c>
      <c r="AL17" s="78" t="s">
        <v>424</v>
      </c>
      <c r="AM17" s="76">
        <v>1</v>
      </c>
      <c r="AN17" s="28">
        <v>1</v>
      </c>
      <c r="AO17" s="28">
        <v>1</v>
      </c>
      <c r="AP17" s="28">
        <v>1</v>
      </c>
      <c r="AQ17" s="78">
        <v>1</v>
      </c>
      <c r="AS17" s="28"/>
      <c r="AT17" s="28"/>
    </row>
    <row r="18" spans="2:46" ht="15" customHeight="1" thickBot="1" x14ac:dyDescent="0.3">
      <c r="B18" s="36" t="s">
        <v>854</v>
      </c>
      <c r="C18" s="33">
        <v>12</v>
      </c>
      <c r="D18" s="330">
        <f>COUNTIF($F$6:$F$161,"12")</f>
        <v>0</v>
      </c>
      <c r="E18" s="347" t="str">
        <f t="shared" si="1"/>
        <v/>
      </c>
      <c r="F18" s="8" t="str">
        <f t="shared" si="0"/>
        <v/>
      </c>
      <c r="G18" s="6"/>
      <c r="H18" s="567"/>
      <c r="I18" s="100"/>
      <c r="J18" s="100"/>
      <c r="K18" s="100"/>
      <c r="L18" s="100"/>
      <c r="M18" s="100"/>
      <c r="N18" s="100"/>
      <c r="O18" s="100"/>
      <c r="P18" s="100"/>
      <c r="Q18" s="76"/>
      <c r="R18" s="28"/>
      <c r="S18" s="28"/>
      <c r="T18" s="28"/>
      <c r="U18" s="78"/>
      <c r="V18" s="76"/>
      <c r="W18" s="28"/>
      <c r="X18" s="78"/>
      <c r="Y18" s="76"/>
      <c r="Z18" s="28"/>
      <c r="AA18" s="28"/>
      <c r="AB18" s="28"/>
      <c r="AC18" s="78"/>
      <c r="AD18" s="28"/>
      <c r="AE18" s="28"/>
      <c r="AF18" s="28"/>
      <c r="AG18" s="28"/>
      <c r="AH18" s="78"/>
      <c r="AI18" s="76"/>
      <c r="AJ18" s="28"/>
      <c r="AK18" s="28"/>
      <c r="AL18" s="78"/>
      <c r="AM18" s="76"/>
      <c r="AN18" s="28"/>
      <c r="AO18" s="28"/>
      <c r="AP18" s="28"/>
      <c r="AQ18" s="78"/>
    </row>
    <row r="19" spans="2:46" ht="15" customHeight="1" thickTop="1" thickBot="1" x14ac:dyDescent="0.3">
      <c r="B19" s="990" t="s">
        <v>878</v>
      </c>
      <c r="C19" s="991"/>
      <c r="D19" s="327">
        <f>SUM(D7:D18)</f>
        <v>12</v>
      </c>
      <c r="E19" s="347" t="str">
        <f t="shared" si="1"/>
        <v/>
      </c>
      <c r="F19" s="8" t="str">
        <f t="shared" si="0"/>
        <v/>
      </c>
      <c r="G19" s="6"/>
      <c r="H19" s="565"/>
      <c r="I19" s="28"/>
      <c r="J19" s="299"/>
      <c r="K19" s="28"/>
      <c r="L19" s="28"/>
      <c r="M19" s="28"/>
      <c r="N19" s="28"/>
      <c r="O19" s="299"/>
      <c r="P19" s="299"/>
      <c r="Q19" s="76"/>
      <c r="R19" s="28"/>
      <c r="S19" s="28"/>
      <c r="T19" s="28"/>
      <c r="U19" s="78"/>
      <c r="V19" s="76"/>
      <c r="W19" s="28"/>
      <c r="X19" s="78"/>
      <c r="Y19" s="76"/>
      <c r="Z19" s="28"/>
      <c r="AA19" s="28"/>
      <c r="AB19" s="28"/>
      <c r="AC19" s="78"/>
      <c r="AD19" s="28"/>
      <c r="AE19" s="28"/>
      <c r="AF19" s="28"/>
      <c r="AG19" s="28"/>
      <c r="AH19" s="78"/>
      <c r="AI19" s="76"/>
      <c r="AJ19" s="28"/>
      <c r="AK19" s="28"/>
      <c r="AL19" s="78"/>
      <c r="AM19" s="76"/>
      <c r="AN19" s="28"/>
      <c r="AO19" s="28"/>
      <c r="AP19" s="28"/>
      <c r="AQ19" s="78"/>
    </row>
    <row r="20" spans="2:46" ht="15" customHeight="1" thickBot="1" x14ac:dyDescent="0.3">
      <c r="B20" s="696" t="s">
        <v>972</v>
      </c>
      <c r="C20" s="988"/>
      <c r="D20" s="988"/>
      <c r="E20" s="347" t="str">
        <f t="shared" si="1"/>
        <v/>
      </c>
      <c r="F20" s="8" t="str">
        <f t="shared" si="0"/>
        <v/>
      </c>
      <c r="G20" s="6"/>
      <c r="H20" s="565"/>
      <c r="I20" s="28"/>
      <c r="J20" s="299"/>
      <c r="K20" s="28"/>
      <c r="L20" s="28"/>
      <c r="M20" s="28"/>
      <c r="N20" s="28"/>
      <c r="O20" s="299"/>
      <c r="P20" s="299"/>
      <c r="Q20" s="76"/>
      <c r="R20" s="28"/>
      <c r="S20" s="28"/>
      <c r="T20" s="28"/>
      <c r="U20" s="78"/>
      <c r="V20" s="76"/>
      <c r="W20" s="28"/>
      <c r="X20" s="78"/>
      <c r="Y20" s="76"/>
      <c r="Z20" s="28"/>
      <c r="AA20" s="28"/>
      <c r="AB20" s="28"/>
      <c r="AC20" s="78"/>
      <c r="AD20" s="28"/>
      <c r="AE20" s="28"/>
      <c r="AF20" s="28"/>
      <c r="AG20" s="28"/>
      <c r="AH20" s="78"/>
      <c r="AI20" s="76"/>
      <c r="AJ20" s="28"/>
      <c r="AK20" s="28"/>
      <c r="AL20" s="78"/>
      <c r="AM20" s="76"/>
      <c r="AN20" s="28"/>
      <c r="AO20" s="28"/>
      <c r="AP20" s="28"/>
      <c r="AQ20" s="78"/>
    </row>
    <row r="21" spans="2:46" ht="15" customHeight="1" x14ac:dyDescent="0.25">
      <c r="B21" s="475" t="str">
        <f>HDG_1</f>
        <v>AFR</v>
      </c>
      <c r="C21" s="476">
        <v>1</v>
      </c>
      <c r="D21" s="429">
        <f>COUNTIF($G$6:$G$161,C21)</f>
        <v>4</v>
      </c>
      <c r="E21" s="347" t="str">
        <f t="shared" si="1"/>
        <v/>
      </c>
      <c r="F21" s="8" t="str">
        <f t="shared" si="0"/>
        <v/>
      </c>
      <c r="G21" s="6"/>
      <c r="H21" s="565"/>
      <c r="I21" s="28"/>
      <c r="J21" s="299"/>
      <c r="K21" s="28"/>
      <c r="L21" s="28"/>
      <c r="M21" s="28"/>
      <c r="N21" s="28"/>
      <c r="O21" s="299"/>
      <c r="P21" s="299"/>
      <c r="Q21" s="76"/>
      <c r="R21" s="28"/>
      <c r="S21" s="28"/>
      <c r="T21" s="28"/>
      <c r="U21" s="78"/>
      <c r="V21" s="76"/>
      <c r="W21" s="28"/>
      <c r="X21" s="78"/>
      <c r="Y21" s="76"/>
      <c r="Z21" s="28"/>
      <c r="AA21" s="28"/>
      <c r="AB21" s="28"/>
      <c r="AC21" s="78"/>
      <c r="AD21" s="28"/>
      <c r="AE21" s="28"/>
      <c r="AF21" s="28"/>
      <c r="AG21" s="28"/>
      <c r="AH21" s="78"/>
      <c r="AI21" s="76"/>
      <c r="AJ21" s="28"/>
      <c r="AK21" s="28"/>
      <c r="AL21" s="78"/>
      <c r="AM21" s="76"/>
      <c r="AN21" s="28"/>
      <c r="AO21" s="28"/>
      <c r="AP21" s="28"/>
      <c r="AQ21" s="78"/>
    </row>
    <row r="22" spans="2:46" ht="15" customHeight="1" x14ac:dyDescent="0.25">
      <c r="B22" s="323" t="str">
        <f>HDG_2</f>
        <v>AVP</v>
      </c>
      <c r="C22" s="324">
        <v>2</v>
      </c>
      <c r="D22" s="66">
        <f>COUNTIF($G$6:$G$161,C22)</f>
        <v>4</v>
      </c>
      <c r="E22" s="347" t="str">
        <f t="shared" si="1"/>
        <v/>
      </c>
      <c r="F22" s="8" t="str">
        <f t="shared" si="0"/>
        <v/>
      </c>
      <c r="G22" s="6"/>
      <c r="H22" s="565"/>
      <c r="I22" s="28"/>
      <c r="J22" s="299"/>
      <c r="K22" s="28"/>
      <c r="L22" s="28"/>
      <c r="M22" s="28"/>
      <c r="N22" s="28"/>
      <c r="O22" s="299"/>
      <c r="P22" s="299"/>
      <c r="Q22" s="76"/>
      <c r="R22" s="28"/>
      <c r="S22" s="28"/>
      <c r="T22" s="28"/>
      <c r="U22" s="78"/>
      <c r="V22" s="76"/>
      <c r="W22" s="28"/>
      <c r="X22" s="78"/>
      <c r="Y22" s="76"/>
      <c r="Z22" s="28"/>
      <c r="AA22" s="28"/>
      <c r="AB22" s="28"/>
      <c r="AC22" s="78"/>
      <c r="AD22" s="28"/>
      <c r="AE22" s="28"/>
      <c r="AF22" s="28"/>
      <c r="AG22" s="28"/>
      <c r="AH22" s="78"/>
      <c r="AI22" s="76"/>
      <c r="AJ22" s="28"/>
      <c r="AK22" s="28"/>
      <c r="AL22" s="78"/>
      <c r="AM22" s="76"/>
      <c r="AN22" s="28"/>
      <c r="AO22" s="28"/>
      <c r="AP22" s="28"/>
      <c r="AQ22" s="78"/>
    </row>
    <row r="23" spans="2:46" ht="15" customHeight="1" x14ac:dyDescent="0.25">
      <c r="B23" s="323" t="str">
        <f>HDG_3</f>
        <v>ALZ</v>
      </c>
      <c r="C23" s="324">
        <v>3</v>
      </c>
      <c r="D23" s="66">
        <f>COUNTIF($G$6:$G$161,C23)</f>
        <v>2</v>
      </c>
      <c r="E23" s="347" t="str">
        <f t="shared" si="1"/>
        <v/>
      </c>
      <c r="F23" s="8" t="str">
        <f t="shared" si="0"/>
        <v/>
      </c>
      <c r="G23" s="6"/>
      <c r="H23" s="565"/>
      <c r="I23" s="28"/>
      <c r="J23" s="299"/>
      <c r="K23" s="28"/>
      <c r="L23" s="28"/>
      <c r="M23" s="28"/>
      <c r="N23" s="28"/>
      <c r="O23" s="299"/>
      <c r="P23" s="299"/>
      <c r="Q23" s="76"/>
      <c r="R23" s="28"/>
      <c r="S23" s="28"/>
      <c r="T23" s="28"/>
      <c r="U23" s="78"/>
      <c r="V23" s="76"/>
      <c r="W23" s="28"/>
      <c r="X23" s="78"/>
      <c r="Y23" s="76"/>
      <c r="Z23" s="28"/>
      <c r="AA23" s="28"/>
      <c r="AB23" s="28"/>
      <c r="AC23" s="78"/>
      <c r="AD23" s="28"/>
      <c r="AE23" s="28"/>
      <c r="AF23" s="28"/>
      <c r="AG23" s="28"/>
      <c r="AH23" s="78"/>
      <c r="AI23" s="76"/>
      <c r="AJ23" s="28"/>
      <c r="AK23" s="28"/>
      <c r="AL23" s="78"/>
      <c r="AM23" s="76"/>
      <c r="AN23" s="28"/>
      <c r="AO23" s="28"/>
      <c r="AP23" s="28"/>
      <c r="AQ23" s="78"/>
    </row>
    <row r="24" spans="2:46" ht="15" customHeight="1" thickBot="1" x14ac:dyDescent="0.3">
      <c r="B24" s="477" t="str">
        <f>HDG_4</f>
        <v>MZS</v>
      </c>
      <c r="C24" s="478">
        <v>4</v>
      </c>
      <c r="D24" s="67">
        <f>COUNTIF($G$6:$G$161,C24)</f>
        <v>2</v>
      </c>
      <c r="E24" s="347" t="str">
        <f t="shared" si="1"/>
        <v/>
      </c>
      <c r="F24" s="8" t="str">
        <f t="shared" si="0"/>
        <v/>
      </c>
      <c r="G24" s="6"/>
      <c r="H24" s="565"/>
      <c r="I24" s="28"/>
      <c r="J24" s="299"/>
      <c r="K24" s="28"/>
      <c r="L24" s="28"/>
      <c r="M24" s="28"/>
      <c r="N24" s="28"/>
      <c r="O24" s="299"/>
      <c r="P24" s="299"/>
      <c r="Q24" s="76"/>
      <c r="R24" s="28"/>
      <c r="S24" s="28"/>
      <c r="T24" s="28"/>
      <c r="U24" s="78"/>
      <c r="V24" s="76"/>
      <c r="W24" s="28"/>
      <c r="X24" s="78"/>
      <c r="Y24" s="76"/>
      <c r="Z24" s="28"/>
      <c r="AA24" s="28"/>
      <c r="AB24" s="28"/>
      <c r="AC24" s="78"/>
      <c r="AD24" s="28"/>
      <c r="AE24" s="28"/>
      <c r="AF24" s="28"/>
      <c r="AG24" s="28"/>
      <c r="AH24" s="78"/>
      <c r="AI24" s="76"/>
      <c r="AJ24" s="28"/>
      <c r="AK24" s="28"/>
      <c r="AL24" s="78"/>
      <c r="AM24" s="76"/>
      <c r="AN24" s="28"/>
      <c r="AO24" s="28"/>
      <c r="AP24" s="28"/>
      <c r="AQ24" s="78"/>
    </row>
    <row r="25" spans="2:46" ht="15" customHeight="1" thickBot="1" x14ac:dyDescent="0.3">
      <c r="B25" s="984" t="s">
        <v>973</v>
      </c>
      <c r="C25" s="985"/>
      <c r="D25" s="986"/>
      <c r="E25" s="347" t="str">
        <f t="shared" si="1"/>
        <v/>
      </c>
      <c r="F25" s="8" t="str">
        <f t="shared" si="0"/>
        <v/>
      </c>
      <c r="G25" s="6"/>
      <c r="H25" s="565"/>
      <c r="I25" s="28"/>
      <c r="J25" s="28"/>
      <c r="K25" s="28"/>
      <c r="L25" s="28"/>
      <c r="M25" s="28"/>
      <c r="N25" s="28"/>
      <c r="O25" s="28"/>
      <c r="P25" s="28"/>
      <c r="Q25" s="76"/>
      <c r="R25" s="28"/>
      <c r="S25" s="28"/>
      <c r="T25" s="28"/>
      <c r="U25" s="78"/>
      <c r="V25" s="76"/>
      <c r="W25" s="28"/>
      <c r="X25" s="78"/>
      <c r="Y25" s="76"/>
      <c r="Z25" s="28"/>
      <c r="AA25" s="28"/>
      <c r="AB25" s="28"/>
      <c r="AC25" s="78"/>
      <c r="AD25" s="28"/>
      <c r="AE25" s="28"/>
      <c r="AF25" s="28"/>
      <c r="AG25" s="28"/>
      <c r="AH25" s="78"/>
      <c r="AI25" s="76"/>
      <c r="AJ25" s="28"/>
      <c r="AK25" s="28"/>
      <c r="AL25" s="78"/>
      <c r="AM25" s="76"/>
      <c r="AN25" s="28"/>
      <c r="AO25" s="28"/>
      <c r="AP25" s="28"/>
      <c r="AQ25" s="78"/>
    </row>
    <row r="26" spans="2:46" ht="15" customHeight="1" x14ac:dyDescent="0.25">
      <c r="B26" s="867" t="s">
        <v>975</v>
      </c>
      <c r="C26" s="324">
        <v>1</v>
      </c>
      <c r="D26" s="36">
        <f>COUNTIF($Q$6:$U$161,2)</f>
        <v>0</v>
      </c>
      <c r="E26" s="347" t="str">
        <f t="shared" si="1"/>
        <v/>
      </c>
      <c r="F26" s="8" t="str">
        <f t="shared" si="0"/>
        <v/>
      </c>
      <c r="G26" s="6"/>
      <c r="H26" s="566"/>
      <c r="I26" s="22"/>
      <c r="J26" s="22"/>
      <c r="K26" s="22"/>
      <c r="L26" s="22"/>
      <c r="M26" s="22"/>
      <c r="N26" s="22"/>
      <c r="O26" s="22"/>
      <c r="P26" s="22"/>
      <c r="Q26" s="76"/>
      <c r="R26" s="28"/>
      <c r="S26" s="28"/>
      <c r="T26" s="28"/>
      <c r="U26" s="78"/>
      <c r="V26" s="76"/>
      <c r="W26" s="28"/>
      <c r="X26" s="78"/>
      <c r="Y26" s="76"/>
      <c r="Z26" s="28"/>
      <c r="AA26" s="28"/>
      <c r="AB26" s="28"/>
      <c r="AC26" s="78"/>
      <c r="AD26" s="28"/>
      <c r="AE26" s="28"/>
      <c r="AF26" s="28"/>
      <c r="AG26" s="28"/>
      <c r="AH26" s="78"/>
      <c r="AI26" s="76"/>
      <c r="AJ26" s="28"/>
      <c r="AK26" s="28"/>
      <c r="AL26" s="78"/>
      <c r="AM26" s="76"/>
      <c r="AN26" s="28"/>
      <c r="AO26" s="28"/>
      <c r="AP26" s="28"/>
      <c r="AQ26" s="78"/>
    </row>
    <row r="27" spans="2:46" ht="15" customHeight="1" x14ac:dyDescent="0.25">
      <c r="B27" s="987"/>
      <c r="C27" s="324">
        <v>2</v>
      </c>
      <c r="D27" s="36">
        <f>COUNTIF($V$6:$X$161,2)</f>
        <v>0</v>
      </c>
      <c r="E27" s="347" t="str">
        <f t="shared" si="1"/>
        <v/>
      </c>
      <c r="F27" s="8" t="str">
        <f t="shared" si="0"/>
        <v/>
      </c>
      <c r="G27" s="6"/>
      <c r="H27" s="568"/>
      <c r="Q27" s="46"/>
      <c r="U27" s="3"/>
      <c r="V27" s="46"/>
      <c r="X27" s="3"/>
      <c r="Y27" s="46"/>
      <c r="AC27" s="3"/>
      <c r="AH27" s="3"/>
      <c r="AI27" s="46"/>
      <c r="AL27" s="3"/>
      <c r="AM27" s="46"/>
      <c r="AQ27" s="3"/>
    </row>
    <row r="28" spans="2:46" ht="15" customHeight="1" x14ac:dyDescent="0.25">
      <c r="B28" s="987"/>
      <c r="C28" s="324" t="s">
        <v>974</v>
      </c>
      <c r="D28" s="36">
        <f>COUNTIF($Y$6:$AC$161,2)</f>
        <v>0</v>
      </c>
      <c r="E28" s="347" t="str">
        <f t="shared" si="1"/>
        <v/>
      </c>
      <c r="F28" s="8" t="str">
        <f t="shared" si="0"/>
        <v/>
      </c>
      <c r="G28" s="6"/>
      <c r="H28" s="568"/>
      <c r="Q28" s="46"/>
      <c r="U28" s="3"/>
      <c r="V28" s="46"/>
      <c r="X28" s="3"/>
      <c r="Y28" s="46"/>
      <c r="AC28" s="3"/>
      <c r="AH28" s="3"/>
      <c r="AI28" s="46"/>
      <c r="AL28" s="3"/>
      <c r="AM28" s="46"/>
      <c r="AQ28" s="3"/>
    </row>
    <row r="29" spans="2:46" ht="15" customHeight="1" x14ac:dyDescent="0.25">
      <c r="B29" s="987"/>
      <c r="C29" s="324">
        <v>5</v>
      </c>
      <c r="D29" s="36">
        <f>COUNTIF($AE$6:$AG$161,2)</f>
        <v>0</v>
      </c>
      <c r="E29" s="347" t="str">
        <f t="shared" si="1"/>
        <v/>
      </c>
      <c r="F29" s="8" t="str">
        <f t="shared" si="0"/>
        <v/>
      </c>
      <c r="G29" s="6"/>
      <c r="H29" s="565"/>
      <c r="I29" s="28"/>
      <c r="J29" s="28"/>
      <c r="K29" s="28"/>
      <c r="L29" s="28"/>
      <c r="M29" s="28"/>
      <c r="N29" s="28"/>
      <c r="O29" s="28"/>
      <c r="P29" s="28"/>
      <c r="Q29" s="76"/>
      <c r="R29" s="28"/>
      <c r="S29" s="28"/>
      <c r="T29" s="28"/>
      <c r="U29" s="78"/>
      <c r="V29" s="76"/>
      <c r="W29" s="28"/>
      <c r="X29" s="78"/>
      <c r="Y29" s="76"/>
      <c r="Z29" s="28"/>
      <c r="AA29" s="28"/>
      <c r="AB29" s="28"/>
      <c r="AC29" s="78"/>
      <c r="AD29" s="28"/>
      <c r="AE29" s="28"/>
      <c r="AF29" s="28"/>
      <c r="AG29" s="28"/>
      <c r="AH29" s="78"/>
      <c r="AI29" s="76"/>
      <c r="AJ29" s="28"/>
      <c r="AK29" s="28"/>
      <c r="AL29" s="78"/>
      <c r="AM29" s="76"/>
      <c r="AN29" s="28"/>
      <c r="AO29" s="28"/>
      <c r="AP29" s="28"/>
      <c r="AQ29" s="78"/>
    </row>
    <row r="30" spans="2:46" ht="15" customHeight="1" x14ac:dyDescent="0.25">
      <c r="B30" s="987"/>
      <c r="C30" s="324">
        <v>6</v>
      </c>
      <c r="D30" s="36">
        <f>COUNTIF($AI$6:$AL$161,2)</f>
        <v>0</v>
      </c>
      <c r="E30" s="347" t="str">
        <f t="shared" si="1"/>
        <v/>
      </c>
      <c r="F30" s="8" t="str">
        <f t="shared" si="0"/>
        <v/>
      </c>
      <c r="G30" s="6"/>
      <c r="H30" s="566"/>
      <c r="I30" s="22"/>
      <c r="J30" s="22"/>
      <c r="K30" s="22"/>
      <c r="L30" s="22"/>
      <c r="M30" s="22"/>
      <c r="N30" s="22"/>
      <c r="O30" s="22"/>
      <c r="P30" s="22"/>
      <c r="Q30" s="76"/>
      <c r="R30" s="28"/>
      <c r="S30" s="28"/>
      <c r="T30" s="28"/>
      <c r="U30" s="78"/>
      <c r="V30" s="76"/>
      <c r="W30" s="28"/>
      <c r="X30" s="78"/>
      <c r="Y30" s="76"/>
      <c r="Z30" s="28"/>
      <c r="AA30" s="28"/>
      <c r="AB30" s="28"/>
      <c r="AC30" s="78"/>
      <c r="AD30" s="28"/>
      <c r="AE30" s="28"/>
      <c r="AF30" s="28"/>
      <c r="AG30" s="28"/>
      <c r="AH30" s="78"/>
      <c r="AI30" s="76"/>
      <c r="AJ30" s="28"/>
      <c r="AK30" s="28"/>
      <c r="AL30" s="78"/>
      <c r="AM30" s="76"/>
      <c r="AN30" s="28"/>
      <c r="AO30" s="28"/>
      <c r="AP30" s="28"/>
      <c r="AQ30" s="78"/>
    </row>
    <row r="31" spans="2:46" ht="15" customHeight="1" thickBot="1" x14ac:dyDescent="0.3">
      <c r="B31" s="987"/>
      <c r="C31" s="324">
        <v>7</v>
      </c>
      <c r="D31" s="36">
        <f>COUNTIF($AM$6:$AQ$161,2)</f>
        <v>2</v>
      </c>
      <c r="E31" s="347" t="str">
        <f t="shared" si="1"/>
        <v/>
      </c>
      <c r="F31" s="8" t="str">
        <f t="shared" si="0"/>
        <v/>
      </c>
      <c r="G31" s="6"/>
      <c r="H31" s="567"/>
      <c r="I31" s="100"/>
      <c r="J31" s="100"/>
      <c r="K31" s="100"/>
      <c r="L31" s="100"/>
      <c r="M31" s="100"/>
      <c r="N31" s="100"/>
      <c r="O31" s="100"/>
      <c r="P31" s="100"/>
      <c r="Q31" s="76"/>
      <c r="R31" s="28"/>
      <c r="S31" s="28"/>
      <c r="T31" s="28"/>
      <c r="U31" s="78"/>
      <c r="V31" s="76"/>
      <c r="W31" s="28"/>
      <c r="X31" s="78"/>
      <c r="Y31" s="76"/>
      <c r="Z31" s="28"/>
      <c r="AA31" s="28"/>
      <c r="AB31" s="28"/>
      <c r="AC31" s="78"/>
      <c r="AD31" s="28"/>
      <c r="AE31" s="28"/>
      <c r="AF31" s="28"/>
      <c r="AG31" s="28"/>
      <c r="AH31" s="78"/>
      <c r="AI31" s="76"/>
      <c r="AJ31" s="28"/>
      <c r="AK31" s="28"/>
      <c r="AL31" s="78"/>
      <c r="AM31" s="76"/>
      <c r="AN31" s="28"/>
      <c r="AO31" s="28"/>
      <c r="AP31" s="28"/>
      <c r="AQ31" s="78"/>
    </row>
    <row r="32" spans="2:46" ht="15" customHeight="1" x14ac:dyDescent="0.25">
      <c r="B32" s="110">
        <v>1</v>
      </c>
      <c r="C32" s="129">
        <v>11</v>
      </c>
      <c r="D32" s="110">
        <f>COUNTIFS(Q6:Q161,2,$G$6:$G$161,$B$32)</f>
        <v>0</v>
      </c>
      <c r="E32" s="347" t="str">
        <f t="shared" si="1"/>
        <v/>
      </c>
      <c r="F32" s="8" t="str">
        <f t="shared" si="0"/>
        <v/>
      </c>
      <c r="G32" s="6"/>
      <c r="H32" s="565"/>
      <c r="I32" s="28"/>
      <c r="J32" s="299"/>
      <c r="K32" s="28"/>
      <c r="L32" s="28"/>
      <c r="M32" s="28"/>
      <c r="N32" s="28"/>
      <c r="O32" s="299"/>
      <c r="P32" s="299"/>
      <c r="Q32" s="76"/>
      <c r="R32" s="28"/>
      <c r="S32" s="28"/>
      <c r="T32" s="28"/>
      <c r="U32" s="78"/>
      <c r="V32" s="76"/>
      <c r="W32" s="28"/>
      <c r="X32" s="78"/>
      <c r="Y32" s="76"/>
      <c r="Z32" s="28"/>
      <c r="AA32" s="28"/>
      <c r="AB32" s="28"/>
      <c r="AC32" s="78"/>
      <c r="AD32" s="28"/>
      <c r="AE32" s="28"/>
      <c r="AF32" s="28"/>
      <c r="AG32" s="28"/>
      <c r="AH32" s="78"/>
      <c r="AI32" s="76"/>
      <c r="AJ32" s="28"/>
      <c r="AK32" s="28"/>
      <c r="AL32" s="78"/>
      <c r="AM32" s="76"/>
      <c r="AN32" s="28"/>
      <c r="AO32" s="28"/>
      <c r="AP32" s="28"/>
      <c r="AQ32" s="78"/>
    </row>
    <row r="33" spans="2:43" ht="15" customHeight="1" x14ac:dyDescent="0.25">
      <c r="B33" s="68"/>
      <c r="C33" s="36">
        <v>12</v>
      </c>
      <c r="D33" s="68">
        <f>COUNTIFS($R$6:$R$161,2,$G$6:$G$161,$B$32)</f>
        <v>0</v>
      </c>
      <c r="E33" s="347" t="str">
        <f t="shared" si="1"/>
        <v/>
      </c>
      <c r="F33" s="8" t="str">
        <f t="shared" si="0"/>
        <v/>
      </c>
      <c r="G33" s="6"/>
      <c r="H33" s="565"/>
      <c r="I33" s="28"/>
      <c r="J33" s="299"/>
      <c r="K33" s="28"/>
      <c r="L33" s="28"/>
      <c r="M33" s="28"/>
      <c r="N33" s="28"/>
      <c r="O33" s="299"/>
      <c r="P33" s="299"/>
      <c r="Q33" s="76"/>
      <c r="R33" s="28"/>
      <c r="S33" s="28"/>
      <c r="T33" s="28"/>
      <c r="U33" s="78"/>
      <c r="V33" s="76"/>
      <c r="W33" s="28"/>
      <c r="X33" s="78"/>
      <c r="Y33" s="76"/>
      <c r="Z33" s="28"/>
      <c r="AA33" s="28"/>
      <c r="AB33" s="28"/>
      <c r="AC33" s="78"/>
      <c r="AD33" s="28"/>
      <c r="AE33" s="28"/>
      <c r="AF33" s="28"/>
      <c r="AG33" s="28"/>
      <c r="AH33" s="78"/>
      <c r="AI33" s="76"/>
      <c r="AJ33" s="28"/>
      <c r="AK33" s="28"/>
      <c r="AL33" s="78"/>
      <c r="AM33" s="76"/>
      <c r="AN33" s="28"/>
      <c r="AO33" s="28"/>
      <c r="AP33" s="28"/>
      <c r="AQ33" s="78"/>
    </row>
    <row r="34" spans="2:43" ht="15" customHeight="1" x14ac:dyDescent="0.25">
      <c r="B34" s="68"/>
      <c r="C34" s="36">
        <v>13</v>
      </c>
      <c r="D34" s="68">
        <f>COUNTIFS($S$6:$S$161,2,$G$6:$G$161,$B$32)</f>
        <v>0</v>
      </c>
      <c r="E34" s="347" t="str">
        <f t="shared" si="1"/>
        <v/>
      </c>
      <c r="F34" s="8" t="str">
        <f t="shared" si="0"/>
        <v/>
      </c>
      <c r="G34" s="6"/>
      <c r="H34" s="565"/>
      <c r="I34" s="28"/>
      <c r="J34" s="299"/>
      <c r="K34" s="28"/>
      <c r="L34" s="28"/>
      <c r="M34" s="28"/>
      <c r="N34" s="28"/>
      <c r="O34" s="299"/>
      <c r="P34" s="299"/>
      <c r="Q34" s="76"/>
      <c r="R34" s="28"/>
      <c r="S34" s="28"/>
      <c r="T34" s="28"/>
      <c r="U34" s="78"/>
      <c r="V34" s="76"/>
      <c r="W34" s="28"/>
      <c r="X34" s="78"/>
      <c r="Y34" s="76"/>
      <c r="Z34" s="28"/>
      <c r="AA34" s="28"/>
      <c r="AB34" s="28"/>
      <c r="AC34" s="78"/>
      <c r="AD34" s="28"/>
      <c r="AE34" s="28"/>
      <c r="AF34" s="28"/>
      <c r="AG34" s="28"/>
      <c r="AH34" s="78"/>
      <c r="AI34" s="76"/>
      <c r="AJ34" s="28"/>
      <c r="AK34" s="28"/>
      <c r="AL34" s="78"/>
      <c r="AM34" s="76"/>
      <c r="AN34" s="28"/>
      <c r="AO34" s="28"/>
      <c r="AP34" s="28"/>
      <c r="AQ34" s="78"/>
    </row>
    <row r="35" spans="2:43" ht="15" customHeight="1" x14ac:dyDescent="0.25">
      <c r="B35" s="68"/>
      <c r="C35" s="36">
        <v>14</v>
      </c>
      <c r="D35" s="68">
        <f>COUNTIFS($T$6:$T$161,2,$G$6:$G$161,$B$32)</f>
        <v>0</v>
      </c>
      <c r="E35" s="347" t="str">
        <f t="shared" si="1"/>
        <v/>
      </c>
      <c r="F35" s="8" t="str">
        <f t="shared" si="0"/>
        <v/>
      </c>
      <c r="G35" s="6"/>
      <c r="H35" s="565"/>
      <c r="I35" s="28"/>
      <c r="J35" s="299"/>
      <c r="K35" s="28"/>
      <c r="L35" s="28"/>
      <c r="M35" s="28"/>
      <c r="N35" s="28"/>
      <c r="O35" s="299"/>
      <c r="P35" s="299"/>
      <c r="Q35" s="76"/>
      <c r="R35" s="28"/>
      <c r="S35" s="28"/>
      <c r="T35" s="28"/>
      <c r="U35" s="78"/>
      <c r="V35" s="76"/>
      <c r="W35" s="28"/>
      <c r="X35" s="78"/>
      <c r="Y35" s="76"/>
      <c r="Z35" s="28"/>
      <c r="AA35" s="28"/>
      <c r="AB35" s="28"/>
      <c r="AC35" s="78"/>
      <c r="AD35" s="28"/>
      <c r="AE35" s="28"/>
      <c r="AF35" s="28"/>
      <c r="AG35" s="28"/>
      <c r="AH35" s="78"/>
      <c r="AI35" s="76"/>
      <c r="AJ35" s="28"/>
      <c r="AK35" s="28"/>
      <c r="AL35" s="78"/>
      <c r="AM35" s="76"/>
      <c r="AN35" s="28"/>
      <c r="AO35" s="28"/>
      <c r="AP35" s="28"/>
      <c r="AQ35" s="78"/>
    </row>
    <row r="36" spans="2:43" ht="15.75" customHeight="1" x14ac:dyDescent="0.25">
      <c r="B36" s="321"/>
      <c r="C36" s="36">
        <v>15</v>
      </c>
      <c r="D36" s="68">
        <f>COUNTIFS($U$6:$U$161,2,$G$6:$G$161,$B$32)</f>
        <v>0</v>
      </c>
      <c r="E36" s="347" t="str">
        <f t="shared" si="1"/>
        <v/>
      </c>
      <c r="F36" s="8" t="str">
        <f t="shared" si="0"/>
        <v/>
      </c>
      <c r="G36" s="6"/>
      <c r="H36" s="565"/>
      <c r="I36" s="28"/>
      <c r="J36" s="299"/>
      <c r="K36" s="28"/>
      <c r="L36" s="28"/>
      <c r="M36" s="28"/>
      <c r="N36" s="28"/>
      <c r="O36" s="299"/>
      <c r="P36" s="299"/>
      <c r="Q36" s="76"/>
      <c r="R36" s="28"/>
      <c r="S36" s="28"/>
      <c r="T36" s="28"/>
      <c r="U36" s="78"/>
      <c r="V36" s="76"/>
      <c r="W36" s="28"/>
      <c r="X36" s="78"/>
      <c r="Y36" s="76"/>
      <c r="Z36" s="28"/>
      <c r="AA36" s="28"/>
      <c r="AB36" s="28"/>
      <c r="AC36" s="78"/>
      <c r="AD36" s="28"/>
      <c r="AE36" s="28"/>
      <c r="AF36" s="28"/>
      <c r="AG36" s="28"/>
      <c r="AH36" s="78"/>
      <c r="AI36" s="76"/>
      <c r="AJ36" s="28"/>
      <c r="AK36" s="28"/>
      <c r="AL36" s="78"/>
      <c r="AM36" s="76"/>
      <c r="AN36" s="28"/>
      <c r="AO36" s="28"/>
      <c r="AP36" s="28"/>
      <c r="AQ36" s="78"/>
    </row>
    <row r="37" spans="2:43" ht="15.75" customHeight="1" x14ac:dyDescent="0.25">
      <c r="B37" s="321"/>
      <c r="C37" s="36">
        <v>16</v>
      </c>
      <c r="D37" s="68">
        <f>COUNTIFS($V$6:$V$161,2,$G$6:$G$161,$B$32)</f>
        <v>0</v>
      </c>
      <c r="E37" s="347" t="str">
        <f t="shared" si="1"/>
        <v/>
      </c>
      <c r="F37" s="8" t="str">
        <f t="shared" si="0"/>
        <v/>
      </c>
      <c r="G37" s="6"/>
      <c r="H37" s="565"/>
      <c r="I37" s="28"/>
      <c r="J37" s="299"/>
      <c r="K37" s="28"/>
      <c r="L37" s="28"/>
      <c r="M37" s="28"/>
      <c r="N37" s="28"/>
      <c r="O37" s="299"/>
      <c r="P37" s="299"/>
      <c r="Q37" s="76"/>
      <c r="R37" s="28"/>
      <c r="S37" s="28"/>
      <c r="T37" s="28"/>
      <c r="U37" s="78"/>
      <c r="V37" s="76"/>
      <c r="W37" s="28"/>
      <c r="X37" s="78"/>
      <c r="Y37" s="76"/>
      <c r="Z37" s="28"/>
      <c r="AA37" s="28"/>
      <c r="AB37" s="28"/>
      <c r="AC37" s="78"/>
      <c r="AD37" s="28"/>
      <c r="AE37" s="28"/>
      <c r="AF37" s="28"/>
      <c r="AG37" s="28"/>
      <c r="AH37" s="78"/>
      <c r="AI37" s="76"/>
      <c r="AJ37" s="28"/>
      <c r="AK37" s="28"/>
      <c r="AL37" s="78"/>
      <c r="AM37" s="76"/>
      <c r="AN37" s="28"/>
      <c r="AO37" s="28"/>
      <c r="AP37" s="28"/>
      <c r="AQ37" s="78"/>
    </row>
    <row r="38" spans="2:43" ht="15.75" customHeight="1" x14ac:dyDescent="0.25">
      <c r="B38" s="321"/>
      <c r="C38" s="36">
        <v>17</v>
      </c>
      <c r="D38" s="68">
        <f>COUNTIFS($W$6:$W$161,2,$G$6:$G$161,$B$32)</f>
        <v>0</v>
      </c>
      <c r="E38" s="347" t="str">
        <f t="shared" si="1"/>
        <v/>
      </c>
      <c r="F38" s="8" t="str">
        <f t="shared" si="0"/>
        <v/>
      </c>
      <c r="G38" s="6"/>
      <c r="H38" s="565"/>
      <c r="I38" s="28"/>
      <c r="J38" s="28"/>
      <c r="K38" s="28"/>
      <c r="L38" s="28"/>
      <c r="M38" s="28"/>
      <c r="N38" s="28"/>
      <c r="O38" s="28"/>
      <c r="P38" s="28"/>
      <c r="Q38" s="76"/>
      <c r="R38" s="28"/>
      <c r="S38" s="28"/>
      <c r="T38" s="28"/>
      <c r="U38" s="78"/>
      <c r="V38" s="76"/>
      <c r="W38" s="28"/>
      <c r="X38" s="78"/>
      <c r="Y38" s="76"/>
      <c r="Z38" s="28"/>
      <c r="AA38" s="28"/>
      <c r="AB38" s="28"/>
      <c r="AC38" s="78"/>
      <c r="AD38" s="28"/>
      <c r="AE38" s="28"/>
      <c r="AF38" s="28"/>
      <c r="AG38" s="28"/>
      <c r="AH38" s="78"/>
      <c r="AI38" s="76"/>
      <c r="AJ38" s="28"/>
      <c r="AK38" s="28"/>
      <c r="AL38" s="78"/>
      <c r="AM38" s="76"/>
      <c r="AN38" s="28"/>
      <c r="AO38" s="28"/>
      <c r="AP38" s="28"/>
      <c r="AQ38" s="78"/>
    </row>
    <row r="39" spans="2:43" ht="15" customHeight="1" x14ac:dyDescent="0.25">
      <c r="B39" s="321"/>
      <c r="C39" s="36">
        <v>18</v>
      </c>
      <c r="D39" s="68">
        <f>COUNTIFS($X$6:$X$161,2,$G$6:$G$161,$B$32)</f>
        <v>0</v>
      </c>
      <c r="E39" s="347" t="str">
        <f t="shared" si="1"/>
        <v/>
      </c>
      <c r="F39" s="8" t="str">
        <f t="shared" si="0"/>
        <v/>
      </c>
      <c r="G39" s="6"/>
      <c r="H39" s="566"/>
      <c r="I39" s="22"/>
      <c r="J39" s="22"/>
      <c r="K39" s="22"/>
      <c r="L39" s="22"/>
      <c r="M39" s="22"/>
      <c r="N39" s="22"/>
      <c r="O39" s="22"/>
      <c r="P39" s="22"/>
      <c r="Q39" s="76"/>
      <c r="R39" s="28"/>
      <c r="S39" s="28"/>
      <c r="T39" s="28"/>
      <c r="U39" s="78"/>
      <c r="V39" s="76"/>
      <c r="W39" s="28"/>
      <c r="X39" s="78"/>
      <c r="Y39" s="76"/>
      <c r="Z39" s="28"/>
      <c r="AA39" s="28"/>
      <c r="AB39" s="28"/>
      <c r="AC39" s="78"/>
      <c r="AD39" s="28"/>
      <c r="AE39" s="28"/>
      <c r="AF39" s="28"/>
      <c r="AG39" s="28"/>
      <c r="AH39" s="78"/>
      <c r="AI39" s="76"/>
      <c r="AJ39" s="28"/>
      <c r="AK39" s="28"/>
      <c r="AL39" s="78"/>
      <c r="AM39" s="76"/>
      <c r="AN39" s="28"/>
      <c r="AO39" s="28"/>
      <c r="AP39" s="28"/>
      <c r="AQ39" s="78"/>
    </row>
    <row r="40" spans="2:43" ht="15" customHeight="1" x14ac:dyDescent="0.25">
      <c r="B40" s="321"/>
      <c r="C40" s="36">
        <v>19</v>
      </c>
      <c r="D40" s="68">
        <f>COUNTIFS($Z$6:$Z$161,2,$G$6:$G$161,$B$32)</f>
        <v>0</v>
      </c>
      <c r="E40" s="347" t="str">
        <f t="shared" si="1"/>
        <v/>
      </c>
      <c r="F40" s="8" t="str">
        <f t="shared" si="0"/>
        <v/>
      </c>
      <c r="G40" s="6"/>
      <c r="H40" s="568"/>
      <c r="Q40" s="46"/>
      <c r="U40" s="3"/>
      <c r="V40" s="46"/>
      <c r="X40" s="3"/>
      <c r="Y40" s="46"/>
      <c r="AC40" s="3"/>
      <c r="AH40" s="3"/>
      <c r="AI40" s="46"/>
      <c r="AL40" s="3"/>
      <c r="AM40" s="46"/>
      <c r="AQ40" s="3"/>
    </row>
    <row r="41" spans="2:43" ht="15" customHeight="1" x14ac:dyDescent="0.25">
      <c r="B41" s="321"/>
      <c r="C41" s="36">
        <v>20</v>
      </c>
      <c r="D41" s="68">
        <f>COUNTIFS($Z$6:$Z$161,2,$G$6:$G$161,$B$32)</f>
        <v>0</v>
      </c>
      <c r="E41" s="347" t="str">
        <f t="shared" si="1"/>
        <v/>
      </c>
      <c r="F41" s="8" t="str">
        <f t="shared" si="0"/>
        <v/>
      </c>
      <c r="G41" s="6"/>
      <c r="H41" s="568"/>
      <c r="Q41" s="46"/>
      <c r="U41" s="3"/>
      <c r="V41" s="46"/>
      <c r="X41" s="3"/>
      <c r="Y41" s="46"/>
      <c r="AC41" s="3"/>
      <c r="AH41" s="3"/>
      <c r="AI41" s="46"/>
      <c r="AL41" s="3"/>
      <c r="AM41" s="46"/>
      <c r="AQ41" s="3"/>
    </row>
    <row r="42" spans="2:43" ht="15" customHeight="1" x14ac:dyDescent="0.25">
      <c r="B42" s="321"/>
      <c r="C42" s="36">
        <v>21</v>
      </c>
      <c r="D42" s="68">
        <f>COUNTIFS($AA$6:$AA$161,2,$G$6:$G$161,$B$32)</f>
        <v>0</v>
      </c>
      <c r="E42" s="347" t="str">
        <f t="shared" si="1"/>
        <v/>
      </c>
      <c r="F42" s="8" t="str">
        <f t="shared" si="0"/>
        <v/>
      </c>
      <c r="G42" s="6"/>
      <c r="H42" s="565"/>
      <c r="I42" s="28"/>
      <c r="J42" s="28"/>
      <c r="K42" s="28"/>
      <c r="L42" s="28"/>
      <c r="M42" s="28"/>
      <c r="N42" s="28"/>
      <c r="O42" s="28"/>
      <c r="P42" s="28"/>
      <c r="Q42" s="76"/>
      <c r="R42" s="28"/>
      <c r="S42" s="28"/>
      <c r="T42" s="28"/>
      <c r="U42" s="78"/>
      <c r="V42" s="76"/>
      <c r="W42" s="28"/>
      <c r="X42" s="78"/>
      <c r="Y42" s="76"/>
      <c r="Z42" s="28"/>
      <c r="AA42" s="28"/>
      <c r="AB42" s="28"/>
      <c r="AC42" s="78"/>
      <c r="AD42" s="28"/>
      <c r="AE42" s="28"/>
      <c r="AF42" s="28"/>
      <c r="AG42" s="28"/>
      <c r="AH42" s="78"/>
      <c r="AI42" s="76"/>
      <c r="AJ42" s="28"/>
      <c r="AK42" s="28"/>
      <c r="AL42" s="78"/>
      <c r="AM42" s="76"/>
      <c r="AN42" s="28"/>
      <c r="AO42" s="28"/>
      <c r="AP42" s="28"/>
      <c r="AQ42" s="78"/>
    </row>
    <row r="43" spans="2:43" ht="15" customHeight="1" x14ac:dyDescent="0.25">
      <c r="B43" s="321"/>
      <c r="C43" s="36">
        <v>22</v>
      </c>
      <c r="D43" s="68">
        <f>COUNTIFS($AB$6:$AB$161,2,$G$6:$G$161,$B$32)</f>
        <v>0</v>
      </c>
      <c r="E43" s="347" t="str">
        <f t="shared" si="1"/>
        <v/>
      </c>
      <c r="F43" s="8" t="str">
        <f t="shared" si="0"/>
        <v/>
      </c>
      <c r="G43" s="6"/>
      <c r="H43" s="566"/>
      <c r="I43" s="22"/>
      <c r="J43" s="22"/>
      <c r="K43" s="22"/>
      <c r="L43" s="22"/>
      <c r="M43" s="22"/>
      <c r="N43" s="22"/>
      <c r="O43" s="22"/>
      <c r="P43" s="22"/>
      <c r="Q43" s="76"/>
      <c r="R43" s="28"/>
      <c r="S43" s="28"/>
      <c r="T43" s="28"/>
      <c r="U43" s="78"/>
      <c r="V43" s="76"/>
      <c r="W43" s="28"/>
      <c r="X43" s="78"/>
      <c r="Y43" s="76"/>
      <c r="Z43" s="28"/>
      <c r="AA43" s="28"/>
      <c r="AB43" s="28"/>
      <c r="AC43" s="78"/>
      <c r="AD43" s="28"/>
      <c r="AE43" s="28"/>
      <c r="AF43" s="28"/>
      <c r="AG43" s="28"/>
      <c r="AH43" s="78"/>
      <c r="AI43" s="76"/>
      <c r="AJ43" s="28"/>
      <c r="AK43" s="28"/>
      <c r="AL43" s="78"/>
      <c r="AM43" s="76"/>
      <c r="AN43" s="28"/>
      <c r="AO43" s="28"/>
      <c r="AP43" s="28"/>
      <c r="AQ43" s="78"/>
    </row>
    <row r="44" spans="2:43" ht="15" customHeight="1" x14ac:dyDescent="0.25">
      <c r="B44" s="321"/>
      <c r="C44" s="36">
        <v>23</v>
      </c>
      <c r="D44" s="68">
        <f>COUNTIFS($AC$6:$AC$161,2,$G$6:$G$161,$B$32)</f>
        <v>0</v>
      </c>
      <c r="E44" s="347" t="str">
        <f t="shared" si="1"/>
        <v/>
      </c>
      <c r="F44" s="8" t="str">
        <f t="shared" si="0"/>
        <v/>
      </c>
      <c r="G44" s="6"/>
      <c r="H44" s="567"/>
      <c r="I44" s="100"/>
      <c r="J44" s="100"/>
      <c r="K44" s="100"/>
      <c r="L44" s="100"/>
      <c r="M44" s="100"/>
      <c r="N44" s="100"/>
      <c r="O44" s="100"/>
      <c r="P44" s="100"/>
      <c r="Q44" s="76"/>
      <c r="R44" s="28"/>
      <c r="S44" s="28"/>
      <c r="T44" s="28"/>
      <c r="U44" s="78"/>
      <c r="V44" s="76"/>
      <c r="W44" s="28"/>
      <c r="X44" s="78"/>
      <c r="Y44" s="76"/>
      <c r="Z44" s="28"/>
      <c r="AA44" s="28"/>
      <c r="AB44" s="28"/>
      <c r="AC44" s="78"/>
      <c r="AD44" s="28"/>
      <c r="AE44" s="28"/>
      <c r="AF44" s="28"/>
      <c r="AG44" s="28"/>
      <c r="AH44" s="78"/>
      <c r="AI44" s="76"/>
      <c r="AJ44" s="28"/>
      <c r="AK44" s="28"/>
      <c r="AL44" s="78"/>
      <c r="AM44" s="76"/>
      <c r="AN44" s="28"/>
      <c r="AO44" s="28"/>
      <c r="AP44" s="28"/>
      <c r="AQ44" s="78"/>
    </row>
    <row r="45" spans="2:43" ht="15" customHeight="1" x14ac:dyDescent="0.25">
      <c r="B45" s="321"/>
      <c r="C45" s="36">
        <v>25</v>
      </c>
      <c r="D45" s="68">
        <f>COUNTIFS($AE$6:$AE$161,2,$G$6:$G$161,$B$32)</f>
        <v>0</v>
      </c>
      <c r="E45" s="347" t="str">
        <f t="shared" si="1"/>
        <v/>
      </c>
      <c r="F45" s="8" t="str">
        <f t="shared" si="0"/>
        <v/>
      </c>
      <c r="G45" s="6"/>
      <c r="H45" s="565"/>
      <c r="I45" s="28"/>
      <c r="J45" s="299"/>
      <c r="K45" s="28"/>
      <c r="L45" s="28"/>
      <c r="M45" s="28"/>
      <c r="N45" s="28"/>
      <c r="O45" s="299"/>
      <c r="P45" s="299"/>
      <c r="Q45" s="76"/>
      <c r="R45" s="28"/>
      <c r="S45" s="28"/>
      <c r="T45" s="28"/>
      <c r="U45" s="78"/>
      <c r="V45" s="76"/>
      <c r="W45" s="28"/>
      <c r="X45" s="78"/>
      <c r="Y45" s="76"/>
      <c r="Z45" s="28"/>
      <c r="AA45" s="28"/>
      <c r="AB45" s="28"/>
      <c r="AC45" s="78"/>
      <c r="AD45" s="28"/>
      <c r="AE45" s="28"/>
      <c r="AF45" s="28"/>
      <c r="AG45" s="28"/>
      <c r="AH45" s="78"/>
      <c r="AI45" s="76"/>
      <c r="AJ45" s="28"/>
      <c r="AK45" s="28"/>
      <c r="AL45" s="78"/>
      <c r="AM45" s="76"/>
      <c r="AN45" s="28"/>
      <c r="AO45" s="28"/>
      <c r="AP45" s="28"/>
      <c r="AQ45" s="78"/>
    </row>
    <row r="46" spans="2:43" ht="15" customHeight="1" x14ac:dyDescent="0.25">
      <c r="B46" s="321"/>
      <c r="C46" s="36">
        <v>26</v>
      </c>
      <c r="D46" s="68">
        <f>COUNTIFS($AF$6:$AF$161,2,$G$6:$G$161,$B$32)</f>
        <v>0</v>
      </c>
      <c r="E46" s="347" t="str">
        <f t="shared" si="1"/>
        <v/>
      </c>
      <c r="F46" s="8" t="str">
        <f t="shared" si="0"/>
        <v/>
      </c>
      <c r="G46" s="6"/>
      <c r="H46" s="565"/>
      <c r="I46" s="28"/>
      <c r="J46" s="299"/>
      <c r="K46" s="28"/>
      <c r="L46" s="28"/>
      <c r="M46" s="28"/>
      <c r="N46" s="28"/>
      <c r="O46" s="299"/>
      <c r="P46" s="299"/>
      <c r="Q46" s="76"/>
      <c r="R46" s="28"/>
      <c r="S46" s="28"/>
      <c r="T46" s="28"/>
      <c r="U46" s="78"/>
      <c r="V46" s="76"/>
      <c r="W46" s="28"/>
      <c r="X46" s="78"/>
      <c r="Y46" s="76"/>
      <c r="Z46" s="28"/>
      <c r="AA46" s="28"/>
      <c r="AB46" s="28"/>
      <c r="AC46" s="78"/>
      <c r="AD46" s="28"/>
      <c r="AE46" s="28"/>
      <c r="AF46" s="28"/>
      <c r="AG46" s="28"/>
      <c r="AH46" s="78"/>
      <c r="AI46" s="76"/>
      <c r="AJ46" s="28"/>
      <c r="AK46" s="28"/>
      <c r="AL46" s="78"/>
      <c r="AM46" s="76"/>
      <c r="AN46" s="28"/>
      <c r="AO46" s="28"/>
      <c r="AP46" s="28"/>
      <c r="AQ46" s="78"/>
    </row>
    <row r="47" spans="2:43" ht="15" customHeight="1" x14ac:dyDescent="0.25">
      <c r="B47" s="321"/>
      <c r="C47" s="36">
        <v>27</v>
      </c>
      <c r="D47" s="68">
        <f>COUNTIFS($AG$6:$AG$161,2,$G$6:$G$161,$B$32)</f>
        <v>0</v>
      </c>
      <c r="E47" s="347" t="str">
        <f t="shared" si="1"/>
        <v/>
      </c>
      <c r="F47" s="8" t="str">
        <f t="shared" si="0"/>
        <v/>
      </c>
      <c r="G47" s="6"/>
      <c r="H47" s="565"/>
      <c r="I47" s="28"/>
      <c r="J47" s="299"/>
      <c r="K47" s="28"/>
      <c r="L47" s="28"/>
      <c r="M47" s="28"/>
      <c r="N47" s="28"/>
      <c r="O47" s="299"/>
      <c r="P47" s="299"/>
      <c r="Q47" s="76"/>
      <c r="R47" s="28"/>
      <c r="S47" s="28"/>
      <c r="T47" s="28"/>
      <c r="U47" s="78"/>
      <c r="V47" s="76"/>
      <c r="W47" s="28"/>
      <c r="X47" s="78"/>
      <c r="Y47" s="76"/>
      <c r="Z47" s="28"/>
      <c r="AA47" s="28"/>
      <c r="AB47" s="28"/>
      <c r="AC47" s="78"/>
      <c r="AD47" s="28"/>
      <c r="AE47" s="28"/>
      <c r="AF47" s="28"/>
      <c r="AG47" s="28"/>
      <c r="AH47" s="78"/>
      <c r="AI47" s="76"/>
      <c r="AJ47" s="28"/>
      <c r="AK47" s="28"/>
      <c r="AL47" s="78"/>
      <c r="AM47" s="76"/>
      <c r="AN47" s="28"/>
      <c r="AO47" s="28"/>
      <c r="AP47" s="28"/>
      <c r="AQ47" s="78"/>
    </row>
    <row r="48" spans="2:43" ht="15" customHeight="1" x14ac:dyDescent="0.25">
      <c r="B48" s="321"/>
      <c r="C48" s="36">
        <v>29</v>
      </c>
      <c r="D48" s="68">
        <f>COUNTIFS($AI$6:$AI$161,2,$G$6:$G$161,$B$32)</f>
        <v>0</v>
      </c>
      <c r="E48" s="347" t="str">
        <f t="shared" si="1"/>
        <v/>
      </c>
      <c r="F48" s="8" t="str">
        <f t="shared" si="0"/>
        <v/>
      </c>
      <c r="G48" s="6"/>
      <c r="H48" s="565"/>
      <c r="I48" s="28"/>
      <c r="J48" s="299"/>
      <c r="K48" s="28"/>
      <c r="L48" s="28"/>
      <c r="M48" s="28"/>
      <c r="N48" s="28"/>
      <c r="O48" s="299"/>
      <c r="P48" s="299"/>
      <c r="Q48" s="76"/>
      <c r="R48" s="28"/>
      <c r="S48" s="28"/>
      <c r="T48" s="28"/>
      <c r="U48" s="78"/>
      <c r="V48" s="76"/>
      <c r="W48" s="28"/>
      <c r="X48" s="78"/>
      <c r="Y48" s="76"/>
      <c r="Z48" s="28"/>
      <c r="AA48" s="28"/>
      <c r="AB48" s="28"/>
      <c r="AC48" s="78"/>
      <c r="AD48" s="28"/>
      <c r="AE48" s="28"/>
      <c r="AF48" s="28"/>
      <c r="AG48" s="28"/>
      <c r="AH48" s="78"/>
      <c r="AI48" s="76"/>
      <c r="AJ48" s="28"/>
      <c r="AK48" s="28"/>
      <c r="AL48" s="78"/>
      <c r="AM48" s="76"/>
      <c r="AN48" s="28"/>
      <c r="AO48" s="28"/>
      <c r="AP48" s="28"/>
      <c r="AQ48" s="78"/>
    </row>
    <row r="49" spans="2:44" ht="15.75" customHeight="1" x14ac:dyDescent="0.25">
      <c r="B49" s="321"/>
      <c r="C49" s="36">
        <v>30</v>
      </c>
      <c r="D49" s="68">
        <f>COUNTIFS($AJ$6:$AJ$161,2,$G$6:$G$161,$B$32)</f>
        <v>0</v>
      </c>
      <c r="E49" s="347" t="str">
        <f t="shared" si="1"/>
        <v/>
      </c>
      <c r="F49" s="8" t="str">
        <f t="shared" si="0"/>
        <v/>
      </c>
      <c r="G49" s="6"/>
      <c r="H49" s="565"/>
      <c r="I49" s="28"/>
      <c r="J49" s="299"/>
      <c r="K49" s="28"/>
      <c r="L49" s="28"/>
      <c r="M49" s="28"/>
      <c r="N49" s="28"/>
      <c r="O49" s="299"/>
      <c r="P49" s="299"/>
      <c r="Q49" s="76"/>
      <c r="R49" s="28"/>
      <c r="S49" s="28"/>
      <c r="T49" s="28"/>
      <c r="U49" s="78"/>
      <c r="V49" s="76"/>
      <c r="W49" s="28"/>
      <c r="X49" s="78"/>
      <c r="Y49" s="76"/>
      <c r="Z49" s="28"/>
      <c r="AA49" s="28"/>
      <c r="AB49" s="28"/>
      <c r="AC49" s="78"/>
      <c r="AD49" s="28"/>
      <c r="AE49" s="28"/>
      <c r="AF49" s="28"/>
      <c r="AG49" s="28"/>
      <c r="AH49" s="78"/>
      <c r="AI49" s="76"/>
      <c r="AJ49" s="28"/>
      <c r="AK49" s="28"/>
      <c r="AL49" s="78"/>
      <c r="AM49" s="76"/>
      <c r="AN49" s="28"/>
      <c r="AO49" s="28"/>
      <c r="AP49" s="28"/>
      <c r="AQ49" s="78"/>
    </row>
    <row r="50" spans="2:44" ht="15.75" customHeight="1" x14ac:dyDescent="0.25">
      <c r="B50" s="321"/>
      <c r="C50" s="36">
        <v>31</v>
      </c>
      <c r="D50" s="68">
        <f>COUNTIFS($AK$6:$AK$161,2,$G$6:$G$161,$B$32)</f>
        <v>0</v>
      </c>
      <c r="E50" s="347" t="str">
        <f t="shared" si="1"/>
        <v/>
      </c>
      <c r="F50" s="8" t="str">
        <f t="shared" si="0"/>
        <v/>
      </c>
      <c r="G50" s="6"/>
      <c r="H50" s="565"/>
      <c r="I50" s="28"/>
      <c r="J50" s="299"/>
      <c r="K50" s="28"/>
      <c r="L50" s="28"/>
      <c r="M50" s="28"/>
      <c r="N50" s="28"/>
      <c r="O50" s="299"/>
      <c r="P50" s="299"/>
      <c r="Q50" s="76"/>
      <c r="R50" s="28"/>
      <c r="S50" s="28"/>
      <c r="T50" s="28"/>
      <c r="U50" s="78"/>
      <c r="V50" s="76"/>
      <c r="W50" s="28"/>
      <c r="X50" s="78"/>
      <c r="Y50" s="76"/>
      <c r="Z50" s="28"/>
      <c r="AA50" s="28"/>
      <c r="AB50" s="28"/>
      <c r="AC50" s="78"/>
      <c r="AD50" s="28"/>
      <c r="AE50" s="28"/>
      <c r="AF50" s="28"/>
      <c r="AG50" s="28"/>
      <c r="AH50" s="78"/>
      <c r="AI50" s="76"/>
      <c r="AJ50" s="28"/>
      <c r="AK50" s="28"/>
      <c r="AL50" s="78"/>
      <c r="AM50" s="76"/>
      <c r="AN50" s="28"/>
      <c r="AO50" s="28"/>
      <c r="AP50" s="28"/>
      <c r="AQ50" s="78"/>
    </row>
    <row r="51" spans="2:44" ht="15.75" customHeight="1" x14ac:dyDescent="0.25">
      <c r="B51" s="321"/>
      <c r="C51" s="36">
        <v>32</v>
      </c>
      <c r="D51" s="68">
        <f>COUNTIFS($AL$6:$AL$161,2,$G$6:$G$161,$B$32)</f>
        <v>0</v>
      </c>
      <c r="E51" s="347" t="str">
        <f t="shared" si="1"/>
        <v/>
      </c>
      <c r="F51" s="8" t="str">
        <f t="shared" si="0"/>
        <v/>
      </c>
      <c r="G51" s="6"/>
      <c r="H51" s="565"/>
      <c r="I51" s="28"/>
      <c r="J51" s="28"/>
      <c r="K51" s="28"/>
      <c r="L51" s="28"/>
      <c r="M51" s="28"/>
      <c r="N51" s="28"/>
      <c r="O51" s="28"/>
      <c r="P51" s="28"/>
      <c r="Q51" s="76"/>
      <c r="R51" s="28"/>
      <c r="S51" s="28"/>
      <c r="T51" s="28"/>
      <c r="U51" s="78"/>
      <c r="V51" s="76"/>
      <c r="W51" s="28"/>
      <c r="X51" s="78"/>
      <c r="Y51" s="76"/>
      <c r="Z51" s="28"/>
      <c r="AA51" s="28"/>
      <c r="AB51" s="28"/>
      <c r="AC51" s="78"/>
      <c r="AD51" s="28"/>
      <c r="AE51" s="28"/>
      <c r="AF51" s="28"/>
      <c r="AG51" s="28"/>
      <c r="AH51" s="78"/>
      <c r="AI51" s="76"/>
      <c r="AJ51" s="28"/>
      <c r="AK51" s="28"/>
      <c r="AL51" s="78"/>
      <c r="AM51" s="76"/>
      <c r="AN51" s="28"/>
      <c r="AO51" s="28"/>
      <c r="AP51" s="28"/>
      <c r="AQ51" s="78"/>
    </row>
    <row r="52" spans="2:44" ht="15" customHeight="1" x14ac:dyDescent="0.25">
      <c r="B52" s="321"/>
      <c r="C52" s="36">
        <v>33</v>
      </c>
      <c r="D52" s="68">
        <f>COUNTIFS($AM$6:$AM$161,2,$G$6:$G$161,$B$32)</f>
        <v>0</v>
      </c>
      <c r="E52" s="347" t="str">
        <f t="shared" si="1"/>
        <v/>
      </c>
      <c r="F52" s="8" t="str">
        <f t="shared" si="0"/>
        <v/>
      </c>
      <c r="G52" s="6"/>
      <c r="H52" s="566"/>
      <c r="I52" s="22"/>
      <c r="J52" s="22"/>
      <c r="K52" s="22"/>
      <c r="L52" s="22"/>
      <c r="M52" s="22"/>
      <c r="N52" s="22"/>
      <c r="O52" s="22"/>
      <c r="P52" s="22"/>
      <c r="Q52" s="76"/>
      <c r="R52" s="28"/>
      <c r="S52" s="28"/>
      <c r="T52" s="28"/>
      <c r="U52" s="78"/>
      <c r="V52" s="76"/>
      <c r="W52" s="28"/>
      <c r="X52" s="78"/>
      <c r="Y52" s="76"/>
      <c r="Z52" s="28"/>
      <c r="AA52" s="28"/>
      <c r="AB52" s="28"/>
      <c r="AC52" s="78"/>
      <c r="AD52" s="28"/>
      <c r="AE52" s="28"/>
      <c r="AF52" s="28"/>
      <c r="AG52" s="28"/>
      <c r="AH52" s="78"/>
      <c r="AI52" s="76"/>
      <c r="AJ52" s="28"/>
      <c r="AK52" s="28"/>
      <c r="AL52" s="78"/>
      <c r="AM52" s="76"/>
      <c r="AN52" s="28"/>
      <c r="AO52" s="28"/>
      <c r="AP52" s="28"/>
      <c r="AQ52" s="78"/>
    </row>
    <row r="53" spans="2:44" ht="15" customHeight="1" x14ac:dyDescent="0.25">
      <c r="B53" s="321"/>
      <c r="C53" s="36">
        <v>34</v>
      </c>
      <c r="D53" s="68">
        <f>COUNTIFS($AN$6:$AN$161,2,$G$6:$G$161,$B$32)</f>
        <v>0</v>
      </c>
      <c r="E53" s="347" t="str">
        <f t="shared" si="1"/>
        <v/>
      </c>
      <c r="F53" s="8" t="str">
        <f t="shared" si="0"/>
        <v/>
      </c>
      <c r="G53" s="6"/>
      <c r="H53" s="568"/>
      <c r="Q53" s="46"/>
      <c r="U53" s="3"/>
      <c r="V53" s="46"/>
      <c r="X53" s="3"/>
      <c r="Y53" s="46"/>
      <c r="AC53" s="3"/>
      <c r="AH53" s="3"/>
      <c r="AI53" s="46"/>
      <c r="AL53" s="3"/>
      <c r="AM53" s="46"/>
      <c r="AQ53" s="3"/>
    </row>
    <row r="54" spans="2:44" ht="15" customHeight="1" x14ac:dyDescent="0.25">
      <c r="B54" s="321"/>
      <c r="C54" s="36">
        <v>35</v>
      </c>
      <c r="D54" s="68">
        <f>COUNTIFS($AO$6:$AO$161,2,$G$6:$G$161,$B$32)</f>
        <v>0</v>
      </c>
      <c r="E54" s="347" t="str">
        <f t="shared" si="1"/>
        <v/>
      </c>
      <c r="F54" s="8" t="str">
        <f t="shared" si="0"/>
        <v/>
      </c>
      <c r="G54" s="6"/>
      <c r="H54" s="568"/>
      <c r="Q54" s="46"/>
      <c r="U54" s="3"/>
      <c r="V54" s="46"/>
      <c r="X54" s="3"/>
      <c r="Y54" s="46"/>
      <c r="AC54" s="3"/>
      <c r="AH54" s="3"/>
      <c r="AI54" s="46"/>
      <c r="AL54" s="3"/>
      <c r="AM54" s="46"/>
      <c r="AQ54" s="3"/>
    </row>
    <row r="55" spans="2:44" ht="15" customHeight="1" x14ac:dyDescent="0.25">
      <c r="B55" s="321"/>
      <c r="C55" s="36">
        <v>36</v>
      </c>
      <c r="D55" s="68">
        <f>COUNTIFS($AP$6:$AP$161,2,$G$6:$G$161,$B$32)</f>
        <v>0</v>
      </c>
      <c r="E55" s="347" t="str">
        <f t="shared" si="1"/>
        <v/>
      </c>
      <c r="F55" s="8" t="str">
        <f t="shared" si="0"/>
        <v/>
      </c>
      <c r="G55" s="6"/>
      <c r="H55" s="565"/>
      <c r="I55" s="28"/>
      <c r="J55" s="28"/>
      <c r="K55" s="28"/>
      <c r="L55" s="28"/>
      <c r="M55" s="28"/>
      <c r="N55" s="28"/>
      <c r="O55" s="28"/>
      <c r="P55" s="28"/>
      <c r="Q55" s="76"/>
      <c r="R55" s="28"/>
      <c r="S55" s="28"/>
      <c r="T55" s="28"/>
      <c r="U55" s="78"/>
      <c r="V55" s="76"/>
      <c r="W55" s="28"/>
      <c r="X55" s="78"/>
      <c r="Y55" s="76"/>
      <c r="Z55" s="28"/>
      <c r="AA55" s="28"/>
      <c r="AB55" s="28"/>
      <c r="AC55" s="78"/>
      <c r="AD55" s="28"/>
      <c r="AE55" s="28"/>
      <c r="AF55" s="28"/>
      <c r="AG55" s="28"/>
      <c r="AH55" s="78"/>
      <c r="AI55" s="76"/>
      <c r="AJ55" s="28"/>
      <c r="AK55" s="28"/>
      <c r="AL55" s="78"/>
      <c r="AM55" s="76"/>
      <c r="AN55" s="28"/>
      <c r="AO55" s="28"/>
      <c r="AP55" s="28"/>
      <c r="AQ55" s="78"/>
    </row>
    <row r="56" spans="2:44" ht="15" customHeight="1" thickBot="1" x14ac:dyDescent="0.3">
      <c r="B56" s="322"/>
      <c r="C56" s="130">
        <v>37</v>
      </c>
      <c r="D56" s="69">
        <f>COUNTIFS($AQ$6:$AQ$161,2,$G$6:$G$161,$B$32)</f>
        <v>0</v>
      </c>
      <c r="E56" s="347" t="str">
        <f t="shared" si="1"/>
        <v/>
      </c>
      <c r="F56" s="8" t="str">
        <f t="shared" si="0"/>
        <v/>
      </c>
      <c r="G56" s="6"/>
      <c r="H56" s="566"/>
      <c r="I56" s="22"/>
      <c r="J56" s="22"/>
      <c r="K56" s="22"/>
      <c r="L56" s="22"/>
      <c r="M56" s="22"/>
      <c r="N56" s="22"/>
      <c r="O56" s="22"/>
      <c r="P56" s="22"/>
      <c r="Q56" s="76"/>
      <c r="R56" s="28"/>
      <c r="S56" s="28"/>
      <c r="T56" s="28"/>
      <c r="U56" s="78"/>
      <c r="V56" s="76"/>
      <c r="W56" s="28"/>
      <c r="X56" s="78"/>
      <c r="Y56" s="76"/>
      <c r="Z56" s="28"/>
      <c r="AA56" s="28"/>
      <c r="AB56" s="28"/>
      <c r="AC56" s="78"/>
      <c r="AD56" s="28"/>
      <c r="AE56" s="28"/>
      <c r="AF56" s="28"/>
      <c r="AG56" s="28"/>
      <c r="AH56" s="78"/>
      <c r="AI56" s="76"/>
      <c r="AJ56" s="28"/>
      <c r="AK56" s="28"/>
      <c r="AL56" s="78"/>
      <c r="AM56" s="76"/>
      <c r="AN56" s="28"/>
      <c r="AO56" s="28"/>
      <c r="AP56" s="28"/>
      <c r="AQ56" s="78"/>
      <c r="AR56" s="28"/>
    </row>
    <row r="57" spans="2:44" ht="15" customHeight="1" thickBot="1" x14ac:dyDescent="0.3">
      <c r="B57" s="983" t="s">
        <v>98</v>
      </c>
      <c r="C57" s="960"/>
      <c r="D57" s="155">
        <f>SUM(D32:D56)</f>
        <v>0</v>
      </c>
      <c r="E57" s="347" t="str">
        <f t="shared" si="1"/>
        <v/>
      </c>
      <c r="F57" s="8" t="str">
        <f t="shared" si="0"/>
        <v/>
      </c>
      <c r="G57" s="6"/>
      <c r="H57" s="567"/>
      <c r="I57" s="100"/>
      <c r="J57" s="100"/>
      <c r="K57" s="100"/>
      <c r="L57" s="100"/>
      <c r="M57" s="100"/>
      <c r="N57" s="100"/>
      <c r="O57" s="100"/>
      <c r="P57" s="100"/>
      <c r="Q57" s="76"/>
      <c r="R57" s="28"/>
      <c r="S57" s="28"/>
      <c r="T57" s="28"/>
      <c r="U57" s="78"/>
      <c r="V57" s="76"/>
      <c r="W57" s="28"/>
      <c r="X57" s="78"/>
      <c r="Y57" s="76"/>
      <c r="Z57" s="28"/>
      <c r="AA57" s="28"/>
      <c r="AB57" s="28"/>
      <c r="AC57" s="78"/>
      <c r="AD57" s="28"/>
      <c r="AE57" s="28"/>
      <c r="AF57" s="28"/>
      <c r="AG57" s="28"/>
      <c r="AH57" s="78"/>
      <c r="AI57" s="76"/>
      <c r="AJ57" s="28"/>
      <c r="AK57" s="28"/>
      <c r="AL57" s="78"/>
      <c r="AM57" s="76"/>
      <c r="AN57" s="28"/>
      <c r="AO57" s="28"/>
      <c r="AP57" s="28"/>
      <c r="AQ57" s="78"/>
    </row>
    <row r="58" spans="2:44" ht="15" customHeight="1" thickBot="1" x14ac:dyDescent="0.3">
      <c r="B58" s="983" t="s">
        <v>976</v>
      </c>
      <c r="C58" s="960"/>
      <c r="D58" s="460">
        <f>D57/VLOOKUP(B32,C21:D24,2,FALSE)</f>
        <v>0</v>
      </c>
      <c r="E58" s="347" t="str">
        <f t="shared" si="1"/>
        <v/>
      </c>
      <c r="F58" s="8" t="str">
        <f t="shared" si="0"/>
        <v/>
      </c>
      <c r="G58" s="6"/>
      <c r="H58" s="565"/>
      <c r="I58" s="28"/>
      <c r="J58" s="299"/>
      <c r="K58" s="28"/>
      <c r="L58" s="28"/>
      <c r="M58" s="28"/>
      <c r="N58" s="28"/>
      <c r="O58" s="299"/>
      <c r="P58" s="299"/>
      <c r="Q58" s="76"/>
      <c r="R58" s="28"/>
      <c r="S58" s="28"/>
      <c r="T58" s="28"/>
      <c r="U58" s="78"/>
      <c r="V58" s="76"/>
      <c r="W58" s="28"/>
      <c r="X58" s="78"/>
      <c r="Y58" s="76"/>
      <c r="Z58" s="28"/>
      <c r="AA58" s="28"/>
      <c r="AB58" s="28"/>
      <c r="AC58" s="78"/>
      <c r="AD58" s="28"/>
      <c r="AE58" s="28"/>
      <c r="AF58" s="28"/>
      <c r="AG58" s="28"/>
      <c r="AH58" s="78"/>
      <c r="AI58" s="76"/>
      <c r="AJ58" s="28"/>
      <c r="AK58" s="28"/>
      <c r="AL58" s="78"/>
      <c r="AM58" s="76"/>
      <c r="AN58" s="28"/>
      <c r="AO58" s="28"/>
      <c r="AP58" s="28"/>
      <c r="AQ58" s="78"/>
    </row>
    <row r="59" spans="2:44" ht="15" customHeight="1" x14ac:dyDescent="0.25">
      <c r="B59" s="110">
        <v>2</v>
      </c>
      <c r="C59" s="129">
        <v>11</v>
      </c>
      <c r="D59" s="110">
        <f>COUNTIFS(Q33:Q188,2,$G$6:$G$161,$B$59)</f>
        <v>0</v>
      </c>
      <c r="E59" s="347" t="str">
        <f t="shared" si="1"/>
        <v/>
      </c>
      <c r="F59" s="8" t="str">
        <f t="shared" si="0"/>
        <v/>
      </c>
      <c r="G59" s="6"/>
      <c r="H59" s="565"/>
      <c r="I59" s="28"/>
      <c r="J59" s="299"/>
      <c r="K59" s="28"/>
      <c r="L59" s="28"/>
      <c r="M59" s="28"/>
      <c r="N59" s="28"/>
      <c r="O59" s="299"/>
      <c r="P59" s="299"/>
      <c r="Q59" s="76"/>
      <c r="R59" s="28"/>
      <c r="S59" s="28"/>
      <c r="T59" s="28"/>
      <c r="U59" s="78"/>
      <c r="V59" s="76"/>
      <c r="W59" s="28"/>
      <c r="X59" s="78"/>
      <c r="Y59" s="76"/>
      <c r="Z59" s="28"/>
      <c r="AA59" s="28"/>
      <c r="AB59" s="28"/>
      <c r="AC59" s="78"/>
      <c r="AD59" s="28"/>
      <c r="AE59" s="28"/>
      <c r="AF59" s="28"/>
      <c r="AG59" s="28"/>
      <c r="AH59" s="78"/>
      <c r="AI59" s="76"/>
      <c r="AJ59" s="28"/>
      <c r="AK59" s="28"/>
      <c r="AL59" s="78"/>
      <c r="AM59" s="76"/>
      <c r="AN59" s="28"/>
      <c r="AO59" s="28"/>
      <c r="AP59" s="28"/>
      <c r="AQ59" s="78"/>
    </row>
    <row r="60" spans="2:44" ht="15" customHeight="1" x14ac:dyDescent="0.25">
      <c r="B60" s="68"/>
      <c r="C60" s="36">
        <v>12</v>
      </c>
      <c r="D60" s="68">
        <f>COUNTIFS($R$6:$R$161,2,$G$6:$G$161,$B$59)</f>
        <v>0</v>
      </c>
      <c r="E60" s="347" t="str">
        <f t="shared" si="1"/>
        <v/>
      </c>
      <c r="F60" s="8" t="str">
        <f t="shared" si="0"/>
        <v/>
      </c>
      <c r="G60" s="6"/>
      <c r="H60" s="565"/>
      <c r="I60" s="28"/>
      <c r="J60" s="299"/>
      <c r="K60" s="28"/>
      <c r="L60" s="28"/>
      <c r="M60" s="28"/>
      <c r="N60" s="28"/>
      <c r="O60" s="299"/>
      <c r="P60" s="299"/>
      <c r="Q60" s="76"/>
      <c r="R60" s="28"/>
      <c r="S60" s="28"/>
      <c r="T60" s="28"/>
      <c r="U60" s="78"/>
      <c r="V60" s="76"/>
      <c r="W60" s="28"/>
      <c r="X60" s="78"/>
      <c r="Y60" s="76"/>
      <c r="Z60" s="28"/>
      <c r="AA60" s="28"/>
      <c r="AB60" s="28"/>
      <c r="AC60" s="78"/>
      <c r="AD60" s="28"/>
      <c r="AE60" s="28"/>
      <c r="AF60" s="28"/>
      <c r="AG60" s="28"/>
      <c r="AH60" s="78"/>
      <c r="AI60" s="76"/>
      <c r="AJ60" s="28"/>
      <c r="AK60" s="28"/>
      <c r="AL60" s="78"/>
      <c r="AM60" s="76"/>
      <c r="AN60" s="28"/>
      <c r="AO60" s="28"/>
      <c r="AP60" s="28"/>
      <c r="AQ60" s="78"/>
    </row>
    <row r="61" spans="2:44" ht="15" customHeight="1" x14ac:dyDescent="0.25">
      <c r="B61" s="68"/>
      <c r="C61" s="36">
        <v>13</v>
      </c>
      <c r="D61" s="68">
        <f>COUNTIFS($S$6:$S$161,2,$G$6:$G$161,$B$59)</f>
        <v>0</v>
      </c>
      <c r="E61" s="347" t="str">
        <f t="shared" si="1"/>
        <v/>
      </c>
      <c r="F61" s="8" t="str">
        <f t="shared" si="0"/>
        <v/>
      </c>
      <c r="G61" s="6"/>
      <c r="H61" s="565"/>
      <c r="I61" s="28"/>
      <c r="J61" s="299"/>
      <c r="K61" s="28"/>
      <c r="L61" s="28"/>
      <c r="M61" s="28"/>
      <c r="N61" s="28"/>
      <c r="O61" s="299"/>
      <c r="P61" s="299"/>
      <c r="Q61" s="76"/>
      <c r="R61" s="28"/>
      <c r="S61" s="28"/>
      <c r="T61" s="28"/>
      <c r="U61" s="78"/>
      <c r="V61" s="76"/>
      <c r="W61" s="28"/>
      <c r="X61" s="78"/>
      <c r="Y61" s="76"/>
      <c r="Z61" s="28"/>
      <c r="AA61" s="28"/>
      <c r="AB61" s="28"/>
      <c r="AC61" s="78"/>
      <c r="AD61" s="28"/>
      <c r="AE61" s="28"/>
      <c r="AF61" s="28"/>
      <c r="AG61" s="28"/>
      <c r="AH61" s="78"/>
      <c r="AI61" s="76"/>
      <c r="AJ61" s="28"/>
      <c r="AK61" s="28"/>
      <c r="AL61" s="78"/>
      <c r="AM61" s="76"/>
      <c r="AN61" s="28"/>
      <c r="AO61" s="28"/>
      <c r="AP61" s="28"/>
      <c r="AQ61" s="78"/>
    </row>
    <row r="62" spans="2:44" ht="15.75" customHeight="1" x14ac:dyDescent="0.25">
      <c r="B62" s="68"/>
      <c r="C62" s="36">
        <v>14</v>
      </c>
      <c r="D62" s="68">
        <f>COUNTIFS($T$6:$T$161,2,$G$6:$G$161,$B$59)</f>
        <v>0</v>
      </c>
      <c r="E62" s="347" t="str">
        <f t="shared" si="1"/>
        <v/>
      </c>
      <c r="F62" s="8" t="str">
        <f t="shared" si="0"/>
        <v/>
      </c>
      <c r="G62" s="6"/>
      <c r="H62" s="565"/>
      <c r="I62" s="28"/>
      <c r="J62" s="299"/>
      <c r="K62" s="28"/>
      <c r="L62" s="28"/>
      <c r="M62" s="28"/>
      <c r="N62" s="28"/>
      <c r="O62" s="299"/>
      <c r="P62" s="299"/>
      <c r="Q62" s="76"/>
      <c r="R62" s="28"/>
      <c r="S62" s="28"/>
      <c r="T62" s="28"/>
      <c r="U62" s="78"/>
      <c r="V62" s="76"/>
      <c r="W62" s="28"/>
      <c r="X62" s="78"/>
      <c r="Y62" s="76"/>
      <c r="Z62" s="28"/>
      <c r="AA62" s="28"/>
      <c r="AB62" s="28"/>
      <c r="AC62" s="78"/>
      <c r="AD62" s="28"/>
      <c r="AE62" s="28"/>
      <c r="AF62" s="28"/>
      <c r="AG62" s="28"/>
      <c r="AH62" s="78"/>
      <c r="AI62" s="76"/>
      <c r="AJ62" s="28"/>
      <c r="AK62" s="28"/>
      <c r="AL62" s="78"/>
      <c r="AM62" s="76"/>
      <c r="AN62" s="28"/>
      <c r="AO62" s="28"/>
      <c r="AP62" s="28"/>
      <c r="AQ62" s="78"/>
    </row>
    <row r="63" spans="2:44" ht="15.75" customHeight="1" x14ac:dyDescent="0.25">
      <c r="B63" s="321"/>
      <c r="C63" s="36">
        <v>15</v>
      </c>
      <c r="D63" s="68">
        <f>COUNTIFS($U$6:$U$161,2,$G$6:$G$161,$B$59)</f>
        <v>0</v>
      </c>
      <c r="E63" s="347" t="str">
        <f t="shared" si="1"/>
        <v/>
      </c>
      <c r="F63" s="8" t="str">
        <f t="shared" si="0"/>
        <v/>
      </c>
      <c r="G63" s="6"/>
      <c r="H63" s="565"/>
      <c r="I63" s="28"/>
      <c r="J63" s="299"/>
      <c r="K63" s="28"/>
      <c r="L63" s="28"/>
      <c r="M63" s="28"/>
      <c r="N63" s="28"/>
      <c r="O63" s="299"/>
      <c r="P63" s="299"/>
      <c r="Q63" s="76"/>
      <c r="R63" s="28"/>
      <c r="S63" s="28"/>
      <c r="T63" s="28"/>
      <c r="U63" s="78"/>
      <c r="V63" s="76"/>
      <c r="W63" s="28"/>
      <c r="X63" s="78"/>
      <c r="Y63" s="76"/>
      <c r="Z63" s="28"/>
      <c r="AA63" s="28"/>
      <c r="AB63" s="28"/>
      <c r="AC63" s="78"/>
      <c r="AD63" s="28"/>
      <c r="AE63" s="28"/>
      <c r="AF63" s="28"/>
      <c r="AG63" s="28"/>
      <c r="AH63" s="78"/>
      <c r="AI63" s="76"/>
      <c r="AJ63" s="28"/>
      <c r="AK63" s="28"/>
      <c r="AL63" s="78"/>
      <c r="AM63" s="76"/>
      <c r="AN63" s="28"/>
      <c r="AO63" s="28"/>
      <c r="AP63" s="28"/>
      <c r="AQ63" s="78"/>
    </row>
    <row r="64" spans="2:44" ht="15.75" customHeight="1" x14ac:dyDescent="0.25">
      <c r="B64" s="321"/>
      <c r="C64" s="36">
        <v>16</v>
      </c>
      <c r="D64" s="68">
        <f>COUNTIFS($V$6:$V$161,2,$G$6:$G$161,$B$59)</f>
        <v>0</v>
      </c>
      <c r="E64" s="347" t="str">
        <f t="shared" si="1"/>
        <v/>
      </c>
      <c r="F64" s="8" t="str">
        <f t="shared" si="0"/>
        <v/>
      </c>
      <c r="G64" s="6"/>
      <c r="H64" s="565"/>
      <c r="I64" s="28"/>
      <c r="J64" s="28"/>
      <c r="K64" s="28"/>
      <c r="L64" s="28"/>
      <c r="M64" s="28"/>
      <c r="N64" s="28"/>
      <c r="O64" s="28"/>
      <c r="P64" s="28"/>
      <c r="Q64" s="76"/>
      <c r="R64" s="28"/>
      <c r="S64" s="28"/>
      <c r="T64" s="28"/>
      <c r="U64" s="78"/>
      <c r="V64" s="76"/>
      <c r="W64" s="28"/>
      <c r="X64" s="78"/>
      <c r="Y64" s="76"/>
      <c r="Z64" s="28"/>
      <c r="AA64" s="28"/>
      <c r="AB64" s="28"/>
      <c r="AC64" s="78"/>
      <c r="AD64" s="28"/>
      <c r="AE64" s="28"/>
      <c r="AF64" s="28"/>
      <c r="AG64" s="28"/>
      <c r="AH64" s="78"/>
      <c r="AI64" s="76"/>
      <c r="AJ64" s="28"/>
      <c r="AK64" s="28"/>
      <c r="AL64" s="78"/>
      <c r="AM64" s="76"/>
      <c r="AN64" s="28"/>
      <c r="AO64" s="28"/>
      <c r="AP64" s="28"/>
      <c r="AQ64" s="78"/>
    </row>
    <row r="65" spans="2:44" ht="15" customHeight="1" x14ac:dyDescent="0.25">
      <c r="B65" s="321"/>
      <c r="C65" s="36">
        <v>17</v>
      </c>
      <c r="D65" s="68">
        <f>COUNTIFS($W$6:$W$161,2,$G$6:$G$161,$B$59)</f>
        <v>0</v>
      </c>
      <c r="E65" s="347" t="str">
        <f t="shared" si="1"/>
        <v/>
      </c>
      <c r="F65" s="8" t="str">
        <f t="shared" si="0"/>
        <v/>
      </c>
      <c r="G65" s="6"/>
      <c r="H65" s="566"/>
      <c r="I65" s="22"/>
      <c r="J65" s="22"/>
      <c r="K65" s="22"/>
      <c r="L65" s="22"/>
      <c r="M65" s="22"/>
      <c r="N65" s="22"/>
      <c r="O65" s="22"/>
      <c r="P65" s="22"/>
      <c r="Q65" s="76"/>
      <c r="R65" s="28"/>
      <c r="S65" s="28"/>
      <c r="T65" s="28"/>
      <c r="U65" s="78"/>
      <c r="V65" s="76"/>
      <c r="W65" s="28"/>
      <c r="X65" s="78"/>
      <c r="Y65" s="76"/>
      <c r="Z65" s="28"/>
      <c r="AA65" s="28"/>
      <c r="AB65" s="28"/>
      <c r="AC65" s="78"/>
      <c r="AD65" s="28"/>
      <c r="AE65" s="28"/>
      <c r="AF65" s="28"/>
      <c r="AG65" s="28"/>
      <c r="AH65" s="78"/>
      <c r="AI65" s="76"/>
      <c r="AJ65" s="28"/>
      <c r="AK65" s="28"/>
      <c r="AL65" s="78"/>
      <c r="AM65" s="76"/>
      <c r="AN65" s="28"/>
      <c r="AO65" s="28"/>
      <c r="AP65" s="28"/>
      <c r="AQ65" s="78"/>
    </row>
    <row r="66" spans="2:44" ht="15" customHeight="1" x14ac:dyDescent="0.25">
      <c r="B66" s="321"/>
      <c r="C66" s="36">
        <v>18</v>
      </c>
      <c r="D66" s="68">
        <f>COUNTIFS($X$6:$X$161,2,$G$6:$G$161,$B$59)</f>
        <v>0</v>
      </c>
      <c r="E66" s="347" t="str">
        <f t="shared" si="1"/>
        <v/>
      </c>
      <c r="F66" s="8" t="str">
        <f t="shared" si="0"/>
        <v/>
      </c>
      <c r="G66" s="6"/>
      <c r="H66" s="568"/>
      <c r="Q66" s="46"/>
      <c r="U66" s="3"/>
      <c r="V66" s="46"/>
      <c r="X66" s="3"/>
      <c r="Y66" s="46"/>
      <c r="AC66" s="3"/>
      <c r="AH66" s="3"/>
      <c r="AI66" s="46"/>
      <c r="AL66" s="3"/>
      <c r="AM66" s="46"/>
      <c r="AQ66" s="3"/>
    </row>
    <row r="67" spans="2:44" ht="15" customHeight="1" x14ac:dyDescent="0.25">
      <c r="B67" s="321"/>
      <c r="C67" s="36">
        <v>19</v>
      </c>
      <c r="D67" s="68">
        <f>COUNTIFS($Z$6:$Z$161,2,$G$6:$G$161,$B$59)</f>
        <v>0</v>
      </c>
      <c r="E67" s="347" t="str">
        <f t="shared" si="1"/>
        <v/>
      </c>
      <c r="F67" s="8" t="str">
        <f t="shared" si="0"/>
        <v/>
      </c>
      <c r="G67" s="6"/>
      <c r="H67" s="568"/>
      <c r="Q67" s="46"/>
      <c r="U67" s="3"/>
      <c r="V67" s="46"/>
      <c r="X67" s="3"/>
      <c r="Y67" s="46"/>
      <c r="AC67" s="3"/>
      <c r="AH67" s="3"/>
      <c r="AI67" s="46"/>
      <c r="AL67" s="3"/>
      <c r="AM67" s="46"/>
      <c r="AQ67" s="3"/>
    </row>
    <row r="68" spans="2:44" ht="15" customHeight="1" x14ac:dyDescent="0.25">
      <c r="B68" s="321"/>
      <c r="C68" s="36">
        <v>20</v>
      </c>
      <c r="D68" s="68">
        <f>COUNTIFS($Z$6:$Z$161,2,$G$6:$G$161,$B$59)</f>
        <v>0</v>
      </c>
      <c r="E68" s="347" t="str">
        <f t="shared" si="1"/>
        <v/>
      </c>
      <c r="F68" s="8" t="str">
        <f t="shared" si="0"/>
        <v/>
      </c>
      <c r="G68" s="6"/>
      <c r="H68" s="565"/>
      <c r="I68" s="28"/>
      <c r="J68" s="28"/>
      <c r="K68" s="28"/>
      <c r="L68" s="28"/>
      <c r="M68" s="28"/>
      <c r="N68" s="28"/>
      <c r="O68" s="28"/>
      <c r="P68" s="28"/>
      <c r="Q68" s="76"/>
      <c r="R68" s="28"/>
      <c r="S68" s="28"/>
      <c r="T68" s="28"/>
      <c r="U68" s="78"/>
      <c r="V68" s="76"/>
      <c r="W68" s="28"/>
      <c r="X68" s="78"/>
      <c r="Y68" s="76"/>
      <c r="Z68" s="28"/>
      <c r="AA68" s="28"/>
      <c r="AB68" s="28"/>
      <c r="AC68" s="78"/>
      <c r="AD68" s="28"/>
      <c r="AE68" s="28"/>
      <c r="AF68" s="28"/>
      <c r="AG68" s="28"/>
      <c r="AH68" s="78"/>
      <c r="AI68" s="76"/>
      <c r="AJ68" s="28"/>
      <c r="AK68" s="28"/>
      <c r="AL68" s="78"/>
      <c r="AM68" s="76"/>
      <c r="AN68" s="28"/>
      <c r="AO68" s="28"/>
      <c r="AP68" s="28"/>
      <c r="AQ68" s="78"/>
    </row>
    <row r="69" spans="2:44" ht="15" customHeight="1" x14ac:dyDescent="0.25">
      <c r="B69" s="321"/>
      <c r="C69" s="36">
        <v>21</v>
      </c>
      <c r="D69" s="68">
        <f>COUNTIFS($AA$6:$AA$161,2,$G$6:$G$161,$B$59)</f>
        <v>0</v>
      </c>
      <c r="E69" s="347" t="str">
        <f t="shared" si="1"/>
        <v/>
      </c>
      <c r="F69" s="8" t="str">
        <f t="shared" si="0"/>
        <v/>
      </c>
      <c r="G69" s="6"/>
      <c r="H69" s="566"/>
      <c r="I69" s="22"/>
      <c r="J69" s="22"/>
      <c r="K69" s="22"/>
      <c r="L69" s="22"/>
      <c r="M69" s="22"/>
      <c r="N69" s="22"/>
      <c r="O69" s="22"/>
      <c r="P69" s="22"/>
      <c r="Q69" s="76"/>
      <c r="R69" s="28"/>
      <c r="S69" s="28"/>
      <c r="T69" s="28"/>
      <c r="U69" s="78"/>
      <c r="V69" s="76"/>
      <c r="W69" s="28"/>
      <c r="X69" s="78"/>
      <c r="Y69" s="76"/>
      <c r="Z69" s="28"/>
      <c r="AA69" s="28"/>
      <c r="AB69" s="28"/>
      <c r="AC69" s="78"/>
      <c r="AD69" s="28"/>
      <c r="AE69" s="28"/>
      <c r="AF69" s="28"/>
      <c r="AG69" s="28"/>
      <c r="AH69" s="78"/>
      <c r="AI69" s="76"/>
      <c r="AJ69" s="28"/>
      <c r="AK69" s="28"/>
      <c r="AL69" s="78"/>
      <c r="AM69" s="76"/>
      <c r="AN69" s="28"/>
      <c r="AO69" s="28"/>
      <c r="AP69" s="28"/>
      <c r="AQ69" s="78"/>
    </row>
    <row r="70" spans="2:44" ht="15" customHeight="1" x14ac:dyDescent="0.25">
      <c r="B70" s="321"/>
      <c r="C70" s="36">
        <v>22</v>
      </c>
      <c r="D70" s="68">
        <f>COUNTIFS($AB$6:$AB$161,2,$G$6:$G$161,$B$59)</f>
        <v>0</v>
      </c>
      <c r="E70" s="347" t="str">
        <f t="shared" si="1"/>
        <v/>
      </c>
      <c r="F70" s="8" t="str">
        <f t="shared" si="0"/>
        <v/>
      </c>
      <c r="G70" s="6"/>
      <c r="H70" s="567"/>
      <c r="I70" s="100"/>
      <c r="J70" s="100"/>
      <c r="K70" s="100"/>
      <c r="L70" s="100"/>
      <c r="M70" s="100"/>
      <c r="N70" s="100"/>
      <c r="O70" s="100"/>
      <c r="P70" s="100"/>
      <c r="Q70" s="76"/>
      <c r="R70" s="28"/>
      <c r="S70" s="28"/>
      <c r="T70" s="28"/>
      <c r="U70" s="78"/>
      <c r="V70" s="76"/>
      <c r="W70" s="28"/>
      <c r="X70" s="78"/>
      <c r="Y70" s="76"/>
      <c r="Z70" s="28"/>
      <c r="AA70" s="28"/>
      <c r="AB70" s="28"/>
      <c r="AC70" s="78"/>
      <c r="AD70" s="28"/>
      <c r="AE70" s="28"/>
      <c r="AF70" s="28"/>
      <c r="AG70" s="28"/>
      <c r="AH70" s="78"/>
      <c r="AI70" s="76"/>
      <c r="AJ70" s="28"/>
      <c r="AK70" s="28"/>
      <c r="AL70" s="78"/>
      <c r="AM70" s="76"/>
      <c r="AN70" s="28"/>
      <c r="AO70" s="28"/>
      <c r="AP70" s="28"/>
      <c r="AQ70" s="78"/>
    </row>
    <row r="71" spans="2:44" ht="15" customHeight="1" x14ac:dyDescent="0.25">
      <c r="B71" s="321"/>
      <c r="C71" s="36">
        <v>23</v>
      </c>
      <c r="D71" s="68">
        <f>COUNTIFS($AC$6:$AC$161,2,$G$6:$G$161,$B$59)</f>
        <v>0</v>
      </c>
      <c r="E71" s="347" t="str">
        <f t="shared" si="1"/>
        <v/>
      </c>
      <c r="F71" s="8" t="str">
        <f t="shared" ref="F71:F134" si="2">IF(H71&lt;&gt;"",MONTH(H71),"")</f>
        <v/>
      </c>
      <c r="G71" s="6"/>
      <c r="H71" s="565"/>
      <c r="I71" s="28"/>
      <c r="J71" s="299"/>
      <c r="K71" s="28"/>
      <c r="L71" s="28"/>
      <c r="M71" s="28"/>
      <c r="N71" s="28"/>
      <c r="O71" s="299"/>
      <c r="P71" s="299"/>
      <c r="Q71" s="76"/>
      <c r="R71" s="28"/>
      <c r="S71" s="28"/>
      <c r="T71" s="28"/>
      <c r="U71" s="78"/>
      <c r="V71" s="76"/>
      <c r="W71" s="28"/>
      <c r="X71" s="78"/>
      <c r="Y71" s="76"/>
      <c r="Z71" s="28"/>
      <c r="AA71" s="28"/>
      <c r="AB71" s="28"/>
      <c r="AC71" s="78"/>
      <c r="AD71" s="28"/>
      <c r="AE71" s="28"/>
      <c r="AF71" s="28"/>
      <c r="AG71" s="28"/>
      <c r="AH71" s="78"/>
      <c r="AI71" s="76"/>
      <c r="AJ71" s="28"/>
      <c r="AK71" s="28"/>
      <c r="AL71" s="78"/>
      <c r="AM71" s="76"/>
      <c r="AN71" s="28"/>
      <c r="AO71" s="28"/>
      <c r="AP71" s="28"/>
      <c r="AQ71" s="78"/>
    </row>
    <row r="72" spans="2:44" ht="15" customHeight="1" x14ac:dyDescent="0.25">
      <c r="B72" s="321"/>
      <c r="C72" s="36">
        <v>25</v>
      </c>
      <c r="D72" s="68">
        <f>COUNTIFS($AE$6:$AE$161,2,$G$6:$G$161,$B$59)</f>
        <v>0</v>
      </c>
      <c r="E72" s="347" t="str">
        <f t="shared" ref="E72:E135" si="3">IF($F72&lt;&gt;"",$E71+1,"")</f>
        <v/>
      </c>
      <c r="F72" s="8" t="str">
        <f t="shared" si="2"/>
        <v/>
      </c>
      <c r="G72" s="6"/>
      <c r="H72" s="565"/>
      <c r="I72" s="28"/>
      <c r="J72" s="299"/>
      <c r="K72" s="28"/>
      <c r="L72" s="28"/>
      <c r="M72" s="28"/>
      <c r="N72" s="28"/>
      <c r="O72" s="299"/>
      <c r="P72" s="299"/>
      <c r="Q72" s="76"/>
      <c r="R72" s="28"/>
      <c r="S72" s="28"/>
      <c r="T72" s="28"/>
      <c r="U72" s="78"/>
      <c r="V72" s="76"/>
      <c r="W72" s="28"/>
      <c r="X72" s="78"/>
      <c r="Y72" s="76"/>
      <c r="Z72" s="28"/>
      <c r="AA72" s="28"/>
      <c r="AB72" s="28"/>
      <c r="AC72" s="78"/>
      <c r="AD72" s="28"/>
      <c r="AE72" s="28"/>
      <c r="AF72" s="28"/>
      <c r="AG72" s="28"/>
      <c r="AH72" s="78"/>
      <c r="AI72" s="76"/>
      <c r="AJ72" s="28"/>
      <c r="AK72" s="28"/>
      <c r="AL72" s="78"/>
      <c r="AM72" s="76"/>
      <c r="AN72" s="28"/>
      <c r="AO72" s="28"/>
      <c r="AP72" s="28"/>
      <c r="AQ72" s="78"/>
    </row>
    <row r="73" spans="2:44" ht="15" customHeight="1" x14ac:dyDescent="0.25">
      <c r="B73" s="321"/>
      <c r="C73" s="36">
        <v>26</v>
      </c>
      <c r="D73" s="68">
        <f>COUNTIFS($AF$6:$AF$161,2,$G$6:$G$161,$B$59)</f>
        <v>0</v>
      </c>
      <c r="E73" s="347" t="str">
        <f t="shared" si="3"/>
        <v/>
      </c>
      <c r="F73" s="8" t="str">
        <f t="shared" si="2"/>
        <v/>
      </c>
      <c r="G73" s="6"/>
      <c r="H73" s="565"/>
      <c r="I73" s="28"/>
      <c r="J73" s="299"/>
      <c r="K73" s="28"/>
      <c r="L73" s="28"/>
      <c r="M73" s="28"/>
      <c r="N73" s="28"/>
      <c r="O73" s="299"/>
      <c r="P73" s="299"/>
      <c r="Q73" s="76"/>
      <c r="R73" s="28"/>
      <c r="S73" s="28"/>
      <c r="T73" s="28"/>
      <c r="U73" s="78"/>
      <c r="V73" s="76"/>
      <c r="W73" s="28"/>
      <c r="X73" s="78"/>
      <c r="Y73" s="76"/>
      <c r="Z73" s="28"/>
      <c r="AA73" s="28"/>
      <c r="AB73" s="28"/>
      <c r="AC73" s="78"/>
      <c r="AD73" s="28"/>
      <c r="AE73" s="28"/>
      <c r="AF73" s="28"/>
      <c r="AG73" s="28"/>
      <c r="AH73" s="78"/>
      <c r="AI73" s="76"/>
      <c r="AJ73" s="28"/>
      <c r="AK73" s="28"/>
      <c r="AL73" s="78"/>
      <c r="AM73" s="76"/>
      <c r="AN73" s="28"/>
      <c r="AO73" s="28"/>
      <c r="AP73" s="28"/>
      <c r="AQ73" s="78"/>
      <c r="AR73" s="28"/>
    </row>
    <row r="74" spans="2:44" ht="15" customHeight="1" x14ac:dyDescent="0.25">
      <c r="B74" s="321"/>
      <c r="C74" s="36">
        <v>27</v>
      </c>
      <c r="D74" s="68">
        <f>COUNTIFS($AG$6:$AG$161,2,$G$6:$G$161,$B$59)</f>
        <v>0</v>
      </c>
      <c r="E74" s="347" t="str">
        <f t="shared" si="3"/>
        <v/>
      </c>
      <c r="F74" s="8" t="str">
        <f t="shared" si="2"/>
        <v/>
      </c>
      <c r="G74" s="6"/>
      <c r="H74" s="565"/>
      <c r="I74" s="28"/>
      <c r="J74" s="299"/>
      <c r="K74" s="28"/>
      <c r="L74" s="28"/>
      <c r="M74" s="28"/>
      <c r="N74" s="28"/>
      <c r="O74" s="299"/>
      <c r="P74" s="299"/>
      <c r="Q74" s="76"/>
      <c r="R74" s="28"/>
      <c r="S74" s="28"/>
      <c r="T74" s="28"/>
      <c r="U74" s="78"/>
      <c r="V74" s="76"/>
      <c r="W74" s="28"/>
      <c r="X74" s="78"/>
      <c r="Y74" s="76"/>
      <c r="Z74" s="28"/>
      <c r="AA74" s="28"/>
      <c r="AB74" s="28"/>
      <c r="AC74" s="78"/>
      <c r="AD74" s="28"/>
      <c r="AE74" s="28"/>
      <c r="AF74" s="28"/>
      <c r="AG74" s="28"/>
      <c r="AH74" s="78"/>
      <c r="AI74" s="76"/>
      <c r="AJ74" s="28"/>
      <c r="AK74" s="28"/>
      <c r="AL74" s="78"/>
      <c r="AM74" s="76"/>
      <c r="AN74" s="28"/>
      <c r="AO74" s="28"/>
      <c r="AP74" s="28"/>
      <c r="AQ74" s="78"/>
    </row>
    <row r="75" spans="2:44" ht="15.75" customHeight="1" x14ac:dyDescent="0.25">
      <c r="B75" s="321"/>
      <c r="C75" s="36">
        <v>29</v>
      </c>
      <c r="D75" s="68">
        <f>COUNTIFS($AI$6:$AI$161,2,$G$6:$G$161,$B$59)</f>
        <v>0</v>
      </c>
      <c r="E75" s="347" t="str">
        <f t="shared" si="3"/>
        <v/>
      </c>
      <c r="F75" s="8" t="str">
        <f t="shared" si="2"/>
        <v/>
      </c>
      <c r="G75" s="6"/>
      <c r="H75" s="565"/>
      <c r="I75" s="28"/>
      <c r="J75" s="299"/>
      <c r="K75" s="28"/>
      <c r="L75" s="28"/>
      <c r="M75" s="28"/>
      <c r="N75" s="28"/>
      <c r="O75" s="299"/>
      <c r="P75" s="299"/>
      <c r="Q75" s="76"/>
      <c r="R75" s="28"/>
      <c r="S75" s="28"/>
      <c r="T75" s="28"/>
      <c r="U75" s="78"/>
      <c r="V75" s="76"/>
      <c r="W75" s="28"/>
      <c r="X75" s="78"/>
      <c r="Y75" s="76"/>
      <c r="Z75" s="28"/>
      <c r="AA75" s="28"/>
      <c r="AB75" s="28"/>
      <c r="AC75" s="78"/>
      <c r="AD75" s="28"/>
      <c r="AE75" s="28"/>
      <c r="AF75" s="28"/>
      <c r="AG75" s="28"/>
      <c r="AH75" s="78"/>
      <c r="AI75" s="76"/>
      <c r="AJ75" s="28"/>
      <c r="AK75" s="28"/>
      <c r="AL75" s="78"/>
      <c r="AM75" s="76"/>
      <c r="AN75" s="28"/>
      <c r="AO75" s="28"/>
      <c r="AP75" s="28"/>
      <c r="AQ75" s="78"/>
    </row>
    <row r="76" spans="2:44" ht="15.75" customHeight="1" x14ac:dyDescent="0.25">
      <c r="B76" s="321"/>
      <c r="C76" s="36">
        <v>30</v>
      </c>
      <c r="D76" s="68">
        <f>COUNTIFS($AJ$6:$AJ$161,2,$G$6:$G$161,$B$59)</f>
        <v>0</v>
      </c>
      <c r="E76" s="347" t="str">
        <f t="shared" si="3"/>
        <v/>
      </c>
      <c r="F76" s="8" t="str">
        <f t="shared" si="2"/>
        <v/>
      </c>
      <c r="G76" s="6"/>
      <c r="H76" s="565"/>
      <c r="I76" s="28"/>
      <c r="J76" s="299"/>
      <c r="K76" s="28"/>
      <c r="L76" s="28"/>
      <c r="M76" s="28"/>
      <c r="N76" s="28"/>
      <c r="O76" s="299"/>
      <c r="P76" s="299"/>
      <c r="Q76" s="76"/>
      <c r="R76" s="28"/>
      <c r="S76" s="28"/>
      <c r="T76" s="28"/>
      <c r="U76" s="78"/>
      <c r="V76" s="76"/>
      <c r="W76" s="28"/>
      <c r="X76" s="78"/>
      <c r="Y76" s="76"/>
      <c r="Z76" s="28"/>
      <c r="AA76" s="28"/>
      <c r="AB76" s="28"/>
      <c r="AC76" s="78"/>
      <c r="AD76" s="28"/>
      <c r="AE76" s="28"/>
      <c r="AF76" s="28"/>
      <c r="AG76" s="28"/>
      <c r="AH76" s="78"/>
      <c r="AI76" s="76"/>
      <c r="AJ76" s="28"/>
      <c r="AK76" s="28"/>
      <c r="AL76" s="78"/>
      <c r="AM76" s="76"/>
      <c r="AN76" s="28"/>
      <c r="AO76" s="28"/>
      <c r="AP76" s="28"/>
      <c r="AQ76" s="78"/>
    </row>
    <row r="77" spans="2:44" ht="15.75" customHeight="1" x14ac:dyDescent="0.25">
      <c r="B77" s="321"/>
      <c r="C77" s="36">
        <v>31</v>
      </c>
      <c r="D77" s="68">
        <f>COUNTIFS($AK$6:$AK$161,2,$G$6:$G$161,$B$59)</f>
        <v>0</v>
      </c>
      <c r="E77" s="347" t="str">
        <f t="shared" si="3"/>
        <v/>
      </c>
      <c r="F77" s="8" t="str">
        <f t="shared" si="2"/>
        <v/>
      </c>
      <c r="G77" s="6"/>
      <c r="H77" s="565"/>
      <c r="I77" s="28"/>
      <c r="J77" s="28"/>
      <c r="K77" s="28"/>
      <c r="L77" s="28"/>
      <c r="M77" s="28"/>
      <c r="N77" s="28"/>
      <c r="O77" s="28"/>
      <c r="P77" s="28"/>
      <c r="Q77" s="76"/>
      <c r="R77" s="28"/>
      <c r="S77" s="28"/>
      <c r="T77" s="28"/>
      <c r="U77" s="78"/>
      <c r="V77" s="76"/>
      <c r="W77" s="28"/>
      <c r="X77" s="78"/>
      <c r="Y77" s="76"/>
      <c r="Z77" s="28"/>
      <c r="AA77" s="28"/>
      <c r="AB77" s="28"/>
      <c r="AC77" s="78"/>
      <c r="AD77" s="28"/>
      <c r="AE77" s="28"/>
      <c r="AF77" s="28"/>
      <c r="AG77" s="28"/>
      <c r="AH77" s="78"/>
      <c r="AI77" s="76"/>
      <c r="AJ77" s="28"/>
      <c r="AK77" s="28"/>
      <c r="AL77" s="78"/>
      <c r="AM77" s="76"/>
      <c r="AN77" s="28"/>
      <c r="AO77" s="28"/>
      <c r="AP77" s="28"/>
      <c r="AQ77" s="78"/>
    </row>
    <row r="78" spans="2:44" ht="15" customHeight="1" x14ac:dyDescent="0.25">
      <c r="B78" s="321"/>
      <c r="C78" s="36">
        <v>32</v>
      </c>
      <c r="D78" s="68">
        <f>COUNTIFS($AL$6:$AL$161,2,$G$6:$G$161,$B$59)</f>
        <v>0</v>
      </c>
      <c r="E78" s="347" t="str">
        <f t="shared" si="3"/>
        <v/>
      </c>
      <c r="F78" s="8" t="str">
        <f t="shared" si="2"/>
        <v/>
      </c>
      <c r="G78" s="6"/>
      <c r="H78" s="566"/>
      <c r="I78" s="22"/>
      <c r="J78" s="22"/>
      <c r="K78" s="22"/>
      <c r="L78" s="22"/>
      <c r="M78" s="22"/>
      <c r="N78" s="22"/>
      <c r="O78" s="22"/>
      <c r="P78" s="22"/>
      <c r="Q78" s="76"/>
      <c r="R78" s="28"/>
      <c r="S78" s="28"/>
      <c r="T78" s="28"/>
      <c r="U78" s="78"/>
      <c r="V78" s="76"/>
      <c r="W78" s="28"/>
      <c r="X78" s="78"/>
      <c r="Y78" s="76"/>
      <c r="Z78" s="28"/>
      <c r="AA78" s="28"/>
      <c r="AB78" s="28"/>
      <c r="AC78" s="78"/>
      <c r="AD78" s="28"/>
      <c r="AE78" s="28"/>
      <c r="AF78" s="28"/>
      <c r="AG78" s="28"/>
      <c r="AH78" s="78"/>
      <c r="AI78" s="76"/>
      <c r="AJ78" s="28"/>
      <c r="AK78" s="28"/>
      <c r="AL78" s="78"/>
      <c r="AM78" s="76"/>
      <c r="AN78" s="28"/>
      <c r="AO78" s="28"/>
      <c r="AP78" s="28"/>
      <c r="AQ78" s="78"/>
    </row>
    <row r="79" spans="2:44" ht="15" customHeight="1" x14ac:dyDescent="0.25">
      <c r="B79" s="321"/>
      <c r="C79" s="36">
        <v>33</v>
      </c>
      <c r="D79" s="68">
        <f>COUNTIFS($AM$6:$AM$161,2,$G$6:$G$161,$B$59)</f>
        <v>0</v>
      </c>
      <c r="E79" s="347" t="str">
        <f t="shared" si="3"/>
        <v/>
      </c>
      <c r="F79" s="8" t="str">
        <f t="shared" si="2"/>
        <v/>
      </c>
      <c r="G79" s="6"/>
      <c r="H79" s="568"/>
      <c r="Q79" s="46"/>
      <c r="U79" s="3"/>
      <c r="V79" s="46"/>
      <c r="X79" s="3"/>
      <c r="Y79" s="46"/>
      <c r="AC79" s="3"/>
      <c r="AH79" s="3"/>
      <c r="AI79" s="46"/>
      <c r="AL79" s="3"/>
      <c r="AM79" s="46"/>
      <c r="AQ79" s="3"/>
    </row>
    <row r="80" spans="2:44" ht="15" customHeight="1" x14ac:dyDescent="0.25">
      <c r="B80" s="321"/>
      <c r="C80" s="36">
        <v>34</v>
      </c>
      <c r="D80" s="68">
        <f>COUNTIFS($AN$6:$AN$161,2,$G$6:$G$161,$B$59)</f>
        <v>0</v>
      </c>
      <c r="E80" s="347" t="str">
        <f t="shared" si="3"/>
        <v/>
      </c>
      <c r="F80" s="8" t="str">
        <f t="shared" si="2"/>
        <v/>
      </c>
      <c r="G80" s="6"/>
      <c r="H80" s="568"/>
      <c r="Q80" s="46"/>
      <c r="U80" s="3"/>
      <c r="V80" s="46"/>
      <c r="X80" s="3"/>
      <c r="Y80" s="46"/>
      <c r="AC80" s="3"/>
      <c r="AH80" s="3"/>
      <c r="AI80" s="46"/>
      <c r="AL80" s="3"/>
      <c r="AM80" s="46"/>
      <c r="AQ80" s="3"/>
    </row>
    <row r="81" spans="2:44" ht="15" customHeight="1" x14ac:dyDescent="0.25">
      <c r="B81" s="321"/>
      <c r="C81" s="36">
        <v>35</v>
      </c>
      <c r="D81" s="68">
        <f>COUNTIFS($AO$6:$AO$161,2,$G$6:$G$161,$B$59)</f>
        <v>0</v>
      </c>
      <c r="E81" s="347" t="str">
        <f t="shared" si="3"/>
        <v/>
      </c>
      <c r="F81" s="8" t="str">
        <f t="shared" si="2"/>
        <v/>
      </c>
      <c r="G81" s="6"/>
      <c r="H81" s="565"/>
      <c r="I81" s="28"/>
      <c r="J81" s="28"/>
      <c r="K81" s="28"/>
      <c r="L81" s="28"/>
      <c r="M81" s="28"/>
      <c r="N81" s="28"/>
      <c r="O81" s="28"/>
      <c r="P81" s="28"/>
      <c r="Q81" s="76"/>
      <c r="R81" s="28"/>
      <c r="S81" s="28"/>
      <c r="T81" s="28"/>
      <c r="U81" s="78"/>
      <c r="V81" s="76"/>
      <c r="W81" s="28"/>
      <c r="X81" s="78"/>
      <c r="Y81" s="76"/>
      <c r="Z81" s="28"/>
      <c r="AA81" s="28"/>
      <c r="AB81" s="28"/>
      <c r="AC81" s="78"/>
      <c r="AD81" s="28"/>
      <c r="AE81" s="28"/>
      <c r="AF81" s="28"/>
      <c r="AG81" s="28"/>
      <c r="AH81" s="78"/>
      <c r="AI81" s="76"/>
      <c r="AJ81" s="28"/>
      <c r="AK81" s="28"/>
      <c r="AL81" s="78"/>
      <c r="AM81" s="76"/>
      <c r="AN81" s="28"/>
      <c r="AO81" s="28"/>
      <c r="AP81" s="28"/>
      <c r="AQ81" s="78"/>
    </row>
    <row r="82" spans="2:44" ht="15" customHeight="1" x14ac:dyDescent="0.25">
      <c r="B82" s="321"/>
      <c r="C82" s="36">
        <v>36</v>
      </c>
      <c r="D82" s="68">
        <f>COUNTIFS($AP$6:$AP$161,2,$G$6:$G$161,$B$59)</f>
        <v>0</v>
      </c>
      <c r="E82" s="347" t="str">
        <f t="shared" si="3"/>
        <v/>
      </c>
      <c r="F82" s="8" t="str">
        <f t="shared" si="2"/>
        <v/>
      </c>
      <c r="G82" s="6"/>
      <c r="H82" s="566"/>
      <c r="I82" s="22"/>
      <c r="J82" s="22"/>
      <c r="K82" s="22"/>
      <c r="L82" s="22"/>
      <c r="M82" s="22"/>
      <c r="N82" s="22"/>
      <c r="O82" s="22"/>
      <c r="P82" s="22"/>
      <c r="Q82" s="76"/>
      <c r="R82" s="28"/>
      <c r="S82" s="28"/>
      <c r="T82" s="28"/>
      <c r="U82" s="78"/>
      <c r="V82" s="76"/>
      <c r="W82" s="28"/>
      <c r="X82" s="78"/>
      <c r="Y82" s="76"/>
      <c r="Z82" s="28"/>
      <c r="AA82" s="28"/>
      <c r="AB82" s="28"/>
      <c r="AC82" s="78"/>
      <c r="AD82" s="28"/>
      <c r="AE82" s="28"/>
      <c r="AF82" s="28"/>
      <c r="AG82" s="28"/>
      <c r="AH82" s="78"/>
      <c r="AI82" s="76"/>
      <c r="AJ82" s="28"/>
      <c r="AK82" s="28"/>
      <c r="AL82" s="78"/>
      <c r="AM82" s="76"/>
      <c r="AN82" s="28"/>
      <c r="AO82" s="28"/>
      <c r="AP82" s="28"/>
      <c r="AQ82" s="78"/>
    </row>
    <row r="83" spans="2:44" ht="15" customHeight="1" thickBot="1" x14ac:dyDescent="0.3">
      <c r="B83" s="322"/>
      <c r="C83" s="130">
        <v>37</v>
      </c>
      <c r="D83" s="69">
        <f>COUNTIFS($AQ$6:$AQ$161,2,$G$6:$G$161,$B$59)</f>
        <v>0</v>
      </c>
      <c r="E83" s="347" t="str">
        <f t="shared" si="3"/>
        <v/>
      </c>
      <c r="F83" s="8" t="str">
        <f t="shared" si="2"/>
        <v/>
      </c>
      <c r="G83" s="6"/>
      <c r="H83" s="567"/>
      <c r="I83" s="100"/>
      <c r="J83" s="100"/>
      <c r="K83" s="100"/>
      <c r="L83" s="100"/>
      <c r="M83" s="100"/>
      <c r="N83" s="100"/>
      <c r="O83" s="100"/>
      <c r="P83" s="100"/>
      <c r="Q83" s="76"/>
      <c r="R83" s="28"/>
      <c r="S83" s="28"/>
      <c r="T83" s="28"/>
      <c r="U83" s="78"/>
      <c r="V83" s="76"/>
      <c r="W83" s="28"/>
      <c r="X83" s="78"/>
      <c r="Y83" s="76"/>
      <c r="Z83" s="28"/>
      <c r="AA83" s="28"/>
      <c r="AB83" s="28"/>
      <c r="AC83" s="78"/>
      <c r="AD83" s="28"/>
      <c r="AE83" s="28"/>
      <c r="AF83" s="28"/>
      <c r="AG83" s="28"/>
      <c r="AH83" s="78"/>
      <c r="AI83" s="76"/>
      <c r="AJ83" s="28"/>
      <c r="AK83" s="28"/>
      <c r="AL83" s="78"/>
      <c r="AM83" s="76"/>
      <c r="AN83" s="28"/>
      <c r="AO83" s="28"/>
      <c r="AP83" s="28"/>
      <c r="AQ83" s="78"/>
    </row>
    <row r="84" spans="2:44" ht="15" customHeight="1" thickBot="1" x14ac:dyDescent="0.3">
      <c r="B84" s="983" t="s">
        <v>98</v>
      </c>
      <c r="C84" s="960"/>
      <c r="D84" s="155">
        <f>SUM(D59:D83)</f>
        <v>0</v>
      </c>
      <c r="E84" s="347" t="str">
        <f t="shared" si="3"/>
        <v/>
      </c>
      <c r="F84" s="8" t="str">
        <f t="shared" si="2"/>
        <v/>
      </c>
      <c r="G84" s="6"/>
      <c r="H84" s="565"/>
      <c r="I84" s="28"/>
      <c r="J84" s="299"/>
      <c r="K84" s="28"/>
      <c r="L84" s="28"/>
      <c r="M84" s="28"/>
      <c r="N84" s="28"/>
      <c r="O84" s="299"/>
      <c r="P84" s="299"/>
      <c r="Q84" s="76"/>
      <c r="R84" s="28"/>
      <c r="S84" s="28"/>
      <c r="T84" s="28"/>
      <c r="U84" s="78"/>
      <c r="V84" s="76"/>
      <c r="W84" s="28"/>
      <c r="X84" s="78"/>
      <c r="Y84" s="76"/>
      <c r="Z84" s="28"/>
      <c r="AA84" s="28"/>
      <c r="AB84" s="28"/>
      <c r="AC84" s="78"/>
      <c r="AD84" s="28"/>
      <c r="AE84" s="28"/>
      <c r="AF84" s="28"/>
      <c r="AG84" s="28"/>
      <c r="AH84" s="78"/>
      <c r="AI84" s="76"/>
      <c r="AJ84" s="28"/>
      <c r="AK84" s="28"/>
      <c r="AL84" s="78"/>
      <c r="AM84" s="76"/>
      <c r="AN84" s="28"/>
      <c r="AO84" s="28"/>
      <c r="AP84" s="28"/>
      <c r="AQ84" s="78"/>
    </row>
    <row r="85" spans="2:44" ht="15" customHeight="1" thickBot="1" x14ac:dyDescent="0.3">
      <c r="B85" s="983" t="s">
        <v>976</v>
      </c>
      <c r="C85" s="960"/>
      <c r="D85" s="460">
        <f>D84/VLOOKUP(B59,C21:D24,2,FALSE)</f>
        <v>0</v>
      </c>
      <c r="E85" s="347" t="str">
        <f t="shared" si="3"/>
        <v/>
      </c>
      <c r="F85" s="8" t="str">
        <f t="shared" si="2"/>
        <v/>
      </c>
      <c r="G85" s="6"/>
      <c r="H85" s="565"/>
      <c r="I85" s="28"/>
      <c r="J85" s="299"/>
      <c r="K85" s="28"/>
      <c r="L85" s="28"/>
      <c r="M85" s="28"/>
      <c r="N85" s="28"/>
      <c r="O85" s="299"/>
      <c r="P85" s="299"/>
      <c r="Q85" s="76"/>
      <c r="R85" s="28"/>
      <c r="S85" s="28"/>
      <c r="T85" s="28"/>
      <c r="U85" s="78"/>
      <c r="V85" s="76"/>
      <c r="W85" s="28"/>
      <c r="X85" s="78"/>
      <c r="Y85" s="76"/>
      <c r="Z85" s="28"/>
      <c r="AA85" s="28"/>
      <c r="AB85" s="28"/>
      <c r="AC85" s="78"/>
      <c r="AD85" s="28"/>
      <c r="AE85" s="28"/>
      <c r="AF85" s="28"/>
      <c r="AG85" s="28"/>
      <c r="AH85" s="78"/>
      <c r="AI85" s="76"/>
      <c r="AJ85" s="28"/>
      <c r="AK85" s="28"/>
      <c r="AL85" s="78"/>
      <c r="AM85" s="76"/>
      <c r="AN85" s="28"/>
      <c r="AO85" s="28"/>
      <c r="AP85" s="28"/>
      <c r="AQ85" s="78"/>
    </row>
    <row r="86" spans="2:44" ht="15" customHeight="1" x14ac:dyDescent="0.25">
      <c r="B86" s="110">
        <v>3</v>
      </c>
      <c r="C86" s="129">
        <v>11</v>
      </c>
      <c r="D86" s="110">
        <f>COUNTIFS(Q60:Q215,2,$G$6:$G$161,$B$86)</f>
        <v>0</v>
      </c>
      <c r="E86" s="347" t="str">
        <f t="shared" si="3"/>
        <v/>
      </c>
      <c r="F86" s="8" t="str">
        <f t="shared" si="2"/>
        <v/>
      </c>
      <c r="G86" s="6"/>
      <c r="H86" s="565"/>
      <c r="I86" s="28"/>
      <c r="J86" s="299"/>
      <c r="K86" s="28"/>
      <c r="L86" s="28"/>
      <c r="M86" s="28"/>
      <c r="N86" s="28"/>
      <c r="O86" s="299"/>
      <c r="P86" s="299"/>
      <c r="Q86" s="76"/>
      <c r="R86" s="28"/>
      <c r="S86" s="28"/>
      <c r="T86" s="28"/>
      <c r="U86" s="78"/>
      <c r="V86" s="76"/>
      <c r="W86" s="28"/>
      <c r="X86" s="78"/>
      <c r="Y86" s="76"/>
      <c r="Z86" s="28"/>
      <c r="AA86" s="28"/>
      <c r="AB86" s="28"/>
      <c r="AC86" s="78"/>
      <c r="AD86" s="28"/>
      <c r="AE86" s="28"/>
      <c r="AF86" s="28"/>
      <c r="AG86" s="28"/>
      <c r="AH86" s="78"/>
      <c r="AI86" s="76"/>
      <c r="AJ86" s="28"/>
      <c r="AK86" s="28"/>
      <c r="AL86" s="78"/>
      <c r="AM86" s="76"/>
      <c r="AN86" s="28"/>
      <c r="AO86" s="28"/>
      <c r="AP86" s="28"/>
      <c r="AQ86" s="78"/>
    </row>
    <row r="87" spans="2:44" ht="15" customHeight="1" x14ac:dyDescent="0.25">
      <c r="B87" s="68"/>
      <c r="C87" s="36">
        <v>12</v>
      </c>
      <c r="D87" s="68">
        <f>COUNTIFS($R$6:$R$161,2,$G$6:$G$161,$B$86)</f>
        <v>0</v>
      </c>
      <c r="E87" s="347" t="str">
        <f t="shared" si="3"/>
        <v/>
      </c>
      <c r="F87" s="8" t="str">
        <f t="shared" si="2"/>
        <v/>
      </c>
      <c r="G87" s="6"/>
      <c r="H87" s="565"/>
      <c r="I87" s="28"/>
      <c r="J87" s="299"/>
      <c r="K87" s="28"/>
      <c r="L87" s="28"/>
      <c r="M87" s="28"/>
      <c r="N87" s="28"/>
      <c r="O87" s="299"/>
      <c r="P87" s="299"/>
      <c r="Q87" s="76"/>
      <c r="R87" s="28"/>
      <c r="S87" s="28"/>
      <c r="T87" s="28"/>
      <c r="U87" s="78"/>
      <c r="V87" s="76"/>
      <c r="W87" s="28"/>
      <c r="X87" s="78"/>
      <c r="Y87" s="76"/>
      <c r="Z87" s="28"/>
      <c r="AA87" s="28"/>
      <c r="AB87" s="28"/>
      <c r="AC87" s="78"/>
      <c r="AD87" s="28"/>
      <c r="AE87" s="28"/>
      <c r="AF87" s="28"/>
      <c r="AG87" s="28"/>
      <c r="AH87" s="78"/>
      <c r="AI87" s="76"/>
      <c r="AJ87" s="28"/>
      <c r="AK87" s="28"/>
      <c r="AL87" s="78"/>
      <c r="AM87" s="76"/>
      <c r="AN87" s="28"/>
      <c r="AO87" s="28"/>
      <c r="AP87" s="28"/>
      <c r="AQ87" s="78"/>
    </row>
    <row r="88" spans="2:44" ht="15.75" customHeight="1" x14ac:dyDescent="0.25">
      <c r="B88" s="68"/>
      <c r="C88" s="36">
        <v>13</v>
      </c>
      <c r="D88" s="68">
        <f>COUNTIFS($S$6:$S$161,2,$G$6:$G$161,$B$86)</f>
        <v>0</v>
      </c>
      <c r="E88" s="347" t="str">
        <f t="shared" si="3"/>
        <v/>
      </c>
      <c r="F88" s="8" t="str">
        <f t="shared" si="2"/>
        <v/>
      </c>
      <c r="G88" s="6"/>
      <c r="H88" s="565"/>
      <c r="I88" s="28"/>
      <c r="J88" s="299"/>
      <c r="K88" s="28"/>
      <c r="L88" s="28"/>
      <c r="M88" s="28"/>
      <c r="N88" s="28"/>
      <c r="O88" s="299"/>
      <c r="P88" s="299"/>
      <c r="Q88" s="76"/>
      <c r="R88" s="28"/>
      <c r="S88" s="28"/>
      <c r="T88" s="28"/>
      <c r="U88" s="78"/>
      <c r="V88" s="76"/>
      <c r="W88" s="28"/>
      <c r="X88" s="78"/>
      <c r="Y88" s="76"/>
      <c r="Z88" s="28"/>
      <c r="AA88" s="28"/>
      <c r="AB88" s="28"/>
      <c r="AC88" s="78"/>
      <c r="AD88" s="28"/>
      <c r="AE88" s="28"/>
      <c r="AF88" s="28"/>
      <c r="AG88" s="28"/>
      <c r="AH88" s="78"/>
      <c r="AI88" s="76"/>
      <c r="AJ88" s="28"/>
      <c r="AK88" s="28"/>
      <c r="AL88" s="78"/>
      <c r="AM88" s="76"/>
      <c r="AN88" s="28"/>
      <c r="AO88" s="28"/>
      <c r="AP88" s="28"/>
      <c r="AQ88" s="78"/>
    </row>
    <row r="89" spans="2:44" ht="15.75" customHeight="1" x14ac:dyDescent="0.25">
      <c r="B89" s="68"/>
      <c r="C89" s="36">
        <v>14</v>
      </c>
      <c r="D89" s="68">
        <f>COUNTIFS($T$6:$T$161,2,$G$6:$G$161,$B$86)</f>
        <v>0</v>
      </c>
      <c r="E89" s="347" t="str">
        <f t="shared" si="3"/>
        <v/>
      </c>
      <c r="F89" s="8" t="str">
        <f t="shared" si="2"/>
        <v/>
      </c>
      <c r="G89" s="6"/>
      <c r="H89" s="565"/>
      <c r="I89" s="28"/>
      <c r="J89" s="299"/>
      <c r="K89" s="28"/>
      <c r="L89" s="28"/>
      <c r="M89" s="28"/>
      <c r="N89" s="28"/>
      <c r="O89" s="299"/>
      <c r="P89" s="299"/>
      <c r="Q89" s="76"/>
      <c r="R89" s="28"/>
      <c r="S89" s="28"/>
      <c r="T89" s="28"/>
      <c r="U89" s="78"/>
      <c r="V89" s="76"/>
      <c r="W89" s="28"/>
      <c r="X89" s="78"/>
      <c r="Y89" s="76"/>
      <c r="Z89" s="28"/>
      <c r="AA89" s="28"/>
      <c r="AB89" s="28"/>
      <c r="AC89" s="78"/>
      <c r="AD89" s="28"/>
      <c r="AE89" s="28"/>
      <c r="AF89" s="28"/>
      <c r="AG89" s="28"/>
      <c r="AH89" s="78"/>
      <c r="AI89" s="76"/>
      <c r="AJ89" s="28"/>
      <c r="AK89" s="28"/>
      <c r="AL89" s="78"/>
      <c r="AM89" s="76"/>
      <c r="AN89" s="28"/>
      <c r="AO89" s="28"/>
      <c r="AP89" s="28"/>
      <c r="AQ89" s="78"/>
    </row>
    <row r="90" spans="2:44" ht="15.75" customHeight="1" x14ac:dyDescent="0.25">
      <c r="B90" s="321"/>
      <c r="C90" s="36">
        <v>15</v>
      </c>
      <c r="D90" s="68">
        <f>COUNTIFS($U$6:$U$161,2,$G$6:$G$161,$B$86)</f>
        <v>0</v>
      </c>
      <c r="E90" s="347" t="str">
        <f t="shared" si="3"/>
        <v/>
      </c>
      <c r="F90" s="8" t="str">
        <f t="shared" si="2"/>
        <v/>
      </c>
      <c r="G90" s="6"/>
      <c r="H90" s="565"/>
      <c r="I90" s="28"/>
      <c r="J90" s="28"/>
      <c r="K90" s="28"/>
      <c r="L90" s="28"/>
      <c r="M90" s="28"/>
      <c r="N90" s="28"/>
      <c r="O90" s="28"/>
      <c r="P90" s="28"/>
      <c r="Q90" s="76"/>
      <c r="R90" s="28"/>
      <c r="S90" s="28"/>
      <c r="T90" s="28"/>
      <c r="U90" s="78"/>
      <c r="V90" s="76"/>
      <c r="W90" s="28"/>
      <c r="X90" s="78"/>
      <c r="Y90" s="76"/>
      <c r="Z90" s="28"/>
      <c r="AA90" s="28"/>
      <c r="AB90" s="28"/>
      <c r="AC90" s="78"/>
      <c r="AD90" s="28"/>
      <c r="AE90" s="28"/>
      <c r="AF90" s="28"/>
      <c r="AG90" s="28"/>
      <c r="AH90" s="78"/>
      <c r="AI90" s="76"/>
      <c r="AJ90" s="28"/>
      <c r="AK90" s="28"/>
      <c r="AL90" s="78"/>
      <c r="AM90" s="76"/>
      <c r="AN90" s="28"/>
      <c r="AO90" s="28"/>
      <c r="AP90" s="28"/>
      <c r="AQ90" s="78"/>
      <c r="AR90" s="28"/>
    </row>
    <row r="91" spans="2:44" ht="15" customHeight="1" x14ac:dyDescent="0.25">
      <c r="B91" s="321"/>
      <c r="C91" s="36">
        <v>16</v>
      </c>
      <c r="D91" s="68">
        <f>COUNTIFS($V$6:$V$161,2,$G$6:$G$161,$B$86)</f>
        <v>0</v>
      </c>
      <c r="E91" s="347" t="str">
        <f t="shared" si="3"/>
        <v/>
      </c>
      <c r="F91" s="8" t="str">
        <f t="shared" si="2"/>
        <v/>
      </c>
      <c r="G91" s="6"/>
      <c r="H91" s="566"/>
      <c r="I91" s="22"/>
      <c r="J91" s="22"/>
      <c r="K91" s="22"/>
      <c r="L91" s="22"/>
      <c r="M91" s="22"/>
      <c r="N91" s="22"/>
      <c r="O91" s="22"/>
      <c r="P91" s="22"/>
      <c r="Q91" s="76"/>
      <c r="R91" s="28"/>
      <c r="S91" s="28"/>
      <c r="T91" s="28"/>
      <c r="U91" s="78"/>
      <c r="V91" s="76"/>
      <c r="W91" s="28"/>
      <c r="X91" s="78"/>
      <c r="Y91" s="76"/>
      <c r="Z91" s="28"/>
      <c r="AA91" s="28"/>
      <c r="AB91" s="28"/>
      <c r="AC91" s="78"/>
      <c r="AD91" s="28"/>
      <c r="AE91" s="28"/>
      <c r="AF91" s="28"/>
      <c r="AG91" s="28"/>
      <c r="AH91" s="78"/>
      <c r="AI91" s="76"/>
      <c r="AJ91" s="28"/>
      <c r="AK91" s="28"/>
      <c r="AL91" s="78"/>
      <c r="AM91" s="76"/>
      <c r="AN91" s="28"/>
      <c r="AO91" s="28"/>
      <c r="AP91" s="28"/>
      <c r="AQ91" s="78"/>
    </row>
    <row r="92" spans="2:44" ht="15" customHeight="1" x14ac:dyDescent="0.25">
      <c r="B92" s="321"/>
      <c r="C92" s="36">
        <v>17</v>
      </c>
      <c r="D92" s="68">
        <f>COUNTIFS($W$6:$W$161,2,$G$6:$G$161,$B$86)</f>
        <v>0</v>
      </c>
      <c r="E92" s="347" t="str">
        <f t="shared" si="3"/>
        <v/>
      </c>
      <c r="F92" s="8" t="str">
        <f t="shared" si="2"/>
        <v/>
      </c>
      <c r="G92" s="6"/>
      <c r="H92" s="568"/>
      <c r="Q92" s="46"/>
      <c r="U92" s="3"/>
      <c r="V92" s="46"/>
      <c r="X92" s="3"/>
      <c r="Y92" s="46"/>
      <c r="AC92" s="3"/>
      <c r="AH92" s="3"/>
      <c r="AI92" s="46"/>
      <c r="AL92" s="3"/>
      <c r="AM92" s="46"/>
      <c r="AQ92" s="3"/>
    </row>
    <row r="93" spans="2:44" ht="15" customHeight="1" x14ac:dyDescent="0.25">
      <c r="B93" s="321"/>
      <c r="C93" s="36">
        <v>18</v>
      </c>
      <c r="D93" s="68">
        <f>COUNTIFS($X$6:$X$161,2,$G$6:$G$161,$B$86)</f>
        <v>0</v>
      </c>
      <c r="E93" s="347" t="str">
        <f t="shared" si="3"/>
        <v/>
      </c>
      <c r="F93" s="8" t="str">
        <f t="shared" si="2"/>
        <v/>
      </c>
      <c r="G93" s="6"/>
      <c r="H93" s="568"/>
      <c r="Q93" s="46"/>
      <c r="U93" s="3"/>
      <c r="V93" s="46"/>
      <c r="X93" s="3"/>
      <c r="Y93" s="46"/>
      <c r="AC93" s="3"/>
      <c r="AH93" s="3"/>
      <c r="AI93" s="46"/>
      <c r="AL93" s="3"/>
      <c r="AM93" s="46"/>
      <c r="AQ93" s="3"/>
    </row>
    <row r="94" spans="2:44" ht="15" customHeight="1" x14ac:dyDescent="0.25">
      <c r="B94" s="321"/>
      <c r="C94" s="36">
        <v>19</v>
      </c>
      <c r="D94" s="68">
        <f>COUNTIFS($Z$6:$Z$161,2,$G$6:$G$161,$B$86)</f>
        <v>0</v>
      </c>
      <c r="E94" s="347" t="str">
        <f t="shared" si="3"/>
        <v/>
      </c>
      <c r="F94" s="8" t="str">
        <f t="shared" si="2"/>
        <v/>
      </c>
      <c r="G94" s="6"/>
      <c r="H94" s="565"/>
      <c r="I94" s="28"/>
      <c r="J94" s="28"/>
      <c r="K94" s="28"/>
      <c r="L94" s="28"/>
      <c r="M94" s="28"/>
      <c r="N94" s="28"/>
      <c r="O94" s="28"/>
      <c r="P94" s="28"/>
      <c r="Q94" s="76"/>
      <c r="R94" s="28"/>
      <c r="S94" s="28"/>
      <c r="T94" s="28"/>
      <c r="U94" s="78"/>
      <c r="V94" s="76"/>
      <c r="W94" s="28"/>
      <c r="X94" s="78"/>
      <c r="Y94" s="76"/>
      <c r="Z94" s="28"/>
      <c r="AA94" s="28"/>
      <c r="AB94" s="28"/>
      <c r="AC94" s="78"/>
      <c r="AD94" s="28"/>
      <c r="AE94" s="28"/>
      <c r="AF94" s="28"/>
      <c r="AG94" s="28"/>
      <c r="AH94" s="78"/>
      <c r="AI94" s="76"/>
      <c r="AJ94" s="28"/>
      <c r="AK94" s="28"/>
      <c r="AL94" s="78"/>
      <c r="AM94" s="76"/>
      <c r="AN94" s="28"/>
      <c r="AO94" s="28"/>
      <c r="AP94" s="28"/>
      <c r="AQ94" s="78"/>
    </row>
    <row r="95" spans="2:44" ht="15" customHeight="1" x14ac:dyDescent="0.25">
      <c r="B95" s="321"/>
      <c r="C95" s="36">
        <v>20</v>
      </c>
      <c r="D95" s="68">
        <f>COUNTIFS($Z$6:$Z$161,2,$G$6:$G$161,$B$86)</f>
        <v>0</v>
      </c>
      <c r="E95" s="347" t="str">
        <f t="shared" si="3"/>
        <v/>
      </c>
      <c r="F95" s="8" t="str">
        <f t="shared" si="2"/>
        <v/>
      </c>
      <c r="G95" s="6"/>
      <c r="H95" s="566"/>
      <c r="I95" s="22"/>
      <c r="J95" s="22"/>
      <c r="K95" s="22"/>
      <c r="L95" s="22"/>
      <c r="M95" s="22"/>
      <c r="N95" s="22"/>
      <c r="O95" s="22"/>
      <c r="P95" s="22"/>
      <c r="Q95" s="76"/>
      <c r="R95" s="28"/>
      <c r="S95" s="28"/>
      <c r="T95" s="28"/>
      <c r="U95" s="78"/>
      <c r="V95" s="76"/>
      <c r="W95" s="28"/>
      <c r="X95" s="78"/>
      <c r="Y95" s="76"/>
      <c r="Z95" s="28"/>
      <c r="AA95" s="28"/>
      <c r="AB95" s="28"/>
      <c r="AC95" s="78"/>
      <c r="AD95" s="28"/>
      <c r="AE95" s="28"/>
      <c r="AF95" s="28"/>
      <c r="AG95" s="28"/>
      <c r="AH95" s="78"/>
      <c r="AI95" s="76"/>
      <c r="AJ95" s="28"/>
      <c r="AK95" s="28"/>
      <c r="AL95" s="78"/>
      <c r="AM95" s="76"/>
      <c r="AN95" s="28"/>
      <c r="AO95" s="28"/>
      <c r="AP95" s="28"/>
      <c r="AQ95" s="78"/>
    </row>
    <row r="96" spans="2:44" ht="15" customHeight="1" x14ac:dyDescent="0.25">
      <c r="B96" s="321"/>
      <c r="C96" s="36">
        <v>21</v>
      </c>
      <c r="D96" s="68">
        <f>COUNTIFS($AA$6:$AA$161,2,$G$6:$G$161,$B$86)</f>
        <v>0</v>
      </c>
      <c r="E96" s="347" t="str">
        <f t="shared" si="3"/>
        <v/>
      </c>
      <c r="F96" s="8" t="str">
        <f t="shared" si="2"/>
        <v/>
      </c>
      <c r="G96" s="6"/>
      <c r="H96" s="567"/>
      <c r="I96" s="100"/>
      <c r="J96" s="100"/>
      <c r="K96" s="100"/>
      <c r="L96" s="100"/>
      <c r="M96" s="100"/>
      <c r="N96" s="100"/>
      <c r="O96" s="100"/>
      <c r="P96" s="100"/>
      <c r="Q96" s="76"/>
      <c r="R96" s="28"/>
      <c r="S96" s="28"/>
      <c r="T96" s="28"/>
      <c r="U96" s="78"/>
      <c r="V96" s="76"/>
      <c r="W96" s="28"/>
      <c r="X96" s="78"/>
      <c r="Y96" s="76"/>
      <c r="Z96" s="28"/>
      <c r="AA96" s="28"/>
      <c r="AB96" s="28"/>
      <c r="AC96" s="78"/>
      <c r="AD96" s="28"/>
      <c r="AE96" s="28"/>
      <c r="AF96" s="28"/>
      <c r="AG96" s="28"/>
      <c r="AH96" s="78"/>
      <c r="AI96" s="76"/>
      <c r="AJ96" s="28"/>
      <c r="AK96" s="28"/>
      <c r="AL96" s="78"/>
      <c r="AM96" s="76"/>
      <c r="AN96" s="28"/>
      <c r="AO96" s="28"/>
      <c r="AP96" s="28"/>
      <c r="AQ96" s="78"/>
    </row>
    <row r="97" spans="2:44" ht="15" customHeight="1" x14ac:dyDescent="0.25">
      <c r="B97" s="321"/>
      <c r="C97" s="36">
        <v>22</v>
      </c>
      <c r="D97" s="68">
        <f>COUNTIFS($AB$6:$AB$161,2,$G$6:$G$161,$B$86)</f>
        <v>0</v>
      </c>
      <c r="E97" s="347" t="str">
        <f t="shared" si="3"/>
        <v/>
      </c>
      <c r="F97" s="8" t="str">
        <f t="shared" si="2"/>
        <v/>
      </c>
      <c r="G97" s="6"/>
      <c r="H97" s="565"/>
      <c r="I97" s="28"/>
      <c r="J97" s="299"/>
      <c r="K97" s="28"/>
      <c r="L97" s="28"/>
      <c r="M97" s="28"/>
      <c r="N97" s="28"/>
      <c r="O97" s="299"/>
      <c r="P97" s="299"/>
      <c r="Q97" s="76"/>
      <c r="R97" s="28"/>
      <c r="S97" s="28"/>
      <c r="T97" s="28"/>
      <c r="U97" s="78"/>
      <c r="V97" s="76"/>
      <c r="W97" s="28"/>
      <c r="X97" s="78"/>
      <c r="Y97" s="76"/>
      <c r="Z97" s="28"/>
      <c r="AA97" s="28"/>
      <c r="AB97" s="28"/>
      <c r="AC97" s="78"/>
      <c r="AD97" s="28"/>
      <c r="AE97" s="28"/>
      <c r="AF97" s="28"/>
      <c r="AG97" s="28"/>
      <c r="AH97" s="78"/>
      <c r="AI97" s="76"/>
      <c r="AJ97" s="28"/>
      <c r="AK97" s="28"/>
      <c r="AL97" s="78"/>
      <c r="AM97" s="76"/>
      <c r="AN97" s="28"/>
      <c r="AO97" s="28"/>
      <c r="AP97" s="28"/>
      <c r="AQ97" s="78"/>
    </row>
    <row r="98" spans="2:44" ht="15" customHeight="1" x14ac:dyDescent="0.25">
      <c r="B98" s="321"/>
      <c r="C98" s="36">
        <v>23</v>
      </c>
      <c r="D98" s="68">
        <f>COUNTIFS($AC$6:$AC$161,2,$G$6:$G$161,$B$86)</f>
        <v>0</v>
      </c>
      <c r="E98" s="347" t="str">
        <f t="shared" si="3"/>
        <v/>
      </c>
      <c r="F98" s="8" t="str">
        <f t="shared" si="2"/>
        <v/>
      </c>
      <c r="G98" s="6"/>
      <c r="H98" s="565"/>
      <c r="I98" s="28"/>
      <c r="J98" s="299"/>
      <c r="K98" s="28"/>
      <c r="L98" s="28"/>
      <c r="M98" s="28"/>
      <c r="N98" s="28"/>
      <c r="O98" s="299"/>
      <c r="P98" s="299"/>
      <c r="Q98" s="76"/>
      <c r="R98" s="28"/>
      <c r="S98" s="28"/>
      <c r="T98" s="28"/>
      <c r="U98" s="78"/>
      <c r="V98" s="76"/>
      <c r="W98" s="28"/>
      <c r="X98" s="78"/>
      <c r="Y98" s="76"/>
      <c r="Z98" s="28"/>
      <c r="AA98" s="28"/>
      <c r="AB98" s="28"/>
      <c r="AC98" s="78"/>
      <c r="AD98" s="28"/>
      <c r="AE98" s="28"/>
      <c r="AF98" s="28"/>
      <c r="AG98" s="28"/>
      <c r="AH98" s="78"/>
      <c r="AI98" s="76"/>
      <c r="AJ98" s="28"/>
      <c r="AK98" s="28"/>
      <c r="AL98" s="78"/>
      <c r="AM98" s="76"/>
      <c r="AN98" s="28"/>
      <c r="AO98" s="28"/>
      <c r="AP98" s="28"/>
      <c r="AQ98" s="78"/>
    </row>
    <row r="99" spans="2:44" ht="15" customHeight="1" x14ac:dyDescent="0.25">
      <c r="B99" s="321"/>
      <c r="C99" s="36">
        <v>25</v>
      </c>
      <c r="D99" s="68">
        <f>COUNTIFS($AE$6:$AE$161,2,$G$6:$G$161,$B$86)</f>
        <v>0</v>
      </c>
      <c r="E99" s="347" t="str">
        <f t="shared" si="3"/>
        <v/>
      </c>
      <c r="F99" s="8" t="str">
        <f t="shared" si="2"/>
        <v/>
      </c>
      <c r="G99" s="6"/>
      <c r="H99" s="565"/>
      <c r="I99" s="28"/>
      <c r="J99" s="299"/>
      <c r="K99" s="28"/>
      <c r="L99" s="28"/>
      <c r="M99" s="28"/>
      <c r="N99" s="28"/>
      <c r="O99" s="299"/>
      <c r="P99" s="299"/>
      <c r="Q99" s="76"/>
      <c r="R99" s="28"/>
      <c r="S99" s="28"/>
      <c r="T99" s="28"/>
      <c r="U99" s="78"/>
      <c r="V99" s="76"/>
      <c r="W99" s="28"/>
      <c r="X99" s="78"/>
      <c r="Y99" s="76"/>
      <c r="Z99" s="28"/>
      <c r="AA99" s="28"/>
      <c r="AB99" s="28"/>
      <c r="AC99" s="78"/>
      <c r="AD99" s="28"/>
      <c r="AE99" s="28"/>
      <c r="AF99" s="28"/>
      <c r="AG99" s="28"/>
      <c r="AH99" s="78"/>
      <c r="AI99" s="76"/>
      <c r="AJ99" s="28"/>
      <c r="AK99" s="28"/>
      <c r="AL99" s="78"/>
      <c r="AM99" s="76"/>
      <c r="AN99" s="28"/>
      <c r="AO99" s="28"/>
      <c r="AP99" s="28"/>
      <c r="AQ99" s="78"/>
    </row>
    <row r="100" spans="2:44" ht="15" customHeight="1" x14ac:dyDescent="0.25">
      <c r="B100" s="321"/>
      <c r="C100" s="36">
        <v>26</v>
      </c>
      <c r="D100" s="68">
        <f>COUNTIFS($AF$6:$AF$161,2,$G$6:$G$161,$B$86)</f>
        <v>0</v>
      </c>
      <c r="E100" s="347" t="str">
        <f t="shared" si="3"/>
        <v/>
      </c>
      <c r="F100" s="8" t="str">
        <f t="shared" si="2"/>
        <v/>
      </c>
      <c r="G100" s="6"/>
      <c r="H100" s="565"/>
      <c r="I100" s="28"/>
      <c r="J100" s="299"/>
      <c r="K100" s="28"/>
      <c r="L100" s="28"/>
      <c r="M100" s="28"/>
      <c r="N100" s="28"/>
      <c r="O100" s="299"/>
      <c r="P100" s="299"/>
      <c r="Q100" s="76"/>
      <c r="R100" s="28"/>
      <c r="S100" s="28"/>
      <c r="T100" s="28"/>
      <c r="U100" s="78"/>
      <c r="V100" s="76"/>
      <c r="W100" s="28"/>
      <c r="X100" s="78"/>
      <c r="Y100" s="76"/>
      <c r="Z100" s="28"/>
      <c r="AA100" s="28"/>
      <c r="AB100" s="28"/>
      <c r="AC100" s="78"/>
      <c r="AD100" s="28"/>
      <c r="AE100" s="28"/>
      <c r="AF100" s="28"/>
      <c r="AG100" s="28"/>
      <c r="AH100" s="78"/>
      <c r="AI100" s="76"/>
      <c r="AJ100" s="28"/>
      <c r="AK100" s="28"/>
      <c r="AL100" s="78"/>
      <c r="AM100" s="76"/>
      <c r="AN100" s="28"/>
      <c r="AO100" s="28"/>
      <c r="AP100" s="28"/>
      <c r="AQ100" s="78"/>
    </row>
    <row r="101" spans="2:44" ht="15.75" customHeight="1" x14ac:dyDescent="0.25">
      <c r="B101" s="321"/>
      <c r="C101" s="36">
        <v>27</v>
      </c>
      <c r="D101" s="68">
        <f>COUNTIFS($AG$6:$AG$161,2,$G$6:$G$161,$B$86)</f>
        <v>0</v>
      </c>
      <c r="E101" s="347" t="str">
        <f t="shared" si="3"/>
        <v/>
      </c>
      <c r="F101" s="8" t="str">
        <f t="shared" si="2"/>
        <v/>
      </c>
      <c r="G101" s="6"/>
      <c r="H101" s="565"/>
      <c r="I101" s="28"/>
      <c r="J101" s="299"/>
      <c r="K101" s="28"/>
      <c r="L101" s="28"/>
      <c r="M101" s="28"/>
      <c r="N101" s="28"/>
      <c r="O101" s="299"/>
      <c r="P101" s="299"/>
      <c r="Q101" s="76"/>
      <c r="R101" s="28"/>
      <c r="S101" s="28"/>
      <c r="T101" s="28"/>
      <c r="U101" s="78"/>
      <c r="V101" s="76"/>
      <c r="W101" s="28"/>
      <c r="X101" s="78"/>
      <c r="Y101" s="76"/>
      <c r="Z101" s="28"/>
      <c r="AA101" s="28"/>
      <c r="AB101" s="28"/>
      <c r="AC101" s="78"/>
      <c r="AD101" s="28"/>
      <c r="AE101" s="28"/>
      <c r="AF101" s="28"/>
      <c r="AG101" s="28"/>
      <c r="AH101" s="78"/>
      <c r="AI101" s="76"/>
      <c r="AJ101" s="28"/>
      <c r="AK101" s="28"/>
      <c r="AL101" s="78"/>
      <c r="AM101" s="76"/>
      <c r="AN101" s="28"/>
      <c r="AO101" s="28"/>
      <c r="AP101" s="28"/>
      <c r="AQ101" s="78"/>
    </row>
    <row r="102" spans="2:44" ht="15.75" customHeight="1" x14ac:dyDescent="0.25">
      <c r="B102" s="321"/>
      <c r="C102" s="36">
        <v>29</v>
      </c>
      <c r="D102" s="68">
        <f>COUNTIFS($AI$6:$AI$161,2,$G$6:$G$161,$B$86)</f>
        <v>0</v>
      </c>
      <c r="E102" s="347" t="str">
        <f t="shared" si="3"/>
        <v/>
      </c>
      <c r="F102" s="8" t="str">
        <f t="shared" si="2"/>
        <v/>
      </c>
      <c r="G102" s="6"/>
      <c r="H102" s="565"/>
      <c r="I102" s="28"/>
      <c r="J102" s="299"/>
      <c r="K102" s="28"/>
      <c r="L102" s="28"/>
      <c r="M102" s="28"/>
      <c r="N102" s="28"/>
      <c r="O102" s="299"/>
      <c r="P102" s="299"/>
      <c r="Q102" s="76"/>
      <c r="R102" s="28"/>
      <c r="S102" s="28"/>
      <c r="T102" s="28"/>
      <c r="U102" s="78"/>
      <c r="V102" s="76"/>
      <c r="W102" s="28"/>
      <c r="X102" s="78"/>
      <c r="Y102" s="76"/>
      <c r="Z102" s="28"/>
      <c r="AA102" s="28"/>
      <c r="AB102" s="28"/>
      <c r="AC102" s="78"/>
      <c r="AD102" s="28"/>
      <c r="AE102" s="28"/>
      <c r="AF102" s="28"/>
      <c r="AG102" s="28"/>
      <c r="AH102" s="78"/>
      <c r="AI102" s="76"/>
      <c r="AJ102" s="28"/>
      <c r="AK102" s="28"/>
      <c r="AL102" s="78"/>
      <c r="AM102" s="76"/>
      <c r="AN102" s="28"/>
      <c r="AO102" s="28"/>
      <c r="AP102" s="28"/>
      <c r="AQ102" s="78"/>
    </row>
    <row r="103" spans="2:44" ht="15.75" customHeight="1" x14ac:dyDescent="0.25">
      <c r="B103" s="321"/>
      <c r="C103" s="36">
        <v>30</v>
      </c>
      <c r="D103" s="68">
        <f>COUNTIFS($AJ$6:$AJ$161,2,$G$6:$G$161,$B$86)</f>
        <v>0</v>
      </c>
      <c r="E103" s="347" t="str">
        <f t="shared" si="3"/>
        <v/>
      </c>
      <c r="F103" s="8" t="str">
        <f t="shared" si="2"/>
        <v/>
      </c>
      <c r="G103" s="6"/>
      <c r="H103" s="565"/>
      <c r="I103" s="28"/>
      <c r="J103" s="28"/>
      <c r="K103" s="28"/>
      <c r="L103" s="28"/>
      <c r="M103" s="28"/>
      <c r="N103" s="28"/>
      <c r="O103" s="28"/>
      <c r="P103" s="28"/>
      <c r="Q103" s="76"/>
      <c r="R103" s="28"/>
      <c r="S103" s="28"/>
      <c r="T103" s="28"/>
      <c r="U103" s="78"/>
      <c r="V103" s="76"/>
      <c r="W103" s="28"/>
      <c r="X103" s="78"/>
      <c r="Y103" s="76"/>
      <c r="Z103" s="28"/>
      <c r="AA103" s="28"/>
      <c r="AB103" s="28"/>
      <c r="AC103" s="78"/>
      <c r="AD103" s="28"/>
      <c r="AE103" s="28"/>
      <c r="AF103" s="28"/>
      <c r="AG103" s="28"/>
      <c r="AH103" s="78"/>
      <c r="AI103" s="76"/>
      <c r="AJ103" s="28"/>
      <c r="AK103" s="28"/>
      <c r="AL103" s="78"/>
      <c r="AM103" s="76"/>
      <c r="AN103" s="28"/>
      <c r="AO103" s="28"/>
      <c r="AP103" s="28"/>
      <c r="AQ103" s="78"/>
    </row>
    <row r="104" spans="2:44" ht="15" customHeight="1" x14ac:dyDescent="0.25">
      <c r="B104" s="321"/>
      <c r="C104" s="36">
        <v>31</v>
      </c>
      <c r="D104" s="68">
        <f>COUNTIFS($AK$6:$AK$161,2,$G$6:$G$161,$B$86)</f>
        <v>0</v>
      </c>
      <c r="E104" s="347" t="str">
        <f t="shared" si="3"/>
        <v/>
      </c>
      <c r="F104" s="8" t="str">
        <f t="shared" si="2"/>
        <v/>
      </c>
      <c r="G104" s="6"/>
      <c r="H104" s="566"/>
      <c r="I104" s="22"/>
      <c r="J104" s="22"/>
      <c r="K104" s="22"/>
      <c r="L104" s="22"/>
      <c r="M104" s="22"/>
      <c r="N104" s="22"/>
      <c r="O104" s="22"/>
      <c r="P104" s="22"/>
      <c r="Q104" s="76"/>
      <c r="R104" s="28"/>
      <c r="S104" s="28"/>
      <c r="T104" s="28"/>
      <c r="U104" s="78"/>
      <c r="V104" s="76"/>
      <c r="W104" s="28"/>
      <c r="X104" s="78"/>
      <c r="Y104" s="76"/>
      <c r="Z104" s="28"/>
      <c r="AA104" s="28"/>
      <c r="AB104" s="28"/>
      <c r="AC104" s="78"/>
      <c r="AD104" s="28"/>
      <c r="AE104" s="28"/>
      <c r="AF104" s="28"/>
      <c r="AG104" s="28"/>
      <c r="AH104" s="78"/>
      <c r="AI104" s="76"/>
      <c r="AJ104" s="28"/>
      <c r="AK104" s="28"/>
      <c r="AL104" s="78"/>
      <c r="AM104" s="76"/>
      <c r="AN104" s="28"/>
      <c r="AO104" s="28"/>
      <c r="AP104" s="28"/>
      <c r="AQ104" s="78"/>
    </row>
    <row r="105" spans="2:44" ht="15" customHeight="1" x14ac:dyDescent="0.25">
      <c r="B105" s="321"/>
      <c r="C105" s="36">
        <v>32</v>
      </c>
      <c r="D105" s="68">
        <f>COUNTIFS($AL$6:$AL$161,2,$G$6:$G$161,$B$86)</f>
        <v>0</v>
      </c>
      <c r="E105" s="347" t="str">
        <f t="shared" si="3"/>
        <v/>
      </c>
      <c r="F105" s="8" t="str">
        <f t="shared" si="2"/>
        <v/>
      </c>
      <c r="G105" s="6"/>
      <c r="H105" s="568"/>
      <c r="Q105" s="46"/>
      <c r="U105" s="3"/>
      <c r="V105" s="46"/>
      <c r="X105" s="3"/>
      <c r="Y105" s="46"/>
      <c r="AC105" s="3"/>
      <c r="AH105" s="3"/>
      <c r="AI105" s="46"/>
      <c r="AL105" s="3"/>
      <c r="AM105" s="46"/>
      <c r="AQ105" s="3"/>
    </row>
    <row r="106" spans="2:44" ht="15" customHeight="1" x14ac:dyDescent="0.25">
      <c r="B106" s="321"/>
      <c r="C106" s="36">
        <v>33</v>
      </c>
      <c r="D106" s="68">
        <f>COUNTIFS($AM$6:$AM$161,2,$G$6:$G$161,$B$86)</f>
        <v>0</v>
      </c>
      <c r="E106" s="347" t="str">
        <f t="shared" si="3"/>
        <v/>
      </c>
      <c r="F106" s="8" t="str">
        <f t="shared" si="2"/>
        <v/>
      </c>
      <c r="G106" s="6"/>
      <c r="H106" s="568"/>
      <c r="Q106" s="46"/>
      <c r="U106" s="3"/>
      <c r="V106" s="46"/>
      <c r="X106" s="3"/>
      <c r="Y106" s="46"/>
      <c r="AC106" s="3"/>
      <c r="AH106" s="3"/>
      <c r="AI106" s="46"/>
      <c r="AL106" s="3"/>
      <c r="AM106" s="46"/>
      <c r="AQ106" s="3"/>
    </row>
    <row r="107" spans="2:44" ht="15" customHeight="1" x14ac:dyDescent="0.25">
      <c r="B107" s="321"/>
      <c r="C107" s="36">
        <v>34</v>
      </c>
      <c r="D107" s="68">
        <f>COUNTIFS($AN$6:$AN$161,2,$G$6:$G$161,$B$86)</f>
        <v>0</v>
      </c>
      <c r="E107" s="347" t="str">
        <f t="shared" si="3"/>
        <v/>
      </c>
      <c r="F107" s="8" t="str">
        <f t="shared" si="2"/>
        <v/>
      </c>
      <c r="G107" s="6"/>
      <c r="H107" s="565"/>
      <c r="I107" s="28"/>
      <c r="J107" s="28"/>
      <c r="K107" s="28"/>
      <c r="L107" s="28"/>
      <c r="M107" s="28"/>
      <c r="N107" s="28"/>
      <c r="O107" s="28"/>
      <c r="P107" s="28"/>
      <c r="Q107" s="76"/>
      <c r="R107" s="28"/>
      <c r="S107" s="28"/>
      <c r="T107" s="28"/>
      <c r="U107" s="78"/>
      <c r="V107" s="76"/>
      <c r="W107" s="28"/>
      <c r="X107" s="78"/>
      <c r="Y107" s="76"/>
      <c r="Z107" s="28"/>
      <c r="AA107" s="28"/>
      <c r="AB107" s="28"/>
      <c r="AC107" s="78"/>
      <c r="AD107" s="28"/>
      <c r="AE107" s="28"/>
      <c r="AF107" s="28"/>
      <c r="AG107" s="28"/>
      <c r="AH107" s="78"/>
      <c r="AI107" s="76"/>
      <c r="AJ107" s="28"/>
      <c r="AK107" s="28"/>
      <c r="AL107" s="78"/>
      <c r="AM107" s="76"/>
      <c r="AN107" s="28"/>
      <c r="AO107" s="28"/>
      <c r="AP107" s="28"/>
      <c r="AQ107" s="78"/>
      <c r="AR107" s="28"/>
    </row>
    <row r="108" spans="2:44" ht="15" customHeight="1" x14ac:dyDescent="0.25">
      <c r="B108" s="321"/>
      <c r="C108" s="36">
        <v>35</v>
      </c>
      <c r="D108" s="68">
        <f>COUNTIFS($AO$6:$AO$161,2,$G$6:$G$161,$B$86)</f>
        <v>0</v>
      </c>
      <c r="E108" s="347" t="str">
        <f t="shared" si="3"/>
        <v/>
      </c>
      <c r="F108" s="8" t="str">
        <f t="shared" si="2"/>
        <v/>
      </c>
      <c r="G108" s="6"/>
      <c r="H108" s="566"/>
      <c r="I108" s="22"/>
      <c r="J108" s="22"/>
      <c r="K108" s="22"/>
      <c r="L108" s="22"/>
      <c r="M108" s="22"/>
      <c r="N108" s="22"/>
      <c r="O108" s="22"/>
      <c r="P108" s="22"/>
      <c r="Q108" s="76"/>
      <c r="R108" s="28"/>
      <c r="S108" s="28"/>
      <c r="T108" s="28"/>
      <c r="U108" s="78"/>
      <c r="V108" s="76"/>
      <c r="W108" s="28"/>
      <c r="X108" s="78"/>
      <c r="Y108" s="76"/>
      <c r="Z108" s="28"/>
      <c r="AA108" s="28"/>
      <c r="AB108" s="28"/>
      <c r="AC108" s="78"/>
      <c r="AD108" s="28"/>
      <c r="AE108" s="28"/>
      <c r="AF108" s="28"/>
      <c r="AG108" s="28"/>
      <c r="AH108" s="78"/>
      <c r="AI108" s="76"/>
      <c r="AJ108" s="28"/>
      <c r="AK108" s="28"/>
      <c r="AL108" s="78"/>
      <c r="AM108" s="76"/>
      <c r="AN108" s="28"/>
      <c r="AO108" s="28"/>
      <c r="AP108" s="28"/>
      <c r="AQ108" s="78"/>
    </row>
    <row r="109" spans="2:44" ht="15" customHeight="1" x14ac:dyDescent="0.25">
      <c r="B109" s="321"/>
      <c r="C109" s="36">
        <v>36</v>
      </c>
      <c r="D109" s="68">
        <f>COUNTIFS($AP$6:$AP$161,2,$G$6:$G$161,$B$86)</f>
        <v>0</v>
      </c>
      <c r="E109" s="347" t="str">
        <f t="shared" si="3"/>
        <v/>
      </c>
      <c r="F109" s="8" t="str">
        <f t="shared" si="2"/>
        <v/>
      </c>
      <c r="G109" s="6"/>
      <c r="H109" s="567"/>
      <c r="I109" s="100"/>
      <c r="J109" s="100"/>
      <c r="K109" s="100"/>
      <c r="L109" s="100"/>
      <c r="M109" s="100"/>
      <c r="N109" s="100"/>
      <c r="O109" s="100"/>
      <c r="P109" s="100"/>
      <c r="Q109" s="76"/>
      <c r="R109" s="28"/>
      <c r="S109" s="28"/>
      <c r="T109" s="28"/>
      <c r="U109" s="78"/>
      <c r="V109" s="76"/>
      <c r="W109" s="28"/>
      <c r="X109" s="78"/>
      <c r="Y109" s="76"/>
      <c r="Z109" s="28"/>
      <c r="AA109" s="28"/>
      <c r="AB109" s="28"/>
      <c r="AC109" s="78"/>
      <c r="AD109" s="28"/>
      <c r="AE109" s="28"/>
      <c r="AF109" s="28"/>
      <c r="AG109" s="28"/>
      <c r="AH109" s="78"/>
      <c r="AI109" s="76"/>
      <c r="AJ109" s="28"/>
      <c r="AK109" s="28"/>
      <c r="AL109" s="78"/>
      <c r="AM109" s="76"/>
      <c r="AN109" s="28"/>
      <c r="AO109" s="28"/>
      <c r="AP109" s="28"/>
      <c r="AQ109" s="78"/>
    </row>
    <row r="110" spans="2:44" ht="15" customHeight="1" thickBot="1" x14ac:dyDescent="0.3">
      <c r="B110" s="322"/>
      <c r="C110" s="130">
        <v>37</v>
      </c>
      <c r="D110" s="69">
        <f>COUNTIFS($AQ$6:$AQ$161,2,$G$6:$G$161,$B$86)</f>
        <v>2</v>
      </c>
      <c r="E110" s="347" t="str">
        <f t="shared" si="3"/>
        <v/>
      </c>
      <c r="F110" s="8" t="str">
        <f t="shared" si="2"/>
        <v/>
      </c>
      <c r="G110" s="6"/>
      <c r="H110" s="565"/>
      <c r="I110" s="28"/>
      <c r="J110" s="299"/>
      <c r="K110" s="28"/>
      <c r="L110" s="28"/>
      <c r="M110" s="28"/>
      <c r="N110" s="28"/>
      <c r="O110" s="299"/>
      <c r="P110" s="299"/>
      <c r="Q110" s="76"/>
      <c r="R110" s="28"/>
      <c r="S110" s="28"/>
      <c r="T110" s="28"/>
      <c r="U110" s="78"/>
      <c r="V110" s="76"/>
      <c r="W110" s="28"/>
      <c r="X110" s="78"/>
      <c r="Y110" s="76"/>
      <c r="Z110" s="28"/>
      <c r="AA110" s="28"/>
      <c r="AB110" s="28"/>
      <c r="AC110" s="78"/>
      <c r="AD110" s="28"/>
      <c r="AE110" s="28"/>
      <c r="AF110" s="28"/>
      <c r="AG110" s="28"/>
      <c r="AH110" s="78"/>
      <c r="AI110" s="76"/>
      <c r="AJ110" s="28"/>
      <c r="AK110" s="28"/>
      <c r="AL110" s="78"/>
      <c r="AM110" s="76"/>
      <c r="AN110" s="28"/>
      <c r="AO110" s="28"/>
      <c r="AP110" s="28"/>
      <c r="AQ110" s="78"/>
    </row>
    <row r="111" spans="2:44" ht="15" customHeight="1" thickBot="1" x14ac:dyDescent="0.3">
      <c r="B111" s="983" t="s">
        <v>98</v>
      </c>
      <c r="C111" s="960"/>
      <c r="D111" s="155">
        <f>SUM(D86:D110)</f>
        <v>2</v>
      </c>
      <c r="E111" s="347" t="str">
        <f t="shared" si="3"/>
        <v/>
      </c>
      <c r="F111" s="8" t="str">
        <f t="shared" si="2"/>
        <v/>
      </c>
      <c r="G111" s="6"/>
      <c r="H111" s="565"/>
      <c r="I111" s="28"/>
      <c r="J111" s="299"/>
      <c r="K111" s="28"/>
      <c r="L111" s="28"/>
      <c r="M111" s="28"/>
      <c r="N111" s="28"/>
      <c r="O111" s="299"/>
      <c r="P111" s="299"/>
      <c r="Q111" s="76"/>
      <c r="R111" s="28"/>
      <c r="S111" s="28"/>
      <c r="T111" s="28"/>
      <c r="U111" s="78"/>
      <c r="V111" s="76"/>
      <c r="W111" s="28"/>
      <c r="X111" s="78"/>
      <c r="Y111" s="76"/>
      <c r="Z111" s="28"/>
      <c r="AA111" s="28"/>
      <c r="AB111" s="28"/>
      <c r="AC111" s="78"/>
      <c r="AD111" s="28"/>
      <c r="AE111" s="28"/>
      <c r="AF111" s="28"/>
      <c r="AG111" s="28"/>
      <c r="AH111" s="78"/>
      <c r="AI111" s="76"/>
      <c r="AJ111" s="28"/>
      <c r="AK111" s="28"/>
      <c r="AL111" s="78"/>
      <c r="AM111" s="76"/>
      <c r="AN111" s="28"/>
      <c r="AO111" s="28"/>
      <c r="AP111" s="28"/>
      <c r="AQ111" s="78"/>
    </row>
    <row r="112" spans="2:44" ht="15" customHeight="1" thickBot="1" x14ac:dyDescent="0.3">
      <c r="B112" s="983" t="s">
        <v>976</v>
      </c>
      <c r="C112" s="960"/>
      <c r="D112" s="460">
        <f>D111/VLOOKUP(B86,C21:D24,2,FALSE)</f>
        <v>1</v>
      </c>
      <c r="E112" s="347" t="str">
        <f t="shared" si="3"/>
        <v/>
      </c>
      <c r="F112" s="8" t="str">
        <f t="shared" si="2"/>
        <v/>
      </c>
      <c r="G112" s="6"/>
      <c r="H112" s="565"/>
      <c r="I112" s="28"/>
      <c r="J112" s="299"/>
      <c r="K112" s="28"/>
      <c r="L112" s="28"/>
      <c r="M112" s="28"/>
      <c r="N112" s="28"/>
      <c r="O112" s="299"/>
      <c r="P112" s="299"/>
      <c r="Q112" s="76"/>
      <c r="R112" s="28"/>
      <c r="S112" s="28"/>
      <c r="T112" s="28"/>
      <c r="U112" s="78"/>
      <c r="V112" s="76"/>
      <c r="W112" s="28"/>
      <c r="X112" s="78"/>
      <c r="Y112" s="76"/>
      <c r="Z112" s="28"/>
      <c r="AA112" s="28"/>
      <c r="AB112" s="28"/>
      <c r="AC112" s="78"/>
      <c r="AD112" s="28"/>
      <c r="AE112" s="28"/>
      <c r="AF112" s="28"/>
      <c r="AG112" s="28"/>
      <c r="AH112" s="78"/>
      <c r="AI112" s="76"/>
      <c r="AJ112" s="28"/>
      <c r="AK112" s="28"/>
      <c r="AL112" s="78"/>
      <c r="AM112" s="76"/>
      <c r="AN112" s="28"/>
      <c r="AO112" s="28"/>
      <c r="AP112" s="28"/>
      <c r="AQ112" s="78"/>
    </row>
    <row r="113" spans="2:44" ht="15" customHeight="1" x14ac:dyDescent="0.25">
      <c r="B113" s="110">
        <v>4</v>
      </c>
      <c r="C113" s="129">
        <v>11</v>
      </c>
      <c r="D113" s="110">
        <f>COUNTIFS(Q87:Q242,2,$G$6:$G$161,$B$113)</f>
        <v>0</v>
      </c>
      <c r="E113" s="347" t="str">
        <f t="shared" si="3"/>
        <v/>
      </c>
      <c r="F113" s="8" t="str">
        <f t="shared" si="2"/>
        <v/>
      </c>
      <c r="G113" s="6"/>
      <c r="H113" s="565"/>
      <c r="I113" s="28"/>
      <c r="J113" s="299"/>
      <c r="K113" s="28"/>
      <c r="L113" s="28"/>
      <c r="M113" s="28"/>
      <c r="N113" s="28"/>
      <c r="O113" s="299"/>
      <c r="P113" s="299"/>
      <c r="Q113" s="76"/>
      <c r="R113" s="28"/>
      <c r="S113" s="28"/>
      <c r="T113" s="28"/>
      <c r="U113" s="78"/>
      <c r="V113" s="76"/>
      <c r="W113" s="28"/>
      <c r="X113" s="78"/>
      <c r="Y113" s="76"/>
      <c r="Z113" s="28"/>
      <c r="AA113" s="28"/>
      <c r="AB113" s="28"/>
      <c r="AC113" s="78"/>
      <c r="AD113" s="28"/>
      <c r="AE113" s="28"/>
      <c r="AF113" s="28"/>
      <c r="AG113" s="28"/>
      <c r="AH113" s="78"/>
      <c r="AI113" s="76"/>
      <c r="AJ113" s="28"/>
      <c r="AK113" s="28"/>
      <c r="AL113" s="78"/>
      <c r="AM113" s="76"/>
      <c r="AN113" s="28"/>
      <c r="AO113" s="28"/>
      <c r="AP113" s="28"/>
      <c r="AQ113" s="78"/>
    </row>
    <row r="114" spans="2:44" ht="15.75" customHeight="1" x14ac:dyDescent="0.25">
      <c r="B114" s="68"/>
      <c r="C114" s="36">
        <v>12</v>
      </c>
      <c r="D114" s="68">
        <f>COUNTIFS($R$6:$R$161,2,$G$6:$G$161,$B$113)</f>
        <v>0</v>
      </c>
      <c r="E114" s="347" t="str">
        <f t="shared" si="3"/>
        <v/>
      </c>
      <c r="F114" s="8" t="str">
        <f t="shared" si="2"/>
        <v/>
      </c>
      <c r="G114" s="6"/>
      <c r="H114" s="565"/>
      <c r="I114" s="28"/>
      <c r="J114" s="299"/>
      <c r="K114" s="28"/>
      <c r="L114" s="28"/>
      <c r="M114" s="28"/>
      <c r="N114" s="28"/>
      <c r="O114" s="299"/>
      <c r="P114" s="299"/>
      <c r="Q114" s="76"/>
      <c r="R114" s="28"/>
      <c r="S114" s="28"/>
      <c r="T114" s="28"/>
      <c r="U114" s="78"/>
      <c r="V114" s="76"/>
      <c r="W114" s="28"/>
      <c r="X114" s="78"/>
      <c r="Y114" s="76"/>
      <c r="Z114" s="28"/>
      <c r="AA114" s="28"/>
      <c r="AB114" s="28"/>
      <c r="AC114" s="78"/>
      <c r="AD114" s="28"/>
      <c r="AE114" s="28"/>
      <c r="AF114" s="28"/>
      <c r="AG114" s="28"/>
      <c r="AH114" s="78"/>
      <c r="AI114" s="76"/>
      <c r="AJ114" s="28"/>
      <c r="AK114" s="28"/>
      <c r="AL114" s="78"/>
      <c r="AM114" s="76"/>
      <c r="AN114" s="28"/>
      <c r="AO114" s="28"/>
      <c r="AP114" s="28"/>
      <c r="AQ114" s="78"/>
    </row>
    <row r="115" spans="2:44" ht="15.75" customHeight="1" x14ac:dyDescent="0.25">
      <c r="B115" s="68"/>
      <c r="C115" s="36">
        <v>13</v>
      </c>
      <c r="D115" s="68">
        <f>COUNTIFS($S$6:$S$161,2,$G$6:$G$161,$B$113)</f>
        <v>0</v>
      </c>
      <c r="E115" s="347" t="str">
        <f t="shared" si="3"/>
        <v/>
      </c>
      <c r="F115" s="8" t="str">
        <f t="shared" si="2"/>
        <v/>
      </c>
      <c r="G115" s="6"/>
      <c r="H115" s="565"/>
      <c r="I115" s="28"/>
      <c r="J115" s="299"/>
      <c r="K115" s="28"/>
      <c r="L115" s="28"/>
      <c r="M115" s="28"/>
      <c r="N115" s="28"/>
      <c r="O115" s="299"/>
      <c r="P115" s="299"/>
      <c r="Q115" s="76"/>
      <c r="R115" s="28"/>
      <c r="S115" s="28"/>
      <c r="T115" s="28"/>
      <c r="U115" s="78"/>
      <c r="V115" s="76"/>
      <c r="W115" s="28"/>
      <c r="X115" s="78"/>
      <c r="Y115" s="76"/>
      <c r="Z115" s="28"/>
      <c r="AA115" s="28"/>
      <c r="AB115" s="28"/>
      <c r="AC115" s="78"/>
      <c r="AD115" s="28"/>
      <c r="AE115" s="28"/>
      <c r="AF115" s="28"/>
      <c r="AG115" s="28"/>
      <c r="AH115" s="78"/>
      <c r="AI115" s="76"/>
      <c r="AJ115" s="28"/>
      <c r="AK115" s="28"/>
      <c r="AL115" s="78"/>
      <c r="AM115" s="76"/>
      <c r="AN115" s="28"/>
      <c r="AO115" s="28"/>
      <c r="AP115" s="28"/>
      <c r="AQ115" s="78"/>
    </row>
    <row r="116" spans="2:44" ht="15.75" customHeight="1" x14ac:dyDescent="0.25">
      <c r="B116" s="68"/>
      <c r="C116" s="36">
        <v>14</v>
      </c>
      <c r="D116" s="68">
        <f>COUNTIFS($T$6:$T$161,2,$G$6:$G$161,$B$113)</f>
        <v>0</v>
      </c>
      <c r="E116" s="347" t="str">
        <f t="shared" si="3"/>
        <v/>
      </c>
      <c r="F116" s="8" t="str">
        <f t="shared" si="2"/>
        <v/>
      </c>
      <c r="G116" s="6"/>
      <c r="H116" s="565"/>
      <c r="I116" s="28"/>
      <c r="J116" s="28"/>
      <c r="K116" s="28"/>
      <c r="L116" s="28"/>
      <c r="M116" s="28"/>
      <c r="N116" s="28"/>
      <c r="O116" s="28"/>
      <c r="P116" s="28"/>
      <c r="Q116" s="76"/>
      <c r="R116" s="28"/>
      <c r="S116" s="28"/>
      <c r="T116" s="28"/>
      <c r="U116" s="78"/>
      <c r="V116" s="76"/>
      <c r="W116" s="28"/>
      <c r="X116" s="78"/>
      <c r="Y116" s="76"/>
      <c r="Z116" s="28"/>
      <c r="AA116" s="28"/>
      <c r="AB116" s="28"/>
      <c r="AC116" s="78"/>
      <c r="AD116" s="28"/>
      <c r="AE116" s="28"/>
      <c r="AF116" s="28"/>
      <c r="AG116" s="28"/>
      <c r="AH116" s="78"/>
      <c r="AI116" s="76"/>
      <c r="AJ116" s="28"/>
      <c r="AK116" s="28"/>
      <c r="AL116" s="78"/>
      <c r="AM116" s="76"/>
      <c r="AN116" s="28"/>
      <c r="AO116" s="28"/>
      <c r="AP116" s="28"/>
      <c r="AQ116" s="78"/>
    </row>
    <row r="117" spans="2:44" ht="15" customHeight="1" x14ac:dyDescent="0.25">
      <c r="B117" s="321"/>
      <c r="C117" s="36">
        <v>15</v>
      </c>
      <c r="D117" s="68">
        <f>COUNTIFS($U$6:$U$161,2,$G$6:$G$161,$B$113)</f>
        <v>0</v>
      </c>
      <c r="E117" s="347" t="str">
        <f t="shared" si="3"/>
        <v/>
      </c>
      <c r="F117" s="8" t="str">
        <f t="shared" si="2"/>
        <v/>
      </c>
      <c r="G117" s="6"/>
      <c r="H117" s="566"/>
      <c r="I117" s="22"/>
      <c r="J117" s="22"/>
      <c r="K117" s="22"/>
      <c r="L117" s="22"/>
      <c r="M117" s="22"/>
      <c r="N117" s="22"/>
      <c r="O117" s="22"/>
      <c r="P117" s="22"/>
      <c r="Q117" s="76"/>
      <c r="R117" s="28"/>
      <c r="S117" s="28"/>
      <c r="T117" s="28"/>
      <c r="U117" s="78"/>
      <c r="V117" s="76"/>
      <c r="W117" s="28"/>
      <c r="X117" s="78"/>
      <c r="Y117" s="76"/>
      <c r="Z117" s="28"/>
      <c r="AA117" s="28"/>
      <c r="AB117" s="28"/>
      <c r="AC117" s="78"/>
      <c r="AD117" s="28"/>
      <c r="AE117" s="28"/>
      <c r="AF117" s="28"/>
      <c r="AG117" s="28"/>
      <c r="AH117" s="78"/>
      <c r="AI117" s="76"/>
      <c r="AJ117" s="28"/>
      <c r="AK117" s="28"/>
      <c r="AL117" s="78"/>
      <c r="AM117" s="76"/>
      <c r="AN117" s="28"/>
      <c r="AO117" s="28"/>
      <c r="AP117" s="28"/>
      <c r="AQ117" s="78"/>
    </row>
    <row r="118" spans="2:44" ht="15" customHeight="1" x14ac:dyDescent="0.25">
      <c r="B118" s="321"/>
      <c r="C118" s="36">
        <v>16</v>
      </c>
      <c r="D118" s="68">
        <f>COUNTIFS($V$6:$V$161,2,$G$6:$G$161,$B$113)</f>
        <v>0</v>
      </c>
      <c r="E118" s="347" t="str">
        <f t="shared" si="3"/>
        <v/>
      </c>
      <c r="F118" s="8" t="str">
        <f t="shared" si="2"/>
        <v/>
      </c>
      <c r="G118" s="6"/>
      <c r="H118" s="568"/>
      <c r="Q118" s="46"/>
      <c r="U118" s="3"/>
      <c r="V118" s="46"/>
      <c r="X118" s="3"/>
      <c r="Y118" s="46"/>
      <c r="AC118" s="3"/>
      <c r="AH118" s="3"/>
      <c r="AI118" s="46"/>
      <c r="AL118" s="3"/>
      <c r="AM118" s="46"/>
      <c r="AQ118" s="3"/>
    </row>
    <row r="119" spans="2:44" ht="15" customHeight="1" x14ac:dyDescent="0.25">
      <c r="B119" s="321"/>
      <c r="C119" s="36">
        <v>17</v>
      </c>
      <c r="D119" s="68">
        <f>COUNTIFS($W$6:$W$161,2,$G$6:$G$161,$B$113)</f>
        <v>0</v>
      </c>
      <c r="E119" s="347" t="str">
        <f t="shared" si="3"/>
        <v/>
      </c>
      <c r="F119" s="8" t="str">
        <f t="shared" si="2"/>
        <v/>
      </c>
      <c r="G119" s="6"/>
      <c r="H119" s="568"/>
      <c r="Q119" s="46"/>
      <c r="U119" s="3"/>
      <c r="V119" s="46"/>
      <c r="X119" s="3"/>
      <c r="Y119" s="46"/>
      <c r="AC119" s="3"/>
      <c r="AH119" s="3"/>
      <c r="AI119" s="46"/>
      <c r="AL119" s="3"/>
      <c r="AM119" s="46"/>
      <c r="AQ119" s="3"/>
    </row>
    <row r="120" spans="2:44" ht="15" customHeight="1" x14ac:dyDescent="0.25">
      <c r="B120" s="321"/>
      <c r="C120" s="36">
        <v>18</v>
      </c>
      <c r="D120" s="68">
        <f>COUNTIFS($X$6:$X$161,2,$G$6:$G$161,$B$113)</f>
        <v>0</v>
      </c>
      <c r="E120" s="347" t="str">
        <f t="shared" si="3"/>
        <v/>
      </c>
      <c r="F120" s="8" t="str">
        <f t="shared" si="2"/>
        <v/>
      </c>
      <c r="G120" s="6"/>
      <c r="H120" s="565"/>
      <c r="I120" s="28"/>
      <c r="J120" s="28"/>
      <c r="K120" s="28"/>
      <c r="L120" s="28"/>
      <c r="M120" s="28"/>
      <c r="N120" s="28"/>
      <c r="O120" s="28"/>
      <c r="P120" s="28"/>
      <c r="Q120" s="76"/>
      <c r="R120" s="28"/>
      <c r="S120" s="28"/>
      <c r="T120" s="28"/>
      <c r="U120" s="78"/>
      <c r="V120" s="76"/>
      <c r="W120" s="28"/>
      <c r="X120" s="78"/>
      <c r="Y120" s="76"/>
      <c r="Z120" s="28"/>
      <c r="AA120" s="28"/>
      <c r="AB120" s="28"/>
      <c r="AC120" s="78"/>
      <c r="AD120" s="28"/>
      <c r="AE120" s="28"/>
      <c r="AF120" s="28"/>
      <c r="AG120" s="28"/>
      <c r="AH120" s="78"/>
      <c r="AI120" s="76"/>
      <c r="AJ120" s="28"/>
      <c r="AK120" s="28"/>
      <c r="AL120" s="78"/>
      <c r="AM120" s="76"/>
      <c r="AN120" s="28"/>
      <c r="AO120" s="28"/>
      <c r="AP120" s="28"/>
      <c r="AQ120" s="78"/>
    </row>
    <row r="121" spans="2:44" ht="15" customHeight="1" x14ac:dyDescent="0.25">
      <c r="B121" s="321"/>
      <c r="C121" s="36">
        <v>19</v>
      </c>
      <c r="D121" s="68">
        <f>COUNTIFS($Z$6:$Z$161,2,$G$6:$G$161,$B$113)</f>
        <v>0</v>
      </c>
      <c r="E121" s="347" t="str">
        <f t="shared" si="3"/>
        <v/>
      </c>
      <c r="F121" s="8" t="str">
        <f t="shared" si="2"/>
        <v/>
      </c>
      <c r="G121" s="6"/>
      <c r="H121" s="566"/>
      <c r="I121" s="22"/>
      <c r="J121" s="22"/>
      <c r="K121" s="22"/>
      <c r="L121" s="22"/>
      <c r="M121" s="22"/>
      <c r="N121" s="22"/>
      <c r="O121" s="22"/>
      <c r="P121" s="22"/>
      <c r="Q121" s="76"/>
      <c r="R121" s="28"/>
      <c r="S121" s="28"/>
      <c r="T121" s="28"/>
      <c r="U121" s="78"/>
      <c r="V121" s="76"/>
      <c r="W121" s="28"/>
      <c r="X121" s="78"/>
      <c r="Y121" s="76"/>
      <c r="Z121" s="28"/>
      <c r="AA121" s="28"/>
      <c r="AB121" s="28"/>
      <c r="AC121" s="78"/>
      <c r="AD121" s="28"/>
      <c r="AE121" s="28"/>
      <c r="AF121" s="28"/>
      <c r="AG121" s="28"/>
      <c r="AH121" s="78"/>
      <c r="AI121" s="76"/>
      <c r="AJ121" s="28"/>
      <c r="AK121" s="28"/>
      <c r="AL121" s="78"/>
      <c r="AM121" s="76"/>
      <c r="AN121" s="28"/>
      <c r="AO121" s="28"/>
      <c r="AP121" s="28"/>
      <c r="AQ121" s="78"/>
    </row>
    <row r="122" spans="2:44" ht="15" customHeight="1" x14ac:dyDescent="0.25">
      <c r="B122" s="321"/>
      <c r="C122" s="36">
        <v>20</v>
      </c>
      <c r="D122" s="68">
        <f>COUNTIFS($Z$6:$Z$161,2,$G$6:$G$161,$B$113)</f>
        <v>0</v>
      </c>
      <c r="E122" s="347" t="str">
        <f t="shared" si="3"/>
        <v/>
      </c>
      <c r="F122" s="8" t="str">
        <f t="shared" si="2"/>
        <v/>
      </c>
      <c r="G122" s="6"/>
      <c r="H122" s="567"/>
      <c r="I122" s="100"/>
      <c r="J122" s="100"/>
      <c r="K122" s="100"/>
      <c r="L122" s="100"/>
      <c r="M122" s="100"/>
      <c r="N122" s="100"/>
      <c r="O122" s="100"/>
      <c r="P122" s="100"/>
      <c r="Q122" s="76"/>
      <c r="R122" s="28"/>
      <c r="S122" s="28"/>
      <c r="T122" s="28"/>
      <c r="U122" s="78"/>
      <c r="V122" s="76"/>
      <c r="W122" s="28"/>
      <c r="X122" s="78"/>
      <c r="Y122" s="76"/>
      <c r="Z122" s="28"/>
      <c r="AA122" s="28"/>
      <c r="AB122" s="28"/>
      <c r="AC122" s="78"/>
      <c r="AD122" s="28"/>
      <c r="AE122" s="28"/>
      <c r="AF122" s="28"/>
      <c r="AG122" s="28"/>
      <c r="AH122" s="78"/>
      <c r="AI122" s="76"/>
      <c r="AJ122" s="28"/>
      <c r="AK122" s="28"/>
      <c r="AL122" s="78"/>
      <c r="AM122" s="76"/>
      <c r="AN122" s="28"/>
      <c r="AO122" s="28"/>
      <c r="AP122" s="28"/>
      <c r="AQ122" s="78"/>
    </row>
    <row r="123" spans="2:44" ht="15" customHeight="1" x14ac:dyDescent="0.25">
      <c r="B123" s="321"/>
      <c r="C123" s="36">
        <v>21</v>
      </c>
      <c r="D123" s="68">
        <f>COUNTIFS($AA$6:$AA$161,2,$G$6:$G$161,$B$113)</f>
        <v>0</v>
      </c>
      <c r="E123" s="347" t="str">
        <f t="shared" si="3"/>
        <v/>
      </c>
      <c r="F123" s="8" t="str">
        <f t="shared" si="2"/>
        <v/>
      </c>
      <c r="G123" s="6"/>
      <c r="H123" s="565"/>
      <c r="I123" s="28"/>
      <c r="J123" s="299"/>
      <c r="K123" s="28"/>
      <c r="L123" s="28"/>
      <c r="M123" s="28"/>
      <c r="N123" s="28"/>
      <c r="O123" s="299"/>
      <c r="P123" s="299"/>
      <c r="Q123" s="76"/>
      <c r="R123" s="28"/>
      <c r="S123" s="28"/>
      <c r="T123" s="28"/>
      <c r="U123" s="78"/>
      <c r="V123" s="76"/>
      <c r="W123" s="28"/>
      <c r="X123" s="78"/>
      <c r="Y123" s="76"/>
      <c r="Z123" s="28"/>
      <c r="AA123" s="28"/>
      <c r="AB123" s="28"/>
      <c r="AC123" s="78"/>
      <c r="AD123" s="28"/>
      <c r="AE123" s="28"/>
      <c r="AF123" s="28"/>
      <c r="AG123" s="28"/>
      <c r="AH123" s="78"/>
      <c r="AI123" s="76"/>
      <c r="AJ123" s="28"/>
      <c r="AK123" s="28"/>
      <c r="AL123" s="78"/>
      <c r="AM123" s="76"/>
      <c r="AN123" s="28"/>
      <c r="AO123" s="28"/>
      <c r="AP123" s="28"/>
      <c r="AQ123" s="78"/>
    </row>
    <row r="124" spans="2:44" ht="15" customHeight="1" x14ac:dyDescent="0.25">
      <c r="B124" s="321"/>
      <c r="C124" s="36">
        <v>22</v>
      </c>
      <c r="D124" s="68">
        <f>COUNTIFS($AB$6:$AB$161,2,$G$6:$G$161,$B$113)</f>
        <v>0</v>
      </c>
      <c r="E124" s="347" t="str">
        <f t="shared" si="3"/>
        <v/>
      </c>
      <c r="F124" s="8" t="str">
        <f t="shared" si="2"/>
        <v/>
      </c>
      <c r="G124" s="6"/>
      <c r="H124" s="565"/>
      <c r="I124" s="28"/>
      <c r="J124" s="299"/>
      <c r="K124" s="28"/>
      <c r="L124" s="28"/>
      <c r="M124" s="28"/>
      <c r="N124" s="28"/>
      <c r="O124" s="299"/>
      <c r="P124" s="299"/>
      <c r="Q124" s="76"/>
      <c r="R124" s="28"/>
      <c r="S124" s="28"/>
      <c r="T124" s="28"/>
      <c r="U124" s="78"/>
      <c r="V124" s="76"/>
      <c r="W124" s="28"/>
      <c r="X124" s="78"/>
      <c r="Y124" s="76"/>
      <c r="Z124" s="28"/>
      <c r="AA124" s="28"/>
      <c r="AB124" s="28"/>
      <c r="AC124" s="78"/>
      <c r="AD124" s="28"/>
      <c r="AE124" s="28"/>
      <c r="AF124" s="28"/>
      <c r="AG124" s="28"/>
      <c r="AH124" s="78"/>
      <c r="AI124" s="76"/>
      <c r="AJ124" s="28"/>
      <c r="AK124" s="28"/>
      <c r="AL124" s="78"/>
      <c r="AM124" s="76"/>
      <c r="AN124" s="28"/>
      <c r="AO124" s="28"/>
      <c r="AP124" s="28"/>
      <c r="AQ124" s="78"/>
      <c r="AR124" s="28"/>
    </row>
    <row r="125" spans="2:44" ht="15" customHeight="1" x14ac:dyDescent="0.25">
      <c r="B125" s="321"/>
      <c r="C125" s="36">
        <v>23</v>
      </c>
      <c r="D125" s="68">
        <f>COUNTIFS($AC$6:$AC$161,2,$G$6:$G$161,$B$113)</f>
        <v>0</v>
      </c>
      <c r="E125" s="347" t="str">
        <f t="shared" si="3"/>
        <v/>
      </c>
      <c r="F125" s="8" t="str">
        <f t="shared" si="2"/>
        <v/>
      </c>
      <c r="G125" s="6"/>
      <c r="H125" s="565"/>
      <c r="I125" s="28"/>
      <c r="J125" s="299"/>
      <c r="K125" s="28"/>
      <c r="L125" s="28"/>
      <c r="M125" s="28"/>
      <c r="N125" s="28"/>
      <c r="O125" s="299"/>
      <c r="P125" s="299"/>
      <c r="Q125" s="76"/>
      <c r="R125" s="28"/>
      <c r="S125" s="28"/>
      <c r="T125" s="28"/>
      <c r="U125" s="78"/>
      <c r="V125" s="76"/>
      <c r="W125" s="28"/>
      <c r="X125" s="78"/>
      <c r="Y125" s="76"/>
      <c r="Z125" s="28"/>
      <c r="AA125" s="28"/>
      <c r="AB125" s="28"/>
      <c r="AC125" s="78"/>
      <c r="AD125" s="28"/>
      <c r="AE125" s="28"/>
      <c r="AF125" s="28"/>
      <c r="AG125" s="28"/>
      <c r="AH125" s="78"/>
      <c r="AI125" s="76"/>
      <c r="AJ125" s="28"/>
      <c r="AK125" s="28"/>
      <c r="AL125" s="78"/>
      <c r="AM125" s="76"/>
      <c r="AN125" s="28"/>
      <c r="AO125" s="28"/>
      <c r="AP125" s="28"/>
      <c r="AQ125" s="78"/>
    </row>
    <row r="126" spans="2:44" ht="15" customHeight="1" x14ac:dyDescent="0.25">
      <c r="B126" s="321"/>
      <c r="C126" s="36">
        <v>25</v>
      </c>
      <c r="D126" s="68">
        <f>COUNTIFS($AE$6:$AE$161,2,$G$6:$G$161,$B$113)</f>
        <v>0</v>
      </c>
      <c r="E126" s="347" t="str">
        <f t="shared" si="3"/>
        <v/>
      </c>
      <c r="F126" s="8" t="str">
        <f t="shared" si="2"/>
        <v/>
      </c>
      <c r="G126" s="6"/>
      <c r="H126" s="565"/>
      <c r="I126" s="28"/>
      <c r="J126" s="299"/>
      <c r="K126" s="28"/>
      <c r="L126" s="28"/>
      <c r="M126" s="28"/>
      <c r="N126" s="28"/>
      <c r="O126" s="299"/>
      <c r="P126" s="299"/>
      <c r="Q126" s="76"/>
      <c r="R126" s="28"/>
      <c r="S126" s="28"/>
      <c r="T126" s="28"/>
      <c r="U126" s="78"/>
      <c r="V126" s="76"/>
      <c r="W126" s="28"/>
      <c r="X126" s="78"/>
      <c r="Y126" s="76"/>
      <c r="Z126" s="28"/>
      <c r="AA126" s="28"/>
      <c r="AB126" s="28"/>
      <c r="AC126" s="78"/>
      <c r="AD126" s="28"/>
      <c r="AE126" s="28"/>
      <c r="AF126" s="28"/>
      <c r="AG126" s="28"/>
      <c r="AH126" s="78"/>
      <c r="AI126" s="76"/>
      <c r="AJ126" s="28"/>
      <c r="AK126" s="28"/>
      <c r="AL126" s="78"/>
      <c r="AM126" s="76"/>
      <c r="AN126" s="28"/>
      <c r="AO126" s="28"/>
      <c r="AP126" s="28"/>
      <c r="AQ126" s="78"/>
    </row>
    <row r="127" spans="2:44" ht="15.75" customHeight="1" x14ac:dyDescent="0.25">
      <c r="B127" s="321"/>
      <c r="C127" s="36">
        <v>26</v>
      </c>
      <c r="D127" s="68">
        <f>COUNTIFS($AF$6:$AF$161,2,$G$6:$G$161,$B$113)</f>
        <v>0</v>
      </c>
      <c r="E127" s="347" t="str">
        <f t="shared" si="3"/>
        <v/>
      </c>
      <c r="F127" s="8" t="str">
        <f t="shared" si="2"/>
        <v/>
      </c>
      <c r="G127" s="6"/>
      <c r="H127" s="565"/>
      <c r="I127" s="28"/>
      <c r="J127" s="299"/>
      <c r="K127" s="28"/>
      <c r="L127" s="28"/>
      <c r="M127" s="28"/>
      <c r="N127" s="28"/>
      <c r="O127" s="299"/>
      <c r="P127" s="299"/>
      <c r="Q127" s="76"/>
      <c r="R127" s="28"/>
      <c r="S127" s="28"/>
      <c r="T127" s="28"/>
      <c r="U127" s="78"/>
      <c r="V127" s="76"/>
      <c r="W127" s="28"/>
      <c r="X127" s="78"/>
      <c r="Y127" s="76"/>
      <c r="Z127" s="28"/>
      <c r="AA127" s="28"/>
      <c r="AB127" s="28"/>
      <c r="AC127" s="78"/>
      <c r="AD127" s="28"/>
      <c r="AE127" s="28"/>
      <c r="AF127" s="28"/>
      <c r="AG127" s="28"/>
      <c r="AH127" s="78"/>
      <c r="AI127" s="76"/>
      <c r="AJ127" s="28"/>
      <c r="AK127" s="28"/>
      <c r="AL127" s="78"/>
      <c r="AM127" s="76"/>
      <c r="AN127" s="28"/>
      <c r="AO127" s="28"/>
      <c r="AP127" s="28"/>
      <c r="AQ127" s="78"/>
    </row>
    <row r="128" spans="2:44" ht="15.75" customHeight="1" x14ac:dyDescent="0.25">
      <c r="B128" s="321"/>
      <c r="C128" s="36">
        <v>27</v>
      </c>
      <c r="D128" s="68">
        <f>COUNTIFS($AG$6:$AG$161,2,$G$6:$G$161,$B$113)</f>
        <v>0</v>
      </c>
      <c r="E128" s="347" t="str">
        <f t="shared" si="3"/>
        <v/>
      </c>
      <c r="F128" s="8" t="str">
        <f t="shared" si="2"/>
        <v/>
      </c>
      <c r="G128" s="6"/>
      <c r="H128" s="565"/>
      <c r="I128" s="28"/>
      <c r="J128" s="299"/>
      <c r="K128" s="28"/>
      <c r="L128" s="28"/>
      <c r="M128" s="28"/>
      <c r="N128" s="28"/>
      <c r="O128" s="299"/>
      <c r="P128" s="299"/>
      <c r="Q128" s="76"/>
      <c r="R128" s="28"/>
      <c r="S128" s="28"/>
      <c r="T128" s="28"/>
      <c r="U128" s="78"/>
      <c r="V128" s="76"/>
      <c r="W128" s="28"/>
      <c r="X128" s="78"/>
      <c r="Y128" s="76"/>
      <c r="Z128" s="28"/>
      <c r="AA128" s="28"/>
      <c r="AB128" s="28"/>
      <c r="AC128" s="78"/>
      <c r="AD128" s="28"/>
      <c r="AE128" s="28"/>
      <c r="AF128" s="28"/>
      <c r="AG128" s="28"/>
      <c r="AH128" s="78"/>
      <c r="AI128" s="76"/>
      <c r="AJ128" s="28"/>
      <c r="AK128" s="28"/>
      <c r="AL128" s="78"/>
      <c r="AM128" s="76"/>
      <c r="AN128" s="28"/>
      <c r="AO128" s="28"/>
      <c r="AP128" s="28"/>
      <c r="AQ128" s="78"/>
    </row>
    <row r="129" spans="2:44" ht="15.75" customHeight="1" x14ac:dyDescent="0.25">
      <c r="B129" s="321"/>
      <c r="C129" s="36">
        <v>29</v>
      </c>
      <c r="D129" s="68">
        <f>COUNTIFS($AI$6:$AI$161,2,$G$6:$G$161,$B$113)</f>
        <v>0</v>
      </c>
      <c r="E129" s="347" t="str">
        <f t="shared" si="3"/>
        <v/>
      </c>
      <c r="F129" s="8" t="str">
        <f t="shared" si="2"/>
        <v/>
      </c>
      <c r="G129" s="6"/>
      <c r="H129" s="565"/>
      <c r="I129" s="28"/>
      <c r="J129" s="28"/>
      <c r="K129" s="28"/>
      <c r="L129" s="28"/>
      <c r="M129" s="28"/>
      <c r="N129" s="28"/>
      <c r="O129" s="28"/>
      <c r="P129" s="28"/>
      <c r="Q129" s="76"/>
      <c r="R129" s="28"/>
      <c r="S129" s="28"/>
      <c r="T129" s="28"/>
      <c r="U129" s="78"/>
      <c r="V129" s="76"/>
      <c r="W129" s="28"/>
      <c r="X129" s="78"/>
      <c r="Y129" s="76"/>
      <c r="Z129" s="28"/>
      <c r="AA129" s="28"/>
      <c r="AB129" s="28"/>
      <c r="AC129" s="78"/>
      <c r="AD129" s="28"/>
      <c r="AE129" s="28"/>
      <c r="AF129" s="28"/>
      <c r="AG129" s="28"/>
      <c r="AH129" s="78"/>
      <c r="AI129" s="76"/>
      <c r="AJ129" s="28"/>
      <c r="AK129" s="28"/>
      <c r="AL129" s="78"/>
      <c r="AM129" s="76"/>
      <c r="AN129" s="28"/>
      <c r="AO129" s="28"/>
      <c r="AP129" s="28"/>
      <c r="AQ129" s="78"/>
    </row>
    <row r="130" spans="2:44" ht="15" customHeight="1" x14ac:dyDescent="0.25">
      <c r="B130" s="321"/>
      <c r="C130" s="36">
        <v>30</v>
      </c>
      <c r="D130" s="68">
        <f>COUNTIFS($AJ$6:$AJ$161,2,$G$6:$G$161,$B$113)</f>
        <v>0</v>
      </c>
      <c r="E130" s="347" t="str">
        <f t="shared" si="3"/>
        <v/>
      </c>
      <c r="F130" s="8" t="str">
        <f t="shared" si="2"/>
        <v/>
      </c>
      <c r="G130" s="6"/>
      <c r="H130" s="566"/>
      <c r="I130" s="22"/>
      <c r="J130" s="22"/>
      <c r="K130" s="22"/>
      <c r="L130" s="22"/>
      <c r="M130" s="22"/>
      <c r="N130" s="22"/>
      <c r="O130" s="22"/>
      <c r="P130" s="22"/>
      <c r="Q130" s="76"/>
      <c r="R130" s="28"/>
      <c r="S130" s="28"/>
      <c r="T130" s="28"/>
      <c r="U130" s="78"/>
      <c r="V130" s="76"/>
      <c r="W130" s="28"/>
      <c r="X130" s="78"/>
      <c r="Y130" s="76"/>
      <c r="Z130" s="28"/>
      <c r="AA130" s="28"/>
      <c r="AB130" s="28"/>
      <c r="AC130" s="78"/>
      <c r="AD130" s="28"/>
      <c r="AE130" s="28"/>
      <c r="AF130" s="28"/>
      <c r="AG130" s="28"/>
      <c r="AH130" s="78"/>
      <c r="AI130" s="76"/>
      <c r="AJ130" s="28"/>
      <c r="AK130" s="28"/>
      <c r="AL130" s="78"/>
      <c r="AM130" s="76"/>
      <c r="AN130" s="28"/>
      <c r="AO130" s="28"/>
      <c r="AP130" s="28"/>
      <c r="AQ130" s="78"/>
    </row>
    <row r="131" spans="2:44" ht="15" customHeight="1" x14ac:dyDescent="0.25">
      <c r="B131" s="321"/>
      <c r="C131" s="36">
        <v>31</v>
      </c>
      <c r="D131" s="68">
        <f>COUNTIFS($AK$6:$AK$161,2,$G$6:$G$161,$B$113)</f>
        <v>0</v>
      </c>
      <c r="E131" s="347" t="str">
        <f t="shared" si="3"/>
        <v/>
      </c>
      <c r="F131" s="8" t="str">
        <f t="shared" si="2"/>
        <v/>
      </c>
      <c r="G131" s="6"/>
      <c r="H131" s="568"/>
      <c r="Q131" s="46"/>
      <c r="U131" s="3"/>
      <c r="V131" s="46"/>
      <c r="X131" s="3"/>
      <c r="Y131" s="46"/>
      <c r="AC131" s="3"/>
      <c r="AH131" s="3"/>
      <c r="AI131" s="46"/>
      <c r="AL131" s="3"/>
      <c r="AM131" s="46"/>
      <c r="AQ131" s="3"/>
    </row>
    <row r="132" spans="2:44" ht="15" customHeight="1" x14ac:dyDescent="0.25">
      <c r="B132" s="321"/>
      <c r="C132" s="36">
        <v>32</v>
      </c>
      <c r="D132" s="68">
        <f>COUNTIFS($AL$6:$AL$161,2,$G$6:$G$161,$B$113)</f>
        <v>0</v>
      </c>
      <c r="E132" s="347" t="str">
        <f t="shared" si="3"/>
        <v/>
      </c>
      <c r="F132" s="8" t="str">
        <f t="shared" si="2"/>
        <v/>
      </c>
      <c r="G132" s="6"/>
      <c r="H132" s="568"/>
      <c r="Q132" s="46"/>
      <c r="U132" s="3"/>
      <c r="V132" s="46"/>
      <c r="X132" s="3"/>
      <c r="Y132" s="46"/>
      <c r="AC132" s="3"/>
      <c r="AH132" s="3"/>
      <c r="AI132" s="46"/>
      <c r="AL132" s="3"/>
      <c r="AM132" s="46"/>
      <c r="AQ132" s="3"/>
    </row>
    <row r="133" spans="2:44" ht="15" customHeight="1" x14ac:dyDescent="0.25">
      <c r="B133" s="321"/>
      <c r="C133" s="36">
        <v>33</v>
      </c>
      <c r="D133" s="68">
        <f>COUNTIFS($AM$6:$AM$161,2,$G$6:$G$161,$B$113)</f>
        <v>0</v>
      </c>
      <c r="E133" s="347" t="str">
        <f t="shared" si="3"/>
        <v/>
      </c>
      <c r="F133" s="8" t="str">
        <f t="shared" si="2"/>
        <v/>
      </c>
      <c r="G133" s="6"/>
      <c r="H133" s="565"/>
      <c r="I133" s="28"/>
      <c r="J133" s="28"/>
      <c r="K133" s="28"/>
      <c r="L133" s="28"/>
      <c r="M133" s="28"/>
      <c r="N133" s="28"/>
      <c r="O133" s="28"/>
      <c r="P133" s="28"/>
      <c r="Q133" s="76"/>
      <c r="R133" s="28"/>
      <c r="S133" s="28"/>
      <c r="T133" s="28"/>
      <c r="U133" s="78"/>
      <c r="V133" s="76"/>
      <c r="W133" s="28"/>
      <c r="X133" s="78"/>
      <c r="Y133" s="76"/>
      <c r="Z133" s="28"/>
      <c r="AA133" s="28"/>
      <c r="AB133" s="28"/>
      <c r="AC133" s="78"/>
      <c r="AD133" s="28"/>
      <c r="AE133" s="28"/>
      <c r="AF133" s="28"/>
      <c r="AG133" s="28"/>
      <c r="AH133" s="78"/>
      <c r="AI133" s="76"/>
      <c r="AJ133" s="28"/>
      <c r="AK133" s="28"/>
      <c r="AL133" s="78"/>
      <c r="AM133" s="76"/>
      <c r="AN133" s="28"/>
      <c r="AO133" s="28"/>
      <c r="AP133" s="28"/>
      <c r="AQ133" s="78"/>
    </row>
    <row r="134" spans="2:44" ht="15" customHeight="1" x14ac:dyDescent="0.25">
      <c r="B134" s="321"/>
      <c r="C134" s="36">
        <v>34</v>
      </c>
      <c r="D134" s="68">
        <f>COUNTIFS($AN$6:$AN$161,2,$G$6:$G$161,$B$113)</f>
        <v>0</v>
      </c>
      <c r="E134" s="347" t="str">
        <f t="shared" si="3"/>
        <v/>
      </c>
      <c r="F134" s="8" t="str">
        <f t="shared" si="2"/>
        <v/>
      </c>
      <c r="G134" s="6"/>
      <c r="H134" s="566"/>
      <c r="I134" s="22"/>
      <c r="J134" s="22"/>
      <c r="K134" s="22"/>
      <c r="L134" s="22"/>
      <c r="M134" s="22"/>
      <c r="N134" s="22"/>
      <c r="O134" s="22"/>
      <c r="P134" s="22"/>
      <c r="Q134" s="76"/>
      <c r="R134" s="28"/>
      <c r="S134" s="28"/>
      <c r="T134" s="28"/>
      <c r="U134" s="78"/>
      <c r="V134" s="76"/>
      <c r="W134" s="28"/>
      <c r="X134" s="78"/>
      <c r="Y134" s="76"/>
      <c r="Z134" s="28"/>
      <c r="AA134" s="28"/>
      <c r="AB134" s="28"/>
      <c r="AC134" s="78"/>
      <c r="AD134" s="28"/>
      <c r="AE134" s="28"/>
      <c r="AF134" s="28"/>
      <c r="AG134" s="28"/>
      <c r="AH134" s="78"/>
      <c r="AI134" s="76"/>
      <c r="AJ134" s="28"/>
      <c r="AK134" s="28"/>
      <c r="AL134" s="78"/>
      <c r="AM134" s="76"/>
      <c r="AN134" s="28"/>
      <c r="AO134" s="28"/>
      <c r="AP134" s="28"/>
      <c r="AQ134" s="78"/>
    </row>
    <row r="135" spans="2:44" ht="15" customHeight="1" x14ac:dyDescent="0.25">
      <c r="B135" s="321"/>
      <c r="C135" s="36">
        <v>35</v>
      </c>
      <c r="D135" s="68">
        <f>COUNTIFS($AO$6:$AO$161,2,$G$6:$G$161,$B$113)</f>
        <v>0</v>
      </c>
      <c r="E135" s="347" t="str">
        <f t="shared" si="3"/>
        <v/>
      </c>
      <c r="F135" s="8" t="str">
        <f t="shared" ref="F135:F161" si="4">IF(H135&lt;&gt;"",MONTH(H135),"")</f>
        <v/>
      </c>
      <c r="G135" s="6"/>
      <c r="H135" s="567"/>
      <c r="I135" s="100"/>
      <c r="J135" s="100"/>
      <c r="K135" s="100"/>
      <c r="L135" s="100"/>
      <c r="M135" s="100"/>
      <c r="N135" s="100"/>
      <c r="O135" s="100"/>
      <c r="P135" s="100"/>
      <c r="Q135" s="76"/>
      <c r="R135" s="28"/>
      <c r="S135" s="28"/>
      <c r="T135" s="28"/>
      <c r="U135" s="78"/>
      <c r="V135" s="76"/>
      <c r="W135" s="28"/>
      <c r="X135" s="78"/>
      <c r="Y135" s="76"/>
      <c r="Z135" s="28"/>
      <c r="AA135" s="28"/>
      <c r="AB135" s="28"/>
      <c r="AC135" s="78"/>
      <c r="AD135" s="28"/>
      <c r="AE135" s="28"/>
      <c r="AF135" s="28"/>
      <c r="AG135" s="28"/>
      <c r="AH135" s="78"/>
      <c r="AI135" s="76"/>
      <c r="AJ135" s="28"/>
      <c r="AK135" s="28"/>
      <c r="AL135" s="78"/>
      <c r="AM135" s="76"/>
      <c r="AN135" s="28"/>
      <c r="AO135" s="28"/>
      <c r="AP135" s="28"/>
      <c r="AQ135" s="78"/>
    </row>
    <row r="136" spans="2:44" ht="15" customHeight="1" x14ac:dyDescent="0.25">
      <c r="B136" s="321"/>
      <c r="C136" s="36">
        <v>36</v>
      </c>
      <c r="D136" s="68">
        <f>COUNTIFS($AP$6:$AP$161,2,$G$6:$G$161,$B$113)</f>
        <v>0</v>
      </c>
      <c r="E136" s="347" t="str">
        <f t="shared" ref="E136:E161" si="5">IF($F136&lt;&gt;"",$E135+1,"")</f>
        <v/>
      </c>
      <c r="F136" s="8" t="str">
        <f t="shared" si="4"/>
        <v/>
      </c>
      <c r="G136" s="6"/>
      <c r="H136" s="565"/>
      <c r="I136" s="28"/>
      <c r="J136" s="299"/>
      <c r="K136" s="28"/>
      <c r="L136" s="28"/>
      <c r="M136" s="28"/>
      <c r="N136" s="28"/>
      <c r="O136" s="299"/>
      <c r="P136" s="299"/>
      <c r="Q136" s="76"/>
      <c r="R136" s="28"/>
      <c r="S136" s="28"/>
      <c r="T136" s="28"/>
      <c r="U136" s="78"/>
      <c r="V136" s="76"/>
      <c r="W136" s="28"/>
      <c r="X136" s="78"/>
      <c r="Y136" s="76"/>
      <c r="Z136" s="28"/>
      <c r="AA136" s="28"/>
      <c r="AB136" s="28"/>
      <c r="AC136" s="78"/>
      <c r="AD136" s="28"/>
      <c r="AE136" s="28"/>
      <c r="AF136" s="28"/>
      <c r="AG136" s="28"/>
      <c r="AH136" s="78"/>
      <c r="AI136" s="76"/>
      <c r="AJ136" s="28"/>
      <c r="AK136" s="28"/>
      <c r="AL136" s="78"/>
      <c r="AM136" s="76"/>
      <c r="AN136" s="28"/>
      <c r="AO136" s="28"/>
      <c r="AP136" s="28"/>
      <c r="AQ136" s="78"/>
    </row>
    <row r="137" spans="2:44" ht="15" customHeight="1" thickBot="1" x14ac:dyDescent="0.3">
      <c r="B137" s="322"/>
      <c r="C137" s="130">
        <v>37</v>
      </c>
      <c r="D137" s="69">
        <f>COUNTIFS($AQ$6:$AQ$161,2,$G$6:$G$161,$B$113)</f>
        <v>0</v>
      </c>
      <c r="E137" s="347" t="str">
        <f t="shared" si="5"/>
        <v/>
      </c>
      <c r="F137" s="8" t="str">
        <f t="shared" si="4"/>
        <v/>
      </c>
      <c r="G137" s="6"/>
      <c r="H137" s="565"/>
      <c r="I137" s="28"/>
      <c r="J137" s="299"/>
      <c r="K137" s="28"/>
      <c r="L137" s="28"/>
      <c r="M137" s="28"/>
      <c r="N137" s="28"/>
      <c r="O137" s="299"/>
      <c r="P137" s="299"/>
      <c r="Q137" s="76"/>
      <c r="R137" s="28"/>
      <c r="S137" s="28"/>
      <c r="T137" s="28"/>
      <c r="U137" s="78"/>
      <c r="V137" s="76"/>
      <c r="W137" s="28"/>
      <c r="X137" s="78"/>
      <c r="Y137" s="76"/>
      <c r="Z137" s="28"/>
      <c r="AA137" s="28"/>
      <c r="AB137" s="28"/>
      <c r="AC137" s="78"/>
      <c r="AD137" s="28"/>
      <c r="AE137" s="28"/>
      <c r="AF137" s="28"/>
      <c r="AG137" s="28"/>
      <c r="AH137" s="78"/>
      <c r="AI137" s="76"/>
      <c r="AJ137" s="28"/>
      <c r="AK137" s="28"/>
      <c r="AL137" s="78"/>
      <c r="AM137" s="76"/>
      <c r="AN137" s="28"/>
      <c r="AO137" s="28"/>
      <c r="AP137" s="28"/>
      <c r="AQ137" s="78"/>
    </row>
    <row r="138" spans="2:44" ht="15" customHeight="1" thickBot="1" x14ac:dyDescent="0.3">
      <c r="B138" s="983" t="s">
        <v>98</v>
      </c>
      <c r="C138" s="960"/>
      <c r="D138" s="155">
        <f>SUM(D113:D137)</f>
        <v>0</v>
      </c>
      <c r="E138" s="347" t="str">
        <f t="shared" si="5"/>
        <v/>
      </c>
      <c r="F138" s="8" t="str">
        <f t="shared" si="4"/>
        <v/>
      </c>
      <c r="G138" s="6"/>
      <c r="H138" s="565"/>
      <c r="I138" s="28"/>
      <c r="J138" s="299"/>
      <c r="K138" s="28"/>
      <c r="L138" s="28"/>
      <c r="M138" s="28"/>
      <c r="N138" s="28"/>
      <c r="O138" s="299"/>
      <c r="P138" s="299"/>
      <c r="Q138" s="76"/>
      <c r="R138" s="28"/>
      <c r="S138" s="28"/>
      <c r="T138" s="28"/>
      <c r="U138" s="78"/>
      <c r="V138" s="76"/>
      <c r="W138" s="28"/>
      <c r="X138" s="78"/>
      <c r="Y138" s="76"/>
      <c r="Z138" s="28"/>
      <c r="AA138" s="28"/>
      <c r="AB138" s="28"/>
      <c r="AC138" s="78"/>
      <c r="AD138" s="28"/>
      <c r="AE138" s="28"/>
      <c r="AF138" s="28"/>
      <c r="AG138" s="28"/>
      <c r="AH138" s="78"/>
      <c r="AI138" s="76"/>
      <c r="AJ138" s="28"/>
      <c r="AK138" s="28"/>
      <c r="AL138" s="78"/>
      <c r="AM138" s="76"/>
      <c r="AN138" s="28"/>
      <c r="AO138" s="28"/>
      <c r="AP138" s="28"/>
      <c r="AQ138" s="78"/>
    </row>
    <row r="139" spans="2:44" ht="15" customHeight="1" thickBot="1" x14ac:dyDescent="0.3">
      <c r="B139" s="983" t="s">
        <v>976</v>
      </c>
      <c r="C139" s="960"/>
      <c r="D139" s="460">
        <f>D138/VLOOKUP(B113,C21:D24,2,FALSE)</f>
        <v>0</v>
      </c>
      <c r="E139" s="347" t="str">
        <f t="shared" si="5"/>
        <v/>
      </c>
      <c r="F139" s="8" t="str">
        <f t="shared" si="4"/>
        <v/>
      </c>
      <c r="G139" s="6"/>
      <c r="H139" s="565"/>
      <c r="I139" s="28"/>
      <c r="J139" s="299"/>
      <c r="K139" s="28"/>
      <c r="L139" s="28"/>
      <c r="M139" s="28"/>
      <c r="N139" s="28"/>
      <c r="O139" s="299"/>
      <c r="P139" s="299"/>
      <c r="Q139" s="76"/>
      <c r="R139" s="28"/>
      <c r="S139" s="28"/>
      <c r="T139" s="28"/>
      <c r="U139" s="78"/>
      <c r="V139" s="76"/>
      <c r="W139" s="28"/>
      <c r="X139" s="78"/>
      <c r="Y139" s="76"/>
      <c r="Z139" s="28"/>
      <c r="AA139" s="28"/>
      <c r="AB139" s="28"/>
      <c r="AC139" s="78"/>
      <c r="AD139" s="28"/>
      <c r="AE139" s="28"/>
      <c r="AF139" s="28"/>
      <c r="AG139" s="28"/>
      <c r="AH139" s="78"/>
      <c r="AI139" s="76"/>
      <c r="AJ139" s="28"/>
      <c r="AK139" s="28"/>
      <c r="AL139" s="78"/>
      <c r="AM139" s="76"/>
      <c r="AN139" s="28"/>
      <c r="AO139" s="28"/>
      <c r="AP139" s="28"/>
      <c r="AQ139" s="78"/>
    </row>
    <row r="140" spans="2:44" ht="15.75" customHeight="1" thickBot="1" x14ac:dyDescent="0.3">
      <c r="B140" s="804" t="s">
        <v>978</v>
      </c>
      <c r="C140" s="805"/>
      <c r="D140" s="429">
        <f>(D138+D111+D84+D57)/D19</f>
        <v>0.16666666666666666</v>
      </c>
      <c r="E140" s="347" t="str">
        <f t="shared" si="5"/>
        <v/>
      </c>
      <c r="F140" s="8" t="str">
        <f t="shared" si="4"/>
        <v/>
      </c>
      <c r="G140" s="6"/>
      <c r="H140" s="565"/>
      <c r="I140" s="28"/>
      <c r="J140" s="299"/>
      <c r="K140" s="28"/>
      <c r="L140" s="28"/>
      <c r="M140" s="28"/>
      <c r="N140" s="28"/>
      <c r="O140" s="299"/>
      <c r="P140" s="299"/>
      <c r="Q140" s="76"/>
      <c r="R140" s="28"/>
      <c r="S140" s="28"/>
      <c r="T140" s="28"/>
      <c r="U140" s="78"/>
      <c r="V140" s="76"/>
      <c r="W140" s="28"/>
      <c r="X140" s="78"/>
      <c r="Y140" s="76"/>
      <c r="Z140" s="28"/>
      <c r="AA140" s="28"/>
      <c r="AB140" s="28"/>
      <c r="AC140" s="78"/>
      <c r="AD140" s="28"/>
      <c r="AE140" s="28"/>
      <c r="AF140" s="28"/>
      <c r="AG140" s="28"/>
      <c r="AH140" s="78"/>
      <c r="AI140" s="76"/>
      <c r="AJ140" s="28"/>
      <c r="AK140" s="28"/>
      <c r="AL140" s="78"/>
      <c r="AM140" s="76"/>
      <c r="AN140" s="28"/>
      <c r="AO140" s="28"/>
      <c r="AP140" s="28"/>
      <c r="AQ140" s="78"/>
    </row>
    <row r="141" spans="2:44" ht="15.75" customHeight="1" x14ac:dyDescent="0.25">
      <c r="B141" s="186" t="s">
        <v>0</v>
      </c>
      <c r="C141" s="429">
        <v>1</v>
      </c>
      <c r="D141" s="153">
        <v>0.25</v>
      </c>
      <c r="E141" s="347" t="str">
        <f t="shared" si="5"/>
        <v/>
      </c>
      <c r="F141" s="8" t="str">
        <f t="shared" si="4"/>
        <v/>
      </c>
      <c r="G141" s="6"/>
      <c r="H141" s="565"/>
      <c r="I141" s="28"/>
      <c r="J141" s="299"/>
      <c r="K141" s="28"/>
      <c r="L141" s="28"/>
      <c r="M141" s="28"/>
      <c r="N141" s="28"/>
      <c r="O141" s="299"/>
      <c r="P141" s="299"/>
      <c r="Q141" s="76"/>
      <c r="R141" s="28"/>
      <c r="S141" s="28"/>
      <c r="T141" s="28"/>
      <c r="U141" s="78"/>
      <c r="V141" s="76"/>
      <c r="W141" s="28"/>
      <c r="X141" s="78"/>
      <c r="Y141" s="76"/>
      <c r="Z141" s="28"/>
      <c r="AA141" s="28"/>
      <c r="AB141" s="28"/>
      <c r="AC141" s="78"/>
      <c r="AD141" s="28"/>
      <c r="AE141" s="28"/>
      <c r="AF141" s="28"/>
      <c r="AG141" s="28"/>
      <c r="AH141" s="78"/>
      <c r="AI141" s="76"/>
      <c r="AJ141" s="28"/>
      <c r="AK141" s="28"/>
      <c r="AL141" s="78"/>
      <c r="AM141" s="76"/>
      <c r="AN141" s="28"/>
      <c r="AO141" s="28"/>
      <c r="AP141" s="28"/>
      <c r="AQ141" s="78"/>
      <c r="AR141" s="28"/>
    </row>
    <row r="142" spans="2:44" ht="15.75" customHeight="1" x14ac:dyDescent="0.25">
      <c r="B142" s="158" t="s">
        <v>852</v>
      </c>
      <c r="C142" s="66">
        <v>2</v>
      </c>
      <c r="D142" s="154"/>
      <c r="E142" s="347" t="str">
        <f t="shared" si="5"/>
        <v/>
      </c>
      <c r="F142" s="8" t="str">
        <f t="shared" si="4"/>
        <v/>
      </c>
      <c r="G142" s="6"/>
      <c r="H142" s="565"/>
      <c r="I142" s="28"/>
      <c r="J142" s="28"/>
      <c r="K142" s="28"/>
      <c r="L142" s="28"/>
      <c r="M142" s="28"/>
      <c r="N142" s="28"/>
      <c r="O142" s="28"/>
      <c r="P142" s="28"/>
      <c r="Q142" s="76"/>
      <c r="R142" s="28"/>
      <c r="S142" s="28"/>
      <c r="T142" s="28"/>
      <c r="U142" s="78"/>
      <c r="V142" s="76"/>
      <c r="W142" s="28"/>
      <c r="X142" s="78"/>
      <c r="Y142" s="76"/>
      <c r="Z142" s="28"/>
      <c r="AA142" s="28"/>
      <c r="AB142" s="28"/>
      <c r="AC142" s="78"/>
      <c r="AD142" s="28"/>
      <c r="AE142" s="28"/>
      <c r="AF142" s="28"/>
      <c r="AG142" s="28"/>
      <c r="AH142" s="78"/>
      <c r="AI142" s="76"/>
      <c r="AJ142" s="28"/>
      <c r="AK142" s="28"/>
      <c r="AL142" s="78"/>
      <c r="AM142" s="76"/>
      <c r="AN142" s="28"/>
      <c r="AO142" s="28"/>
      <c r="AP142" s="28"/>
      <c r="AQ142" s="78"/>
    </row>
    <row r="143" spans="2:44" ht="15" customHeight="1" x14ac:dyDescent="0.25">
      <c r="B143" s="158" t="s">
        <v>45</v>
      </c>
      <c r="C143" s="66">
        <v>3</v>
      </c>
      <c r="D143" s="154"/>
      <c r="E143" s="347" t="str">
        <f t="shared" si="5"/>
        <v/>
      </c>
      <c r="F143" s="8" t="str">
        <f t="shared" si="4"/>
        <v/>
      </c>
      <c r="G143" s="6"/>
      <c r="H143" s="566"/>
      <c r="I143" s="22"/>
      <c r="J143" s="22"/>
      <c r="K143" s="22"/>
      <c r="L143" s="22"/>
      <c r="M143" s="22"/>
      <c r="N143" s="22"/>
      <c r="O143" s="22"/>
      <c r="P143" s="22"/>
      <c r="Q143" s="76"/>
      <c r="R143" s="28"/>
      <c r="S143" s="28"/>
      <c r="T143" s="28"/>
      <c r="U143" s="78"/>
      <c r="V143" s="76"/>
      <c r="W143" s="28"/>
      <c r="X143" s="78"/>
      <c r="Y143" s="76"/>
      <c r="Z143" s="28"/>
      <c r="AA143" s="28"/>
      <c r="AB143" s="28"/>
      <c r="AC143" s="78"/>
      <c r="AD143" s="28"/>
      <c r="AE143" s="28"/>
      <c r="AF143" s="28"/>
      <c r="AG143" s="28"/>
      <c r="AH143" s="78"/>
      <c r="AI143" s="76"/>
      <c r="AJ143" s="28"/>
      <c r="AK143" s="28"/>
      <c r="AL143" s="78"/>
      <c r="AM143" s="76"/>
      <c r="AN143" s="28"/>
      <c r="AO143" s="28"/>
      <c r="AP143" s="28"/>
      <c r="AQ143" s="78"/>
    </row>
    <row r="144" spans="2:44" ht="15" customHeight="1" x14ac:dyDescent="0.25">
      <c r="B144" s="158" t="s">
        <v>46</v>
      </c>
      <c r="C144" s="66">
        <v>4</v>
      </c>
      <c r="D144" s="154"/>
      <c r="E144" s="347" t="str">
        <f t="shared" si="5"/>
        <v/>
      </c>
      <c r="F144" s="8" t="str">
        <f t="shared" si="4"/>
        <v/>
      </c>
      <c r="G144" s="6"/>
      <c r="H144" s="568"/>
      <c r="Q144" s="46"/>
      <c r="U144" s="3"/>
      <c r="V144" s="46"/>
      <c r="X144" s="3"/>
      <c r="Y144" s="46"/>
      <c r="AC144" s="3"/>
      <c r="AH144" s="3"/>
      <c r="AI144" s="46"/>
      <c r="AL144" s="3"/>
      <c r="AM144" s="46"/>
      <c r="AQ144" s="3"/>
    </row>
    <row r="145" spans="2:44" ht="15" customHeight="1" x14ac:dyDescent="0.25">
      <c r="B145" s="158" t="s">
        <v>47</v>
      </c>
      <c r="C145" s="66">
        <v>5</v>
      </c>
      <c r="D145" s="154"/>
      <c r="E145" s="347" t="str">
        <f t="shared" si="5"/>
        <v/>
      </c>
      <c r="F145" s="8" t="str">
        <f t="shared" si="4"/>
        <v/>
      </c>
      <c r="G145" s="6"/>
      <c r="H145" s="568"/>
      <c r="Q145" s="46"/>
      <c r="U145" s="3"/>
      <c r="V145" s="46"/>
      <c r="X145" s="3"/>
      <c r="Y145" s="46"/>
      <c r="AC145" s="3"/>
      <c r="AH145" s="3"/>
      <c r="AI145" s="46"/>
      <c r="AL145" s="3"/>
      <c r="AM145" s="46"/>
      <c r="AQ145" s="3"/>
    </row>
    <row r="146" spans="2:44" ht="15" customHeight="1" x14ac:dyDescent="0.25">
      <c r="B146" s="158" t="s">
        <v>48</v>
      </c>
      <c r="C146" s="66">
        <v>6</v>
      </c>
      <c r="D146" s="154"/>
      <c r="E146" s="347" t="str">
        <f t="shared" si="5"/>
        <v/>
      </c>
      <c r="F146" s="8" t="str">
        <f t="shared" si="4"/>
        <v/>
      </c>
      <c r="G146" s="6"/>
      <c r="H146" s="565"/>
      <c r="I146" s="28"/>
      <c r="J146" s="28"/>
      <c r="K146" s="28"/>
      <c r="L146" s="28"/>
      <c r="M146" s="28"/>
      <c r="N146" s="28"/>
      <c r="O146" s="28"/>
      <c r="P146" s="28"/>
      <c r="Q146" s="76"/>
      <c r="R146" s="28"/>
      <c r="S146" s="28"/>
      <c r="T146" s="28"/>
      <c r="U146" s="78"/>
      <c r="V146" s="76"/>
      <c r="W146" s="28"/>
      <c r="X146" s="78"/>
      <c r="Y146" s="76"/>
      <c r="Z146" s="28"/>
      <c r="AA146" s="28"/>
      <c r="AB146" s="28"/>
      <c r="AC146" s="78"/>
      <c r="AD146" s="28"/>
      <c r="AE146" s="28"/>
      <c r="AF146" s="28"/>
      <c r="AG146" s="28"/>
      <c r="AH146" s="78"/>
      <c r="AI146" s="76"/>
      <c r="AJ146" s="28"/>
      <c r="AK146" s="28"/>
      <c r="AL146" s="78"/>
      <c r="AM146" s="76"/>
      <c r="AN146" s="28"/>
      <c r="AO146" s="28"/>
      <c r="AP146" s="28"/>
      <c r="AQ146" s="78"/>
    </row>
    <row r="147" spans="2:44" ht="15" customHeight="1" x14ac:dyDescent="0.25">
      <c r="B147" s="158" t="s">
        <v>49</v>
      </c>
      <c r="C147" s="66">
        <v>7</v>
      </c>
      <c r="D147" s="154"/>
      <c r="E147" s="347" t="str">
        <f t="shared" si="5"/>
        <v/>
      </c>
      <c r="F147" s="8" t="str">
        <f t="shared" si="4"/>
        <v/>
      </c>
      <c r="G147" s="6"/>
      <c r="H147" s="566"/>
      <c r="I147" s="22"/>
      <c r="J147" s="22"/>
      <c r="K147" s="22"/>
      <c r="L147" s="22"/>
      <c r="M147" s="22"/>
      <c r="N147" s="22"/>
      <c r="O147" s="22"/>
      <c r="P147" s="22"/>
      <c r="Q147" s="76"/>
      <c r="R147" s="28"/>
      <c r="S147" s="28"/>
      <c r="T147" s="28"/>
      <c r="U147" s="78"/>
      <c r="V147" s="76"/>
      <c r="W147" s="28"/>
      <c r="X147" s="78"/>
      <c r="Y147" s="76"/>
      <c r="Z147" s="28"/>
      <c r="AA147" s="28"/>
      <c r="AB147" s="28"/>
      <c r="AC147" s="78"/>
      <c r="AD147" s="28"/>
      <c r="AE147" s="28"/>
      <c r="AF147" s="28"/>
      <c r="AG147" s="28"/>
      <c r="AH147" s="78"/>
      <c r="AI147" s="76"/>
      <c r="AJ147" s="28"/>
      <c r="AK147" s="28"/>
      <c r="AL147" s="78"/>
      <c r="AM147" s="76"/>
      <c r="AN147" s="28"/>
      <c r="AO147" s="28"/>
      <c r="AP147" s="28"/>
      <c r="AQ147" s="78"/>
    </row>
    <row r="148" spans="2:44" ht="15" customHeight="1" x14ac:dyDescent="0.25">
      <c r="B148" s="158" t="s">
        <v>853</v>
      </c>
      <c r="C148" s="66">
        <v>8</v>
      </c>
      <c r="D148" s="154"/>
      <c r="E148" s="347" t="str">
        <f t="shared" si="5"/>
        <v/>
      </c>
      <c r="F148" s="8" t="str">
        <f t="shared" si="4"/>
        <v/>
      </c>
      <c r="G148" s="6"/>
      <c r="H148" s="567"/>
      <c r="I148" s="100"/>
      <c r="J148" s="100"/>
      <c r="K148" s="100"/>
      <c r="L148" s="100"/>
      <c r="M148" s="100"/>
      <c r="N148" s="100"/>
      <c r="O148" s="100"/>
      <c r="P148" s="100"/>
      <c r="Q148" s="76"/>
      <c r="R148" s="28"/>
      <c r="S148" s="28"/>
      <c r="T148" s="28"/>
      <c r="U148" s="78"/>
      <c r="V148" s="76"/>
      <c r="W148" s="28"/>
      <c r="X148" s="78"/>
      <c r="Y148" s="76"/>
      <c r="Z148" s="28"/>
      <c r="AA148" s="28"/>
      <c r="AB148" s="28"/>
      <c r="AC148" s="78"/>
      <c r="AD148" s="28"/>
      <c r="AE148" s="28"/>
      <c r="AF148" s="28"/>
      <c r="AG148" s="28"/>
      <c r="AH148" s="78"/>
      <c r="AI148" s="76"/>
      <c r="AJ148" s="28"/>
      <c r="AK148" s="28"/>
      <c r="AL148" s="78"/>
      <c r="AM148" s="76"/>
      <c r="AN148" s="28"/>
      <c r="AO148" s="28"/>
      <c r="AP148" s="28"/>
      <c r="AQ148" s="78"/>
    </row>
    <row r="149" spans="2:44" ht="15" customHeight="1" x14ac:dyDescent="0.25">
      <c r="B149" s="158" t="s">
        <v>51</v>
      </c>
      <c r="C149" s="66">
        <v>9</v>
      </c>
      <c r="D149" s="154"/>
      <c r="E149" s="347" t="str">
        <f t="shared" si="5"/>
        <v/>
      </c>
      <c r="F149" s="8" t="str">
        <f t="shared" si="4"/>
        <v/>
      </c>
      <c r="G149" s="6"/>
      <c r="H149" s="565"/>
      <c r="I149" s="28"/>
      <c r="J149" s="299"/>
      <c r="K149" s="28"/>
      <c r="L149" s="28"/>
      <c r="M149" s="28"/>
      <c r="N149" s="28"/>
      <c r="O149" s="299"/>
      <c r="P149" s="299"/>
      <c r="Q149" s="76"/>
      <c r="R149" s="28"/>
      <c r="S149" s="28"/>
      <c r="T149" s="28"/>
      <c r="U149" s="78"/>
      <c r="V149" s="76"/>
      <c r="W149" s="28"/>
      <c r="X149" s="78"/>
      <c r="Y149" s="76"/>
      <c r="Z149" s="28"/>
      <c r="AA149" s="28"/>
      <c r="AB149" s="28"/>
      <c r="AC149" s="78"/>
      <c r="AD149" s="28"/>
      <c r="AE149" s="28"/>
      <c r="AF149" s="28"/>
      <c r="AG149" s="28"/>
      <c r="AH149" s="78"/>
      <c r="AI149" s="76"/>
      <c r="AJ149" s="28"/>
      <c r="AK149" s="28"/>
      <c r="AL149" s="78"/>
      <c r="AM149" s="76"/>
      <c r="AN149" s="28"/>
      <c r="AO149" s="28"/>
      <c r="AP149" s="28"/>
      <c r="AQ149" s="78"/>
    </row>
    <row r="150" spans="2:44" ht="15" customHeight="1" x14ac:dyDescent="0.25">
      <c r="B150" s="158" t="s">
        <v>52</v>
      </c>
      <c r="C150" s="66">
        <v>10</v>
      </c>
      <c r="D150" s="154"/>
      <c r="E150" s="347" t="str">
        <f t="shared" si="5"/>
        <v/>
      </c>
      <c r="F150" s="8" t="str">
        <f t="shared" si="4"/>
        <v/>
      </c>
      <c r="G150" s="6"/>
      <c r="H150" s="565"/>
      <c r="I150" s="28"/>
      <c r="J150" s="299"/>
      <c r="K150" s="28"/>
      <c r="L150" s="28"/>
      <c r="M150" s="28"/>
      <c r="N150" s="28"/>
      <c r="O150" s="299"/>
      <c r="P150" s="299"/>
      <c r="Q150" s="76"/>
      <c r="R150" s="28"/>
      <c r="S150" s="28"/>
      <c r="T150" s="28"/>
      <c r="U150" s="78"/>
      <c r="V150" s="76"/>
      <c r="W150" s="28"/>
      <c r="X150" s="78"/>
      <c r="Y150" s="76"/>
      <c r="Z150" s="28"/>
      <c r="AA150" s="28"/>
      <c r="AB150" s="28"/>
      <c r="AC150" s="78"/>
      <c r="AD150" s="28"/>
      <c r="AE150" s="28"/>
      <c r="AF150" s="28"/>
      <c r="AG150" s="28"/>
      <c r="AH150" s="78"/>
      <c r="AI150" s="76"/>
      <c r="AJ150" s="28"/>
      <c r="AK150" s="28"/>
      <c r="AL150" s="78"/>
      <c r="AM150" s="76"/>
      <c r="AN150" s="28"/>
      <c r="AO150" s="28"/>
      <c r="AP150" s="28"/>
      <c r="AQ150" s="78"/>
    </row>
    <row r="151" spans="2:44" ht="15" customHeight="1" x14ac:dyDescent="0.25">
      <c r="B151" s="158" t="s">
        <v>53</v>
      </c>
      <c r="C151" s="66">
        <v>11</v>
      </c>
      <c r="D151" s="154"/>
      <c r="E151" s="347" t="str">
        <f t="shared" si="5"/>
        <v/>
      </c>
      <c r="F151" s="8" t="str">
        <f t="shared" si="4"/>
        <v/>
      </c>
      <c r="G151" s="6"/>
      <c r="H151" s="565"/>
      <c r="I151" s="28"/>
      <c r="J151" s="299"/>
      <c r="K151" s="28"/>
      <c r="L151" s="28"/>
      <c r="M151" s="28"/>
      <c r="N151" s="28"/>
      <c r="O151" s="299"/>
      <c r="P151" s="299"/>
      <c r="Q151" s="76"/>
      <c r="R151" s="28"/>
      <c r="S151" s="28"/>
      <c r="T151" s="28"/>
      <c r="U151" s="78"/>
      <c r="V151" s="76"/>
      <c r="W151" s="28"/>
      <c r="X151" s="78"/>
      <c r="Y151" s="76"/>
      <c r="Z151" s="28"/>
      <c r="AA151" s="28"/>
      <c r="AB151" s="28"/>
      <c r="AC151" s="78"/>
      <c r="AD151" s="28"/>
      <c r="AE151" s="28"/>
      <c r="AF151" s="28"/>
      <c r="AG151" s="28"/>
      <c r="AH151" s="78"/>
      <c r="AI151" s="76"/>
      <c r="AJ151" s="28"/>
      <c r="AK151" s="28"/>
      <c r="AL151" s="78"/>
      <c r="AM151" s="76"/>
      <c r="AN151" s="28"/>
      <c r="AO151" s="28"/>
      <c r="AP151" s="28"/>
      <c r="AQ151" s="78"/>
    </row>
    <row r="152" spans="2:44" ht="15" customHeight="1" thickBot="1" x14ac:dyDescent="0.3">
      <c r="B152" s="311" t="s">
        <v>854</v>
      </c>
      <c r="C152" s="67">
        <v>12</v>
      </c>
      <c r="D152" s="428"/>
      <c r="E152" s="347" t="str">
        <f t="shared" si="5"/>
        <v/>
      </c>
      <c r="F152" s="8" t="str">
        <f t="shared" si="4"/>
        <v/>
      </c>
      <c r="G152" s="6"/>
      <c r="H152" s="565"/>
      <c r="I152" s="28"/>
      <c r="J152" s="299"/>
      <c r="K152" s="28"/>
      <c r="L152" s="28"/>
      <c r="M152" s="28"/>
      <c r="N152" s="28"/>
      <c r="O152" s="299"/>
      <c r="P152" s="299"/>
      <c r="Q152" s="76"/>
      <c r="R152" s="28"/>
      <c r="S152" s="28"/>
      <c r="T152" s="28"/>
      <c r="U152" s="78"/>
      <c r="V152" s="76"/>
      <c r="W152" s="28"/>
      <c r="X152" s="78"/>
      <c r="Y152" s="76"/>
      <c r="Z152" s="28"/>
      <c r="AA152" s="28"/>
      <c r="AB152" s="28"/>
      <c r="AC152" s="78"/>
      <c r="AD152" s="28"/>
      <c r="AE152" s="28"/>
      <c r="AF152" s="28"/>
      <c r="AG152" s="28"/>
      <c r="AH152" s="78"/>
      <c r="AI152" s="76"/>
      <c r="AJ152" s="28"/>
      <c r="AK152" s="28"/>
      <c r="AL152" s="78"/>
      <c r="AM152" s="76"/>
      <c r="AN152" s="28"/>
      <c r="AO152" s="28"/>
      <c r="AP152" s="28"/>
      <c r="AQ152" s="78"/>
    </row>
    <row r="153" spans="2:44" ht="15.75" customHeight="1" thickBot="1" x14ac:dyDescent="0.3">
      <c r="B153" s="546" t="s">
        <v>1013</v>
      </c>
      <c r="C153" s="67">
        <v>13</v>
      </c>
      <c r="D153" s="428"/>
      <c r="E153" s="347" t="str">
        <f t="shared" si="5"/>
        <v/>
      </c>
      <c r="F153" s="8" t="str">
        <f t="shared" si="4"/>
        <v/>
      </c>
      <c r="G153" s="6"/>
      <c r="H153" s="565"/>
      <c r="I153" s="28"/>
      <c r="J153" s="299"/>
      <c r="K153" s="28"/>
      <c r="L153" s="28"/>
      <c r="M153" s="28"/>
      <c r="N153" s="28"/>
      <c r="O153" s="299"/>
      <c r="P153" s="299"/>
      <c r="Q153" s="76"/>
      <c r="R153" s="28"/>
      <c r="S153" s="28"/>
      <c r="T153" s="28"/>
      <c r="U153" s="78"/>
      <c r="V153" s="76"/>
      <c r="W153" s="28"/>
      <c r="X153" s="78"/>
      <c r="Y153" s="76"/>
      <c r="Z153" s="28"/>
      <c r="AA153" s="28"/>
      <c r="AB153" s="28"/>
      <c r="AC153" s="78"/>
      <c r="AD153" s="28"/>
      <c r="AE153" s="28"/>
      <c r="AF153" s="28"/>
      <c r="AG153" s="28"/>
      <c r="AH153" s="78"/>
      <c r="AI153" s="76"/>
      <c r="AJ153" s="28"/>
      <c r="AK153" s="28"/>
      <c r="AL153" s="78"/>
      <c r="AM153" s="76"/>
      <c r="AN153" s="28"/>
      <c r="AO153" s="28"/>
      <c r="AP153" s="28"/>
      <c r="AQ153" s="78"/>
    </row>
    <row r="154" spans="2:44" ht="15.75" customHeight="1" x14ac:dyDescent="0.25">
      <c r="B154" s="68"/>
      <c r="C154" s="36"/>
      <c r="D154" s="36"/>
      <c r="E154" s="347" t="str">
        <f t="shared" si="5"/>
        <v/>
      </c>
      <c r="F154" s="8" t="str">
        <f t="shared" si="4"/>
        <v/>
      </c>
      <c r="G154" s="6"/>
      <c r="H154" s="565"/>
      <c r="I154" s="28"/>
      <c r="J154" s="299"/>
      <c r="K154" s="28"/>
      <c r="L154" s="28"/>
      <c r="M154" s="28"/>
      <c r="N154" s="28"/>
      <c r="O154" s="299"/>
      <c r="P154" s="299"/>
      <c r="Q154" s="76"/>
      <c r="R154" s="28"/>
      <c r="S154" s="28"/>
      <c r="T154" s="28"/>
      <c r="U154" s="78"/>
      <c r="V154" s="76"/>
      <c r="W154" s="28"/>
      <c r="X154" s="78"/>
      <c r="Y154" s="76"/>
      <c r="Z154" s="28"/>
      <c r="AA154" s="28"/>
      <c r="AB154" s="28"/>
      <c r="AC154" s="78"/>
      <c r="AD154" s="28"/>
      <c r="AE154" s="28"/>
      <c r="AF154" s="28"/>
      <c r="AG154" s="28"/>
      <c r="AH154" s="78"/>
      <c r="AI154" s="76"/>
      <c r="AJ154" s="28"/>
      <c r="AK154" s="28"/>
      <c r="AL154" s="78"/>
      <c r="AM154" s="76"/>
      <c r="AN154" s="28"/>
      <c r="AO154" s="28"/>
      <c r="AP154" s="28"/>
      <c r="AQ154" s="78"/>
    </row>
    <row r="155" spans="2:44" ht="15.75" customHeight="1" x14ac:dyDescent="0.25">
      <c r="B155" s="68"/>
      <c r="C155" s="36"/>
      <c r="D155" s="36"/>
      <c r="E155" s="347" t="str">
        <f t="shared" si="5"/>
        <v/>
      </c>
      <c r="F155" s="8" t="str">
        <f t="shared" si="4"/>
        <v/>
      </c>
      <c r="G155" s="6"/>
      <c r="H155" s="565"/>
      <c r="I155" s="28"/>
      <c r="J155" s="28"/>
      <c r="K155" s="28"/>
      <c r="L155" s="28"/>
      <c r="M155" s="28"/>
      <c r="N155" s="28"/>
      <c r="O155" s="28"/>
      <c r="P155" s="28"/>
      <c r="Q155" s="76"/>
      <c r="R155" s="28"/>
      <c r="S155" s="28"/>
      <c r="T155" s="28"/>
      <c r="U155" s="78"/>
      <c r="V155" s="76"/>
      <c r="W155" s="28"/>
      <c r="X155" s="78"/>
      <c r="Y155" s="76"/>
      <c r="Z155" s="28"/>
      <c r="AA155" s="28"/>
      <c r="AB155" s="28"/>
      <c r="AC155" s="78"/>
      <c r="AD155" s="28"/>
      <c r="AE155" s="28"/>
      <c r="AF155" s="28"/>
      <c r="AG155" s="28"/>
      <c r="AH155" s="78"/>
      <c r="AI155" s="76"/>
      <c r="AJ155" s="28"/>
      <c r="AK155" s="28"/>
      <c r="AL155" s="78"/>
      <c r="AM155" s="76"/>
      <c r="AN155" s="28"/>
      <c r="AO155" s="28"/>
      <c r="AP155" s="28"/>
      <c r="AQ155" s="78"/>
    </row>
    <row r="156" spans="2:44" ht="15" customHeight="1" x14ac:dyDescent="0.25">
      <c r="B156" s="68"/>
      <c r="C156" s="36"/>
      <c r="D156" s="36"/>
      <c r="E156" s="347" t="str">
        <f t="shared" si="5"/>
        <v/>
      </c>
      <c r="F156" s="8" t="str">
        <f t="shared" si="4"/>
        <v/>
      </c>
      <c r="G156" s="6"/>
      <c r="H156" s="566"/>
      <c r="I156" s="22"/>
      <c r="J156" s="22"/>
      <c r="K156" s="22"/>
      <c r="L156" s="22"/>
      <c r="M156" s="22"/>
      <c r="N156" s="22"/>
      <c r="O156" s="22"/>
      <c r="P156" s="22"/>
      <c r="Q156" s="76"/>
      <c r="R156" s="28"/>
      <c r="S156" s="28"/>
      <c r="T156" s="28"/>
      <c r="U156" s="78"/>
      <c r="V156" s="76"/>
      <c r="W156" s="28"/>
      <c r="X156" s="78"/>
      <c r="Y156" s="76"/>
      <c r="Z156" s="28"/>
      <c r="AA156" s="28"/>
      <c r="AB156" s="28"/>
      <c r="AC156" s="78"/>
      <c r="AD156" s="28"/>
      <c r="AE156" s="28"/>
      <c r="AF156" s="28"/>
      <c r="AG156" s="28"/>
      <c r="AH156" s="78"/>
      <c r="AI156" s="76"/>
      <c r="AJ156" s="28"/>
      <c r="AK156" s="28"/>
      <c r="AL156" s="78"/>
      <c r="AM156" s="76"/>
      <c r="AN156" s="28"/>
      <c r="AO156" s="28"/>
      <c r="AP156" s="28"/>
      <c r="AQ156" s="78"/>
    </row>
    <row r="157" spans="2:44" ht="15" customHeight="1" x14ac:dyDescent="0.25">
      <c r="B157" s="68"/>
      <c r="C157" s="36"/>
      <c r="D157" s="36"/>
      <c r="E157" s="347" t="str">
        <f t="shared" si="5"/>
        <v/>
      </c>
      <c r="F157" s="8" t="str">
        <f t="shared" si="4"/>
        <v/>
      </c>
      <c r="G157" s="6"/>
      <c r="H157" s="568"/>
      <c r="Q157" s="46"/>
      <c r="U157" s="3"/>
      <c r="V157" s="46"/>
      <c r="X157" s="3"/>
      <c r="Y157" s="46"/>
      <c r="AC157" s="3"/>
      <c r="AH157" s="3"/>
      <c r="AI157" s="46"/>
      <c r="AL157" s="3"/>
      <c r="AM157" s="46"/>
      <c r="AQ157" s="3"/>
    </row>
    <row r="158" spans="2:44" ht="15" customHeight="1" x14ac:dyDescent="0.25">
      <c r="B158" s="68"/>
      <c r="C158" s="36"/>
      <c r="D158" s="36"/>
      <c r="E158" s="347" t="str">
        <f t="shared" si="5"/>
        <v/>
      </c>
      <c r="F158" s="8" t="str">
        <f t="shared" si="4"/>
        <v/>
      </c>
      <c r="G158" s="6"/>
      <c r="H158" s="568"/>
      <c r="Q158" s="46"/>
      <c r="U158" s="3"/>
      <c r="V158" s="46"/>
      <c r="X158" s="3"/>
      <c r="Y158" s="46"/>
      <c r="AC158" s="3"/>
      <c r="AH158" s="3"/>
      <c r="AI158" s="46"/>
      <c r="AL158" s="3"/>
      <c r="AM158" s="46"/>
      <c r="AQ158" s="3"/>
      <c r="AR158" s="28"/>
    </row>
    <row r="159" spans="2:44" ht="15" customHeight="1" x14ac:dyDescent="0.25">
      <c r="B159" s="68"/>
      <c r="C159" s="36"/>
      <c r="D159" s="36"/>
      <c r="E159" s="347" t="str">
        <f t="shared" si="5"/>
        <v/>
      </c>
      <c r="F159" s="8" t="str">
        <f t="shared" si="4"/>
        <v/>
      </c>
      <c r="G159" s="6" t="str">
        <f t="shared" ref="G159" si="6">IF(H159&lt;&gt;"",1,"")</f>
        <v/>
      </c>
      <c r="H159" s="565"/>
      <c r="I159" s="28"/>
      <c r="J159" s="28"/>
      <c r="K159" s="28"/>
      <c r="L159" s="28"/>
      <c r="M159" s="28"/>
      <c r="N159" s="28"/>
      <c r="O159" s="28"/>
      <c r="P159" s="28"/>
      <c r="Q159" s="76"/>
      <c r="R159" s="28"/>
      <c r="S159" s="28"/>
      <c r="T159" s="28"/>
      <c r="U159" s="78"/>
      <c r="V159" s="76"/>
      <c r="W159" s="28"/>
      <c r="X159" s="78"/>
      <c r="Y159" s="76"/>
      <c r="Z159" s="28"/>
      <c r="AA159" s="28"/>
      <c r="AB159" s="28"/>
      <c r="AC159" s="78"/>
      <c r="AD159" s="28"/>
      <c r="AE159" s="28"/>
      <c r="AF159" s="28"/>
      <c r="AG159" s="28"/>
      <c r="AH159" s="78"/>
      <c r="AI159" s="76"/>
      <c r="AJ159" s="28"/>
      <c r="AK159" s="28"/>
      <c r="AL159" s="78"/>
      <c r="AM159" s="76"/>
      <c r="AN159" s="28"/>
      <c r="AO159" s="28"/>
      <c r="AP159" s="28"/>
      <c r="AQ159" s="78"/>
    </row>
    <row r="160" spans="2:44" ht="15" customHeight="1" x14ac:dyDescent="0.25">
      <c r="B160" s="68"/>
      <c r="C160" s="36"/>
      <c r="D160" s="36"/>
      <c r="E160" s="347" t="str">
        <f t="shared" si="5"/>
        <v/>
      </c>
      <c r="F160" s="8" t="str">
        <f t="shared" si="4"/>
        <v/>
      </c>
      <c r="G160" s="6"/>
      <c r="H160" s="566"/>
      <c r="I160" s="22"/>
      <c r="J160" s="22"/>
      <c r="K160" s="22"/>
      <c r="L160" s="22"/>
      <c r="M160" s="22"/>
      <c r="N160" s="22"/>
      <c r="O160" s="22"/>
      <c r="P160" s="22"/>
      <c r="Q160" s="76"/>
      <c r="R160" s="28"/>
      <c r="S160" s="28"/>
      <c r="T160" s="28"/>
      <c r="U160" s="78"/>
      <c r="V160" s="76"/>
      <c r="W160" s="28"/>
      <c r="X160" s="78"/>
      <c r="Y160" s="76"/>
      <c r="Z160" s="28"/>
      <c r="AA160" s="28"/>
      <c r="AB160" s="28"/>
      <c r="AC160" s="78"/>
      <c r="AD160" s="28"/>
      <c r="AE160" s="28"/>
      <c r="AF160" s="28"/>
      <c r="AG160" s="28"/>
      <c r="AH160" s="78"/>
      <c r="AI160" s="76"/>
      <c r="AJ160" s="28"/>
      <c r="AK160" s="28"/>
      <c r="AL160" s="78"/>
      <c r="AM160" s="76"/>
      <c r="AN160" s="28"/>
      <c r="AO160" s="28"/>
      <c r="AP160" s="28"/>
      <c r="AQ160" s="78"/>
    </row>
    <row r="161" spans="2:44" ht="15" customHeight="1" thickBot="1" x14ac:dyDescent="0.3">
      <c r="B161" s="69"/>
      <c r="C161" s="130"/>
      <c r="D161" s="130"/>
      <c r="E161" s="348" t="str">
        <f t="shared" si="5"/>
        <v/>
      </c>
      <c r="F161" s="9" t="str">
        <f t="shared" si="4"/>
        <v/>
      </c>
      <c r="G161" s="349"/>
      <c r="H161" s="569"/>
      <c r="I161" s="325"/>
      <c r="J161" s="325"/>
      <c r="K161" s="325"/>
      <c r="L161" s="325"/>
      <c r="M161" s="325"/>
      <c r="N161" s="325"/>
      <c r="O161" s="325"/>
      <c r="P161" s="325"/>
      <c r="Q161" s="62"/>
      <c r="R161" s="63"/>
      <c r="S161" s="63"/>
      <c r="T161" s="63"/>
      <c r="U161" s="64"/>
      <c r="V161" s="62"/>
      <c r="W161" s="63"/>
      <c r="X161" s="64"/>
      <c r="Y161" s="62"/>
      <c r="Z161" s="63"/>
      <c r="AA161" s="63"/>
      <c r="AB161" s="63"/>
      <c r="AC161" s="64"/>
      <c r="AD161" s="63"/>
      <c r="AE161" s="63"/>
      <c r="AF161" s="63"/>
      <c r="AG161" s="63"/>
      <c r="AH161" s="64"/>
      <c r="AI161" s="62"/>
      <c r="AJ161" s="63"/>
      <c r="AK161" s="63"/>
      <c r="AL161" s="64"/>
      <c r="AM161" s="62"/>
      <c r="AN161" s="63"/>
      <c r="AO161" s="63"/>
      <c r="AP161" s="63"/>
      <c r="AQ161" s="64"/>
    </row>
    <row r="162" spans="2:44" ht="15" customHeight="1" x14ac:dyDescent="0.25">
      <c r="B162" s="319"/>
      <c r="C162" s="319"/>
      <c r="D162" s="302"/>
      <c r="E162" s="302"/>
      <c r="F162" s="31"/>
      <c r="G162" s="31"/>
      <c r="H162" s="22"/>
      <c r="I162" s="22"/>
      <c r="J162" s="22"/>
      <c r="K162" s="22"/>
      <c r="L162" s="22"/>
      <c r="M162" s="22"/>
      <c r="N162" s="22"/>
      <c r="O162" s="22"/>
      <c r="P162" s="22"/>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row>
    <row r="163" spans="2:44" ht="15" customHeight="1" x14ac:dyDescent="0.25">
      <c r="B163" s="319"/>
      <c r="C163" s="319"/>
      <c r="D163" s="302"/>
      <c r="E163" s="302"/>
      <c r="F163" s="31"/>
      <c r="G163" s="31"/>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row>
    <row r="164" spans="2:44" ht="15" customHeight="1" x14ac:dyDescent="0.25">
      <c r="B164" s="319"/>
      <c r="C164" s="319"/>
      <c r="D164" s="302"/>
      <c r="E164" s="302"/>
      <c r="F164" s="31"/>
      <c r="G164" s="31"/>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row>
    <row r="165" spans="2:44" ht="15" customHeight="1" x14ac:dyDescent="0.25">
      <c r="B165" s="319"/>
      <c r="C165" s="319"/>
      <c r="D165" s="302"/>
      <c r="E165" s="302"/>
      <c r="F165" s="31"/>
      <c r="G165" s="31"/>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row>
    <row r="166" spans="2:44" ht="15.75" customHeight="1" x14ac:dyDescent="0.25">
      <c r="B166" s="319"/>
      <c r="C166" s="319"/>
      <c r="D166" s="302"/>
      <c r="E166" s="302"/>
      <c r="F166" s="31"/>
      <c r="G166" s="31"/>
      <c r="H166" s="22"/>
      <c r="I166" s="22"/>
      <c r="J166" s="22"/>
      <c r="K166" s="22"/>
      <c r="L166" s="22"/>
      <c r="M166" s="22"/>
      <c r="N166" s="22"/>
      <c r="O166" s="22"/>
      <c r="P166" s="22"/>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row>
    <row r="167" spans="2:44" ht="15.75" customHeight="1" x14ac:dyDescent="0.25">
      <c r="B167" s="319"/>
      <c r="C167" s="319"/>
      <c r="D167" s="302"/>
      <c r="E167" s="302"/>
      <c r="F167" s="31"/>
      <c r="G167" s="31"/>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row>
    <row r="168" spans="2:44" ht="15.75" customHeight="1" x14ac:dyDescent="0.25">
      <c r="B168" s="319"/>
      <c r="C168" s="319"/>
      <c r="D168" s="302"/>
      <c r="E168" s="302"/>
      <c r="F168" s="31"/>
      <c r="G168" s="31"/>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row>
    <row r="169" spans="2:44" ht="15" customHeight="1" x14ac:dyDescent="0.25">
      <c r="B169" s="319"/>
      <c r="C169" s="319"/>
      <c r="D169" s="302"/>
      <c r="E169" s="302"/>
      <c r="F169" s="31"/>
      <c r="G169" s="31"/>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row>
    <row r="170" spans="2:44" ht="15" customHeight="1" x14ac:dyDescent="0.25">
      <c r="B170" s="319"/>
      <c r="C170" s="319"/>
      <c r="D170" s="302"/>
      <c r="E170" s="302"/>
      <c r="F170" s="31"/>
      <c r="G170" s="31"/>
      <c r="H170" s="22"/>
      <c r="I170" s="22"/>
      <c r="J170" s="22"/>
      <c r="K170" s="22"/>
      <c r="L170" s="22"/>
      <c r="M170" s="22"/>
      <c r="N170" s="22"/>
      <c r="O170" s="22"/>
      <c r="P170" s="22"/>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row>
    <row r="171" spans="2:44" ht="15" customHeight="1" x14ac:dyDescent="0.25">
      <c r="B171" s="319"/>
      <c r="C171" s="319"/>
      <c r="D171" s="302"/>
      <c r="E171" s="302"/>
      <c r="F171" s="31"/>
      <c r="G171" s="31"/>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row>
    <row r="172" spans="2:44" ht="15" customHeight="1" x14ac:dyDescent="0.25">
      <c r="B172" s="319"/>
      <c r="C172" s="319"/>
      <c r="D172" s="302"/>
      <c r="E172" s="302"/>
      <c r="F172" s="31"/>
      <c r="G172" s="31"/>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row>
    <row r="173" spans="2:44" ht="15.75" customHeight="1" x14ac:dyDescent="0.25">
      <c r="B173" s="319"/>
      <c r="C173" s="319"/>
      <c r="D173" s="302"/>
      <c r="E173" s="302"/>
      <c r="F173" s="31"/>
      <c r="G173" s="31"/>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row>
    <row r="174" spans="2:44" ht="15.75" customHeight="1" x14ac:dyDescent="0.25">
      <c r="B174" s="319"/>
      <c r="C174" s="319"/>
      <c r="D174" s="302"/>
      <c r="E174" s="302"/>
      <c r="F174" s="31"/>
      <c r="G174" s="31"/>
      <c r="H174" s="22"/>
      <c r="I174" s="22"/>
      <c r="J174" s="22"/>
      <c r="K174" s="22"/>
      <c r="L174" s="22"/>
      <c r="M174" s="22"/>
      <c r="N174" s="22"/>
      <c r="O174" s="22"/>
      <c r="P174" s="22"/>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row>
    <row r="175" spans="2:44" ht="15.75" customHeight="1" x14ac:dyDescent="0.25">
      <c r="B175" s="319"/>
      <c r="C175" s="319"/>
      <c r="D175" s="302"/>
      <c r="E175" s="302"/>
      <c r="F175" s="31"/>
      <c r="G175" s="31"/>
      <c r="H175" s="22"/>
      <c r="I175" s="22"/>
      <c r="J175" s="22"/>
      <c r="K175" s="22"/>
      <c r="L175" s="22"/>
      <c r="M175" s="22"/>
      <c r="N175" s="22"/>
      <c r="O175" s="22"/>
      <c r="P175" s="22"/>
      <c r="AR175" s="28"/>
    </row>
    <row r="176" spans="2:44" ht="15" customHeight="1" x14ac:dyDescent="0.25">
      <c r="B176" s="319"/>
      <c r="C176" s="319"/>
      <c r="D176" s="302"/>
      <c r="E176" s="302"/>
      <c r="F176" s="31"/>
      <c r="G176" s="31"/>
      <c r="H176" s="303"/>
      <c r="I176" s="28"/>
      <c r="J176" s="299"/>
      <c r="K176" s="28"/>
      <c r="L176" s="28"/>
      <c r="M176" s="28"/>
      <c r="N176" s="28"/>
      <c r="O176" s="299"/>
      <c r="P176" s="299"/>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row>
    <row r="177" spans="2:44" ht="15" customHeight="1" x14ac:dyDescent="0.25">
      <c r="B177" s="319"/>
      <c r="C177" s="319"/>
      <c r="D177" s="302"/>
      <c r="E177" s="302"/>
      <c r="F177" s="31"/>
      <c r="G177" s="31"/>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row>
    <row r="178" spans="2:44" ht="15" customHeight="1" x14ac:dyDescent="0.25">
      <c r="B178" s="319"/>
      <c r="C178" s="319"/>
      <c r="D178" s="302"/>
      <c r="E178" s="302"/>
      <c r="F178" s="31"/>
      <c r="G178" s="31"/>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row>
    <row r="179" spans="2:44" ht="15" customHeight="1" x14ac:dyDescent="0.25">
      <c r="B179" s="319"/>
      <c r="C179" s="319"/>
      <c r="D179" s="302"/>
      <c r="E179" s="302"/>
      <c r="F179" s="31"/>
      <c r="G179" s="31"/>
      <c r="H179" s="22"/>
      <c r="I179" s="22"/>
      <c r="J179" s="22"/>
      <c r="K179" s="22"/>
      <c r="L179" s="22"/>
      <c r="M179" s="22"/>
      <c r="N179" s="22"/>
      <c r="O179" s="22"/>
      <c r="P179" s="22"/>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row>
    <row r="180" spans="2:44" ht="15" customHeight="1" x14ac:dyDescent="0.25">
      <c r="B180" s="319"/>
      <c r="C180" s="319"/>
      <c r="D180" s="302"/>
      <c r="E180" s="302"/>
      <c r="F180" s="31"/>
      <c r="G180" s="31"/>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row>
    <row r="181" spans="2:44" ht="15" customHeight="1" x14ac:dyDescent="0.25">
      <c r="B181" s="319"/>
      <c r="C181" s="319"/>
      <c r="D181" s="302"/>
      <c r="E181" s="302"/>
      <c r="F181" s="31"/>
      <c r="G181" s="31"/>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row>
    <row r="182" spans="2:44" ht="15" customHeight="1" x14ac:dyDescent="0.25">
      <c r="B182" s="319"/>
      <c r="C182" s="319"/>
      <c r="D182" s="302"/>
      <c r="E182" s="302"/>
      <c r="F182" s="31"/>
      <c r="G182" s="31"/>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row>
    <row r="183" spans="2:44" ht="15" customHeight="1" x14ac:dyDescent="0.25">
      <c r="B183" s="319"/>
      <c r="C183" s="319"/>
      <c r="D183" s="302"/>
      <c r="E183" s="302"/>
      <c r="F183" s="31"/>
      <c r="G183" s="31"/>
      <c r="H183" s="22"/>
      <c r="I183" s="22"/>
      <c r="J183" s="22"/>
      <c r="K183" s="22"/>
      <c r="L183" s="22"/>
      <c r="M183" s="22"/>
      <c r="N183" s="22"/>
      <c r="O183" s="22"/>
      <c r="P183" s="22"/>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row>
    <row r="184" spans="2:44" ht="15" customHeight="1" x14ac:dyDescent="0.25">
      <c r="B184" s="319"/>
      <c r="C184" s="319"/>
      <c r="D184" s="302"/>
      <c r="E184" s="302"/>
      <c r="F184" s="31"/>
      <c r="G184" s="31"/>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row>
    <row r="185" spans="2:44" ht="15" customHeight="1" x14ac:dyDescent="0.25">
      <c r="B185" s="319"/>
      <c r="C185" s="319"/>
      <c r="D185" s="302"/>
      <c r="E185" s="302"/>
      <c r="F185" s="31"/>
      <c r="G185" s="31"/>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row>
    <row r="186" spans="2:44" ht="15" customHeight="1" x14ac:dyDescent="0.25">
      <c r="B186" s="319"/>
      <c r="C186" s="319"/>
      <c r="D186" s="302"/>
      <c r="E186" s="302"/>
      <c r="F186" s="31"/>
      <c r="G186" s="31"/>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row>
    <row r="187" spans="2:44" ht="15" customHeight="1" x14ac:dyDescent="0.25">
      <c r="B187" s="319"/>
      <c r="C187" s="319"/>
      <c r="D187" s="302"/>
      <c r="E187" s="302"/>
      <c r="F187" s="31"/>
      <c r="G187" s="31"/>
      <c r="H187" s="22"/>
      <c r="I187" s="22"/>
      <c r="J187" s="22"/>
      <c r="K187" s="22"/>
      <c r="L187" s="22"/>
      <c r="M187" s="22"/>
      <c r="N187" s="22"/>
      <c r="O187" s="22"/>
      <c r="P187" s="22"/>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row>
    <row r="188" spans="2:44" ht="15" customHeight="1" x14ac:dyDescent="0.25">
      <c r="B188" s="319"/>
      <c r="C188" s="319"/>
      <c r="D188" s="302"/>
      <c r="E188" s="302"/>
      <c r="F188" s="31"/>
      <c r="G188" s="31"/>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row>
    <row r="189" spans="2:44" ht="15" customHeight="1" x14ac:dyDescent="0.25">
      <c r="B189" s="319"/>
      <c r="C189" s="319"/>
      <c r="D189" s="302"/>
      <c r="E189" s="302"/>
      <c r="F189" s="31"/>
      <c r="G189" s="31"/>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row>
    <row r="190" spans="2:44" ht="15.75" customHeight="1" x14ac:dyDescent="0.25">
      <c r="B190" s="319"/>
      <c r="C190" s="319"/>
      <c r="D190" s="302"/>
      <c r="E190" s="302"/>
      <c r="F190" s="31"/>
      <c r="G190" s="31"/>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row>
    <row r="191" spans="2:44" ht="15.75" customHeight="1" x14ac:dyDescent="0.25">
      <c r="B191" s="319"/>
      <c r="C191" s="319"/>
      <c r="D191" s="302"/>
      <c r="E191" s="302"/>
      <c r="F191" s="31"/>
      <c r="G191" s="31"/>
      <c r="H191" s="22"/>
      <c r="I191" s="22"/>
      <c r="J191" s="22"/>
      <c r="K191" s="22"/>
      <c r="L191" s="22"/>
      <c r="M191" s="22"/>
      <c r="N191" s="22"/>
      <c r="O191" s="22"/>
      <c r="P191" s="22"/>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row>
    <row r="192" spans="2:44" ht="15.75" customHeight="1" x14ac:dyDescent="0.25">
      <c r="B192" s="319"/>
      <c r="C192" s="319"/>
      <c r="D192" s="302"/>
      <c r="E192" s="302"/>
      <c r="F192" s="31"/>
      <c r="G192" s="31"/>
      <c r="H192" s="22"/>
      <c r="I192" s="22"/>
      <c r="J192" s="22"/>
      <c r="K192" s="22"/>
      <c r="L192" s="22"/>
      <c r="M192" s="22"/>
      <c r="N192" s="22"/>
      <c r="O192" s="22"/>
      <c r="P192" s="22"/>
      <c r="AR192" s="28"/>
    </row>
    <row r="193" spans="2:43" ht="15" customHeight="1" x14ac:dyDescent="0.25">
      <c r="B193" s="319"/>
      <c r="C193" s="319"/>
      <c r="D193" s="302"/>
      <c r="E193" s="302"/>
      <c r="F193" s="31"/>
      <c r="G193" s="31"/>
      <c r="H193" s="303"/>
      <c r="I193" s="28"/>
      <c r="J193" s="299"/>
      <c r="K193" s="28"/>
      <c r="L193" s="28"/>
      <c r="M193" s="28"/>
      <c r="N193" s="28"/>
      <c r="O193" s="299"/>
      <c r="P193" s="299"/>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row>
    <row r="194" spans="2:43" ht="15" customHeight="1" x14ac:dyDescent="0.25">
      <c r="B194" s="319"/>
      <c r="C194" s="319"/>
      <c r="D194" s="302"/>
      <c r="E194" s="302"/>
      <c r="F194" s="31"/>
      <c r="G194" s="31"/>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row>
    <row r="195" spans="2:43" ht="15" customHeight="1" x14ac:dyDescent="0.25">
      <c r="B195" s="319"/>
      <c r="C195" s="319"/>
      <c r="D195" s="302"/>
      <c r="E195" s="302"/>
      <c r="F195" s="31"/>
      <c r="G195" s="31"/>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row>
    <row r="196" spans="2:43" ht="15" customHeight="1" x14ac:dyDescent="0.25">
      <c r="B196" s="319"/>
      <c r="C196" s="319"/>
      <c r="D196" s="302"/>
      <c r="E196" s="302"/>
      <c r="F196" s="31"/>
      <c r="G196" s="31"/>
      <c r="H196" s="22"/>
      <c r="I196" s="22"/>
      <c r="J196" s="22"/>
      <c r="K196" s="22"/>
      <c r="L196" s="22"/>
      <c r="M196" s="22"/>
      <c r="N196" s="22"/>
      <c r="O196" s="22"/>
      <c r="P196" s="22"/>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row>
    <row r="197" spans="2:43" ht="15" customHeight="1" x14ac:dyDescent="0.25">
      <c r="B197" s="319"/>
      <c r="C197" s="319"/>
      <c r="D197" s="302"/>
      <c r="E197" s="302"/>
      <c r="F197" s="31"/>
      <c r="G197" s="31"/>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row>
    <row r="198" spans="2:43" ht="15" customHeight="1" x14ac:dyDescent="0.25">
      <c r="B198" s="319"/>
      <c r="C198" s="319"/>
      <c r="D198" s="302"/>
      <c r="E198" s="302"/>
      <c r="F198" s="31"/>
      <c r="G198" s="31"/>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row>
    <row r="199" spans="2:43" ht="15" customHeight="1" x14ac:dyDescent="0.25">
      <c r="B199" s="319"/>
      <c r="C199" s="319"/>
      <c r="D199" s="302"/>
      <c r="E199" s="302"/>
      <c r="F199" s="31"/>
      <c r="G199" s="31"/>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row>
    <row r="200" spans="2:43" ht="15" customHeight="1" x14ac:dyDescent="0.25">
      <c r="B200" s="319"/>
      <c r="C200" s="319"/>
      <c r="D200" s="302"/>
      <c r="E200" s="302"/>
      <c r="F200" s="31"/>
      <c r="G200" s="31"/>
      <c r="H200" s="22"/>
      <c r="I200" s="22"/>
      <c r="J200" s="22"/>
      <c r="K200" s="22"/>
      <c r="L200" s="22"/>
      <c r="M200" s="22"/>
      <c r="N200" s="22"/>
      <c r="O200" s="22"/>
      <c r="P200" s="22"/>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row>
    <row r="201" spans="2:43" ht="15" customHeight="1" x14ac:dyDescent="0.25">
      <c r="B201" s="319"/>
      <c r="C201" s="319"/>
      <c r="D201" s="302"/>
      <c r="E201" s="302"/>
      <c r="F201" s="31"/>
      <c r="G201" s="31"/>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row>
    <row r="202" spans="2:43" ht="15" customHeight="1" x14ac:dyDescent="0.25">
      <c r="B202" s="319"/>
      <c r="C202" s="319"/>
      <c r="D202" s="302"/>
      <c r="E202" s="302"/>
      <c r="F202" s="31"/>
      <c r="G202" s="31"/>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row>
    <row r="203" spans="2:43" ht="15" customHeight="1" x14ac:dyDescent="0.25">
      <c r="B203" s="319"/>
      <c r="C203" s="319"/>
      <c r="D203" s="302"/>
      <c r="E203" s="302"/>
      <c r="F203" s="31"/>
      <c r="G203" s="31"/>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row>
    <row r="204" spans="2:43" ht="15" customHeight="1" x14ac:dyDescent="0.25">
      <c r="B204" s="319"/>
      <c r="C204" s="319"/>
      <c r="D204" s="302"/>
      <c r="E204" s="302"/>
      <c r="F204" s="31"/>
      <c r="G204" s="31"/>
      <c r="H204" s="22"/>
      <c r="I204" s="22"/>
      <c r="J204" s="22"/>
      <c r="K204" s="22"/>
      <c r="L204" s="22"/>
      <c r="M204" s="22"/>
      <c r="N204" s="22"/>
      <c r="O204" s="22"/>
      <c r="P204" s="22"/>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row>
    <row r="205" spans="2:43" ht="15" customHeight="1" x14ac:dyDescent="0.25">
      <c r="B205" s="319"/>
      <c r="C205" s="319"/>
      <c r="D205" s="302"/>
      <c r="E205" s="302"/>
      <c r="F205" s="31"/>
      <c r="G205" s="31"/>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row>
    <row r="206" spans="2:43" ht="15" customHeight="1" x14ac:dyDescent="0.25">
      <c r="B206" s="319"/>
      <c r="C206" s="319"/>
      <c r="D206" s="302"/>
      <c r="E206" s="302"/>
      <c r="F206" s="31"/>
      <c r="G206" s="31"/>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row>
    <row r="207" spans="2:43" ht="15.75" customHeight="1" x14ac:dyDescent="0.25">
      <c r="B207" s="319"/>
      <c r="C207" s="319"/>
      <c r="D207" s="302"/>
      <c r="E207" s="302"/>
      <c r="F207" s="31"/>
      <c r="G207" s="31"/>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row>
    <row r="208" spans="2:43" ht="15.75" customHeight="1" x14ac:dyDescent="0.25">
      <c r="B208" s="319"/>
      <c r="C208" s="319"/>
      <c r="D208" s="302"/>
      <c r="E208" s="302"/>
      <c r="F208" s="31"/>
      <c r="G208" s="31"/>
      <c r="H208" s="22"/>
      <c r="I208" s="22"/>
      <c r="J208" s="22"/>
      <c r="K208" s="22"/>
      <c r="L208" s="22"/>
      <c r="M208" s="22"/>
      <c r="N208" s="22"/>
      <c r="O208" s="22"/>
      <c r="P208" s="22"/>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row>
    <row r="209" spans="2:44" ht="15.75" customHeight="1" x14ac:dyDescent="0.25">
      <c r="B209" s="319"/>
      <c r="C209" s="319"/>
      <c r="D209" s="302"/>
      <c r="E209" s="302"/>
      <c r="F209" s="31"/>
      <c r="G209" s="31"/>
      <c r="H209" s="22"/>
      <c r="I209" s="22"/>
      <c r="J209" s="22"/>
      <c r="K209" s="22"/>
      <c r="L209" s="22"/>
      <c r="M209" s="22"/>
      <c r="N209" s="22"/>
      <c r="O209" s="22"/>
      <c r="P209" s="22"/>
      <c r="AR209" s="28"/>
    </row>
    <row r="210" spans="2:44" ht="15" customHeight="1" x14ac:dyDescent="0.25">
      <c r="B210" s="302"/>
      <c r="C210" s="302"/>
      <c r="D210" s="302"/>
      <c r="E210" s="302"/>
      <c r="F210" s="31"/>
      <c r="G210" s="31"/>
      <c r="H210" s="303"/>
      <c r="I210" s="28"/>
      <c r="J210" s="299"/>
      <c r="K210" s="28"/>
      <c r="L210" s="28"/>
      <c r="M210" s="28"/>
      <c r="N210" s="28"/>
      <c r="O210" s="299"/>
      <c r="P210" s="299"/>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row>
    <row r="211" spans="2:44" ht="15" customHeight="1" x14ac:dyDescent="0.25">
      <c r="B211" s="302"/>
      <c r="C211" s="302"/>
      <c r="D211" s="302"/>
      <c r="E211" s="302"/>
      <c r="F211" s="31"/>
      <c r="G211" s="31"/>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row>
    <row r="212" spans="2:44" ht="15" customHeight="1" x14ac:dyDescent="0.25">
      <c r="B212" s="302"/>
      <c r="C212" s="302"/>
      <c r="D212" s="302"/>
      <c r="E212" s="302"/>
      <c r="F212" s="31"/>
      <c r="G212" s="31"/>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row>
    <row r="213" spans="2:44" ht="15" customHeight="1" x14ac:dyDescent="0.25">
      <c r="B213" s="302"/>
      <c r="C213" s="302"/>
      <c r="D213" s="302"/>
      <c r="E213" s="302"/>
      <c r="F213" s="31"/>
      <c r="G213" s="31"/>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row>
    <row r="214" spans="2:44" ht="15" customHeight="1" x14ac:dyDescent="0.25">
      <c r="B214" s="302"/>
      <c r="C214" s="302"/>
      <c r="D214" s="302"/>
      <c r="E214" s="302"/>
      <c r="F214" s="31"/>
      <c r="G214" s="31"/>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row>
    <row r="215" spans="2:44" ht="15" customHeight="1" x14ac:dyDescent="0.25">
      <c r="B215" s="302"/>
      <c r="C215" s="302"/>
      <c r="D215" s="302"/>
      <c r="E215" s="302"/>
      <c r="F215" s="31"/>
      <c r="G215" s="31"/>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row>
    <row r="216" spans="2:44" ht="15" customHeight="1" x14ac:dyDescent="0.25">
      <c r="B216" s="302"/>
      <c r="C216" s="302"/>
      <c r="D216" s="302"/>
      <c r="E216" s="302"/>
      <c r="F216" s="31"/>
      <c r="G216" s="31"/>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row>
    <row r="217" spans="2:44" ht="15" customHeight="1" x14ac:dyDescent="0.25">
      <c r="B217" s="302"/>
      <c r="C217" s="302"/>
      <c r="D217" s="302"/>
      <c r="E217" s="302"/>
      <c r="F217" s="31"/>
      <c r="G217" s="31"/>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row>
    <row r="218" spans="2:44" ht="15" customHeight="1" x14ac:dyDescent="0.25">
      <c r="B218" s="302"/>
      <c r="C218" s="302"/>
      <c r="D218" s="302"/>
      <c r="E218" s="302"/>
      <c r="F218" s="31"/>
      <c r="G218" s="31"/>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row>
    <row r="219" spans="2:44" ht="15" customHeight="1" x14ac:dyDescent="0.25">
      <c r="B219" s="302"/>
      <c r="C219" s="302"/>
      <c r="D219" s="302"/>
      <c r="E219" s="302"/>
      <c r="F219" s="31"/>
      <c r="G219" s="31"/>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row>
    <row r="220" spans="2:44" ht="15" customHeight="1" x14ac:dyDescent="0.25">
      <c r="B220" s="302"/>
      <c r="C220" s="302"/>
      <c r="D220" s="302"/>
      <c r="E220" s="302"/>
      <c r="F220" s="31"/>
      <c r="G220" s="31"/>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row>
    <row r="221" spans="2:44" ht="15" customHeight="1" x14ac:dyDescent="0.25">
      <c r="B221" s="302"/>
      <c r="C221" s="302"/>
      <c r="D221" s="302"/>
      <c r="E221" s="302"/>
      <c r="F221" s="31"/>
      <c r="G221" s="31"/>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row>
    <row r="222" spans="2:44" ht="15" customHeight="1" x14ac:dyDescent="0.25">
      <c r="B222" s="302"/>
      <c r="C222" s="302"/>
      <c r="D222" s="302"/>
      <c r="E222" s="302"/>
      <c r="F222" s="31"/>
      <c r="G222" s="31"/>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row>
    <row r="223" spans="2:44" ht="15" customHeight="1" x14ac:dyDescent="0.25">
      <c r="B223" s="302"/>
      <c r="C223" s="302"/>
      <c r="D223" s="302"/>
      <c r="E223" s="302"/>
      <c r="F223" s="31"/>
      <c r="G223" s="31"/>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row>
    <row r="224" spans="2:44" ht="15.75" customHeight="1" x14ac:dyDescent="0.25">
      <c r="B224" s="302"/>
      <c r="C224" s="302"/>
      <c r="D224" s="302"/>
      <c r="E224" s="302"/>
      <c r="F224" s="31"/>
      <c r="G224" s="31"/>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row>
    <row r="225" spans="2:44" ht="15.75" customHeight="1" x14ac:dyDescent="0.25">
      <c r="B225" s="302"/>
      <c r="C225" s="302"/>
      <c r="D225" s="302"/>
      <c r="E225" s="302"/>
      <c r="F225" s="31"/>
      <c r="G225" s="31"/>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row>
    <row r="226" spans="2:44" ht="15.75" customHeight="1" x14ac:dyDescent="0.25">
      <c r="B226" s="302"/>
      <c r="C226" s="302"/>
      <c r="D226" s="302"/>
      <c r="E226" s="302"/>
      <c r="F226" s="31"/>
      <c r="G226" s="31"/>
      <c r="H226" s="22"/>
      <c r="I226" s="22"/>
      <c r="J226" s="22"/>
      <c r="K226" s="22"/>
      <c r="L226" s="22"/>
      <c r="M226" s="22"/>
      <c r="N226" s="22"/>
      <c r="O226" s="22"/>
      <c r="P226" s="22"/>
      <c r="AR226" s="28"/>
    </row>
    <row r="227" spans="2:44" ht="15" customHeight="1" x14ac:dyDescent="0.25">
      <c r="B227" s="302"/>
      <c r="C227" s="302"/>
      <c r="D227" s="302"/>
      <c r="E227" s="302"/>
      <c r="F227" s="31"/>
      <c r="G227" s="31"/>
      <c r="H227" s="303"/>
      <c r="I227" s="28"/>
      <c r="J227" s="299"/>
      <c r="K227" s="28"/>
      <c r="L227" s="28"/>
      <c r="M227" s="28"/>
      <c r="N227" s="28"/>
      <c r="O227" s="299"/>
      <c r="P227" s="299"/>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row>
    <row r="228" spans="2:44" ht="15" customHeight="1" x14ac:dyDescent="0.25">
      <c r="B228" s="302"/>
      <c r="C228" s="302"/>
      <c r="D228" s="302"/>
      <c r="E228" s="302"/>
      <c r="F228" s="31"/>
      <c r="G228" s="31"/>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row>
    <row r="229" spans="2:44" ht="15" customHeight="1" x14ac:dyDescent="0.25">
      <c r="B229" s="302"/>
      <c r="C229" s="302"/>
      <c r="D229" s="302"/>
      <c r="E229" s="302"/>
      <c r="F229" s="31"/>
      <c r="G229" s="31"/>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row>
    <row r="230" spans="2:44" ht="15" customHeight="1" x14ac:dyDescent="0.25">
      <c r="B230" s="302"/>
      <c r="C230" s="302"/>
      <c r="D230" s="302"/>
      <c r="E230" s="302"/>
      <c r="F230" s="31"/>
      <c r="G230" s="31"/>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row>
    <row r="231" spans="2:44" ht="15" customHeight="1" x14ac:dyDescent="0.25">
      <c r="B231" s="302"/>
      <c r="C231" s="302"/>
      <c r="D231" s="302"/>
      <c r="E231" s="302"/>
      <c r="F231" s="31"/>
      <c r="G231" s="31"/>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row>
    <row r="232" spans="2:44" ht="15" customHeight="1" x14ac:dyDescent="0.25">
      <c r="B232" s="302"/>
      <c r="C232" s="302"/>
      <c r="D232" s="302"/>
      <c r="E232" s="302"/>
      <c r="F232" s="31"/>
      <c r="G232" s="31"/>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row>
    <row r="233" spans="2:44" ht="15" customHeight="1" x14ac:dyDescent="0.25">
      <c r="B233" s="302"/>
      <c r="C233" s="302"/>
      <c r="D233" s="302"/>
      <c r="E233" s="302"/>
      <c r="F233" s="31"/>
      <c r="G233" s="31"/>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row>
    <row r="234" spans="2:44" ht="15" customHeight="1" x14ac:dyDescent="0.25">
      <c r="B234" s="302"/>
      <c r="C234" s="302"/>
      <c r="D234" s="302"/>
      <c r="E234" s="302"/>
      <c r="F234" s="31"/>
      <c r="G234" s="31"/>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row>
    <row r="235" spans="2:44" ht="15" customHeight="1" x14ac:dyDescent="0.25">
      <c r="B235" s="302"/>
      <c r="C235" s="302"/>
      <c r="D235" s="302"/>
      <c r="E235" s="302"/>
      <c r="F235" s="31"/>
      <c r="G235" s="31"/>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row>
    <row r="236" spans="2:44" ht="15" customHeight="1" x14ac:dyDescent="0.25">
      <c r="B236" s="302"/>
      <c r="C236" s="302"/>
      <c r="D236" s="302"/>
      <c r="E236" s="302"/>
      <c r="F236" s="31"/>
      <c r="G236" s="31"/>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row>
    <row r="237" spans="2:44" ht="15" customHeight="1" x14ac:dyDescent="0.25">
      <c r="B237" s="302"/>
      <c r="C237" s="302"/>
      <c r="D237" s="302"/>
      <c r="E237" s="302"/>
      <c r="F237" s="31"/>
      <c r="G237" s="31"/>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row>
    <row r="238" spans="2:44" ht="15" customHeight="1" x14ac:dyDescent="0.25">
      <c r="B238" s="302"/>
      <c r="C238" s="302"/>
      <c r="D238" s="302"/>
      <c r="E238" s="302"/>
      <c r="F238" s="31"/>
      <c r="G238" s="31"/>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row>
    <row r="239" spans="2:44" ht="15" customHeight="1" x14ac:dyDescent="0.25">
      <c r="B239" s="302"/>
      <c r="C239" s="302"/>
      <c r="D239" s="302"/>
      <c r="E239" s="302"/>
      <c r="F239" s="31"/>
      <c r="G239" s="31"/>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row>
    <row r="240" spans="2:44" ht="15" customHeight="1" x14ac:dyDescent="0.25">
      <c r="B240" s="302"/>
      <c r="C240" s="302"/>
      <c r="D240" s="302"/>
      <c r="E240" s="302"/>
      <c r="F240" s="31"/>
      <c r="G240" s="31"/>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row>
    <row r="241" spans="2:44" ht="15.75" customHeight="1" x14ac:dyDescent="0.25">
      <c r="B241" s="302"/>
      <c r="C241" s="302"/>
      <c r="D241" s="302"/>
      <c r="E241" s="302"/>
      <c r="F241" s="31"/>
      <c r="G241" s="31"/>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row>
    <row r="242" spans="2:44" ht="15.75" customHeight="1" x14ac:dyDescent="0.25">
      <c r="B242" s="302"/>
      <c r="C242" s="302"/>
      <c r="D242" s="302"/>
      <c r="E242" s="302"/>
      <c r="F242" s="31"/>
      <c r="G242" s="31"/>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row>
    <row r="243" spans="2:44" ht="15.75" customHeight="1" x14ac:dyDescent="0.25">
      <c r="B243" s="302"/>
      <c r="C243" s="302"/>
      <c r="D243" s="302"/>
      <c r="E243" s="302"/>
      <c r="F243" s="31"/>
      <c r="G243" s="31"/>
      <c r="H243" s="22"/>
      <c r="I243" s="22"/>
      <c r="J243" s="22"/>
      <c r="K243" s="22"/>
      <c r="L243" s="22"/>
      <c r="M243" s="22"/>
      <c r="N243" s="22"/>
      <c r="O243" s="22"/>
      <c r="P243" s="22"/>
      <c r="AR243" s="28"/>
    </row>
    <row r="244" spans="2:44" ht="15" customHeight="1" x14ac:dyDescent="0.25">
      <c r="B244" s="302"/>
      <c r="C244" s="302"/>
      <c r="D244" s="302"/>
      <c r="E244" s="302"/>
      <c r="F244" s="31"/>
      <c r="G244" s="31"/>
      <c r="H244" s="303"/>
      <c r="I244" s="28"/>
      <c r="J244" s="299"/>
      <c r="K244" s="28"/>
      <c r="L244" s="28"/>
      <c r="M244" s="28"/>
      <c r="N244" s="28"/>
      <c r="O244" s="299"/>
      <c r="P244" s="299"/>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row>
    <row r="245" spans="2:44" ht="15" customHeight="1" x14ac:dyDescent="0.25">
      <c r="B245" s="302"/>
      <c r="C245" s="302"/>
      <c r="D245" s="302"/>
      <c r="E245" s="302"/>
      <c r="F245" s="31"/>
      <c r="G245" s="31"/>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row>
    <row r="246" spans="2:44" ht="15" customHeight="1" x14ac:dyDescent="0.25">
      <c r="B246" s="302"/>
      <c r="C246" s="302"/>
      <c r="D246" s="302"/>
      <c r="E246" s="302"/>
      <c r="F246" s="31"/>
      <c r="G246" s="31"/>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row>
    <row r="247" spans="2:44" ht="15" customHeight="1" x14ac:dyDescent="0.25">
      <c r="B247" s="302"/>
      <c r="C247" s="302"/>
      <c r="D247" s="302"/>
      <c r="E247" s="302"/>
      <c r="F247" s="31"/>
      <c r="G247" s="31"/>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row>
    <row r="248" spans="2:44" ht="15" customHeight="1" x14ac:dyDescent="0.25">
      <c r="B248" s="302"/>
      <c r="C248" s="302"/>
      <c r="D248" s="302"/>
      <c r="E248" s="302"/>
      <c r="F248" s="31"/>
      <c r="G248" s="31"/>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row>
    <row r="249" spans="2:44" ht="15" customHeight="1" x14ac:dyDescent="0.25">
      <c r="B249" s="302"/>
      <c r="C249" s="302"/>
      <c r="D249" s="302"/>
      <c r="E249" s="302"/>
      <c r="F249" s="31"/>
      <c r="G249" s="31"/>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row>
    <row r="250" spans="2:44" ht="15" customHeight="1" x14ac:dyDescent="0.25">
      <c r="B250" s="302"/>
      <c r="C250" s="302"/>
      <c r="D250" s="302"/>
      <c r="E250" s="302"/>
      <c r="F250" s="31"/>
      <c r="G250" s="31"/>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row>
    <row r="251" spans="2:44" ht="15" customHeight="1" x14ac:dyDescent="0.25">
      <c r="B251" s="302"/>
      <c r="C251" s="302"/>
      <c r="D251" s="302"/>
      <c r="E251" s="302"/>
      <c r="F251" s="31"/>
      <c r="G251" s="31"/>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row>
    <row r="252" spans="2:44" ht="15" customHeight="1" x14ac:dyDescent="0.25">
      <c r="B252" s="302"/>
      <c r="C252" s="302"/>
      <c r="D252" s="302"/>
      <c r="E252" s="302"/>
      <c r="F252" s="31"/>
      <c r="G252" s="31"/>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row>
    <row r="253" spans="2:44" ht="15" customHeight="1" x14ac:dyDescent="0.25">
      <c r="B253" s="302"/>
      <c r="C253" s="302"/>
      <c r="D253" s="302"/>
      <c r="E253" s="302"/>
      <c r="F253" s="31"/>
      <c r="G253" s="31"/>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row>
    <row r="254" spans="2:44" ht="15" customHeight="1" x14ac:dyDescent="0.25">
      <c r="B254" s="302"/>
      <c r="C254" s="302"/>
      <c r="D254" s="302"/>
      <c r="E254" s="302"/>
      <c r="F254" s="31"/>
      <c r="G254" s="31"/>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row>
    <row r="255" spans="2:44" ht="15" customHeight="1" x14ac:dyDescent="0.25">
      <c r="B255" s="302"/>
      <c r="C255" s="302"/>
      <c r="D255" s="302"/>
      <c r="E255" s="302"/>
      <c r="F255" s="31"/>
      <c r="G255" s="31"/>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row>
    <row r="256" spans="2:44" ht="15" customHeight="1" x14ac:dyDescent="0.25">
      <c r="B256" s="302"/>
      <c r="C256" s="302"/>
      <c r="D256" s="302"/>
      <c r="E256" s="302"/>
      <c r="F256" s="31"/>
      <c r="G256" s="31"/>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row>
    <row r="257" spans="2:44" ht="15" customHeight="1" x14ac:dyDescent="0.25">
      <c r="B257" s="302"/>
      <c r="C257" s="302"/>
      <c r="D257" s="302"/>
      <c r="E257" s="302"/>
      <c r="F257" s="31"/>
      <c r="G257" s="31"/>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row>
    <row r="258" spans="2:44" ht="15.75" customHeight="1" x14ac:dyDescent="0.25">
      <c r="B258" s="302"/>
      <c r="C258" s="302"/>
      <c r="D258" s="302"/>
      <c r="E258" s="302"/>
      <c r="F258" s="31"/>
      <c r="G258" s="31"/>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row>
    <row r="259" spans="2:44" ht="15.75" customHeight="1" x14ac:dyDescent="0.25">
      <c r="B259" s="302"/>
      <c r="C259" s="302"/>
      <c r="D259" s="302"/>
      <c r="E259" s="302"/>
      <c r="F259" s="31"/>
      <c r="G259" s="31"/>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row>
    <row r="260" spans="2:44" ht="15.75" customHeight="1" x14ac:dyDescent="0.25">
      <c r="B260" s="302"/>
      <c r="C260" s="302"/>
      <c r="D260" s="302"/>
      <c r="E260" s="302"/>
      <c r="F260" s="31"/>
      <c r="G260" s="31"/>
      <c r="H260" s="22"/>
      <c r="I260" s="22"/>
      <c r="J260" s="22"/>
      <c r="K260" s="22"/>
      <c r="L260" s="22"/>
      <c r="M260" s="22"/>
      <c r="N260" s="22"/>
      <c r="O260" s="22"/>
      <c r="P260" s="22"/>
      <c r="AR260" s="28"/>
    </row>
    <row r="261" spans="2:44" ht="15" customHeight="1" x14ac:dyDescent="0.25">
      <c r="B261" s="302"/>
      <c r="C261" s="302"/>
      <c r="D261" s="302"/>
      <c r="E261" s="302"/>
      <c r="F261" s="31"/>
      <c r="G261" s="31"/>
      <c r="H261" s="303"/>
      <c r="I261" s="28"/>
      <c r="J261" s="299"/>
      <c r="K261" s="28"/>
      <c r="L261" s="28"/>
      <c r="M261" s="28"/>
      <c r="N261" s="28"/>
      <c r="O261" s="299"/>
      <c r="P261" s="299"/>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row>
    <row r="262" spans="2:44" ht="15" customHeight="1" x14ac:dyDescent="0.25">
      <c r="B262" s="302"/>
      <c r="C262" s="302"/>
      <c r="D262" s="302"/>
      <c r="E262" s="302"/>
      <c r="F262" s="31"/>
      <c r="G262" s="31"/>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row>
    <row r="263" spans="2:44" ht="15" customHeight="1" x14ac:dyDescent="0.25">
      <c r="B263" s="302"/>
      <c r="C263" s="302"/>
      <c r="D263" s="302"/>
      <c r="E263" s="302"/>
      <c r="F263" s="31"/>
      <c r="G263" s="31"/>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row>
    <row r="264" spans="2:44" ht="15" customHeight="1" x14ac:dyDescent="0.25">
      <c r="B264" s="302"/>
      <c r="C264" s="302"/>
      <c r="D264" s="302"/>
      <c r="E264" s="302"/>
      <c r="F264" s="31"/>
      <c r="G264" s="31"/>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row>
    <row r="265" spans="2:44" ht="15" customHeight="1" x14ac:dyDescent="0.25">
      <c r="B265" s="302"/>
      <c r="C265" s="302"/>
      <c r="D265" s="302"/>
      <c r="E265" s="302"/>
      <c r="F265" s="31"/>
      <c r="G265" s="31"/>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row>
    <row r="266" spans="2:44" ht="15" customHeight="1" x14ac:dyDescent="0.25">
      <c r="B266" s="302"/>
      <c r="C266" s="302"/>
      <c r="D266" s="302"/>
      <c r="E266" s="302"/>
      <c r="F266" s="31"/>
      <c r="G266" s="31"/>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row>
    <row r="267" spans="2:44" ht="15" customHeight="1" x14ac:dyDescent="0.25">
      <c r="B267" s="302"/>
      <c r="C267" s="302"/>
      <c r="D267" s="302"/>
      <c r="E267" s="302"/>
      <c r="F267" s="31"/>
      <c r="G267" s="31"/>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row>
    <row r="268" spans="2:44" ht="15" customHeight="1" x14ac:dyDescent="0.25">
      <c r="B268" s="302"/>
      <c r="C268" s="302"/>
      <c r="D268" s="302"/>
      <c r="E268" s="302"/>
      <c r="F268" s="31"/>
      <c r="G268" s="31"/>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row>
    <row r="269" spans="2:44" ht="15" customHeight="1" x14ac:dyDescent="0.25">
      <c r="B269" s="302"/>
      <c r="C269" s="302"/>
      <c r="D269" s="302"/>
      <c r="E269" s="302"/>
      <c r="F269" s="31"/>
      <c r="G269" s="31"/>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row>
    <row r="270" spans="2:44" ht="15" customHeight="1" x14ac:dyDescent="0.25">
      <c r="B270" s="302"/>
      <c r="C270" s="302"/>
      <c r="D270" s="302"/>
      <c r="E270" s="302"/>
      <c r="F270" s="31"/>
      <c r="G270" s="31"/>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row>
    <row r="271" spans="2:44" ht="15" customHeight="1" x14ac:dyDescent="0.25">
      <c r="B271" s="302"/>
      <c r="C271" s="302"/>
      <c r="D271" s="302"/>
      <c r="E271" s="302"/>
      <c r="F271" s="31"/>
      <c r="G271" s="31"/>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row>
    <row r="272" spans="2:44" ht="15" customHeight="1" x14ac:dyDescent="0.25">
      <c r="B272" s="302"/>
      <c r="C272" s="302"/>
      <c r="D272" s="302"/>
      <c r="E272" s="302"/>
      <c r="F272" s="31"/>
      <c r="G272" s="31"/>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row>
    <row r="273" spans="2:44" ht="15" customHeight="1" x14ac:dyDescent="0.25">
      <c r="B273" s="302"/>
      <c r="C273" s="302"/>
      <c r="D273" s="302"/>
      <c r="E273" s="302"/>
      <c r="F273" s="31"/>
      <c r="G273" s="31"/>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row>
    <row r="274" spans="2:44" ht="15" customHeight="1" x14ac:dyDescent="0.25">
      <c r="B274" s="302"/>
      <c r="C274" s="302"/>
      <c r="D274" s="302"/>
      <c r="E274" s="302"/>
      <c r="F274" s="31"/>
      <c r="G274" s="31"/>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row>
    <row r="275" spans="2:44" ht="15.75" customHeight="1" x14ac:dyDescent="0.25">
      <c r="B275" s="302"/>
      <c r="C275" s="302"/>
      <c r="D275" s="302"/>
      <c r="E275" s="302"/>
      <c r="F275" s="31"/>
      <c r="G275" s="31"/>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row>
    <row r="276" spans="2:44" ht="15.75" customHeight="1" x14ac:dyDescent="0.25">
      <c r="B276" s="302"/>
      <c r="C276" s="302"/>
      <c r="D276" s="302"/>
      <c r="E276" s="302"/>
      <c r="F276" s="31"/>
      <c r="G276" s="31"/>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row>
    <row r="277" spans="2:44" ht="15.75" customHeight="1" x14ac:dyDescent="0.25">
      <c r="B277" s="302"/>
      <c r="C277" s="302"/>
      <c r="D277" s="302"/>
      <c r="E277" s="302"/>
      <c r="F277" s="31"/>
      <c r="G277" s="31"/>
      <c r="H277" s="22"/>
      <c r="I277" s="22"/>
      <c r="J277" s="22"/>
      <c r="K277" s="22"/>
      <c r="L277" s="22"/>
      <c r="M277" s="22"/>
      <c r="N277" s="22"/>
      <c r="O277" s="22"/>
      <c r="P277" s="22"/>
      <c r="AR277" s="28"/>
    </row>
  </sheetData>
  <mergeCells count="23">
    <mergeCell ref="B2:AQ3"/>
    <mergeCell ref="B112:C112"/>
    <mergeCell ref="B138:C138"/>
    <mergeCell ref="B139:C139"/>
    <mergeCell ref="B140:C140"/>
    <mergeCell ref="B57:C57"/>
    <mergeCell ref="B58:C58"/>
    <mergeCell ref="B84:C84"/>
    <mergeCell ref="B85:C85"/>
    <mergeCell ref="B111:C111"/>
    <mergeCell ref="B25:D25"/>
    <mergeCell ref="B26:B31"/>
    <mergeCell ref="B6:D6"/>
    <mergeCell ref="B19:C19"/>
    <mergeCell ref="B20:D20"/>
    <mergeCell ref="AI4:AL4"/>
    <mergeCell ref="AM4:AQ4"/>
    <mergeCell ref="V4:X4"/>
    <mergeCell ref="L4:M4"/>
    <mergeCell ref="O4:P4"/>
    <mergeCell ref="Q4:U4"/>
    <mergeCell ref="Y4:AC4"/>
    <mergeCell ref="AD4:AH4"/>
  </mergeCells>
  <pageMargins left="0.7" right="0.7" top="0.75" bottom="0.75" header="0.3" footer="0.3"/>
  <pageSetup paperSize="9" orientation="portrait" verticalDpi="0" r:id="rId1"/>
  <ignoredErrors>
    <ignoredError sqref="D32" formulaRange="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B3:AW77"/>
  <sheetViews>
    <sheetView topLeftCell="S9" workbookViewId="0">
      <selection activeCell="S31" sqref="S31"/>
    </sheetView>
  </sheetViews>
  <sheetFormatPr baseColWidth="10" defaultRowHeight="15" x14ac:dyDescent="0.25"/>
  <cols>
    <col min="3" max="3" width="23" style="28" customWidth="1"/>
    <col min="9" max="9" width="22.7109375" customWidth="1"/>
    <col min="17" max="17" width="27.42578125" style="28" customWidth="1"/>
    <col min="24" max="24" width="27.42578125" customWidth="1"/>
    <col min="26" max="26" width="11.42578125" customWidth="1"/>
  </cols>
  <sheetData>
    <row r="3" spans="2:49" ht="15.75" thickBot="1" x14ac:dyDescent="0.3"/>
    <row r="4" spans="2:49" ht="15.75" thickBot="1" x14ac:dyDescent="0.3">
      <c r="B4" s="749" t="s">
        <v>580</v>
      </c>
      <c r="C4" s="750"/>
      <c r="D4" s="99" t="str">
        <f>ADDRESS(ST_LI_CIE3+7,7)</f>
        <v>$G$23</v>
      </c>
      <c r="E4" s="73">
        <v>16</v>
      </c>
    </row>
    <row r="5" spans="2:49" ht="15.75" thickBot="1" x14ac:dyDescent="0.3">
      <c r="B5" s="696" t="s">
        <v>107</v>
      </c>
      <c r="C5" s="988"/>
      <c r="D5" s="988"/>
      <c r="E5" s="989"/>
      <c r="G5" s="696" t="s">
        <v>107</v>
      </c>
      <c r="H5" s="988"/>
      <c r="I5" s="988"/>
      <c r="J5" s="989"/>
      <c r="L5" s="995" t="s">
        <v>476</v>
      </c>
      <c r="M5" s="996"/>
      <c r="N5" s="997"/>
      <c r="P5" s="992" t="s">
        <v>639</v>
      </c>
      <c r="Q5" s="993"/>
      <c r="R5" s="993"/>
      <c r="S5" s="994"/>
      <c r="U5" s="992" t="s">
        <v>639</v>
      </c>
      <c r="V5" s="993"/>
      <c r="W5" s="993"/>
      <c r="X5" s="994"/>
      <c r="Z5" s="992" t="s">
        <v>587</v>
      </c>
      <c r="AA5" s="993"/>
      <c r="AB5" s="993"/>
      <c r="AC5" s="994"/>
      <c r="AE5" s="811" t="s">
        <v>745</v>
      </c>
      <c r="AF5" s="811"/>
      <c r="AG5" s="811"/>
      <c r="AH5" s="811"/>
      <c r="AI5" s="811"/>
      <c r="AJ5" s="811"/>
    </row>
    <row r="6" spans="2:49" ht="15.75" thickBot="1" x14ac:dyDescent="0.3">
      <c r="B6" s="183"/>
      <c r="C6" s="118" t="s">
        <v>635</v>
      </c>
      <c r="D6" s="118" t="s">
        <v>636</v>
      </c>
      <c r="E6" s="75" t="s">
        <v>637</v>
      </c>
      <c r="F6" s="31"/>
      <c r="G6" s="183"/>
      <c r="H6" s="118" t="s">
        <v>636</v>
      </c>
      <c r="I6" s="118" t="s">
        <v>635</v>
      </c>
      <c r="J6" s="75" t="s">
        <v>637</v>
      </c>
      <c r="L6" s="82"/>
      <c r="M6" s="118" t="s">
        <v>442</v>
      </c>
      <c r="N6" s="75" t="s">
        <v>475</v>
      </c>
      <c r="P6" s="80"/>
      <c r="Q6" s="184" t="s">
        <v>638</v>
      </c>
      <c r="R6" s="184" t="s">
        <v>222</v>
      </c>
      <c r="S6" s="185" t="s">
        <v>636</v>
      </c>
      <c r="T6" s="33"/>
      <c r="U6" s="115"/>
      <c r="V6" s="184" t="s">
        <v>222</v>
      </c>
      <c r="W6" s="184" t="s">
        <v>636</v>
      </c>
      <c r="X6" s="185" t="s">
        <v>638</v>
      </c>
      <c r="Z6" s="58" t="s">
        <v>429</v>
      </c>
      <c r="AA6" s="60" t="s">
        <v>428</v>
      </c>
      <c r="AB6" s="60" t="s">
        <v>586</v>
      </c>
      <c r="AC6" s="59" t="s">
        <v>736</v>
      </c>
      <c r="AE6" s="217"/>
      <c r="AF6" s="218"/>
      <c r="AG6" s="218"/>
      <c r="AH6" s="218"/>
      <c r="AI6" s="218"/>
      <c r="AJ6" s="219"/>
      <c r="AL6" s="58"/>
      <c r="AM6" s="60"/>
      <c r="AN6" s="60"/>
      <c r="AO6" s="60"/>
      <c r="AP6" s="187"/>
      <c r="AQ6" s="187"/>
      <c r="AR6" s="187"/>
      <c r="AS6" s="188"/>
      <c r="AU6" s="102"/>
      <c r="AV6" s="186" t="s">
        <v>186</v>
      </c>
      <c r="AW6" s="112" t="s">
        <v>672</v>
      </c>
    </row>
    <row r="7" spans="2:49" ht="15.75" thickBot="1" x14ac:dyDescent="0.3">
      <c r="B7" s="33">
        <v>0</v>
      </c>
      <c r="C7" s="31" t="s">
        <v>117</v>
      </c>
      <c r="D7" s="28" t="s">
        <v>151</v>
      </c>
      <c r="E7" s="28" t="s">
        <v>57</v>
      </c>
      <c r="G7" s="33">
        <v>0</v>
      </c>
      <c r="H7" s="28" t="str">
        <f>D7</f>
        <v>AEE</v>
      </c>
      <c r="I7" s="31" t="str">
        <f>C7</f>
        <v>AEGEAN</v>
      </c>
      <c r="J7" s="28" t="str">
        <f>E7</f>
        <v>AVP</v>
      </c>
      <c r="L7" s="120">
        <v>5</v>
      </c>
      <c r="M7" s="1"/>
      <c r="N7" s="59">
        <v>0</v>
      </c>
      <c r="P7" s="22">
        <v>0</v>
      </c>
      <c r="Q7" s="33" t="s">
        <v>308</v>
      </c>
      <c r="R7" s="33" t="s">
        <v>324</v>
      </c>
      <c r="S7" s="33" t="s">
        <v>324</v>
      </c>
      <c r="U7" s="22">
        <v>0</v>
      </c>
      <c r="V7" s="33" t="str">
        <f>R7</f>
        <v>A319</v>
      </c>
      <c r="W7" s="33" t="str">
        <f>S7</f>
        <v>A319</v>
      </c>
      <c r="X7" s="33" t="str">
        <f>Q7</f>
        <v>AIRBUS 319</v>
      </c>
      <c r="Z7" s="129" t="str">
        <f>R7</f>
        <v>A319</v>
      </c>
      <c r="AA7" s="60" t="str">
        <f>D7</f>
        <v>AEE</v>
      </c>
      <c r="AB7" s="116">
        <v>0</v>
      </c>
      <c r="AC7" s="332">
        <v>2</v>
      </c>
      <c r="AE7" s="193"/>
      <c r="AF7" s="194"/>
      <c r="AG7" s="194"/>
      <c r="AH7" s="194"/>
      <c r="AI7" s="194"/>
      <c r="AJ7" s="195"/>
      <c r="AL7" s="696"/>
      <c r="AM7" s="988"/>
      <c r="AN7" s="988"/>
      <c r="AO7" s="988"/>
      <c r="AP7" s="988"/>
      <c r="AQ7" s="988"/>
      <c r="AR7" s="988"/>
      <c r="AS7" s="989"/>
      <c r="AU7" s="58">
        <v>1</v>
      </c>
      <c r="AV7" s="152" t="s">
        <v>0</v>
      </c>
      <c r="AW7" s="153">
        <f ca="1">ANNEE_AM1</f>
        <v>2024</v>
      </c>
    </row>
    <row r="8" spans="2:49" x14ac:dyDescent="0.25">
      <c r="B8" s="33">
        <v>1</v>
      </c>
      <c r="C8" s="31" t="s">
        <v>127</v>
      </c>
      <c r="D8" s="28" t="s">
        <v>193</v>
      </c>
      <c r="E8" s="28" t="s">
        <v>57</v>
      </c>
      <c r="G8" s="33">
        <v>1</v>
      </c>
      <c r="H8" s="28" t="str">
        <f t="shared" ref="H8:H74" si="0">D8</f>
        <v>EIN</v>
      </c>
      <c r="I8" s="31" t="str">
        <f t="shared" ref="I8:I76" si="1">C8</f>
        <v>AER LINGUS</v>
      </c>
      <c r="J8" s="28" t="str">
        <f t="shared" ref="J8:J71" si="2">E8</f>
        <v>AVP</v>
      </c>
      <c r="L8" s="109">
        <v>7</v>
      </c>
      <c r="N8" s="78">
        <v>0</v>
      </c>
      <c r="P8" s="22">
        <v>1</v>
      </c>
      <c r="Q8" s="33" t="s">
        <v>307</v>
      </c>
      <c r="R8" s="33" t="s">
        <v>324</v>
      </c>
      <c r="S8" s="33" t="s">
        <v>323</v>
      </c>
      <c r="U8" s="22">
        <v>1</v>
      </c>
      <c r="V8" s="33" t="str">
        <f t="shared" ref="V8:V64" si="3">R8</f>
        <v>A319</v>
      </c>
      <c r="W8" s="33" t="str">
        <f t="shared" ref="W8:W64" si="4">S8</f>
        <v>319N</v>
      </c>
      <c r="X8" s="33" t="str">
        <f t="shared" ref="X8:X64" si="5">Q8</f>
        <v>AIRBUS 319 NEO</v>
      </c>
      <c r="Z8" s="36" t="str">
        <f t="shared" ref="Z8:Z64" si="6">R8</f>
        <v>A319</v>
      </c>
      <c r="AA8" s="28" t="str">
        <f t="shared" ref="AA8:AA75" si="7">D8</f>
        <v>EIN</v>
      </c>
      <c r="AB8" s="22">
        <v>1</v>
      </c>
      <c r="AC8" s="6">
        <v>2</v>
      </c>
      <c r="AD8">
        <v>1</v>
      </c>
      <c r="AE8" s="76"/>
      <c r="AF8" s="28"/>
      <c r="AG8" s="28"/>
      <c r="AH8" s="28"/>
      <c r="AI8" s="28"/>
      <c r="AJ8" s="78"/>
      <c r="AL8" s="120"/>
      <c r="AM8" s="60"/>
      <c r="AN8" s="79"/>
      <c r="AO8" s="60"/>
      <c r="AP8" s="79"/>
      <c r="AQ8" s="60"/>
      <c r="AR8" s="79"/>
      <c r="AS8" s="59"/>
      <c r="AU8" s="76">
        <v>2</v>
      </c>
      <c r="AV8" s="33" t="s">
        <v>44</v>
      </c>
      <c r="AW8" s="154">
        <f ca="1">ANNEE_A</f>
        <v>2025</v>
      </c>
    </row>
    <row r="9" spans="2:49" x14ac:dyDescent="0.25">
      <c r="B9" s="33">
        <v>2</v>
      </c>
      <c r="C9" s="31" t="s">
        <v>130</v>
      </c>
      <c r="D9" s="28" t="s">
        <v>194</v>
      </c>
      <c r="E9" s="28" t="s">
        <v>57</v>
      </c>
      <c r="G9" s="33">
        <v>2</v>
      </c>
      <c r="H9" s="28" t="str">
        <f t="shared" si="0"/>
        <v>DAH</v>
      </c>
      <c r="I9" s="31" t="str">
        <f t="shared" si="1"/>
        <v>AIR ALGERIE</v>
      </c>
      <c r="J9" s="28" t="str">
        <f t="shared" si="2"/>
        <v>AVP</v>
      </c>
      <c r="L9" s="109">
        <v>9</v>
      </c>
      <c r="N9" s="78">
        <v>0</v>
      </c>
      <c r="P9" s="22">
        <v>2</v>
      </c>
      <c r="Q9" s="33" t="s">
        <v>259</v>
      </c>
      <c r="R9" s="33" t="s">
        <v>261</v>
      </c>
      <c r="S9" s="33" t="s">
        <v>263</v>
      </c>
      <c r="U9" s="22">
        <v>2</v>
      </c>
      <c r="V9" s="33" t="str">
        <f t="shared" si="3"/>
        <v>BCS1</v>
      </c>
      <c r="W9" s="33" t="str">
        <f t="shared" si="4"/>
        <v>221</v>
      </c>
      <c r="X9" s="33" t="str">
        <f t="shared" si="5"/>
        <v>AIRBUS A220-100</v>
      </c>
      <c r="Z9" s="36" t="str">
        <f t="shared" si="6"/>
        <v>BCS1</v>
      </c>
      <c r="AA9" s="28" t="str">
        <f t="shared" si="7"/>
        <v>DAH</v>
      </c>
      <c r="AB9" s="22">
        <v>2</v>
      </c>
      <c r="AC9" s="6"/>
      <c r="AD9">
        <v>2</v>
      </c>
      <c r="AE9" s="76"/>
      <c r="AF9" s="28"/>
      <c r="AG9" s="28"/>
      <c r="AH9" s="28"/>
      <c r="AI9" s="28"/>
      <c r="AJ9" s="78"/>
      <c r="AL9" s="76"/>
      <c r="AM9" s="172"/>
      <c r="AN9" s="28"/>
      <c r="AO9" s="172"/>
      <c r="AP9" s="28"/>
      <c r="AQ9" s="172"/>
      <c r="AR9" s="28"/>
      <c r="AS9" s="104"/>
      <c r="AU9" s="76">
        <v>3</v>
      </c>
      <c r="AV9" s="33" t="s">
        <v>45</v>
      </c>
      <c r="AW9" s="154">
        <f ca="1">AW8+1</f>
        <v>2026</v>
      </c>
    </row>
    <row r="10" spans="2:49" x14ac:dyDescent="0.25">
      <c r="B10" s="33">
        <v>3</v>
      </c>
      <c r="C10" s="31" t="s">
        <v>883</v>
      </c>
      <c r="D10" s="28" t="s">
        <v>887</v>
      </c>
      <c r="E10" s="28" t="s">
        <v>57</v>
      </c>
      <c r="G10" s="33">
        <v>3</v>
      </c>
      <c r="H10" s="28" t="str">
        <f t="shared" si="0"/>
        <v>ABY</v>
      </c>
      <c r="I10" s="31" t="str">
        <f t="shared" si="1"/>
        <v>AIR ARABIA</v>
      </c>
      <c r="J10" s="28" t="str">
        <f t="shared" si="2"/>
        <v>AVP</v>
      </c>
      <c r="L10" s="109">
        <v>11</v>
      </c>
      <c r="N10" s="78">
        <v>0</v>
      </c>
      <c r="P10" s="22">
        <v>3</v>
      </c>
      <c r="Q10" s="33" t="s">
        <v>260</v>
      </c>
      <c r="R10" s="33" t="s">
        <v>262</v>
      </c>
      <c r="S10" s="33" t="s">
        <v>264</v>
      </c>
      <c r="U10" s="22">
        <v>3</v>
      </c>
      <c r="V10" s="33" t="str">
        <f t="shared" si="3"/>
        <v>BCS3</v>
      </c>
      <c r="W10" s="33" t="str">
        <f t="shared" si="4"/>
        <v>223</v>
      </c>
      <c r="X10" s="33" t="str">
        <f t="shared" si="5"/>
        <v>AIRBUS A220-300</v>
      </c>
      <c r="Z10" s="36" t="str">
        <f t="shared" si="6"/>
        <v>BCS3</v>
      </c>
      <c r="AA10" s="28" t="str">
        <f t="shared" si="7"/>
        <v>ABY</v>
      </c>
      <c r="AB10" s="22">
        <v>3</v>
      </c>
      <c r="AC10" s="6">
        <v>2</v>
      </c>
      <c r="AD10">
        <v>3</v>
      </c>
      <c r="AE10" s="190"/>
      <c r="AF10" s="191"/>
      <c r="AG10" s="191"/>
      <c r="AH10" s="191"/>
      <c r="AI10" s="191"/>
      <c r="AJ10" s="192"/>
      <c r="AL10" s="76"/>
      <c r="AM10" s="31"/>
      <c r="AN10" s="28"/>
      <c r="AO10" s="31"/>
      <c r="AP10" s="28"/>
      <c r="AQ10" s="31"/>
      <c r="AR10" s="28"/>
      <c r="AS10" s="6"/>
      <c r="AU10" s="76">
        <v>4</v>
      </c>
      <c r="AV10" s="33" t="s">
        <v>46</v>
      </c>
      <c r="AW10" s="154">
        <f ca="1">AW9+1</f>
        <v>2027</v>
      </c>
    </row>
    <row r="11" spans="2:49" x14ac:dyDescent="0.25">
      <c r="B11" s="33">
        <v>4</v>
      </c>
      <c r="C11" s="31" t="s">
        <v>129</v>
      </c>
      <c r="D11" s="28" t="s">
        <v>188</v>
      </c>
      <c r="E11" s="28" t="s">
        <v>57</v>
      </c>
      <c r="G11" s="33">
        <v>4</v>
      </c>
      <c r="H11" s="28" t="str">
        <f t="shared" si="0"/>
        <v>BTI</v>
      </c>
      <c r="I11" s="31" t="str">
        <f t="shared" si="1"/>
        <v>AIR BALTIC</v>
      </c>
      <c r="J11" s="28" t="str">
        <f t="shared" si="2"/>
        <v>AVP</v>
      </c>
      <c r="L11" s="109">
        <v>13</v>
      </c>
      <c r="N11" s="78">
        <v>0</v>
      </c>
      <c r="P11" s="22">
        <v>4</v>
      </c>
      <c r="Q11" s="33" t="s">
        <v>305</v>
      </c>
      <c r="R11" s="33" t="s">
        <v>336</v>
      </c>
      <c r="S11" s="33" t="s">
        <v>321</v>
      </c>
      <c r="U11" s="22">
        <v>4</v>
      </c>
      <c r="V11" s="33" t="str">
        <f t="shared" si="3"/>
        <v>A310</v>
      </c>
      <c r="W11" s="33" t="str">
        <f t="shared" si="4"/>
        <v>313</v>
      </c>
      <c r="X11" s="33" t="str">
        <f t="shared" si="5"/>
        <v>AIRBUS A310-300</v>
      </c>
      <c r="Z11" s="36" t="str">
        <f t="shared" si="6"/>
        <v>A310</v>
      </c>
      <c r="AA11" s="28" t="str">
        <f t="shared" si="7"/>
        <v>BTI</v>
      </c>
      <c r="AB11" s="22">
        <v>4</v>
      </c>
      <c r="AC11" s="6">
        <v>4</v>
      </c>
      <c r="AE11" s="46"/>
      <c r="AJ11" s="3"/>
      <c r="AL11" s="76"/>
      <c r="AM11" s="31"/>
      <c r="AN11" s="28"/>
      <c r="AO11" s="31"/>
      <c r="AP11" s="28"/>
      <c r="AQ11" s="31"/>
      <c r="AR11" s="28"/>
      <c r="AS11" s="6"/>
      <c r="AU11" s="76">
        <v>5</v>
      </c>
      <c r="AV11" s="33" t="s">
        <v>47</v>
      </c>
      <c r="AW11" s="154"/>
    </row>
    <row r="12" spans="2:49" x14ac:dyDescent="0.25">
      <c r="B12" s="33">
        <v>5</v>
      </c>
      <c r="C12" s="31" t="s">
        <v>120</v>
      </c>
      <c r="D12" s="28" t="s">
        <v>195</v>
      </c>
      <c r="E12" s="28" t="s">
        <v>57</v>
      </c>
      <c r="G12" s="33">
        <v>5</v>
      </c>
      <c r="H12" s="28" t="str">
        <f t="shared" si="0"/>
        <v>ACA</v>
      </c>
      <c r="I12" s="31" t="str">
        <f t="shared" si="1"/>
        <v>AIR CANADA</v>
      </c>
      <c r="J12" s="28" t="str">
        <f t="shared" si="2"/>
        <v>AVP</v>
      </c>
      <c r="L12" s="109">
        <v>15</v>
      </c>
      <c r="N12" s="78">
        <v>0</v>
      </c>
      <c r="P12" s="22">
        <v>5</v>
      </c>
      <c r="Q12" s="33" t="s">
        <v>306</v>
      </c>
      <c r="R12" s="33" t="s">
        <v>337</v>
      </c>
      <c r="S12" s="33" t="s">
        <v>322</v>
      </c>
      <c r="U12" s="22">
        <v>5</v>
      </c>
      <c r="V12" s="33" t="str">
        <f t="shared" si="3"/>
        <v>A318</v>
      </c>
      <c r="W12" s="33" t="str">
        <f t="shared" si="4"/>
        <v>318</v>
      </c>
      <c r="X12" s="33" t="str">
        <f t="shared" si="5"/>
        <v>AIRBUS A318</v>
      </c>
      <c r="Z12" s="36" t="str">
        <f t="shared" si="6"/>
        <v>A318</v>
      </c>
      <c r="AA12" s="28" t="str">
        <f t="shared" si="7"/>
        <v>ACA</v>
      </c>
      <c r="AB12" s="22">
        <v>5</v>
      </c>
      <c r="AC12" s="6">
        <v>2</v>
      </c>
      <c r="AD12">
        <v>4</v>
      </c>
      <c r="AE12" s="76"/>
      <c r="AF12" s="28"/>
      <c r="AG12" s="28"/>
      <c r="AH12" s="28"/>
      <c r="AI12" s="28"/>
      <c r="AJ12" s="78"/>
      <c r="AL12" s="76"/>
      <c r="AM12" s="31"/>
      <c r="AN12" s="28"/>
      <c r="AO12" s="31"/>
      <c r="AP12" s="28"/>
      <c r="AQ12" s="31"/>
      <c r="AR12" s="28"/>
      <c r="AS12" s="189"/>
      <c r="AU12" s="76">
        <v>6</v>
      </c>
      <c r="AV12" s="33" t="s">
        <v>48</v>
      </c>
      <c r="AW12" s="154"/>
    </row>
    <row r="13" spans="2:49" x14ac:dyDescent="0.25">
      <c r="B13" s="33">
        <v>6</v>
      </c>
      <c r="C13" s="31" t="s">
        <v>122</v>
      </c>
      <c r="D13" s="28" t="s">
        <v>196</v>
      </c>
      <c r="E13" s="28" t="s">
        <v>61</v>
      </c>
      <c r="G13" s="33">
        <v>6</v>
      </c>
      <c r="H13" s="28" t="str">
        <f t="shared" si="0"/>
        <v>CCA</v>
      </c>
      <c r="I13" s="31" t="str">
        <f t="shared" si="1"/>
        <v>AIR CHINA</v>
      </c>
      <c r="J13" s="28" t="str">
        <f t="shared" si="2"/>
        <v>MZS</v>
      </c>
      <c r="L13" s="109">
        <v>20</v>
      </c>
      <c r="N13" s="78">
        <v>0</v>
      </c>
      <c r="P13" s="22">
        <v>6</v>
      </c>
      <c r="Q13" s="33" t="s">
        <v>309</v>
      </c>
      <c r="R13" s="33" t="s">
        <v>338</v>
      </c>
      <c r="S13" s="33" t="s">
        <v>325</v>
      </c>
      <c r="U13" s="22">
        <v>6</v>
      </c>
      <c r="V13" s="33" t="str">
        <f t="shared" si="3"/>
        <v>A320</v>
      </c>
      <c r="W13" s="33" t="str">
        <f t="shared" si="4"/>
        <v>320N</v>
      </c>
      <c r="X13" s="33" t="str">
        <f t="shared" si="5"/>
        <v>AIRBUS A320 NEO</v>
      </c>
      <c r="Z13" s="36" t="str">
        <f t="shared" si="6"/>
        <v>A320</v>
      </c>
      <c r="AA13" s="28" t="str">
        <f t="shared" si="7"/>
        <v>CCA</v>
      </c>
      <c r="AB13" s="22">
        <v>6</v>
      </c>
      <c r="AC13" s="6">
        <v>3</v>
      </c>
      <c r="AD13">
        <v>5</v>
      </c>
      <c r="AE13" s="76"/>
      <c r="AF13" s="28"/>
      <c r="AG13" s="28"/>
      <c r="AH13" s="28"/>
      <c r="AI13" s="28"/>
      <c r="AJ13" s="78"/>
      <c r="AL13" s="76"/>
      <c r="AM13" s="31"/>
      <c r="AN13" s="28"/>
      <c r="AO13" s="31"/>
      <c r="AP13" s="28"/>
      <c r="AQ13" s="31"/>
      <c r="AR13" s="28"/>
      <c r="AS13" s="225"/>
      <c r="AU13" s="76">
        <v>7</v>
      </c>
      <c r="AV13" s="33" t="s">
        <v>49</v>
      </c>
      <c r="AW13" s="154"/>
    </row>
    <row r="14" spans="2:49" x14ac:dyDescent="0.25">
      <c r="B14" s="33">
        <v>7</v>
      </c>
      <c r="C14" s="31" t="s">
        <v>112</v>
      </c>
      <c r="D14" s="28" t="s">
        <v>152</v>
      </c>
      <c r="E14" s="28" t="s">
        <v>859</v>
      </c>
      <c r="G14" s="33">
        <v>7</v>
      </c>
      <c r="H14" s="28" t="str">
        <f t="shared" si="0"/>
        <v>CCM</v>
      </c>
      <c r="I14" s="31" t="str">
        <f t="shared" si="1"/>
        <v>AIR CORSICA</v>
      </c>
      <c r="J14" s="28" t="str">
        <f t="shared" si="2"/>
        <v>ALZ</v>
      </c>
      <c r="L14" s="109">
        <v>22</v>
      </c>
      <c r="N14" s="78">
        <v>0</v>
      </c>
      <c r="P14" s="22">
        <v>7</v>
      </c>
      <c r="Q14" s="33" t="s">
        <v>310</v>
      </c>
      <c r="R14" s="33" t="s">
        <v>338</v>
      </c>
      <c r="S14" s="33">
        <v>320</v>
      </c>
      <c r="U14" s="22">
        <v>7</v>
      </c>
      <c r="V14" s="33" t="str">
        <f t="shared" si="3"/>
        <v>A320</v>
      </c>
      <c r="W14" s="33">
        <f t="shared" si="4"/>
        <v>320</v>
      </c>
      <c r="X14" s="33" t="str">
        <f t="shared" si="5"/>
        <v>AIRBUS A320-200</v>
      </c>
      <c r="Z14" s="36" t="str">
        <f t="shared" si="6"/>
        <v>A320</v>
      </c>
      <c r="AA14" s="28" t="str">
        <f t="shared" si="7"/>
        <v>CCM</v>
      </c>
      <c r="AB14" s="22">
        <v>7</v>
      </c>
      <c r="AC14" s="6">
        <v>3</v>
      </c>
      <c r="AD14">
        <v>6</v>
      </c>
      <c r="AE14" s="190"/>
      <c r="AF14" s="191"/>
      <c r="AG14" s="191"/>
      <c r="AH14" s="191"/>
      <c r="AI14" s="191"/>
      <c r="AJ14" s="192"/>
      <c r="AL14" s="76"/>
      <c r="AM14" s="150"/>
      <c r="AN14" s="28"/>
      <c r="AO14" s="31"/>
      <c r="AP14" s="28"/>
      <c r="AQ14" s="31"/>
      <c r="AR14" s="28"/>
      <c r="AS14" s="78"/>
      <c r="AU14" s="76">
        <v>8</v>
      </c>
      <c r="AV14" s="33" t="s">
        <v>50</v>
      </c>
      <c r="AW14" s="154"/>
    </row>
    <row r="15" spans="2:49" x14ac:dyDescent="0.25">
      <c r="B15" s="33">
        <v>8</v>
      </c>
      <c r="C15" s="31" t="str">
        <f>UPPER("AIR France")</f>
        <v>AIR FRANCE</v>
      </c>
      <c r="D15" s="28" t="s">
        <v>92</v>
      </c>
      <c r="E15" s="28" t="s">
        <v>92</v>
      </c>
      <c r="G15" s="33">
        <v>8</v>
      </c>
      <c r="H15" s="28" t="str">
        <f t="shared" si="0"/>
        <v>AFR</v>
      </c>
      <c r="I15" s="31" t="str">
        <f t="shared" si="1"/>
        <v>AIR FRANCE</v>
      </c>
      <c r="J15" s="28" t="str">
        <f t="shared" si="2"/>
        <v>AFR</v>
      </c>
      <c r="L15" s="109">
        <v>26</v>
      </c>
      <c r="N15" s="78">
        <v>0</v>
      </c>
      <c r="P15" s="22">
        <v>8</v>
      </c>
      <c r="Q15" s="33" t="s">
        <v>312</v>
      </c>
      <c r="R15" s="33" t="s">
        <v>339</v>
      </c>
      <c r="S15" s="33" t="s">
        <v>327</v>
      </c>
      <c r="U15" s="22">
        <v>8</v>
      </c>
      <c r="V15" s="33" t="str">
        <f t="shared" si="3"/>
        <v>A321</v>
      </c>
      <c r="W15" s="33" t="str">
        <f t="shared" si="4"/>
        <v>321S</v>
      </c>
      <c r="X15" s="33" t="str">
        <f t="shared" si="5"/>
        <v>AIRBUS A321</v>
      </c>
      <c r="Z15" s="36" t="str">
        <f t="shared" si="6"/>
        <v>A321</v>
      </c>
      <c r="AA15" s="28" t="str">
        <f t="shared" si="7"/>
        <v>AFR</v>
      </c>
      <c r="AB15" s="22">
        <v>8</v>
      </c>
      <c r="AC15" s="6">
        <v>1</v>
      </c>
      <c r="AE15" s="46"/>
      <c r="AJ15" s="3"/>
      <c r="AL15" s="76"/>
      <c r="AM15" s="196"/>
      <c r="AN15" s="28"/>
      <c r="AO15" s="150"/>
      <c r="AP15" s="28"/>
      <c r="AQ15" s="150"/>
      <c r="AR15" s="28"/>
      <c r="AS15" s="78"/>
      <c r="AU15" s="76">
        <v>9</v>
      </c>
      <c r="AV15" s="33" t="s">
        <v>51</v>
      </c>
      <c r="AW15" s="154"/>
    </row>
    <row r="16" spans="2:49" ht="15.75" thickBot="1" x14ac:dyDescent="0.3">
      <c r="B16" s="33">
        <v>9</v>
      </c>
      <c r="C16" s="31" t="s">
        <v>132</v>
      </c>
      <c r="D16" s="28" t="s">
        <v>197</v>
      </c>
      <c r="E16" s="28" t="s">
        <v>57</v>
      </c>
      <c r="G16" s="33">
        <v>9</v>
      </c>
      <c r="H16" s="28" t="str">
        <f t="shared" si="0"/>
        <v>MLD</v>
      </c>
      <c r="I16" s="31" t="str">
        <f t="shared" si="1"/>
        <v>AIR MOLDOVA</v>
      </c>
      <c r="J16" s="28" t="str">
        <f t="shared" si="2"/>
        <v>AVP</v>
      </c>
      <c r="L16" s="109">
        <v>28</v>
      </c>
      <c r="N16" s="78">
        <v>0</v>
      </c>
      <c r="P16" s="22">
        <v>9</v>
      </c>
      <c r="Q16" s="33" t="s">
        <v>311</v>
      </c>
      <c r="R16" s="33" t="s">
        <v>339</v>
      </c>
      <c r="S16" s="33" t="s">
        <v>326</v>
      </c>
      <c r="U16" s="22">
        <v>9</v>
      </c>
      <c r="V16" s="33" t="str">
        <f t="shared" si="3"/>
        <v>A321</v>
      </c>
      <c r="W16" s="33" t="str">
        <f t="shared" si="4"/>
        <v>321N</v>
      </c>
      <c r="X16" s="33" t="str">
        <f t="shared" si="5"/>
        <v>AIRBUS A321 NEO</v>
      </c>
      <c r="Z16" s="36" t="str">
        <f t="shared" si="6"/>
        <v>A321</v>
      </c>
      <c r="AA16" s="28" t="str">
        <f t="shared" si="7"/>
        <v>MLD</v>
      </c>
      <c r="AB16" s="22">
        <v>9</v>
      </c>
      <c r="AC16" s="6">
        <v>2</v>
      </c>
      <c r="AD16">
        <v>7</v>
      </c>
      <c r="AE16" s="76"/>
      <c r="AF16" s="28"/>
      <c r="AG16" s="28"/>
      <c r="AH16" s="28"/>
      <c r="AI16" s="28"/>
      <c r="AJ16" s="78"/>
      <c r="AL16" s="62"/>
      <c r="AM16" s="63"/>
      <c r="AN16" s="63"/>
      <c r="AO16" s="215"/>
      <c r="AP16" s="63"/>
      <c r="AQ16" s="215"/>
      <c r="AR16" s="63"/>
      <c r="AS16" s="64"/>
      <c r="AU16" s="76">
        <v>10</v>
      </c>
      <c r="AV16" s="33" t="s">
        <v>52</v>
      </c>
      <c r="AW16" s="154"/>
    </row>
    <row r="17" spans="2:49" x14ac:dyDescent="0.25">
      <c r="B17" s="33">
        <v>10</v>
      </c>
      <c r="C17" s="31" t="s">
        <v>131</v>
      </c>
      <c r="D17" s="28" t="s">
        <v>198</v>
      </c>
      <c r="E17" s="28" t="s">
        <v>61</v>
      </c>
      <c r="G17" s="33">
        <v>10</v>
      </c>
      <c r="H17" s="28" t="str">
        <f t="shared" si="0"/>
        <v>ASL</v>
      </c>
      <c r="I17" s="31" t="str">
        <f t="shared" si="1"/>
        <v>AIR SERBIA</v>
      </c>
      <c r="J17" s="28" t="str">
        <f t="shared" si="2"/>
        <v>MZS</v>
      </c>
      <c r="L17" s="109">
        <v>42</v>
      </c>
      <c r="M17" s="28">
        <v>2</v>
      </c>
      <c r="N17" s="78">
        <v>1</v>
      </c>
      <c r="P17" s="22">
        <v>10</v>
      </c>
      <c r="Q17" s="33" t="s">
        <v>313</v>
      </c>
      <c r="R17" s="33" t="s">
        <v>511</v>
      </c>
      <c r="S17" s="33" t="s">
        <v>328</v>
      </c>
      <c r="U17" s="22">
        <v>10</v>
      </c>
      <c r="V17" s="33" t="str">
        <f t="shared" si="3"/>
        <v>A332</v>
      </c>
      <c r="W17" s="33" t="str">
        <f t="shared" si="4"/>
        <v>332</v>
      </c>
      <c r="X17" s="33" t="str">
        <f t="shared" si="5"/>
        <v>AIRBUS A330-200</v>
      </c>
      <c r="Z17" s="36" t="str">
        <f t="shared" si="6"/>
        <v>A332</v>
      </c>
      <c r="AA17" s="28" t="str">
        <f t="shared" si="7"/>
        <v>ASL</v>
      </c>
      <c r="AB17" s="22">
        <v>10</v>
      </c>
      <c r="AC17" s="6">
        <v>4</v>
      </c>
      <c r="AD17">
        <v>8</v>
      </c>
      <c r="AE17" s="76"/>
      <c r="AF17" s="28"/>
      <c r="AG17" s="28"/>
      <c r="AH17" s="28"/>
      <c r="AI17" s="28"/>
      <c r="AJ17" s="78"/>
      <c r="AL17" s="222"/>
      <c r="AM17" s="172"/>
      <c r="AN17" s="223"/>
      <c r="AO17" s="172"/>
      <c r="AP17" s="172"/>
      <c r="AQ17" s="172"/>
      <c r="AR17" s="172"/>
      <c r="AS17" s="104"/>
      <c r="AU17" s="76">
        <v>11</v>
      </c>
      <c r="AV17" s="33" t="s">
        <v>53</v>
      </c>
      <c r="AW17" s="154"/>
    </row>
    <row r="18" spans="2:49" ht="15.75" thickBot="1" x14ac:dyDescent="0.3">
      <c r="B18" s="33">
        <v>11</v>
      </c>
      <c r="C18" s="31" t="s">
        <v>121</v>
      </c>
      <c r="D18" s="28" t="s">
        <v>199</v>
      </c>
      <c r="E18" s="28" t="s">
        <v>57</v>
      </c>
      <c r="G18" s="33">
        <v>11</v>
      </c>
      <c r="H18" s="28" t="str">
        <f t="shared" si="0"/>
        <v>TSC</v>
      </c>
      <c r="I18" s="31" t="str">
        <f t="shared" si="1"/>
        <v>AIR TRANSAT</v>
      </c>
      <c r="J18" s="28" t="str">
        <f t="shared" si="2"/>
        <v>AVP</v>
      </c>
      <c r="L18" s="109">
        <v>44</v>
      </c>
      <c r="M18" s="28">
        <v>2</v>
      </c>
      <c r="N18" s="78">
        <v>1</v>
      </c>
      <c r="P18" s="22">
        <v>11</v>
      </c>
      <c r="Q18" s="33" t="s">
        <v>316</v>
      </c>
      <c r="R18" s="33" t="s">
        <v>507</v>
      </c>
      <c r="S18" s="33" t="s">
        <v>331</v>
      </c>
      <c r="U18" s="22">
        <v>11</v>
      </c>
      <c r="V18" s="33" t="str">
        <f t="shared" si="3"/>
        <v>A333</v>
      </c>
      <c r="W18" s="33" t="str">
        <f t="shared" si="4"/>
        <v>333</v>
      </c>
      <c r="X18" s="33" t="str">
        <f t="shared" si="5"/>
        <v>AIRBUS A330-300</v>
      </c>
      <c r="Z18" s="36" t="str">
        <f t="shared" si="6"/>
        <v>A333</v>
      </c>
      <c r="AA18" s="28" t="str">
        <f t="shared" si="7"/>
        <v>TSC</v>
      </c>
      <c r="AB18" s="22">
        <v>11</v>
      </c>
      <c r="AC18" s="6">
        <v>2</v>
      </c>
      <c r="AD18">
        <v>9</v>
      </c>
      <c r="AE18" s="190"/>
      <c r="AF18" s="191"/>
      <c r="AG18" s="191"/>
      <c r="AH18" s="191"/>
      <c r="AI18" s="191"/>
      <c r="AJ18" s="192"/>
      <c r="AL18" s="220"/>
      <c r="AM18" s="150"/>
      <c r="AN18" s="221"/>
      <c r="AO18" s="150"/>
      <c r="AP18" s="150"/>
      <c r="AQ18" s="150"/>
      <c r="AR18" s="150"/>
      <c r="AS18" s="189"/>
      <c r="AU18" s="62">
        <v>12</v>
      </c>
      <c r="AV18" s="155" t="s">
        <v>54</v>
      </c>
      <c r="AW18" s="64"/>
    </row>
    <row r="19" spans="2:49" ht="15.75" thickBot="1" x14ac:dyDescent="0.3">
      <c r="B19" s="33">
        <v>12</v>
      </c>
      <c r="C19" s="31" t="s">
        <v>987</v>
      </c>
      <c r="D19" s="28" t="s">
        <v>988</v>
      </c>
      <c r="E19" s="28" t="s">
        <v>57</v>
      </c>
      <c r="G19" s="33">
        <v>12</v>
      </c>
      <c r="H19" s="28" t="str">
        <f t="shared" si="0"/>
        <v>AIA</v>
      </c>
      <c r="I19" s="31" t="str">
        <f t="shared" si="1"/>
        <v>AMELIA</v>
      </c>
      <c r="J19" s="28" t="str">
        <f t="shared" si="2"/>
        <v>AVP</v>
      </c>
      <c r="L19" s="109">
        <v>60</v>
      </c>
      <c r="N19" s="78">
        <v>0</v>
      </c>
      <c r="P19" s="22">
        <v>12</v>
      </c>
      <c r="Q19" s="33" t="s">
        <v>314</v>
      </c>
      <c r="R19" s="33" t="s">
        <v>505</v>
      </c>
      <c r="S19" s="33" t="s">
        <v>329</v>
      </c>
      <c r="U19" s="22">
        <v>12</v>
      </c>
      <c r="V19" s="33" t="str">
        <f t="shared" si="3"/>
        <v>A338</v>
      </c>
      <c r="W19" s="33" t="str">
        <f t="shared" si="4"/>
        <v>338</v>
      </c>
      <c r="X19" s="33" t="str">
        <f t="shared" si="5"/>
        <v>AIRBUS A330-800 NEO</v>
      </c>
      <c r="Z19" s="36" t="str">
        <f t="shared" si="6"/>
        <v>A338</v>
      </c>
      <c r="AA19" s="28" t="str">
        <f t="shared" si="7"/>
        <v>AIA</v>
      </c>
      <c r="AB19" s="22">
        <v>12</v>
      </c>
      <c r="AC19" s="6">
        <v>4</v>
      </c>
      <c r="AE19" s="46"/>
      <c r="AJ19" s="3"/>
      <c r="AL19" s="213"/>
      <c r="AM19" s="215"/>
      <c r="AN19" s="224"/>
      <c r="AO19" s="215"/>
      <c r="AP19" s="215"/>
      <c r="AQ19" s="215"/>
      <c r="AR19" s="215"/>
      <c r="AS19" s="214"/>
    </row>
    <row r="20" spans="2:49" ht="15.75" thickBot="1" x14ac:dyDescent="0.3">
      <c r="B20" s="33">
        <v>13</v>
      </c>
      <c r="C20" s="31" t="s">
        <v>913</v>
      </c>
      <c r="D20" s="28" t="s">
        <v>914</v>
      </c>
      <c r="E20" s="28" t="s">
        <v>57</v>
      </c>
      <c r="G20" s="33">
        <v>13</v>
      </c>
      <c r="H20" s="28" t="str">
        <f t="shared" si="0"/>
        <v>AAL</v>
      </c>
      <c r="I20" s="31" t="str">
        <f t="shared" si="1"/>
        <v>AMERICAN AIRLINES</v>
      </c>
      <c r="J20" s="28" t="str">
        <f t="shared" si="2"/>
        <v>AVP</v>
      </c>
      <c r="L20" s="109">
        <v>62</v>
      </c>
      <c r="N20" s="78">
        <v>0</v>
      </c>
      <c r="P20" s="22">
        <v>13</v>
      </c>
      <c r="Q20" s="33" t="s">
        <v>315</v>
      </c>
      <c r="R20" s="33" t="s">
        <v>506</v>
      </c>
      <c r="S20" s="33" t="s">
        <v>330</v>
      </c>
      <c r="U20" s="22">
        <v>13</v>
      </c>
      <c r="V20" s="33" t="str">
        <f t="shared" si="3"/>
        <v>A339</v>
      </c>
      <c r="W20" s="33" t="str">
        <f t="shared" si="4"/>
        <v>339</v>
      </c>
      <c r="X20" s="33" t="str">
        <f t="shared" si="5"/>
        <v>AIRBUS A330-900 NEO</v>
      </c>
      <c r="Z20" s="36" t="str">
        <f t="shared" si="6"/>
        <v>A339</v>
      </c>
      <c r="AA20" s="28" t="str">
        <f t="shared" si="7"/>
        <v>AAL</v>
      </c>
      <c r="AB20" s="22">
        <v>13</v>
      </c>
      <c r="AC20" s="6">
        <v>2</v>
      </c>
      <c r="AD20">
        <v>10</v>
      </c>
      <c r="AE20" s="76"/>
      <c r="AF20" s="28"/>
      <c r="AG20" s="28"/>
      <c r="AH20" s="28"/>
      <c r="AI20" s="28"/>
      <c r="AJ20" s="78"/>
      <c r="AL20" s="80"/>
      <c r="AM20" s="313"/>
      <c r="AN20" s="40"/>
      <c r="AO20" s="313"/>
      <c r="AP20" s="40"/>
      <c r="AQ20" s="313"/>
      <c r="AR20" s="40"/>
      <c r="AS20" s="314"/>
    </row>
    <row r="21" spans="2:49" x14ac:dyDescent="0.25">
      <c r="B21" s="33">
        <v>14</v>
      </c>
      <c r="C21" s="31" t="s">
        <v>985</v>
      </c>
      <c r="D21" s="28" t="s">
        <v>986</v>
      </c>
      <c r="E21" s="28" t="s">
        <v>860</v>
      </c>
      <c r="G21" s="33">
        <v>14</v>
      </c>
      <c r="H21" s="28" t="str">
        <f t="shared" si="0"/>
        <v>AWG</v>
      </c>
      <c r="I21" s="31" t="str">
        <f t="shared" si="1"/>
        <v>ANIMAWINGS</v>
      </c>
      <c r="J21" s="28" t="str">
        <f t="shared" si="2"/>
        <v>XXX</v>
      </c>
      <c r="L21" s="109" t="s">
        <v>460</v>
      </c>
      <c r="M21" s="28">
        <v>2</v>
      </c>
      <c r="N21" s="78">
        <v>1</v>
      </c>
      <c r="P21" s="22">
        <v>14</v>
      </c>
      <c r="Q21" s="33" t="s">
        <v>317</v>
      </c>
      <c r="R21" s="33" t="s">
        <v>508</v>
      </c>
      <c r="S21" s="33" t="s">
        <v>332</v>
      </c>
      <c r="U21" s="22">
        <v>14</v>
      </c>
      <c r="V21" s="33" t="str">
        <f t="shared" si="3"/>
        <v>A351</v>
      </c>
      <c r="W21" s="33" t="str">
        <f t="shared" si="4"/>
        <v>351</v>
      </c>
      <c r="X21" s="33" t="str">
        <f t="shared" si="5"/>
        <v>AIRBUS A350-1000</v>
      </c>
      <c r="Z21" s="36" t="str">
        <f t="shared" si="6"/>
        <v>A351</v>
      </c>
      <c r="AA21" s="28" t="str">
        <f t="shared" si="7"/>
        <v>AWG</v>
      </c>
      <c r="AB21" s="22">
        <v>14</v>
      </c>
      <c r="AC21" s="6">
        <v>2</v>
      </c>
      <c r="AD21">
        <v>11</v>
      </c>
      <c r="AE21" s="76"/>
      <c r="AF21" s="28"/>
      <c r="AG21" s="28"/>
      <c r="AH21" s="28"/>
      <c r="AI21" s="28"/>
      <c r="AJ21" s="78"/>
      <c r="AL21" s="72"/>
      <c r="AM21" s="212"/>
      <c r="AN21" s="1"/>
      <c r="AO21" s="212"/>
      <c r="AP21" s="1"/>
      <c r="AQ21" s="212"/>
      <c r="AR21" s="1"/>
      <c r="AS21" s="212"/>
    </row>
    <row r="22" spans="2:49" ht="15.75" thickBot="1" x14ac:dyDescent="0.3">
      <c r="B22" s="33">
        <v>15</v>
      </c>
      <c r="C22" s="31" t="s">
        <v>882</v>
      </c>
      <c r="D22" s="28" t="s">
        <v>885</v>
      </c>
      <c r="E22" s="28" t="s">
        <v>57</v>
      </c>
      <c r="G22" s="33">
        <v>15</v>
      </c>
      <c r="H22" s="28" t="str">
        <f t="shared" si="0"/>
        <v>AIZ</v>
      </c>
      <c r="I22" s="31" t="str">
        <f t="shared" si="1"/>
        <v>ARKIA</v>
      </c>
      <c r="J22" s="28" t="str">
        <f t="shared" si="2"/>
        <v>AVP</v>
      </c>
      <c r="L22" s="109" t="s">
        <v>461</v>
      </c>
      <c r="M22" s="28"/>
      <c r="N22" s="78">
        <v>1</v>
      </c>
      <c r="P22" s="22">
        <v>15</v>
      </c>
      <c r="Q22" s="33" t="s">
        <v>318</v>
      </c>
      <c r="R22" s="33" t="s">
        <v>509</v>
      </c>
      <c r="S22" s="33" t="s">
        <v>333</v>
      </c>
      <c r="U22" s="22">
        <v>15</v>
      </c>
      <c r="V22" s="33" t="str">
        <f t="shared" si="3"/>
        <v>A358</v>
      </c>
      <c r="W22" s="33" t="str">
        <f t="shared" si="4"/>
        <v>358</v>
      </c>
      <c r="X22" s="33" t="str">
        <f t="shared" si="5"/>
        <v>AIRBUS A350-800</v>
      </c>
      <c r="Z22" s="36" t="str">
        <f t="shared" si="6"/>
        <v>A358</v>
      </c>
      <c r="AA22" s="28" t="str">
        <f t="shared" si="7"/>
        <v>AIZ</v>
      </c>
      <c r="AB22" s="22">
        <v>15</v>
      </c>
      <c r="AC22" s="6">
        <v>2</v>
      </c>
      <c r="AD22">
        <v>12</v>
      </c>
      <c r="AE22" s="209"/>
      <c r="AF22" s="210"/>
      <c r="AG22" s="210"/>
      <c r="AH22" s="210"/>
      <c r="AI22" s="210"/>
      <c r="AJ22" s="211"/>
      <c r="AL22" s="46"/>
      <c r="AM22" s="101"/>
      <c r="AO22" s="101"/>
      <c r="AQ22" s="101"/>
      <c r="AS22" s="101"/>
    </row>
    <row r="23" spans="2:49" ht="15.75" thickBot="1" x14ac:dyDescent="0.3">
      <c r="B23" s="33">
        <v>16</v>
      </c>
      <c r="C23" s="31" t="s">
        <v>116</v>
      </c>
      <c r="D23" s="28" t="s">
        <v>200</v>
      </c>
      <c r="E23" s="28" t="s">
        <v>57</v>
      </c>
      <c r="G23" s="33">
        <v>16</v>
      </c>
      <c r="H23" s="28" t="str">
        <f t="shared" si="0"/>
        <v>AUA</v>
      </c>
      <c r="I23" s="31" t="str">
        <f t="shared" si="1"/>
        <v>AUSTRIAN</v>
      </c>
      <c r="J23" s="28" t="str">
        <f t="shared" si="2"/>
        <v>AVP</v>
      </c>
      <c r="L23" s="109" t="s">
        <v>459</v>
      </c>
      <c r="M23" s="28">
        <v>2</v>
      </c>
      <c r="N23" s="78">
        <v>1</v>
      </c>
      <c r="P23" s="22">
        <v>16</v>
      </c>
      <c r="Q23" s="33" t="s">
        <v>319</v>
      </c>
      <c r="R23" s="33" t="s">
        <v>510</v>
      </c>
      <c r="S23" s="33" t="s">
        <v>334</v>
      </c>
      <c r="U23" s="22">
        <v>16</v>
      </c>
      <c r="V23" s="33" t="str">
        <f t="shared" si="3"/>
        <v>A359</v>
      </c>
      <c r="W23" s="33" t="str">
        <f t="shared" si="4"/>
        <v>359</v>
      </c>
      <c r="X23" s="33" t="str">
        <f t="shared" si="5"/>
        <v>AIRBUS A350-900</v>
      </c>
      <c r="Z23" s="36" t="str">
        <f t="shared" si="6"/>
        <v>A359</v>
      </c>
      <c r="AA23" s="28" t="str">
        <f t="shared" si="7"/>
        <v>AUA</v>
      </c>
      <c r="AB23" s="22">
        <v>16</v>
      </c>
      <c r="AC23" s="6">
        <v>2</v>
      </c>
      <c r="AL23" s="43"/>
      <c r="AM23" s="44"/>
      <c r="AN23" s="4"/>
      <c r="AO23" s="44"/>
      <c r="AP23" s="4"/>
      <c r="AQ23" s="44"/>
      <c r="AR23" s="4"/>
      <c r="AS23" s="44"/>
    </row>
    <row r="24" spans="2:49" ht="15.75" thickBot="1" x14ac:dyDescent="0.3">
      <c r="B24" s="33">
        <v>17</v>
      </c>
      <c r="C24" s="31" t="s">
        <v>134</v>
      </c>
      <c r="D24" s="28" t="s">
        <v>201</v>
      </c>
      <c r="E24" s="28" t="s">
        <v>57</v>
      </c>
      <c r="F24" s="28"/>
      <c r="G24" s="33">
        <v>17</v>
      </c>
      <c r="H24" s="28" t="str">
        <f t="shared" si="0"/>
        <v>BMS</v>
      </c>
      <c r="I24" s="31" t="str">
        <f t="shared" si="1"/>
        <v>BLUE AIR</v>
      </c>
      <c r="J24" s="28" t="str">
        <f t="shared" si="2"/>
        <v>AVP</v>
      </c>
      <c r="L24" s="109" t="s">
        <v>457</v>
      </c>
      <c r="M24" s="28">
        <v>2</v>
      </c>
      <c r="N24" s="78">
        <v>1</v>
      </c>
      <c r="P24" s="22">
        <v>17</v>
      </c>
      <c r="Q24" s="33" t="s">
        <v>320</v>
      </c>
      <c r="R24" s="33" t="s">
        <v>340</v>
      </c>
      <c r="S24" s="33" t="s">
        <v>335</v>
      </c>
      <c r="U24" s="22">
        <v>17</v>
      </c>
      <c r="V24" s="33" t="str">
        <f t="shared" si="3"/>
        <v>A380</v>
      </c>
      <c r="W24" s="33" t="str">
        <f t="shared" si="4"/>
        <v>380</v>
      </c>
      <c r="X24" s="33" t="str">
        <f t="shared" si="5"/>
        <v>AIRBUS A380</v>
      </c>
      <c r="Z24" s="36" t="str">
        <f t="shared" si="6"/>
        <v>A380</v>
      </c>
      <c r="AA24" s="28" t="str">
        <f t="shared" si="7"/>
        <v>BMS</v>
      </c>
      <c r="AB24" s="22">
        <v>17</v>
      </c>
      <c r="AC24" s="6">
        <v>2</v>
      </c>
      <c r="AE24" s="749"/>
      <c r="AF24" s="923"/>
      <c r="AG24" s="923"/>
      <c r="AH24" s="923"/>
      <c r="AI24" s="923"/>
      <c r="AJ24" s="750"/>
    </row>
    <row r="25" spans="2:49" ht="15.75" thickBot="1" x14ac:dyDescent="0.3">
      <c r="B25" s="33">
        <v>18</v>
      </c>
      <c r="C25" s="31" t="s">
        <v>133</v>
      </c>
      <c r="D25" s="28" t="s">
        <v>153</v>
      </c>
      <c r="E25" s="28" t="s">
        <v>57</v>
      </c>
      <c r="G25" s="33">
        <v>18</v>
      </c>
      <c r="H25" s="28" t="str">
        <f t="shared" si="0"/>
        <v>BAW</v>
      </c>
      <c r="I25" s="31" t="str">
        <f t="shared" si="1"/>
        <v>BRITISH AIRWAYS</v>
      </c>
      <c r="J25" s="28" t="str">
        <f t="shared" si="2"/>
        <v>AVP</v>
      </c>
      <c r="L25" s="109" t="s">
        <v>458</v>
      </c>
      <c r="M25" s="28"/>
      <c r="N25" s="78">
        <v>1</v>
      </c>
      <c r="P25" s="22">
        <v>18</v>
      </c>
      <c r="Q25" s="33" t="s">
        <v>297</v>
      </c>
      <c r="R25" s="33" t="s">
        <v>304</v>
      </c>
      <c r="S25" s="33" t="s">
        <v>300</v>
      </c>
      <c r="U25" s="22">
        <v>18</v>
      </c>
      <c r="V25" s="33" t="str">
        <f t="shared" si="3"/>
        <v>AT42</v>
      </c>
      <c r="W25" s="33" t="str">
        <f t="shared" si="4"/>
        <v>AT5</v>
      </c>
      <c r="X25" s="33" t="str">
        <f t="shared" si="5"/>
        <v>ATR 42-500</v>
      </c>
      <c r="Z25" s="36" t="str">
        <f t="shared" si="6"/>
        <v>AT42</v>
      </c>
      <c r="AA25" s="28" t="str">
        <f t="shared" si="7"/>
        <v>BAW</v>
      </c>
      <c r="AB25" s="22">
        <v>18</v>
      </c>
      <c r="AC25" s="6">
        <v>2</v>
      </c>
      <c r="AD25">
        <v>1</v>
      </c>
      <c r="AE25" s="737"/>
      <c r="AF25" s="810"/>
      <c r="AG25" s="810"/>
      <c r="AH25" s="810"/>
      <c r="AI25" s="810"/>
      <c r="AJ25" s="738"/>
      <c r="AL25" s="315"/>
      <c r="AM25" s="1"/>
      <c r="AN25" s="1"/>
      <c r="AO25" s="1"/>
      <c r="AP25" s="1"/>
      <c r="AQ25" s="1"/>
      <c r="AR25" s="1"/>
      <c r="AS25" s="2"/>
    </row>
    <row r="26" spans="2:49" x14ac:dyDescent="0.25">
      <c r="B26" s="33">
        <v>19</v>
      </c>
      <c r="C26" s="31" t="s">
        <v>430</v>
      </c>
      <c r="D26" s="28" t="s">
        <v>191</v>
      </c>
      <c r="E26" s="28" t="s">
        <v>57</v>
      </c>
      <c r="G26" s="33">
        <v>19</v>
      </c>
      <c r="H26" s="28" t="str">
        <f t="shared" si="0"/>
        <v>BEL</v>
      </c>
      <c r="I26" s="31" t="str">
        <f t="shared" si="1"/>
        <v>BRUSSELS AIRLINES</v>
      </c>
      <c r="J26" s="28" t="str">
        <f t="shared" si="2"/>
        <v>AVP</v>
      </c>
      <c r="L26" s="109" t="s">
        <v>456</v>
      </c>
      <c r="M26" s="28">
        <v>2</v>
      </c>
      <c r="N26" s="78">
        <v>1</v>
      </c>
      <c r="P26" s="22">
        <v>19</v>
      </c>
      <c r="Q26" s="33" t="s">
        <v>348</v>
      </c>
      <c r="R26" s="33" t="s">
        <v>304</v>
      </c>
      <c r="S26" s="33" t="s">
        <v>349</v>
      </c>
      <c r="U26" s="22">
        <v>19</v>
      </c>
      <c r="V26" s="33" t="str">
        <f t="shared" si="3"/>
        <v>AT42</v>
      </c>
      <c r="W26" s="33" t="str">
        <f t="shared" si="4"/>
        <v>AT46</v>
      </c>
      <c r="X26" s="33" t="str">
        <f t="shared" si="5"/>
        <v>ATR 42-600</v>
      </c>
      <c r="Z26" s="36" t="str">
        <f t="shared" si="6"/>
        <v>AT42</v>
      </c>
      <c r="AA26" s="28" t="str">
        <f t="shared" si="7"/>
        <v>BEL</v>
      </c>
      <c r="AB26" s="22">
        <v>19</v>
      </c>
      <c r="AC26" s="6">
        <v>2</v>
      </c>
      <c r="AD26">
        <v>2</v>
      </c>
      <c r="AE26" s="727"/>
      <c r="AF26" s="677"/>
      <c r="AG26" s="677"/>
      <c r="AH26" s="677"/>
      <c r="AI26" s="677"/>
      <c r="AJ26" s="728"/>
      <c r="AL26" s="46"/>
      <c r="AS26" s="3"/>
    </row>
    <row r="27" spans="2:49" x14ac:dyDescent="0.25">
      <c r="B27" s="33">
        <v>20</v>
      </c>
      <c r="C27" s="31" t="s">
        <v>989</v>
      </c>
      <c r="D27" s="28" t="s">
        <v>990</v>
      </c>
      <c r="E27" s="28" t="s">
        <v>57</v>
      </c>
      <c r="G27" s="33">
        <v>20</v>
      </c>
      <c r="H27" s="28" t="str">
        <f t="shared" si="0"/>
        <v>CLG</v>
      </c>
      <c r="I27" s="31" t="str">
        <f t="shared" si="1"/>
        <v>CHALAIR</v>
      </c>
      <c r="J27" s="28" t="str">
        <f t="shared" si="2"/>
        <v>AVP</v>
      </c>
      <c r="L27" s="109" t="s">
        <v>441</v>
      </c>
      <c r="M27" s="28">
        <v>2</v>
      </c>
      <c r="N27" s="78">
        <v>1</v>
      </c>
      <c r="P27" s="22">
        <v>20</v>
      </c>
      <c r="Q27" s="33" t="s">
        <v>298</v>
      </c>
      <c r="R27" s="33" t="s">
        <v>302</v>
      </c>
      <c r="S27" s="33" t="s">
        <v>301</v>
      </c>
      <c r="U27" s="22">
        <v>20</v>
      </c>
      <c r="V27" s="33" t="str">
        <f t="shared" si="3"/>
        <v>AT72</v>
      </c>
      <c r="W27" s="33" t="str">
        <f t="shared" si="4"/>
        <v>AT7</v>
      </c>
      <c r="X27" s="33" t="str">
        <f t="shared" si="5"/>
        <v>ATR 72-500</v>
      </c>
      <c r="Z27" s="36" t="str">
        <f t="shared" si="6"/>
        <v>AT72</v>
      </c>
      <c r="AA27" s="28" t="str">
        <f t="shared" si="7"/>
        <v>CLG</v>
      </c>
      <c r="AB27" s="22">
        <v>20</v>
      </c>
      <c r="AC27" s="6">
        <v>2</v>
      </c>
      <c r="AD27">
        <v>3</v>
      </c>
      <c r="AE27" s="727"/>
      <c r="AF27" s="677"/>
      <c r="AG27" s="677"/>
      <c r="AH27" s="677"/>
      <c r="AI27" s="677"/>
      <c r="AJ27" s="728"/>
      <c r="AL27" s="46"/>
      <c r="AM27" s="22"/>
      <c r="AN27" s="22"/>
      <c r="AO27" s="22"/>
      <c r="AP27" s="22"/>
      <c r="AS27" s="3"/>
    </row>
    <row r="28" spans="2:49" x14ac:dyDescent="0.25">
      <c r="B28" s="33">
        <v>21</v>
      </c>
      <c r="C28" s="31" t="s">
        <v>631</v>
      </c>
      <c r="D28" s="28" t="s">
        <v>633</v>
      </c>
      <c r="E28" s="28" t="s">
        <v>57</v>
      </c>
      <c r="G28" s="33">
        <v>21</v>
      </c>
      <c r="H28" s="28" t="str">
        <f t="shared" si="0"/>
        <v>CFG</v>
      </c>
      <c r="I28" s="31" t="str">
        <f t="shared" si="1"/>
        <v>CONDOR</v>
      </c>
      <c r="J28" s="28" t="str">
        <f t="shared" si="2"/>
        <v>AVP</v>
      </c>
      <c r="L28" s="109" t="s">
        <v>455</v>
      </c>
      <c r="M28" s="28"/>
      <c r="N28" s="78">
        <v>1</v>
      </c>
      <c r="P28" s="22">
        <v>21</v>
      </c>
      <c r="Q28" s="33" t="s">
        <v>299</v>
      </c>
      <c r="R28" s="33" t="s">
        <v>302</v>
      </c>
      <c r="S28" s="33" t="s">
        <v>303</v>
      </c>
      <c r="U28" s="22">
        <v>21</v>
      </c>
      <c r="V28" s="33" t="str">
        <f t="shared" si="3"/>
        <v>AT72</v>
      </c>
      <c r="W28" s="33" t="str">
        <f t="shared" si="4"/>
        <v>AT76</v>
      </c>
      <c r="X28" s="33" t="str">
        <f t="shared" si="5"/>
        <v>ATR 72-600</v>
      </c>
      <c r="Z28" s="36" t="str">
        <f t="shared" si="6"/>
        <v>AT72</v>
      </c>
      <c r="AA28" s="28" t="str">
        <f t="shared" si="7"/>
        <v>CFG</v>
      </c>
      <c r="AB28" s="22">
        <v>21</v>
      </c>
      <c r="AC28" s="6">
        <v>4</v>
      </c>
      <c r="AD28">
        <v>4</v>
      </c>
      <c r="AE28" s="727"/>
      <c r="AF28" s="677"/>
      <c r="AG28" s="677"/>
      <c r="AH28" s="677"/>
      <c r="AI28" s="677"/>
      <c r="AJ28" s="728"/>
      <c r="AL28" s="46"/>
      <c r="AM28" s="22"/>
      <c r="AN28" s="22"/>
      <c r="AO28" s="22"/>
      <c r="AP28" s="22"/>
      <c r="AS28" s="3"/>
    </row>
    <row r="29" spans="2:49" x14ac:dyDescent="0.25">
      <c r="B29" s="33">
        <v>22</v>
      </c>
      <c r="C29" s="31" t="s">
        <v>124</v>
      </c>
      <c r="D29" s="28" t="s">
        <v>202</v>
      </c>
      <c r="E29" s="28" t="s">
        <v>57</v>
      </c>
      <c r="G29" s="33">
        <v>22</v>
      </c>
      <c r="H29" s="28" t="str">
        <f t="shared" si="0"/>
        <v>DAL</v>
      </c>
      <c r="I29" s="31" t="str">
        <f t="shared" si="1"/>
        <v>DELTA</v>
      </c>
      <c r="J29" s="28" t="str">
        <f t="shared" si="2"/>
        <v>AVP</v>
      </c>
      <c r="L29" s="109" t="s">
        <v>440</v>
      </c>
      <c r="M29" s="28">
        <v>2</v>
      </c>
      <c r="N29" s="78">
        <v>1</v>
      </c>
      <c r="P29" s="22">
        <v>22</v>
      </c>
      <c r="Q29" s="33" t="s">
        <v>936</v>
      </c>
      <c r="R29" s="33" t="s">
        <v>937</v>
      </c>
      <c r="S29" s="33" t="s">
        <v>937</v>
      </c>
      <c r="U29" s="22">
        <v>22</v>
      </c>
      <c r="V29" s="33" t="str">
        <f t="shared" si="3"/>
        <v>BEH</v>
      </c>
      <c r="W29" s="33" t="str">
        <f t="shared" si="4"/>
        <v>BEH</v>
      </c>
      <c r="X29" s="33" t="str">
        <f t="shared" si="5"/>
        <v>BEECHCRAFT 1900D</v>
      </c>
      <c r="Z29" s="36" t="str">
        <f t="shared" si="6"/>
        <v>BEH</v>
      </c>
      <c r="AA29" s="28" t="str">
        <f t="shared" si="7"/>
        <v>DAL</v>
      </c>
      <c r="AB29" s="22">
        <v>22</v>
      </c>
      <c r="AC29" s="6">
        <v>2</v>
      </c>
      <c r="AD29">
        <v>5</v>
      </c>
      <c r="AE29" s="727"/>
      <c r="AF29" s="677"/>
      <c r="AG29" s="677"/>
      <c r="AH29" s="677"/>
      <c r="AI29" s="677"/>
      <c r="AJ29" s="728"/>
      <c r="AL29" s="46"/>
      <c r="AM29" s="22"/>
      <c r="AN29" s="22"/>
      <c r="AO29" s="22"/>
      <c r="AP29" s="22"/>
      <c r="AS29" s="3"/>
    </row>
    <row r="30" spans="2:49" x14ac:dyDescent="0.25">
      <c r="B30" s="33">
        <v>23</v>
      </c>
      <c r="C30" s="31" t="s">
        <v>108</v>
      </c>
      <c r="D30" s="28" t="s">
        <v>154</v>
      </c>
      <c r="E30" s="28" t="s">
        <v>61</v>
      </c>
      <c r="F30" s="28"/>
      <c r="G30" s="33">
        <v>23</v>
      </c>
      <c r="H30" s="28" t="str">
        <f t="shared" si="0"/>
        <v>EZY</v>
      </c>
      <c r="I30" s="31" t="str">
        <f t="shared" si="1"/>
        <v>EASYJET</v>
      </c>
      <c r="J30" s="28" t="str">
        <f t="shared" si="2"/>
        <v>MZS</v>
      </c>
      <c r="L30" s="109" t="s">
        <v>533</v>
      </c>
      <c r="N30" s="78">
        <v>0</v>
      </c>
      <c r="P30" s="22">
        <v>23</v>
      </c>
      <c r="Q30" s="33" t="s">
        <v>227</v>
      </c>
      <c r="R30" s="33" t="s">
        <v>296</v>
      </c>
      <c r="S30" s="33" t="s">
        <v>287</v>
      </c>
      <c r="U30" s="22">
        <v>23</v>
      </c>
      <c r="V30" s="33" t="str">
        <f t="shared" si="3"/>
        <v>B737</v>
      </c>
      <c r="W30" s="33" t="str">
        <f t="shared" si="4"/>
        <v>B3XM</v>
      </c>
      <c r="X30" s="33" t="str">
        <f t="shared" si="5"/>
        <v>BOEING 737 MAX 10</v>
      </c>
      <c r="Z30" s="36" t="str">
        <f t="shared" si="6"/>
        <v>B737</v>
      </c>
      <c r="AA30" s="28" t="str">
        <f t="shared" si="7"/>
        <v>EZY</v>
      </c>
      <c r="AB30" s="22">
        <v>23</v>
      </c>
      <c r="AC30" s="6">
        <v>2</v>
      </c>
      <c r="AD30">
        <v>6</v>
      </c>
      <c r="AE30" s="727"/>
      <c r="AF30" s="677"/>
      <c r="AG30" s="677"/>
      <c r="AH30" s="677"/>
      <c r="AI30" s="677"/>
      <c r="AJ30" s="728"/>
      <c r="AL30" s="46"/>
      <c r="AM30" s="22"/>
      <c r="AN30" s="22"/>
      <c r="AO30" s="22"/>
      <c r="AP30" s="22"/>
      <c r="AS30" s="3"/>
    </row>
    <row r="31" spans="2:49" ht="15.75" thickBot="1" x14ac:dyDescent="0.3">
      <c r="B31" s="33">
        <v>24</v>
      </c>
      <c r="C31" s="31" t="s">
        <v>136</v>
      </c>
      <c r="D31" s="28" t="s">
        <v>203</v>
      </c>
      <c r="E31" s="28" t="s">
        <v>57</v>
      </c>
      <c r="F31" s="28"/>
      <c r="G31" s="33">
        <v>24</v>
      </c>
      <c r="H31" s="28" t="str">
        <f t="shared" si="0"/>
        <v>ELY</v>
      </c>
      <c r="I31" s="31" t="str">
        <f t="shared" si="1"/>
        <v>EL AL</v>
      </c>
      <c r="J31" s="28" t="str">
        <f t="shared" si="2"/>
        <v>AVP</v>
      </c>
      <c r="L31" s="109" t="s">
        <v>532</v>
      </c>
      <c r="N31" s="78">
        <v>0</v>
      </c>
      <c r="P31" s="22">
        <v>24</v>
      </c>
      <c r="Q31" s="33" t="s">
        <v>265</v>
      </c>
      <c r="R31" s="33" t="s">
        <v>489</v>
      </c>
      <c r="S31" s="33" t="s">
        <v>277</v>
      </c>
      <c r="U31" s="22">
        <v>24</v>
      </c>
      <c r="V31" s="33" t="str">
        <f t="shared" si="3"/>
        <v>B733</v>
      </c>
      <c r="W31" s="33" t="str">
        <f t="shared" si="4"/>
        <v>733</v>
      </c>
      <c r="X31" s="33" t="str">
        <f t="shared" si="5"/>
        <v>BOEING 737-300</v>
      </c>
      <c r="Z31" s="36" t="str">
        <f t="shared" si="6"/>
        <v>B733</v>
      </c>
      <c r="AA31" s="28" t="str">
        <f t="shared" si="7"/>
        <v>ELY</v>
      </c>
      <c r="AB31" s="22">
        <v>24</v>
      </c>
      <c r="AC31" s="6">
        <v>2</v>
      </c>
      <c r="AD31">
        <v>7</v>
      </c>
      <c r="AE31" s="727"/>
      <c r="AF31" s="677"/>
      <c r="AG31" s="677"/>
      <c r="AH31" s="677"/>
      <c r="AI31" s="677"/>
      <c r="AJ31" s="728"/>
      <c r="AL31" s="43"/>
      <c r="AM31" s="4"/>
      <c r="AN31" s="4"/>
      <c r="AO31" s="4"/>
      <c r="AP31" s="4"/>
      <c r="AQ31" s="4"/>
      <c r="AR31" s="4"/>
      <c r="AS31" s="5"/>
    </row>
    <row r="32" spans="2:49" x14ac:dyDescent="0.25">
      <c r="B32" s="33">
        <v>25</v>
      </c>
      <c r="C32" s="31" t="s">
        <v>125</v>
      </c>
      <c r="D32" s="28" t="s">
        <v>155</v>
      </c>
      <c r="E32" s="28" t="s">
        <v>57</v>
      </c>
      <c r="F32" s="28"/>
      <c r="G32" s="33">
        <v>25</v>
      </c>
      <c r="H32" s="28" t="str">
        <f t="shared" si="0"/>
        <v>UAE</v>
      </c>
      <c r="I32" s="31" t="str">
        <f t="shared" si="1"/>
        <v>EMIRATES</v>
      </c>
      <c r="J32" s="28" t="str">
        <f t="shared" si="2"/>
        <v>AVP</v>
      </c>
      <c r="L32" s="109" t="s">
        <v>531</v>
      </c>
      <c r="N32" s="78">
        <v>0</v>
      </c>
      <c r="P32" s="22">
        <v>25</v>
      </c>
      <c r="Q32" s="33" t="s">
        <v>266</v>
      </c>
      <c r="R32" s="33" t="s">
        <v>490</v>
      </c>
      <c r="S32" s="33" t="s">
        <v>278</v>
      </c>
      <c r="U32" s="22">
        <v>25</v>
      </c>
      <c r="V32" s="33" t="str">
        <f t="shared" si="3"/>
        <v>B734</v>
      </c>
      <c r="W32" s="33" t="str">
        <f t="shared" si="4"/>
        <v>734</v>
      </c>
      <c r="X32" s="33" t="str">
        <f t="shared" si="5"/>
        <v>BOEING 737-400</v>
      </c>
      <c r="Z32" s="36" t="str">
        <f t="shared" si="6"/>
        <v>B734</v>
      </c>
      <c r="AA32" s="28" t="str">
        <f t="shared" si="7"/>
        <v>UAE</v>
      </c>
      <c r="AB32" s="22">
        <v>25</v>
      </c>
      <c r="AC32" s="6">
        <v>4</v>
      </c>
      <c r="AD32">
        <v>8</v>
      </c>
      <c r="AE32" s="727"/>
      <c r="AF32" s="677"/>
      <c r="AG32" s="677"/>
      <c r="AH32" s="677"/>
      <c r="AI32" s="677"/>
      <c r="AJ32" s="728"/>
    </row>
    <row r="33" spans="2:36" x14ac:dyDescent="0.25">
      <c r="B33" s="33">
        <v>26</v>
      </c>
      <c r="C33" s="31" t="s">
        <v>628</v>
      </c>
      <c r="D33" s="28" t="s">
        <v>627</v>
      </c>
      <c r="E33" s="28" t="s">
        <v>57</v>
      </c>
      <c r="F33" s="28"/>
      <c r="G33" s="33">
        <v>26</v>
      </c>
      <c r="H33" s="28" t="str">
        <f t="shared" si="0"/>
        <v>ETD</v>
      </c>
      <c r="I33" s="31" t="str">
        <f t="shared" si="1"/>
        <v>ETIHAD</v>
      </c>
      <c r="J33" s="28" t="str">
        <f t="shared" si="2"/>
        <v>AVP</v>
      </c>
      <c r="L33" s="109" t="s">
        <v>530</v>
      </c>
      <c r="N33" s="78">
        <v>0</v>
      </c>
      <c r="P33" s="22">
        <v>26</v>
      </c>
      <c r="Q33" s="33" t="s">
        <v>223</v>
      </c>
      <c r="R33" s="33" t="s">
        <v>491</v>
      </c>
      <c r="S33" s="33" t="s">
        <v>279</v>
      </c>
      <c r="U33" s="22">
        <v>26</v>
      </c>
      <c r="V33" s="33" t="str">
        <f t="shared" si="3"/>
        <v>B735</v>
      </c>
      <c r="W33" s="33" t="str">
        <f t="shared" si="4"/>
        <v>735</v>
      </c>
      <c r="X33" s="33" t="str">
        <f t="shared" si="5"/>
        <v>BOEING 737-500</v>
      </c>
      <c r="Z33" s="36" t="str">
        <f t="shared" si="6"/>
        <v>B735</v>
      </c>
      <c r="AA33" s="28" t="str">
        <f t="shared" si="7"/>
        <v>ETD</v>
      </c>
      <c r="AB33" s="22">
        <v>26</v>
      </c>
      <c r="AC33" s="6">
        <v>2</v>
      </c>
      <c r="AD33">
        <v>9</v>
      </c>
      <c r="AE33" s="727"/>
      <c r="AF33" s="677"/>
      <c r="AG33" s="677"/>
      <c r="AH33" s="677"/>
      <c r="AI33" s="677"/>
      <c r="AJ33" s="728"/>
    </row>
    <row r="34" spans="2:36" x14ac:dyDescent="0.25">
      <c r="B34" s="33">
        <v>27</v>
      </c>
      <c r="C34" s="31" t="s">
        <v>119</v>
      </c>
      <c r="D34" s="28" t="s">
        <v>204</v>
      </c>
      <c r="E34" s="28" t="s">
        <v>61</v>
      </c>
      <c r="F34" s="28"/>
      <c r="G34" s="33">
        <v>27</v>
      </c>
      <c r="H34" s="28" t="str">
        <f t="shared" si="0"/>
        <v>EWG</v>
      </c>
      <c r="I34" s="31" t="str">
        <f t="shared" si="1"/>
        <v>EUROWINGS</v>
      </c>
      <c r="J34" s="28" t="str">
        <f t="shared" si="2"/>
        <v>MZS</v>
      </c>
      <c r="L34" s="109" t="s">
        <v>529</v>
      </c>
      <c r="N34" s="78">
        <v>0</v>
      </c>
      <c r="P34" s="22">
        <v>27</v>
      </c>
      <c r="Q34" s="33" t="s">
        <v>224</v>
      </c>
      <c r="R34" s="33" t="s">
        <v>492</v>
      </c>
      <c r="S34" s="33" t="s">
        <v>280</v>
      </c>
      <c r="U34" s="22">
        <v>27</v>
      </c>
      <c r="V34" s="33" t="str">
        <f t="shared" si="3"/>
        <v>B736</v>
      </c>
      <c r="W34" s="33" t="str">
        <f t="shared" si="4"/>
        <v>736</v>
      </c>
      <c r="X34" s="33" t="str">
        <f t="shared" si="5"/>
        <v>BOEING 737-600</v>
      </c>
      <c r="Z34" s="36" t="str">
        <f t="shared" si="6"/>
        <v>B736</v>
      </c>
      <c r="AA34" s="28" t="str">
        <f t="shared" si="7"/>
        <v>EWG</v>
      </c>
      <c r="AB34" s="22">
        <v>27</v>
      </c>
      <c r="AC34" s="6">
        <v>4</v>
      </c>
      <c r="AD34">
        <v>10</v>
      </c>
      <c r="AE34" s="727"/>
      <c r="AF34" s="677"/>
      <c r="AG34" s="677"/>
      <c r="AH34" s="677"/>
      <c r="AI34" s="677"/>
      <c r="AJ34" s="728"/>
    </row>
    <row r="35" spans="2:36" x14ac:dyDescent="0.25">
      <c r="B35" s="33">
        <v>28</v>
      </c>
      <c r="C35" s="31" t="s">
        <v>139</v>
      </c>
      <c r="D35" s="28" t="s">
        <v>205</v>
      </c>
      <c r="E35" s="28" t="s">
        <v>57</v>
      </c>
      <c r="F35" s="28"/>
      <c r="G35" s="33">
        <v>28</v>
      </c>
      <c r="H35" s="28" t="str">
        <f t="shared" si="0"/>
        <v>FIN</v>
      </c>
      <c r="I35" s="31" t="str">
        <f t="shared" si="1"/>
        <v>FINNAIR</v>
      </c>
      <c r="J35" s="28" t="str">
        <f t="shared" si="2"/>
        <v>AVP</v>
      </c>
      <c r="L35" s="109" t="s">
        <v>528</v>
      </c>
      <c r="N35" s="78">
        <v>0</v>
      </c>
      <c r="P35" s="22">
        <v>28</v>
      </c>
      <c r="Q35" s="33" t="s">
        <v>225</v>
      </c>
      <c r="R35" s="33" t="s">
        <v>296</v>
      </c>
      <c r="S35" s="33" t="s">
        <v>281</v>
      </c>
      <c r="U35" s="22">
        <v>28</v>
      </c>
      <c r="V35" s="33" t="str">
        <f t="shared" si="3"/>
        <v>B737</v>
      </c>
      <c r="W35" s="33" t="str">
        <f t="shared" si="4"/>
        <v>737</v>
      </c>
      <c r="X35" s="33" t="str">
        <f t="shared" si="5"/>
        <v>BOEING 737-700</v>
      </c>
      <c r="Z35" s="36" t="str">
        <f t="shared" si="6"/>
        <v>B737</v>
      </c>
      <c r="AA35" s="28" t="str">
        <f t="shared" si="7"/>
        <v>FIN</v>
      </c>
      <c r="AB35" s="22">
        <v>28</v>
      </c>
      <c r="AC35" s="6">
        <v>4</v>
      </c>
      <c r="AD35">
        <v>11</v>
      </c>
      <c r="AE35" s="727"/>
      <c r="AF35" s="677"/>
      <c r="AG35" s="677"/>
      <c r="AH35" s="677"/>
      <c r="AI35" s="677"/>
      <c r="AJ35" s="728"/>
    </row>
    <row r="36" spans="2:36" ht="15.75" thickBot="1" x14ac:dyDescent="0.3">
      <c r="B36" s="33">
        <v>29</v>
      </c>
      <c r="C36" s="31" t="s">
        <v>746</v>
      </c>
      <c r="D36" s="28" t="s">
        <v>747</v>
      </c>
      <c r="E36" s="28" t="s">
        <v>61</v>
      </c>
      <c r="G36" s="33">
        <v>29</v>
      </c>
      <c r="H36" s="28" t="str">
        <f t="shared" si="0"/>
        <v>FIA</v>
      </c>
      <c r="I36" s="31" t="str">
        <f t="shared" si="1"/>
        <v>FLYONE</v>
      </c>
      <c r="J36" s="28" t="str">
        <f t="shared" si="2"/>
        <v>MZS</v>
      </c>
      <c r="L36" s="109" t="s">
        <v>439</v>
      </c>
      <c r="M36" s="28">
        <v>2</v>
      </c>
      <c r="N36" s="78">
        <v>1</v>
      </c>
      <c r="P36" s="22">
        <v>29</v>
      </c>
      <c r="Q36" s="33" t="s">
        <v>226</v>
      </c>
      <c r="R36" s="33" t="s">
        <v>493</v>
      </c>
      <c r="S36" s="33" t="s">
        <v>282</v>
      </c>
      <c r="U36" s="22">
        <v>29</v>
      </c>
      <c r="V36" s="33" t="str">
        <f t="shared" si="3"/>
        <v>B738</v>
      </c>
      <c r="W36" s="33" t="str">
        <f t="shared" si="4"/>
        <v>738</v>
      </c>
      <c r="X36" s="33" t="str">
        <f t="shared" si="5"/>
        <v>BOEING 737-800</v>
      </c>
      <c r="Z36" s="36" t="str">
        <f t="shared" si="6"/>
        <v>B738</v>
      </c>
      <c r="AA36" s="28" t="str">
        <f t="shared" si="7"/>
        <v>FIA</v>
      </c>
      <c r="AB36" s="22">
        <v>29</v>
      </c>
      <c r="AC36" s="6">
        <v>2</v>
      </c>
      <c r="AD36">
        <v>12</v>
      </c>
      <c r="AE36" s="743"/>
      <c r="AF36" s="811"/>
      <c r="AG36" s="811"/>
      <c r="AH36" s="811"/>
      <c r="AI36" s="811"/>
      <c r="AJ36" s="744"/>
    </row>
    <row r="37" spans="2:36" x14ac:dyDescent="0.25">
      <c r="B37" s="33">
        <v>30</v>
      </c>
      <c r="C37" s="31" t="s">
        <v>907</v>
      </c>
      <c r="D37" s="28" t="s">
        <v>908</v>
      </c>
      <c r="E37" s="28" t="s">
        <v>859</v>
      </c>
      <c r="G37" s="33">
        <v>30</v>
      </c>
      <c r="H37" s="28" t="str">
        <f t="shared" si="0"/>
        <v>TGZ</v>
      </c>
      <c r="I37" s="31" t="str">
        <f t="shared" si="1"/>
        <v>GEORGIAN</v>
      </c>
      <c r="J37" s="28" t="str">
        <f t="shared" si="2"/>
        <v>ALZ</v>
      </c>
      <c r="L37" s="109" t="s">
        <v>454</v>
      </c>
      <c r="M37" s="28"/>
      <c r="N37" s="78">
        <v>1</v>
      </c>
      <c r="P37" s="22">
        <v>30</v>
      </c>
      <c r="Q37" s="33" t="s">
        <v>267</v>
      </c>
      <c r="R37" s="33" t="s">
        <v>494</v>
      </c>
      <c r="S37" s="33" t="s">
        <v>283</v>
      </c>
      <c r="U37" s="22">
        <v>30</v>
      </c>
      <c r="V37" s="33" t="str">
        <f t="shared" si="3"/>
        <v>B739</v>
      </c>
      <c r="W37" s="33" t="str">
        <f t="shared" si="4"/>
        <v>739</v>
      </c>
      <c r="X37" s="33" t="str">
        <f t="shared" si="5"/>
        <v>BOEING 737-900</v>
      </c>
      <c r="Z37" s="36" t="str">
        <f t="shared" si="6"/>
        <v>B739</v>
      </c>
      <c r="AA37" s="28" t="str">
        <f t="shared" si="7"/>
        <v>TGZ</v>
      </c>
      <c r="AB37" s="22">
        <v>30</v>
      </c>
      <c r="AC37" s="6">
        <v>1</v>
      </c>
    </row>
    <row r="38" spans="2:36" x14ac:dyDescent="0.25">
      <c r="B38" s="33">
        <v>31</v>
      </c>
      <c r="C38" s="31" t="s">
        <v>140</v>
      </c>
      <c r="D38" s="28" t="s">
        <v>206</v>
      </c>
      <c r="E38" s="200" t="s">
        <v>57</v>
      </c>
      <c r="G38" s="33">
        <v>31</v>
      </c>
      <c r="H38" s="28" t="str">
        <f t="shared" si="0"/>
        <v>GFA</v>
      </c>
      <c r="I38" s="31" t="str">
        <f t="shared" si="1"/>
        <v>GULF AIR</v>
      </c>
      <c r="J38" s="28" t="str">
        <f t="shared" si="2"/>
        <v>AVP</v>
      </c>
      <c r="L38" s="109" t="s">
        <v>438</v>
      </c>
      <c r="M38" s="28">
        <v>2</v>
      </c>
      <c r="N38" s="78">
        <v>1</v>
      </c>
      <c r="P38" s="22">
        <v>31</v>
      </c>
      <c r="Q38" s="33" t="s">
        <v>271</v>
      </c>
      <c r="R38" s="33" t="s">
        <v>495</v>
      </c>
      <c r="S38" s="33">
        <v>752</v>
      </c>
      <c r="U38" s="22">
        <v>31</v>
      </c>
      <c r="V38" s="33" t="str">
        <f t="shared" si="3"/>
        <v>B752</v>
      </c>
      <c r="W38" s="33">
        <f t="shared" si="4"/>
        <v>752</v>
      </c>
      <c r="X38" s="33" t="str">
        <f t="shared" si="5"/>
        <v>BOEING 757-200</v>
      </c>
      <c r="Z38" s="36" t="str">
        <f t="shared" si="6"/>
        <v>B752</v>
      </c>
      <c r="AA38" s="28" t="str">
        <f t="shared" si="7"/>
        <v>GFA</v>
      </c>
      <c r="AB38" s="22">
        <v>31</v>
      </c>
      <c r="AC38" s="6">
        <v>2</v>
      </c>
    </row>
    <row r="39" spans="2:36" x14ac:dyDescent="0.25">
      <c r="B39" s="33">
        <v>32</v>
      </c>
      <c r="C39" s="31" t="s">
        <v>137</v>
      </c>
      <c r="D39" s="28" t="s">
        <v>156</v>
      </c>
      <c r="E39" s="28" t="s">
        <v>57</v>
      </c>
      <c r="G39" s="33">
        <v>32</v>
      </c>
      <c r="H39" s="28" t="str">
        <f t="shared" si="0"/>
        <v>IBE</v>
      </c>
      <c r="I39" s="31" t="str">
        <f t="shared" si="1"/>
        <v>IBERIA</v>
      </c>
      <c r="J39" s="28" t="str">
        <f t="shared" si="2"/>
        <v>AVP</v>
      </c>
      <c r="L39" s="109" t="s">
        <v>452</v>
      </c>
      <c r="M39" s="28">
        <v>2</v>
      </c>
      <c r="N39" s="78">
        <v>1</v>
      </c>
      <c r="P39" s="22">
        <v>32</v>
      </c>
      <c r="Q39" s="33" t="s">
        <v>272</v>
      </c>
      <c r="R39" s="33" t="s">
        <v>496</v>
      </c>
      <c r="S39" s="33" t="s">
        <v>288</v>
      </c>
      <c r="U39" s="22">
        <v>32</v>
      </c>
      <c r="V39" s="33" t="str">
        <f t="shared" si="3"/>
        <v>B753</v>
      </c>
      <c r="W39" s="33" t="str">
        <f t="shared" si="4"/>
        <v>753</v>
      </c>
      <c r="X39" s="33" t="str">
        <f t="shared" si="5"/>
        <v>BOEING 757-300</v>
      </c>
      <c r="Z39" s="36" t="str">
        <f t="shared" si="6"/>
        <v>B753</v>
      </c>
      <c r="AA39" s="28" t="str">
        <f t="shared" si="7"/>
        <v>IBE</v>
      </c>
      <c r="AB39" s="22">
        <v>32</v>
      </c>
      <c r="AC39" s="6">
        <v>2</v>
      </c>
    </row>
    <row r="40" spans="2:36" x14ac:dyDescent="0.25">
      <c r="B40" s="33">
        <v>33</v>
      </c>
      <c r="C40" s="31" t="s">
        <v>138</v>
      </c>
      <c r="D40" s="28" t="s">
        <v>207</v>
      </c>
      <c r="E40" s="28" t="s">
        <v>57</v>
      </c>
      <c r="G40" s="33">
        <v>33</v>
      </c>
      <c r="H40" s="28" t="str">
        <f t="shared" si="0"/>
        <v>IBS</v>
      </c>
      <c r="I40" s="31" t="str">
        <f t="shared" si="1"/>
        <v>IBERIA EXPRESS</v>
      </c>
      <c r="J40" s="28" t="str">
        <f t="shared" si="2"/>
        <v>AVP</v>
      </c>
      <c r="L40" s="109" t="s">
        <v>453</v>
      </c>
      <c r="M40" s="28"/>
      <c r="N40" s="78">
        <v>1</v>
      </c>
      <c r="P40" s="22">
        <v>33</v>
      </c>
      <c r="Q40" s="33" t="s">
        <v>230</v>
      </c>
      <c r="R40" s="33" t="s">
        <v>498</v>
      </c>
      <c r="S40" s="33">
        <v>762</v>
      </c>
      <c r="U40" s="22">
        <v>33</v>
      </c>
      <c r="V40" s="33" t="str">
        <f t="shared" si="3"/>
        <v>B762</v>
      </c>
      <c r="W40" s="33">
        <f t="shared" si="4"/>
        <v>762</v>
      </c>
      <c r="X40" s="33" t="str">
        <f t="shared" si="5"/>
        <v>BOEING 767-200</v>
      </c>
      <c r="Z40" s="36" t="str">
        <f t="shared" si="6"/>
        <v>B762</v>
      </c>
      <c r="AA40" s="28" t="str">
        <f t="shared" si="7"/>
        <v>IBS</v>
      </c>
      <c r="AB40" s="22">
        <v>33</v>
      </c>
      <c r="AC40" s="6">
        <v>2</v>
      </c>
    </row>
    <row r="41" spans="2:36" x14ac:dyDescent="0.25">
      <c r="B41" s="33">
        <v>34</v>
      </c>
      <c r="C41" s="31" t="s">
        <v>641</v>
      </c>
      <c r="D41" s="28" t="s">
        <v>642</v>
      </c>
      <c r="E41" s="28" t="s">
        <v>57</v>
      </c>
      <c r="G41" s="33">
        <v>34</v>
      </c>
      <c r="H41" s="28" t="str">
        <f t="shared" si="0"/>
        <v>ICE</v>
      </c>
      <c r="I41" s="31" t="str">
        <f t="shared" si="1"/>
        <v>ICELANDAIR</v>
      </c>
      <c r="J41" s="28" t="str">
        <f t="shared" si="2"/>
        <v>AVP</v>
      </c>
      <c r="L41" s="109" t="s">
        <v>437</v>
      </c>
      <c r="M41" s="28">
        <v>2</v>
      </c>
      <c r="N41" s="78">
        <v>1</v>
      </c>
      <c r="P41" s="22">
        <v>34</v>
      </c>
      <c r="Q41" s="33" t="s">
        <v>228</v>
      </c>
      <c r="R41" s="33" t="s">
        <v>499</v>
      </c>
      <c r="S41" s="33" t="s">
        <v>290</v>
      </c>
      <c r="U41" s="22">
        <v>34</v>
      </c>
      <c r="V41" s="33" t="str">
        <f t="shared" si="3"/>
        <v>B763</v>
      </c>
      <c r="W41" s="33" t="str">
        <f t="shared" si="4"/>
        <v>763</v>
      </c>
      <c r="X41" s="33" t="str">
        <f t="shared" si="5"/>
        <v>BOEING 767-300</v>
      </c>
      <c r="Z41" s="36" t="str">
        <f t="shared" si="6"/>
        <v>B763</v>
      </c>
      <c r="AA41" s="28" t="str">
        <f t="shared" si="7"/>
        <v>ICE</v>
      </c>
      <c r="AB41" s="22">
        <v>34</v>
      </c>
      <c r="AC41" s="6">
        <v>3</v>
      </c>
    </row>
    <row r="42" spans="2:36" x14ac:dyDescent="0.25">
      <c r="B42" s="33">
        <v>35</v>
      </c>
      <c r="C42" s="31" t="s">
        <v>881</v>
      </c>
      <c r="D42" s="28" t="s">
        <v>886</v>
      </c>
      <c r="E42" s="28" t="s">
        <v>57</v>
      </c>
      <c r="G42" s="33">
        <v>35</v>
      </c>
      <c r="H42" s="28" t="str">
        <f t="shared" si="0"/>
        <v>ISR</v>
      </c>
      <c r="I42" s="31" t="str">
        <f t="shared" si="1"/>
        <v>ISRAIR</v>
      </c>
      <c r="J42" s="28" t="str">
        <f t="shared" si="2"/>
        <v>AVP</v>
      </c>
      <c r="L42" s="109" t="s">
        <v>450</v>
      </c>
      <c r="M42" s="28"/>
      <c r="N42" s="78">
        <v>1</v>
      </c>
      <c r="P42" s="22">
        <v>35</v>
      </c>
      <c r="Q42" s="33" t="s">
        <v>229</v>
      </c>
      <c r="R42" s="33" t="s">
        <v>497</v>
      </c>
      <c r="S42" s="33" t="s">
        <v>289</v>
      </c>
      <c r="U42" s="22">
        <v>35</v>
      </c>
      <c r="V42" s="33" t="str">
        <f t="shared" si="3"/>
        <v>B764</v>
      </c>
      <c r="W42" s="33" t="str">
        <f t="shared" si="4"/>
        <v>764</v>
      </c>
      <c r="X42" s="33" t="str">
        <f t="shared" si="5"/>
        <v>BOEING 767-400</v>
      </c>
      <c r="Z42" s="36" t="str">
        <f t="shared" si="6"/>
        <v>B764</v>
      </c>
      <c r="AA42" s="28" t="str">
        <f t="shared" si="7"/>
        <v>ISR</v>
      </c>
      <c r="AB42" s="22">
        <v>35</v>
      </c>
      <c r="AC42" s="6">
        <v>2</v>
      </c>
    </row>
    <row r="43" spans="2:36" x14ac:dyDescent="0.25">
      <c r="B43" s="33">
        <v>36</v>
      </c>
      <c r="C43" s="31" t="s">
        <v>581</v>
      </c>
      <c r="D43" s="28" t="s">
        <v>582</v>
      </c>
      <c r="E43" s="28" t="s">
        <v>859</v>
      </c>
      <c r="G43" s="33">
        <v>36</v>
      </c>
      <c r="H43" s="28" t="str">
        <f t="shared" si="0"/>
        <v>ITY</v>
      </c>
      <c r="I43" s="31" t="str">
        <f t="shared" si="1"/>
        <v>ITA AIRWAYS</v>
      </c>
      <c r="J43" s="28" t="str">
        <f t="shared" si="2"/>
        <v>ALZ</v>
      </c>
      <c r="L43" s="109" t="s">
        <v>464</v>
      </c>
      <c r="M43" s="28"/>
      <c r="N43" s="78">
        <v>1</v>
      </c>
      <c r="P43" s="22">
        <v>36</v>
      </c>
      <c r="Q43" s="33" t="s">
        <v>273</v>
      </c>
      <c r="R43" s="33" t="s">
        <v>500</v>
      </c>
      <c r="S43" s="33">
        <v>772</v>
      </c>
      <c r="U43" s="22">
        <v>36</v>
      </c>
      <c r="V43" s="33" t="str">
        <f t="shared" si="3"/>
        <v>B772</v>
      </c>
      <c r="W43" s="33">
        <f t="shared" si="4"/>
        <v>772</v>
      </c>
      <c r="X43" s="33" t="str">
        <f t="shared" si="5"/>
        <v>BOEING 777-200</v>
      </c>
      <c r="Z43" s="36" t="str">
        <f t="shared" si="6"/>
        <v>B772</v>
      </c>
      <c r="AA43" s="28" t="str">
        <f t="shared" si="7"/>
        <v>ITY</v>
      </c>
      <c r="AB43" s="22">
        <v>36</v>
      </c>
      <c r="AC43" s="6">
        <v>2</v>
      </c>
    </row>
    <row r="44" spans="2:36" x14ac:dyDescent="0.25">
      <c r="B44" s="33">
        <v>37</v>
      </c>
      <c r="C44" s="31" t="s">
        <v>128</v>
      </c>
      <c r="D44" s="28" t="s">
        <v>208</v>
      </c>
      <c r="E44" s="28" t="s">
        <v>57</v>
      </c>
      <c r="G44" s="33">
        <v>37</v>
      </c>
      <c r="H44" s="28" t="str">
        <f t="shared" si="0"/>
        <v>EXS</v>
      </c>
      <c r="I44" s="31" t="str">
        <f t="shared" si="1"/>
        <v>JET2</v>
      </c>
      <c r="J44" s="28" t="str">
        <f t="shared" si="2"/>
        <v>AVP</v>
      </c>
      <c r="L44" s="109" t="s">
        <v>451</v>
      </c>
      <c r="M44" s="28"/>
      <c r="N44" s="78">
        <v>1</v>
      </c>
      <c r="P44" s="22">
        <v>37</v>
      </c>
      <c r="Q44" s="33" t="s">
        <v>276</v>
      </c>
      <c r="R44" s="33" t="s">
        <v>293</v>
      </c>
      <c r="S44" s="33" t="s">
        <v>293</v>
      </c>
      <c r="U44" s="22">
        <v>37</v>
      </c>
      <c r="V44" s="33" t="str">
        <f t="shared" si="3"/>
        <v>B77L</v>
      </c>
      <c r="W44" s="33" t="str">
        <f t="shared" si="4"/>
        <v>B77L</v>
      </c>
      <c r="X44" s="33" t="str">
        <f t="shared" si="5"/>
        <v>BOEING 777-200 LR</v>
      </c>
      <c r="Z44" s="36" t="str">
        <f t="shared" si="6"/>
        <v>B77L</v>
      </c>
      <c r="AA44" s="28" t="str">
        <f t="shared" si="7"/>
        <v>EXS</v>
      </c>
      <c r="AB44" s="22">
        <v>37</v>
      </c>
      <c r="AC44" s="6">
        <v>4</v>
      </c>
    </row>
    <row r="45" spans="2:36" x14ac:dyDescent="0.25">
      <c r="B45" s="33">
        <v>38</v>
      </c>
      <c r="C45" s="31" t="s">
        <v>110</v>
      </c>
      <c r="D45" s="28" t="s">
        <v>110</v>
      </c>
      <c r="E45" s="28" t="s">
        <v>57</v>
      </c>
      <c r="G45" s="33">
        <v>38</v>
      </c>
      <c r="H45" s="28" t="str">
        <f t="shared" si="0"/>
        <v>KLM</v>
      </c>
      <c r="I45" s="31" t="str">
        <f t="shared" si="1"/>
        <v>KLM</v>
      </c>
      <c r="J45" s="28" t="str">
        <f t="shared" si="2"/>
        <v>AVP</v>
      </c>
      <c r="L45" s="109" t="s">
        <v>448</v>
      </c>
      <c r="M45" s="28"/>
      <c r="N45" s="78">
        <v>1</v>
      </c>
      <c r="P45" s="22">
        <v>38</v>
      </c>
      <c r="Q45" s="33" t="s">
        <v>274</v>
      </c>
      <c r="R45" s="33" t="s">
        <v>501</v>
      </c>
      <c r="S45" s="33" t="s">
        <v>291</v>
      </c>
      <c r="U45" s="22">
        <v>38</v>
      </c>
      <c r="V45" s="33" t="str">
        <f t="shared" si="3"/>
        <v>B773</v>
      </c>
      <c r="W45" s="33" t="str">
        <f t="shared" si="4"/>
        <v>773</v>
      </c>
      <c r="X45" s="33" t="str">
        <f t="shared" si="5"/>
        <v>BOEING 777-300</v>
      </c>
      <c r="Z45" s="36" t="str">
        <f t="shared" si="6"/>
        <v>B773</v>
      </c>
      <c r="AA45" s="28" t="str">
        <f t="shared" si="7"/>
        <v>KLM</v>
      </c>
      <c r="AB45" s="22">
        <v>38</v>
      </c>
      <c r="AC45" s="6">
        <v>4</v>
      </c>
    </row>
    <row r="46" spans="2:36" x14ac:dyDescent="0.25">
      <c r="B46" s="33">
        <v>39</v>
      </c>
      <c r="C46" s="31" t="s">
        <v>912</v>
      </c>
      <c r="D46" s="28" t="s">
        <v>891</v>
      </c>
      <c r="E46" s="28" t="s">
        <v>859</v>
      </c>
      <c r="G46" s="33">
        <v>39</v>
      </c>
      <c r="H46" s="28" t="str">
        <f t="shared" si="0"/>
        <v>KAC</v>
      </c>
      <c r="I46" s="31" t="str">
        <f t="shared" si="1"/>
        <v>KUWAIT AIRWAYS</v>
      </c>
      <c r="J46" s="28" t="str">
        <f t="shared" si="2"/>
        <v>ALZ</v>
      </c>
      <c r="L46" s="109" t="s">
        <v>449</v>
      </c>
      <c r="M46" s="28"/>
      <c r="N46" s="78">
        <v>1</v>
      </c>
      <c r="P46" s="22">
        <v>39</v>
      </c>
      <c r="Q46" s="33" t="s">
        <v>465</v>
      </c>
      <c r="R46" s="33" t="s">
        <v>503</v>
      </c>
      <c r="S46" s="33" t="s">
        <v>294</v>
      </c>
      <c r="U46" s="22">
        <v>39</v>
      </c>
      <c r="V46" s="33" t="str">
        <f t="shared" si="3"/>
        <v>B788</v>
      </c>
      <c r="W46" s="33" t="str">
        <f t="shared" si="4"/>
        <v>788</v>
      </c>
      <c r="X46" s="33" t="str">
        <f t="shared" si="5"/>
        <v>BOEING 787-8</v>
      </c>
      <c r="Z46" s="36" t="str">
        <f t="shared" si="6"/>
        <v>B788</v>
      </c>
      <c r="AA46" s="28" t="str">
        <f t="shared" si="7"/>
        <v>KAC</v>
      </c>
      <c r="AB46" s="22">
        <v>39</v>
      </c>
      <c r="AC46" s="6">
        <v>2</v>
      </c>
    </row>
    <row r="47" spans="2:36" x14ac:dyDescent="0.25">
      <c r="B47" s="33">
        <v>40</v>
      </c>
      <c r="C47" s="31" t="s">
        <v>630</v>
      </c>
      <c r="D47" s="28" t="s">
        <v>634</v>
      </c>
      <c r="E47" s="28" t="s">
        <v>859</v>
      </c>
      <c r="G47" s="33">
        <v>40</v>
      </c>
      <c r="H47" s="28" t="str">
        <f t="shared" si="0"/>
        <v>DJT</v>
      </c>
      <c r="I47" s="31" t="str">
        <f t="shared" si="1"/>
        <v>LA COMPAGNIE</v>
      </c>
      <c r="J47" s="28" t="str">
        <f t="shared" si="2"/>
        <v>ALZ</v>
      </c>
      <c r="L47" s="109" t="s">
        <v>436</v>
      </c>
      <c r="M47" s="28">
        <v>2</v>
      </c>
      <c r="N47" s="78">
        <v>1</v>
      </c>
      <c r="P47" s="22">
        <v>40</v>
      </c>
      <c r="Q47" s="33" t="s">
        <v>466</v>
      </c>
      <c r="R47" s="33" t="s">
        <v>504</v>
      </c>
      <c r="S47" s="33" t="s">
        <v>295</v>
      </c>
      <c r="U47" s="22">
        <v>40</v>
      </c>
      <c r="V47" s="33" t="str">
        <f t="shared" si="3"/>
        <v>B789</v>
      </c>
      <c r="W47" s="33" t="str">
        <f t="shared" si="4"/>
        <v>789</v>
      </c>
      <c r="X47" s="33" t="str">
        <f t="shared" si="5"/>
        <v>BOEING 787-9</v>
      </c>
      <c r="Z47" s="36" t="str">
        <f t="shared" si="6"/>
        <v>B789</v>
      </c>
      <c r="AA47" s="28" t="str">
        <f t="shared" si="7"/>
        <v>DJT</v>
      </c>
      <c r="AB47" s="22">
        <v>40</v>
      </c>
      <c r="AC47" s="6">
        <v>2</v>
      </c>
    </row>
    <row r="48" spans="2:36" x14ac:dyDescent="0.25">
      <c r="B48" s="33">
        <v>41</v>
      </c>
      <c r="C48" s="31" t="s">
        <v>142</v>
      </c>
      <c r="D48" s="28" t="s">
        <v>142</v>
      </c>
      <c r="E48" s="28" t="s">
        <v>61</v>
      </c>
      <c r="G48" s="33">
        <v>41</v>
      </c>
      <c r="H48" s="28" t="str">
        <f t="shared" si="0"/>
        <v>LOT</v>
      </c>
      <c r="I48" s="31" t="str">
        <f t="shared" si="1"/>
        <v>LOT</v>
      </c>
      <c r="J48" s="28" t="str">
        <f t="shared" si="2"/>
        <v>MZS</v>
      </c>
      <c r="L48" s="109" t="s">
        <v>512</v>
      </c>
      <c r="N48" s="78">
        <v>0</v>
      </c>
      <c r="P48" s="22">
        <v>41</v>
      </c>
      <c r="Q48" s="33" t="s">
        <v>268</v>
      </c>
      <c r="R48" s="33" t="s">
        <v>296</v>
      </c>
      <c r="S48" s="33" t="s">
        <v>284</v>
      </c>
      <c r="U48" s="22">
        <v>41</v>
      </c>
      <c r="V48" s="33" t="str">
        <f t="shared" si="3"/>
        <v>B737</v>
      </c>
      <c r="W48" s="33" t="str">
        <f t="shared" si="4"/>
        <v>B37M</v>
      </c>
      <c r="X48" s="33" t="str">
        <f t="shared" si="5"/>
        <v>BOEING B737 MAX 7</v>
      </c>
      <c r="Z48" s="36" t="str">
        <f t="shared" si="6"/>
        <v>B737</v>
      </c>
      <c r="AA48" s="28" t="str">
        <f t="shared" si="7"/>
        <v>LOT</v>
      </c>
      <c r="AB48" s="22">
        <v>41</v>
      </c>
      <c r="AC48" s="6">
        <v>1</v>
      </c>
    </row>
    <row r="49" spans="2:29" x14ac:dyDescent="0.25">
      <c r="B49" s="33">
        <v>42</v>
      </c>
      <c r="C49" s="31" t="s">
        <v>114</v>
      </c>
      <c r="D49" s="28" t="s">
        <v>157</v>
      </c>
      <c r="E49" s="28" t="s">
        <v>57</v>
      </c>
      <c r="G49" s="33">
        <v>42</v>
      </c>
      <c r="H49" s="28" t="str">
        <f t="shared" si="0"/>
        <v>DLH</v>
      </c>
      <c r="I49" s="31" t="str">
        <f t="shared" si="1"/>
        <v>LUFTHANSA</v>
      </c>
      <c r="J49" s="28" t="str">
        <f t="shared" si="2"/>
        <v>AVP</v>
      </c>
      <c r="L49" s="109" t="s">
        <v>513</v>
      </c>
      <c r="N49" s="78">
        <v>0</v>
      </c>
      <c r="P49" s="22">
        <v>42</v>
      </c>
      <c r="Q49" s="33" t="s">
        <v>269</v>
      </c>
      <c r="R49" s="33" t="s">
        <v>296</v>
      </c>
      <c r="S49" s="33" t="s">
        <v>285</v>
      </c>
      <c r="U49" s="22">
        <v>42</v>
      </c>
      <c r="V49" s="33" t="str">
        <f t="shared" si="3"/>
        <v>B737</v>
      </c>
      <c r="W49" s="33" t="str">
        <f t="shared" si="4"/>
        <v>B38M</v>
      </c>
      <c r="X49" s="33" t="str">
        <f t="shared" si="5"/>
        <v>BOEING B737 MAX 8</v>
      </c>
      <c r="Z49" s="36" t="str">
        <f t="shared" si="6"/>
        <v>B737</v>
      </c>
      <c r="AA49" s="28" t="str">
        <f t="shared" si="7"/>
        <v>DLH</v>
      </c>
      <c r="AB49" s="22">
        <v>42</v>
      </c>
      <c r="AC49" s="6">
        <v>4</v>
      </c>
    </row>
    <row r="50" spans="2:29" x14ac:dyDescent="0.25">
      <c r="B50" s="33">
        <v>43</v>
      </c>
      <c r="C50" s="31" t="s">
        <v>143</v>
      </c>
      <c r="D50" s="28" t="s">
        <v>209</v>
      </c>
      <c r="E50" s="28" t="s">
        <v>57</v>
      </c>
      <c r="G50" s="33">
        <v>43</v>
      </c>
      <c r="H50" s="28" t="str">
        <f t="shared" si="0"/>
        <v>LGL</v>
      </c>
      <c r="I50" s="31" t="str">
        <f t="shared" si="1"/>
        <v>LUXAIR</v>
      </c>
      <c r="J50" s="28" t="str">
        <f t="shared" si="2"/>
        <v>AVP</v>
      </c>
      <c r="L50" s="109" t="s">
        <v>514</v>
      </c>
      <c r="N50" s="78">
        <v>0</v>
      </c>
      <c r="P50" s="22">
        <v>43</v>
      </c>
      <c r="Q50" s="33" t="s">
        <v>270</v>
      </c>
      <c r="R50" s="33" t="s">
        <v>296</v>
      </c>
      <c r="S50" s="33" t="s">
        <v>286</v>
      </c>
      <c r="U50" s="22">
        <v>43</v>
      </c>
      <c r="V50" s="33" t="str">
        <f t="shared" si="3"/>
        <v>B737</v>
      </c>
      <c r="W50" s="33" t="str">
        <f t="shared" si="4"/>
        <v>B39M</v>
      </c>
      <c r="X50" s="33" t="str">
        <f t="shared" si="5"/>
        <v>BOEING B737 MAX 9</v>
      </c>
      <c r="Z50" s="36" t="str">
        <f t="shared" si="6"/>
        <v>B737</v>
      </c>
      <c r="AA50" s="28" t="str">
        <f t="shared" si="7"/>
        <v>LGL</v>
      </c>
      <c r="AB50" s="22">
        <v>43</v>
      </c>
      <c r="AC50" s="6"/>
    </row>
    <row r="51" spans="2:29" x14ac:dyDescent="0.25">
      <c r="B51" s="33">
        <v>44</v>
      </c>
      <c r="C51" s="31" t="s">
        <v>141</v>
      </c>
      <c r="D51" s="28" t="s">
        <v>141</v>
      </c>
      <c r="E51" s="28" t="s">
        <v>92</v>
      </c>
      <c r="G51" s="33">
        <v>44</v>
      </c>
      <c r="H51" s="28" t="str">
        <f t="shared" si="0"/>
        <v>MEA</v>
      </c>
      <c r="I51" s="31" t="str">
        <f t="shared" si="1"/>
        <v>MEA</v>
      </c>
      <c r="J51" s="28" t="str">
        <f t="shared" si="2"/>
        <v>AFR</v>
      </c>
      <c r="L51" s="109" t="s">
        <v>446</v>
      </c>
      <c r="M51" s="28"/>
      <c r="N51" s="78">
        <v>1</v>
      </c>
      <c r="P51" s="22">
        <v>44</v>
      </c>
      <c r="Q51" s="33" t="s">
        <v>275</v>
      </c>
      <c r="R51" s="33" t="s">
        <v>502</v>
      </c>
      <c r="S51" s="33" t="s">
        <v>292</v>
      </c>
      <c r="U51" s="22">
        <v>44</v>
      </c>
      <c r="V51" s="33" t="str">
        <f t="shared" si="3"/>
        <v>B77W</v>
      </c>
      <c r="W51" s="33" t="str">
        <f t="shared" si="4"/>
        <v>77W</v>
      </c>
      <c r="X51" s="33" t="str">
        <f t="shared" si="5"/>
        <v>BOEING B777-300 ER</v>
      </c>
      <c r="Z51" s="36" t="str">
        <f t="shared" si="6"/>
        <v>B77W</v>
      </c>
      <c r="AA51" s="28" t="str">
        <f t="shared" si="7"/>
        <v>MEA</v>
      </c>
      <c r="AB51" s="22">
        <v>44</v>
      </c>
      <c r="AC51" s="6">
        <v>2</v>
      </c>
    </row>
    <row r="52" spans="2:29" x14ac:dyDescent="0.25">
      <c r="B52" s="33">
        <v>45</v>
      </c>
      <c r="C52" s="31" t="s">
        <v>144</v>
      </c>
      <c r="D52" s="28" t="s">
        <v>210</v>
      </c>
      <c r="E52" s="28" t="s">
        <v>61</v>
      </c>
      <c r="G52" s="33">
        <v>45</v>
      </c>
      <c r="H52" s="28" t="str">
        <f t="shared" si="0"/>
        <v>NAX</v>
      </c>
      <c r="I52" s="31" t="str">
        <f t="shared" si="1"/>
        <v>NORWEGIAN</v>
      </c>
      <c r="J52" s="28" t="str">
        <f t="shared" si="2"/>
        <v>MZS</v>
      </c>
      <c r="L52" s="109" t="s">
        <v>447</v>
      </c>
      <c r="M52" s="28"/>
      <c r="N52" s="78">
        <v>1</v>
      </c>
      <c r="P52" s="22">
        <v>45</v>
      </c>
      <c r="Q52" s="33" t="s">
        <v>247</v>
      </c>
      <c r="R52" s="33" t="s">
        <v>249</v>
      </c>
      <c r="S52" s="33" t="s">
        <v>248</v>
      </c>
      <c r="U52" s="22">
        <v>45</v>
      </c>
      <c r="V52" s="33" t="str">
        <f t="shared" si="3"/>
        <v>DHC8</v>
      </c>
      <c r="W52" s="33" t="str">
        <f t="shared" si="4"/>
        <v>DH4</v>
      </c>
      <c r="X52" s="33" t="str">
        <f t="shared" si="5"/>
        <v>DASH 8 - 400</v>
      </c>
      <c r="Z52" s="36" t="str">
        <f t="shared" si="6"/>
        <v>DHC8</v>
      </c>
      <c r="AA52" s="28" t="str">
        <f t="shared" si="7"/>
        <v>NAX</v>
      </c>
      <c r="AB52" s="22">
        <v>45</v>
      </c>
      <c r="AC52" s="6">
        <v>2</v>
      </c>
    </row>
    <row r="53" spans="2:29" x14ac:dyDescent="0.25">
      <c r="B53" s="33">
        <v>46</v>
      </c>
      <c r="C53" s="31" t="s">
        <v>938</v>
      </c>
      <c r="D53" s="28" t="s">
        <v>939</v>
      </c>
      <c r="E53" s="28" t="s">
        <v>57</v>
      </c>
      <c r="G53" s="33">
        <v>46</v>
      </c>
      <c r="H53" s="28" t="str">
        <f t="shared" si="0"/>
        <v>PGT</v>
      </c>
      <c r="I53" s="31" t="str">
        <f t="shared" si="1"/>
        <v>PEGASUS</v>
      </c>
      <c r="J53" s="28" t="str">
        <f t="shared" si="2"/>
        <v>AVP</v>
      </c>
      <c r="L53" s="109" t="s">
        <v>435</v>
      </c>
      <c r="M53" s="28">
        <v>2</v>
      </c>
      <c r="N53" s="78">
        <v>1</v>
      </c>
      <c r="P53" s="22">
        <v>46</v>
      </c>
      <c r="Q53" s="33" t="s">
        <v>231</v>
      </c>
      <c r="R53" s="33" t="s">
        <v>234</v>
      </c>
      <c r="S53" s="33" t="s">
        <v>234</v>
      </c>
      <c r="U53" s="22">
        <v>46</v>
      </c>
      <c r="V53" s="33" t="str">
        <f t="shared" si="3"/>
        <v>E145</v>
      </c>
      <c r="W53" s="33" t="str">
        <f t="shared" si="4"/>
        <v>E145</v>
      </c>
      <c r="X53" s="33" t="str">
        <f t="shared" si="5"/>
        <v>EMBRAER E145</v>
      </c>
      <c r="Z53" s="36" t="str">
        <f t="shared" si="6"/>
        <v>E145</v>
      </c>
      <c r="AA53" s="28" t="str">
        <f t="shared" si="7"/>
        <v>PGT</v>
      </c>
      <c r="AB53" s="22">
        <v>46</v>
      </c>
      <c r="AC53" s="6">
        <v>2</v>
      </c>
    </row>
    <row r="54" spans="2:29" x14ac:dyDescent="0.25">
      <c r="B54" s="33">
        <v>47</v>
      </c>
      <c r="C54" s="31" t="s">
        <v>126</v>
      </c>
      <c r="D54" s="28" t="s">
        <v>158</v>
      </c>
      <c r="E54" s="28" t="s">
        <v>57</v>
      </c>
      <c r="G54" s="33">
        <v>47</v>
      </c>
      <c r="H54" s="28" t="str">
        <f t="shared" si="0"/>
        <v>QTR</v>
      </c>
      <c r="I54" s="31" t="str">
        <f t="shared" si="1"/>
        <v>QATAR AIRWAYS</v>
      </c>
      <c r="J54" s="28" t="str">
        <f t="shared" si="2"/>
        <v>AVP</v>
      </c>
      <c r="L54" s="109" t="s">
        <v>515</v>
      </c>
      <c r="N54" s="78">
        <v>0</v>
      </c>
      <c r="P54" s="22">
        <v>47</v>
      </c>
      <c r="Q54" s="33" t="s">
        <v>232</v>
      </c>
      <c r="R54" s="33" t="s">
        <v>240</v>
      </c>
      <c r="S54" s="33" t="s">
        <v>235</v>
      </c>
      <c r="U54" s="22">
        <v>47</v>
      </c>
      <c r="V54" s="33" t="str">
        <f t="shared" si="3"/>
        <v>E170</v>
      </c>
      <c r="W54" s="33" t="str">
        <f t="shared" si="4"/>
        <v>E70</v>
      </c>
      <c r="X54" s="33" t="str">
        <f t="shared" si="5"/>
        <v>EMBRAER E170</v>
      </c>
      <c r="Z54" s="36" t="str">
        <f t="shared" si="6"/>
        <v>E170</v>
      </c>
      <c r="AA54" s="28" t="str">
        <f t="shared" si="7"/>
        <v>QTR</v>
      </c>
      <c r="AB54" s="22">
        <v>47</v>
      </c>
      <c r="AC54" s="6">
        <v>4</v>
      </c>
    </row>
    <row r="55" spans="2:29" x14ac:dyDescent="0.25">
      <c r="B55" s="33">
        <v>48</v>
      </c>
      <c r="C55" s="31" t="s">
        <v>111</v>
      </c>
      <c r="D55" s="28" t="s">
        <v>159</v>
      </c>
      <c r="E55" s="28" t="s">
        <v>57</v>
      </c>
      <c r="G55" s="33">
        <v>48</v>
      </c>
      <c r="H55" s="28" t="str">
        <f t="shared" si="0"/>
        <v>RAM</v>
      </c>
      <c r="I55" s="31" t="str">
        <f t="shared" si="1"/>
        <v>ROYAL AIR MAROC</v>
      </c>
      <c r="J55" s="28" t="str">
        <f t="shared" si="2"/>
        <v>AVP</v>
      </c>
      <c r="L55" s="109" t="s">
        <v>516</v>
      </c>
      <c r="N55" s="78">
        <v>0</v>
      </c>
      <c r="P55" s="22">
        <v>48</v>
      </c>
      <c r="Q55" s="33" t="s">
        <v>345</v>
      </c>
      <c r="R55" s="33" t="s">
        <v>241</v>
      </c>
      <c r="S55" s="33" t="s">
        <v>350</v>
      </c>
      <c r="U55" s="22">
        <v>48</v>
      </c>
      <c r="V55" s="33" t="str">
        <f t="shared" si="3"/>
        <v>E175</v>
      </c>
      <c r="W55" s="33" t="str">
        <f t="shared" si="4"/>
        <v>E75</v>
      </c>
      <c r="X55" s="33" t="str">
        <f t="shared" si="5"/>
        <v>EMBRAER E175</v>
      </c>
      <c r="Z55" s="36" t="str">
        <f t="shared" si="6"/>
        <v>E175</v>
      </c>
      <c r="AA55" s="28" t="str">
        <f t="shared" si="7"/>
        <v>RAM</v>
      </c>
      <c r="AB55" s="22">
        <v>48</v>
      </c>
      <c r="AC55" s="6">
        <v>2</v>
      </c>
    </row>
    <row r="56" spans="2:29" x14ac:dyDescent="0.25">
      <c r="B56" s="33">
        <v>49</v>
      </c>
      <c r="C56" s="31" t="s">
        <v>145</v>
      </c>
      <c r="D56" s="28" t="s">
        <v>163</v>
      </c>
      <c r="E56" s="28" t="s">
        <v>57</v>
      </c>
      <c r="G56" s="33">
        <v>49</v>
      </c>
      <c r="H56" s="28" t="str">
        <f t="shared" si="0"/>
        <v>RYR</v>
      </c>
      <c r="I56" s="31" t="str">
        <f t="shared" si="1"/>
        <v>RYANAIR</v>
      </c>
      <c r="J56" s="28" t="str">
        <f t="shared" si="2"/>
        <v>AVP</v>
      </c>
      <c r="L56" s="109" t="s">
        <v>517</v>
      </c>
      <c r="N56" s="78">
        <v>0</v>
      </c>
      <c r="P56" s="22">
        <v>49</v>
      </c>
      <c r="Q56" s="33" t="s">
        <v>342</v>
      </c>
      <c r="R56" s="33" t="s">
        <v>244</v>
      </c>
      <c r="S56" s="33" t="s">
        <v>237</v>
      </c>
      <c r="U56" s="22">
        <v>49</v>
      </c>
      <c r="V56" s="33" t="str">
        <f t="shared" si="3"/>
        <v>E275</v>
      </c>
      <c r="W56" s="33" t="str">
        <f t="shared" si="4"/>
        <v>275</v>
      </c>
      <c r="X56" s="33" t="str">
        <f t="shared" si="5"/>
        <v>EMBRAER E175 E2</v>
      </c>
      <c r="Z56" s="36" t="str">
        <f t="shared" si="6"/>
        <v>E275</v>
      </c>
      <c r="AA56" s="28" t="str">
        <f t="shared" si="7"/>
        <v>RYR</v>
      </c>
      <c r="AB56" s="22">
        <v>49</v>
      </c>
      <c r="AC56" s="6">
        <v>2</v>
      </c>
    </row>
    <row r="57" spans="2:29" x14ac:dyDescent="0.25">
      <c r="B57" s="33">
        <v>50</v>
      </c>
      <c r="C57" s="31" t="s">
        <v>221</v>
      </c>
      <c r="D57" s="28" t="s">
        <v>190</v>
      </c>
      <c r="E57" s="28" t="s">
        <v>61</v>
      </c>
      <c r="G57" s="33">
        <v>50</v>
      </c>
      <c r="H57" s="28" t="str">
        <f t="shared" si="0"/>
        <v>SBI</v>
      </c>
      <c r="I57" s="31" t="str">
        <f t="shared" si="1"/>
        <v>S7 -  SIBERIAN</v>
      </c>
      <c r="J57" s="28" t="str">
        <f t="shared" si="2"/>
        <v>MZS</v>
      </c>
      <c r="L57" s="109" t="s">
        <v>444</v>
      </c>
      <c r="M57" s="28"/>
      <c r="N57" s="78">
        <v>1</v>
      </c>
      <c r="P57" s="22">
        <v>50</v>
      </c>
      <c r="Q57" s="33" t="s">
        <v>233</v>
      </c>
      <c r="R57" s="33" t="s">
        <v>242</v>
      </c>
      <c r="S57" s="33" t="s">
        <v>236</v>
      </c>
      <c r="U57" s="22">
        <v>50</v>
      </c>
      <c r="V57" s="33" t="str">
        <f t="shared" si="3"/>
        <v>E190</v>
      </c>
      <c r="W57" s="33" t="str">
        <f t="shared" si="4"/>
        <v>E90</v>
      </c>
      <c r="X57" s="33" t="str">
        <f t="shared" si="5"/>
        <v>EMBRAER E190</v>
      </c>
      <c r="Z57" s="36" t="str">
        <f t="shared" si="6"/>
        <v>E190</v>
      </c>
      <c r="AA57" s="28" t="str">
        <f t="shared" si="7"/>
        <v>SBI</v>
      </c>
      <c r="AB57" s="22">
        <v>50</v>
      </c>
      <c r="AC57" s="6">
        <v>2</v>
      </c>
    </row>
    <row r="58" spans="2:29" x14ac:dyDescent="0.25">
      <c r="B58" s="33">
        <v>51</v>
      </c>
      <c r="C58" s="31" t="s">
        <v>118</v>
      </c>
      <c r="D58" s="28" t="s">
        <v>118</v>
      </c>
      <c r="E58" s="28" t="s">
        <v>57</v>
      </c>
      <c r="G58" s="33">
        <v>51</v>
      </c>
      <c r="H58" s="28" t="str">
        <f t="shared" si="0"/>
        <v>SAS</v>
      </c>
      <c r="I58" s="31" t="str">
        <f t="shared" si="1"/>
        <v>SAS</v>
      </c>
      <c r="J58" s="28" t="str">
        <f t="shared" si="2"/>
        <v>AVP</v>
      </c>
      <c r="L58" s="109" t="s">
        <v>445</v>
      </c>
      <c r="M58" s="28"/>
      <c r="N58" s="78">
        <v>1</v>
      </c>
      <c r="P58" s="22">
        <v>51</v>
      </c>
      <c r="Q58" s="33" t="s">
        <v>341</v>
      </c>
      <c r="R58" s="33" t="s">
        <v>245</v>
      </c>
      <c r="S58" s="33" t="s">
        <v>238</v>
      </c>
      <c r="U58" s="22">
        <v>51</v>
      </c>
      <c r="V58" s="33" t="str">
        <f t="shared" si="3"/>
        <v>E290</v>
      </c>
      <c r="W58" s="33" t="str">
        <f t="shared" si="4"/>
        <v>290</v>
      </c>
      <c r="X58" s="33" t="str">
        <f t="shared" si="5"/>
        <v>EMBRAER E190 E2</v>
      </c>
      <c r="Z58" s="36" t="str">
        <f t="shared" si="6"/>
        <v>E290</v>
      </c>
      <c r="AA58" s="28" t="str">
        <f t="shared" si="7"/>
        <v>SAS</v>
      </c>
      <c r="AB58" s="22">
        <v>51</v>
      </c>
      <c r="AC58" s="6">
        <v>2</v>
      </c>
    </row>
    <row r="59" spans="2:29" x14ac:dyDescent="0.25">
      <c r="B59" s="33">
        <v>52</v>
      </c>
      <c r="C59" s="31" t="s">
        <v>880</v>
      </c>
      <c r="D59" s="28" t="s">
        <v>884</v>
      </c>
      <c r="E59" s="28" t="s">
        <v>57</v>
      </c>
      <c r="G59" s="33">
        <v>52</v>
      </c>
      <c r="H59" s="28" t="str">
        <f t="shared" si="0"/>
        <v>SVA</v>
      </c>
      <c r="I59" s="31" t="str">
        <f t="shared" si="1"/>
        <v>SAUDIA</v>
      </c>
      <c r="J59" s="28" t="str">
        <f t="shared" si="2"/>
        <v>AVP</v>
      </c>
      <c r="L59" s="109" t="s">
        <v>434</v>
      </c>
      <c r="M59" s="28">
        <v>2</v>
      </c>
      <c r="N59" s="78">
        <v>1</v>
      </c>
      <c r="P59" s="22">
        <v>52</v>
      </c>
      <c r="Q59" s="33" t="s">
        <v>344</v>
      </c>
      <c r="R59" s="33" t="s">
        <v>243</v>
      </c>
      <c r="S59" s="33" t="s">
        <v>351</v>
      </c>
      <c r="U59" s="22">
        <v>52</v>
      </c>
      <c r="V59" s="33" t="str">
        <f t="shared" si="3"/>
        <v>E195</v>
      </c>
      <c r="W59" s="33" t="str">
        <f t="shared" si="4"/>
        <v>E95</v>
      </c>
      <c r="X59" s="33" t="str">
        <f t="shared" si="5"/>
        <v>EMBRAER E195</v>
      </c>
      <c r="Z59" s="36" t="str">
        <f t="shared" si="6"/>
        <v>E195</v>
      </c>
      <c r="AA59" s="28" t="str">
        <f t="shared" si="7"/>
        <v>SVA</v>
      </c>
      <c r="AB59" s="22">
        <v>52</v>
      </c>
      <c r="AC59" s="6">
        <v>2</v>
      </c>
    </row>
    <row r="60" spans="2:29" x14ac:dyDescent="0.25">
      <c r="B60" s="33">
        <v>53</v>
      </c>
      <c r="C60" s="31" t="s">
        <v>146</v>
      </c>
      <c r="D60" s="28" t="s">
        <v>211</v>
      </c>
      <c r="E60" s="28" t="s">
        <v>57</v>
      </c>
      <c r="G60" s="33">
        <v>53</v>
      </c>
      <c r="H60" s="28" t="str">
        <f t="shared" si="0"/>
        <v>SQP</v>
      </c>
      <c r="I60" s="31" t="str">
        <f t="shared" si="1"/>
        <v>SKYUP</v>
      </c>
      <c r="J60" s="28" t="str">
        <f t="shared" si="2"/>
        <v>AVP</v>
      </c>
      <c r="L60" s="109" t="s">
        <v>524</v>
      </c>
      <c r="N60" s="78">
        <v>0</v>
      </c>
      <c r="P60" s="22">
        <v>53</v>
      </c>
      <c r="Q60" s="33" t="s">
        <v>343</v>
      </c>
      <c r="R60" s="33" t="s">
        <v>246</v>
      </c>
      <c r="S60" s="33" t="s">
        <v>239</v>
      </c>
      <c r="U60" s="22">
        <v>53</v>
      </c>
      <c r="V60" s="33" t="str">
        <f t="shared" si="3"/>
        <v>E295</v>
      </c>
      <c r="W60" s="33" t="str">
        <f t="shared" si="4"/>
        <v>295</v>
      </c>
      <c r="X60" s="33" t="str">
        <f t="shared" si="5"/>
        <v>EMBRAER E195 E2</v>
      </c>
      <c r="Z60" s="36" t="str">
        <f t="shared" si="6"/>
        <v>E295</v>
      </c>
      <c r="AA60" s="28" t="str">
        <f t="shared" si="7"/>
        <v>SQP</v>
      </c>
      <c r="AB60" s="22">
        <v>53</v>
      </c>
      <c r="AC60" s="6">
        <v>4</v>
      </c>
    </row>
    <row r="61" spans="2:29" x14ac:dyDescent="0.25">
      <c r="B61" s="33">
        <v>54</v>
      </c>
      <c r="C61" s="31" t="s">
        <v>135</v>
      </c>
      <c r="D61" s="28" t="s">
        <v>212</v>
      </c>
      <c r="E61" s="28" t="s">
        <v>57</v>
      </c>
      <c r="G61" s="33">
        <v>54</v>
      </c>
      <c r="H61" s="28" t="str">
        <f t="shared" si="0"/>
        <v>TVP</v>
      </c>
      <c r="I61" s="31" t="str">
        <f t="shared" si="1"/>
        <v>SMARTWINGS</v>
      </c>
      <c r="J61" s="28" t="str">
        <f t="shared" si="2"/>
        <v>AVP</v>
      </c>
      <c r="L61" s="109" t="s">
        <v>523</v>
      </c>
      <c r="N61" s="78">
        <v>0</v>
      </c>
      <c r="P61" s="22">
        <v>54</v>
      </c>
      <c r="Q61" s="33" t="s">
        <v>251</v>
      </c>
      <c r="R61" s="33" t="s">
        <v>258</v>
      </c>
      <c r="S61" s="33" t="s">
        <v>255</v>
      </c>
      <c r="U61" s="22">
        <v>54</v>
      </c>
      <c r="V61" s="33" t="str">
        <f t="shared" si="3"/>
        <v>CRJX</v>
      </c>
      <c r="W61" s="33" t="str">
        <f t="shared" si="4"/>
        <v>CRK</v>
      </c>
      <c r="X61" s="33" t="str">
        <f t="shared" si="5"/>
        <v>REGIONAL JET CRJ-1000</v>
      </c>
      <c r="Z61" s="36" t="str">
        <f t="shared" si="6"/>
        <v>CRJX</v>
      </c>
      <c r="AA61" s="28" t="str">
        <f t="shared" si="7"/>
        <v>TVP</v>
      </c>
      <c r="AB61" s="22">
        <v>54</v>
      </c>
      <c r="AC61" s="6">
        <v>2</v>
      </c>
    </row>
    <row r="62" spans="2:29" x14ac:dyDescent="0.25">
      <c r="B62" s="33">
        <v>55</v>
      </c>
      <c r="C62" s="22" t="s">
        <v>115</v>
      </c>
      <c r="D62" s="33" t="s">
        <v>192</v>
      </c>
      <c r="E62" s="33" t="s">
        <v>57</v>
      </c>
      <c r="G62" s="33">
        <v>55</v>
      </c>
      <c r="H62" s="28" t="str">
        <f t="shared" si="0"/>
        <v>SWR</v>
      </c>
      <c r="I62" s="31" t="str">
        <f t="shared" si="1"/>
        <v>SWISS</v>
      </c>
      <c r="J62" s="28" t="str">
        <f t="shared" si="2"/>
        <v>AVP</v>
      </c>
      <c r="L62" s="109" t="s">
        <v>521</v>
      </c>
      <c r="N62" s="78">
        <v>0</v>
      </c>
      <c r="P62" s="22">
        <v>55</v>
      </c>
      <c r="Q62" s="33" t="s">
        <v>346</v>
      </c>
      <c r="R62" s="33" t="s">
        <v>256</v>
      </c>
      <c r="S62" s="33" t="s">
        <v>252</v>
      </c>
      <c r="U62" s="22">
        <v>55</v>
      </c>
      <c r="V62" s="33" t="str">
        <f t="shared" si="3"/>
        <v>CRJ2</v>
      </c>
      <c r="W62" s="33" t="str">
        <f t="shared" si="4"/>
        <v>CR2</v>
      </c>
      <c r="X62" s="33" t="str">
        <f t="shared" si="5"/>
        <v>REGIONAL JET CRJ-200</v>
      </c>
      <c r="Z62" s="36" t="str">
        <f t="shared" si="6"/>
        <v>CRJ2</v>
      </c>
      <c r="AA62" s="28" t="str">
        <f t="shared" si="7"/>
        <v>SWR</v>
      </c>
      <c r="AB62" s="22">
        <v>55</v>
      </c>
      <c r="AC62" s="6">
        <v>2</v>
      </c>
    </row>
    <row r="63" spans="2:29" x14ac:dyDescent="0.25">
      <c r="B63" s="33">
        <v>56</v>
      </c>
      <c r="C63" s="31" t="s">
        <v>113</v>
      </c>
      <c r="D63" s="28" t="s">
        <v>162</v>
      </c>
      <c r="E63" s="28" t="s">
        <v>57</v>
      </c>
      <c r="G63" s="33">
        <v>56</v>
      </c>
      <c r="H63" s="28" t="str">
        <f t="shared" si="0"/>
        <v>TAP</v>
      </c>
      <c r="I63" s="31" t="str">
        <f t="shared" si="1"/>
        <v>TAP Portugal</v>
      </c>
      <c r="J63" s="28" t="str">
        <f t="shared" si="2"/>
        <v>AVP</v>
      </c>
      <c r="L63" s="109" t="s">
        <v>522</v>
      </c>
      <c r="N63" s="78">
        <v>0</v>
      </c>
      <c r="P63" s="22">
        <v>56</v>
      </c>
      <c r="Q63" s="33" t="s">
        <v>347</v>
      </c>
      <c r="R63" s="33" t="s">
        <v>253</v>
      </c>
      <c r="S63" s="33" t="s">
        <v>253</v>
      </c>
      <c r="U63" s="22">
        <v>56</v>
      </c>
      <c r="V63" s="33" t="str">
        <f t="shared" si="3"/>
        <v>CRJ7</v>
      </c>
      <c r="W63" s="33" t="str">
        <f t="shared" si="4"/>
        <v>CRJ7</v>
      </c>
      <c r="X63" s="33" t="str">
        <f t="shared" si="5"/>
        <v>REGIONAL JET CRJ-700</v>
      </c>
      <c r="Z63" s="36" t="str">
        <f t="shared" si="6"/>
        <v>CRJ7</v>
      </c>
      <c r="AA63" s="28" t="str">
        <f t="shared" si="7"/>
        <v>TAP</v>
      </c>
      <c r="AB63" s="22">
        <v>56</v>
      </c>
      <c r="AC63" s="6">
        <v>2</v>
      </c>
    </row>
    <row r="64" spans="2:29" x14ac:dyDescent="0.25">
      <c r="B64" s="33">
        <v>57</v>
      </c>
      <c r="C64" s="31" t="s">
        <v>150</v>
      </c>
      <c r="D64" s="28" t="s">
        <v>213</v>
      </c>
      <c r="E64" s="28" t="s">
        <v>61</v>
      </c>
      <c r="G64" s="33">
        <v>57</v>
      </c>
      <c r="H64" s="28" t="str">
        <f t="shared" si="0"/>
        <v>ROT</v>
      </c>
      <c r="I64" s="31" t="str">
        <f t="shared" si="1"/>
        <v>TAROM</v>
      </c>
      <c r="J64" s="28" t="str">
        <f t="shared" si="2"/>
        <v>MZS</v>
      </c>
      <c r="L64" s="109" t="s">
        <v>520</v>
      </c>
      <c r="N64" s="78">
        <v>0</v>
      </c>
      <c r="P64" s="22">
        <v>57</v>
      </c>
      <c r="Q64" s="33" t="s">
        <v>250</v>
      </c>
      <c r="R64" s="33" t="s">
        <v>257</v>
      </c>
      <c r="S64" s="33" t="s">
        <v>254</v>
      </c>
      <c r="U64" s="22">
        <v>57</v>
      </c>
      <c r="V64" s="33" t="str">
        <f t="shared" si="3"/>
        <v>CRJ9</v>
      </c>
      <c r="W64" s="33" t="str">
        <f t="shared" si="4"/>
        <v>CR9</v>
      </c>
      <c r="X64" s="33" t="str">
        <f t="shared" si="5"/>
        <v>REGIONAL JET CRJ-900</v>
      </c>
      <c r="Z64" s="36" t="str">
        <f t="shared" si="6"/>
        <v>CRJ9</v>
      </c>
      <c r="AA64" s="28" t="str">
        <f t="shared" si="7"/>
        <v>ROT</v>
      </c>
      <c r="AB64" s="22">
        <v>57</v>
      </c>
      <c r="AC64" s="6">
        <v>3</v>
      </c>
    </row>
    <row r="65" spans="2:29" x14ac:dyDescent="0.25">
      <c r="B65" s="33">
        <v>58</v>
      </c>
      <c r="C65" s="31" t="s">
        <v>1011</v>
      </c>
      <c r="D65" s="28" t="s">
        <v>214</v>
      </c>
      <c r="E65" s="28" t="s">
        <v>57</v>
      </c>
      <c r="G65" s="33">
        <v>58</v>
      </c>
      <c r="H65" s="28" t="str">
        <f t="shared" si="0"/>
        <v>TRA</v>
      </c>
      <c r="I65" s="31" t="str">
        <f t="shared" si="1"/>
        <v>TRANSAVIA HL</v>
      </c>
      <c r="J65" s="28" t="str">
        <f t="shared" si="2"/>
        <v>AVP</v>
      </c>
      <c r="L65" s="109" t="s">
        <v>519</v>
      </c>
      <c r="N65" s="78">
        <v>0</v>
      </c>
      <c r="Z65" s="46"/>
      <c r="AA65" s="28" t="str">
        <f t="shared" si="7"/>
        <v>TRA</v>
      </c>
      <c r="AB65" s="22">
        <v>58</v>
      </c>
      <c r="AC65" s="6">
        <v>2</v>
      </c>
    </row>
    <row r="66" spans="2:29" x14ac:dyDescent="0.25">
      <c r="B66" s="33">
        <v>59</v>
      </c>
      <c r="C66" s="22" t="s">
        <v>1012</v>
      </c>
      <c r="D66" s="33" t="s">
        <v>161</v>
      </c>
      <c r="E66" s="33" t="s">
        <v>57</v>
      </c>
      <c r="F66" s="28"/>
      <c r="G66" s="33">
        <v>59</v>
      </c>
      <c r="H66" s="28" t="str">
        <f t="shared" si="0"/>
        <v>TVF</v>
      </c>
      <c r="I66" s="31" t="str">
        <f t="shared" si="1"/>
        <v>TRANSAVIA FR</v>
      </c>
      <c r="J66" s="28" t="str">
        <f t="shared" si="2"/>
        <v>AVP</v>
      </c>
      <c r="L66" s="109" t="s">
        <v>518</v>
      </c>
      <c r="N66" s="78">
        <v>0</v>
      </c>
      <c r="Z66" s="46"/>
      <c r="AA66" s="28" t="str">
        <f t="shared" si="7"/>
        <v>TVF</v>
      </c>
      <c r="AB66" s="22">
        <v>59</v>
      </c>
      <c r="AC66" s="6">
        <v>4</v>
      </c>
    </row>
    <row r="67" spans="2:29" x14ac:dyDescent="0.25">
      <c r="B67" s="33">
        <v>60</v>
      </c>
      <c r="C67" s="31" t="s">
        <v>109</v>
      </c>
      <c r="D67" s="28" t="s">
        <v>215</v>
      </c>
      <c r="E67" s="28" t="s">
        <v>859</v>
      </c>
      <c r="F67" s="28"/>
      <c r="G67" s="33">
        <v>60</v>
      </c>
      <c r="H67" s="28" t="str">
        <f t="shared" si="0"/>
        <v>TAR</v>
      </c>
      <c r="I67" s="31" t="str">
        <f t="shared" si="1"/>
        <v>TUNISAIR</v>
      </c>
      <c r="J67" s="28" t="str">
        <f t="shared" si="2"/>
        <v>ALZ</v>
      </c>
      <c r="L67" s="109" t="s">
        <v>525</v>
      </c>
      <c r="N67" s="78">
        <v>0</v>
      </c>
      <c r="Z67" s="46"/>
      <c r="AA67" s="28" t="str">
        <f t="shared" si="7"/>
        <v>TAR</v>
      </c>
      <c r="AB67" s="22">
        <v>60</v>
      </c>
      <c r="AC67" s="6">
        <v>4</v>
      </c>
    </row>
    <row r="68" spans="2:29" x14ac:dyDescent="0.25">
      <c r="B68" s="33">
        <v>61</v>
      </c>
      <c r="C68" s="31" t="s">
        <v>431</v>
      </c>
      <c r="D68" s="28" t="s">
        <v>189</v>
      </c>
      <c r="E68" s="28" t="s">
        <v>57</v>
      </c>
      <c r="F68" s="28"/>
      <c r="G68" s="33">
        <v>61</v>
      </c>
      <c r="H68" s="28" t="str">
        <f t="shared" si="0"/>
        <v>THY</v>
      </c>
      <c r="I68" s="31" t="str">
        <f t="shared" si="1"/>
        <v>TURKISH AIRLINES</v>
      </c>
      <c r="J68" s="28" t="str">
        <f t="shared" si="2"/>
        <v>AVP</v>
      </c>
      <c r="L68" s="109" t="s">
        <v>526</v>
      </c>
      <c r="N68" s="78">
        <v>0</v>
      </c>
      <c r="Z68" s="46"/>
      <c r="AA68" s="28" t="str">
        <f t="shared" si="7"/>
        <v>THY</v>
      </c>
      <c r="AB68" s="22">
        <v>61</v>
      </c>
      <c r="AC68" s="6">
        <v>2</v>
      </c>
    </row>
    <row r="69" spans="2:29" x14ac:dyDescent="0.25">
      <c r="B69" s="33">
        <v>62</v>
      </c>
      <c r="C69" s="31" t="s">
        <v>934</v>
      </c>
      <c r="D69" s="28" t="s">
        <v>935</v>
      </c>
      <c r="E69" s="28" t="s">
        <v>57</v>
      </c>
      <c r="F69" s="28"/>
      <c r="G69" s="33">
        <v>62</v>
      </c>
      <c r="H69" s="28" t="str">
        <f t="shared" si="0"/>
        <v>TJT</v>
      </c>
      <c r="I69" s="31" t="str">
        <f t="shared" si="1"/>
        <v>TWINJET</v>
      </c>
      <c r="J69" s="28" t="str">
        <f t="shared" si="2"/>
        <v>AVP</v>
      </c>
      <c r="L69" s="109" t="s">
        <v>527</v>
      </c>
      <c r="N69" s="78">
        <v>0</v>
      </c>
      <c r="Z69" s="46"/>
      <c r="AA69" s="28" t="str">
        <f t="shared" si="7"/>
        <v>TJT</v>
      </c>
      <c r="AB69" s="22">
        <v>62</v>
      </c>
      <c r="AC69" s="6">
        <v>2</v>
      </c>
    </row>
    <row r="70" spans="2:29" x14ac:dyDescent="0.25">
      <c r="B70" s="33">
        <v>63</v>
      </c>
      <c r="C70" s="31" t="s">
        <v>123</v>
      </c>
      <c r="D70" s="28" t="s">
        <v>216</v>
      </c>
      <c r="E70" s="28" t="s">
        <v>61</v>
      </c>
      <c r="F70" s="28"/>
      <c r="G70" s="33">
        <v>63</v>
      </c>
      <c r="H70" s="28" t="str">
        <f t="shared" si="0"/>
        <v>UAL</v>
      </c>
      <c r="I70" s="31" t="str">
        <f t="shared" si="1"/>
        <v>UNITED</v>
      </c>
      <c r="J70" s="28" t="str">
        <f t="shared" si="2"/>
        <v>MZS</v>
      </c>
      <c r="L70" s="109" t="s">
        <v>462</v>
      </c>
      <c r="M70" s="28">
        <v>2</v>
      </c>
      <c r="N70" s="78">
        <v>1</v>
      </c>
      <c r="Z70" s="46"/>
      <c r="AA70" s="28" t="str">
        <f t="shared" si="7"/>
        <v>UAL</v>
      </c>
      <c r="AB70" s="22">
        <v>63</v>
      </c>
      <c r="AC70" s="6">
        <v>4</v>
      </c>
    </row>
    <row r="71" spans="2:29" x14ac:dyDescent="0.25">
      <c r="B71" s="33">
        <v>64</v>
      </c>
      <c r="C71" s="31" t="s">
        <v>931</v>
      </c>
      <c r="D71" s="28" t="s">
        <v>932</v>
      </c>
      <c r="E71" s="28" t="s">
        <v>57</v>
      </c>
      <c r="G71" s="33">
        <v>64</v>
      </c>
      <c r="H71" s="28" t="str">
        <f t="shared" si="0"/>
        <v>UVL</v>
      </c>
      <c r="I71" s="31" t="str">
        <f t="shared" si="1"/>
        <v>UNIVERSAL AIR</v>
      </c>
      <c r="J71" s="28" t="str">
        <f t="shared" si="2"/>
        <v>AVP</v>
      </c>
      <c r="L71" s="109" t="s">
        <v>463</v>
      </c>
      <c r="M71" s="28">
        <v>2</v>
      </c>
      <c r="N71" s="78">
        <v>1</v>
      </c>
      <c r="Z71" s="46"/>
      <c r="AA71" s="28" t="str">
        <f t="shared" si="7"/>
        <v>UVL</v>
      </c>
      <c r="AB71" s="22">
        <v>64</v>
      </c>
      <c r="AC71" s="78">
        <v>4</v>
      </c>
    </row>
    <row r="72" spans="2:29" x14ac:dyDescent="0.25">
      <c r="B72" s="33">
        <v>65</v>
      </c>
      <c r="C72" s="31" t="s">
        <v>149</v>
      </c>
      <c r="D72" s="28" t="s">
        <v>217</v>
      </c>
      <c r="E72" s="28" t="s">
        <v>859</v>
      </c>
      <c r="G72" s="33">
        <v>65</v>
      </c>
      <c r="H72" s="28" t="str">
        <f t="shared" si="0"/>
        <v>VOE</v>
      </c>
      <c r="I72" s="31" t="str">
        <f t="shared" si="1"/>
        <v>VOLOTEA</v>
      </c>
      <c r="J72" s="28" t="str">
        <f t="shared" ref="J72:J76" si="8">E72</f>
        <v>ALZ</v>
      </c>
      <c r="L72" s="109" t="s">
        <v>892</v>
      </c>
      <c r="N72" s="78">
        <v>0</v>
      </c>
      <c r="Z72" s="46"/>
      <c r="AA72" s="28" t="str">
        <f t="shared" si="7"/>
        <v>VOE</v>
      </c>
      <c r="AB72" s="22">
        <v>65</v>
      </c>
      <c r="AC72" s="78">
        <v>3</v>
      </c>
    </row>
    <row r="73" spans="2:29" x14ac:dyDescent="0.25">
      <c r="B73" s="33">
        <v>66</v>
      </c>
      <c r="C73" s="31" t="s">
        <v>148</v>
      </c>
      <c r="D73" s="28" t="s">
        <v>218</v>
      </c>
      <c r="E73" s="28" t="s">
        <v>57</v>
      </c>
      <c r="G73" s="33">
        <v>66</v>
      </c>
      <c r="H73" s="28" t="str">
        <f t="shared" si="0"/>
        <v>VLG</v>
      </c>
      <c r="I73" s="31" t="str">
        <f t="shared" si="1"/>
        <v>VUELING</v>
      </c>
      <c r="J73" s="28" t="str">
        <f t="shared" si="8"/>
        <v>AVP</v>
      </c>
      <c r="L73" s="109" t="s">
        <v>930</v>
      </c>
      <c r="N73" s="78">
        <v>0</v>
      </c>
      <c r="Z73" s="46"/>
      <c r="AA73" s="28" t="str">
        <f t="shared" si="7"/>
        <v>VLG</v>
      </c>
      <c r="AB73" s="22">
        <v>66</v>
      </c>
      <c r="AC73" s="78">
        <v>2</v>
      </c>
    </row>
    <row r="74" spans="2:29" x14ac:dyDescent="0.25">
      <c r="B74" s="33">
        <v>67</v>
      </c>
      <c r="C74" s="31" t="s">
        <v>629</v>
      </c>
      <c r="D74" s="28" t="s">
        <v>632</v>
      </c>
      <c r="E74" s="28" t="s">
        <v>57</v>
      </c>
      <c r="G74" s="33">
        <v>67</v>
      </c>
      <c r="H74" s="28" t="str">
        <f t="shared" si="0"/>
        <v>WIF</v>
      </c>
      <c r="I74" s="31" t="str">
        <f t="shared" si="1"/>
        <v>WIDEROE</v>
      </c>
      <c r="J74" s="28" t="str">
        <f t="shared" si="8"/>
        <v>AVP</v>
      </c>
      <c r="L74" s="109" t="s">
        <v>888</v>
      </c>
      <c r="N74" s="78">
        <v>0</v>
      </c>
      <c r="Z74" s="46"/>
      <c r="AA74" s="28" t="str">
        <f t="shared" si="7"/>
        <v>WIF</v>
      </c>
      <c r="AB74" s="22">
        <v>67</v>
      </c>
      <c r="AC74" s="78">
        <v>2</v>
      </c>
    </row>
    <row r="75" spans="2:29" ht="15.75" thickBot="1" x14ac:dyDescent="0.3">
      <c r="B75" s="33">
        <v>68</v>
      </c>
      <c r="C75" s="31" t="s">
        <v>147</v>
      </c>
      <c r="D75" s="28" t="s">
        <v>160</v>
      </c>
      <c r="E75" s="28" t="s">
        <v>61</v>
      </c>
      <c r="G75" s="33">
        <v>68</v>
      </c>
      <c r="H75" s="28" t="str">
        <f t="shared" ref="H75" si="9">D75</f>
        <v>WZZ</v>
      </c>
      <c r="I75" s="31" t="str">
        <f t="shared" si="1"/>
        <v>WIZZAIR</v>
      </c>
      <c r="J75" s="28" t="str">
        <f t="shared" si="8"/>
        <v>MZS</v>
      </c>
      <c r="L75" s="109" t="s">
        <v>889</v>
      </c>
      <c r="N75" s="78">
        <v>0</v>
      </c>
      <c r="Z75" s="43"/>
      <c r="AA75" s="63" t="str">
        <f t="shared" si="7"/>
        <v>WZZ</v>
      </c>
      <c r="AB75" s="117">
        <v>68</v>
      </c>
      <c r="AC75" s="64">
        <v>4</v>
      </c>
    </row>
    <row r="76" spans="2:29" ht="15.75" thickBot="1" x14ac:dyDescent="0.3">
      <c r="B76" s="33"/>
      <c r="E76" s="28"/>
      <c r="I76" s="31">
        <f t="shared" si="1"/>
        <v>0</v>
      </c>
      <c r="J76" s="28">
        <f t="shared" si="8"/>
        <v>0</v>
      </c>
      <c r="L76" s="119" t="s">
        <v>890</v>
      </c>
      <c r="M76" s="4"/>
      <c r="N76" s="64">
        <v>0</v>
      </c>
    </row>
    <row r="77" spans="2:29" x14ac:dyDescent="0.25">
      <c r="L77" s="31"/>
    </row>
  </sheetData>
  <sortState ref="C7:E75">
    <sortCondition ref="C7"/>
  </sortState>
  <mergeCells count="22">
    <mergeCell ref="G5:J5"/>
    <mergeCell ref="AE5:AJ5"/>
    <mergeCell ref="AL7:AS7"/>
    <mergeCell ref="U5:X5"/>
    <mergeCell ref="L5:N5"/>
    <mergeCell ref="Z5:AC5"/>
    <mergeCell ref="B4:C4"/>
    <mergeCell ref="AE36:AJ36"/>
    <mergeCell ref="AE31:AJ31"/>
    <mergeCell ref="AE32:AJ32"/>
    <mergeCell ref="AE33:AJ33"/>
    <mergeCell ref="AE34:AJ34"/>
    <mergeCell ref="AE35:AJ35"/>
    <mergeCell ref="AE26:AJ26"/>
    <mergeCell ref="AE27:AJ27"/>
    <mergeCell ref="AE28:AJ28"/>
    <mergeCell ref="AE29:AJ29"/>
    <mergeCell ref="AE30:AJ30"/>
    <mergeCell ref="B5:E5"/>
    <mergeCell ref="P5:S5"/>
    <mergeCell ref="AE24:AJ24"/>
    <mergeCell ref="AE25:AJ25"/>
  </mergeCells>
  <pageMargins left="0.7" right="0.7" top="0.75" bottom="0.75" header="0.3" footer="0.3"/>
  <pageSetup paperSize="9" orientation="portrait" verticalDpi="0" r:id="rId1"/>
  <ignoredErrors>
    <ignoredError sqref="S31:S37 S39 S41:S42 S45:S47 S56 S58 S60 S9:S12 S17:S24" numberStoredAsText="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B3:AB71"/>
  <sheetViews>
    <sheetView topLeftCell="I34" workbookViewId="0">
      <selection activeCell="V62" sqref="V62"/>
    </sheetView>
  </sheetViews>
  <sheetFormatPr baseColWidth="10" defaultRowHeight="15" x14ac:dyDescent="0.25"/>
  <sheetData>
    <row r="3" spans="2:28" ht="15.75" thickBot="1" x14ac:dyDescent="0.3"/>
    <row r="4" spans="2:28" ht="15.75" thickBot="1" x14ac:dyDescent="0.3">
      <c r="I4" s="919" t="s">
        <v>432</v>
      </c>
      <c r="J4" s="920"/>
      <c r="K4" s="920"/>
      <c r="L4" s="921"/>
      <c r="N4" s="749" t="s">
        <v>432</v>
      </c>
      <c r="O4" s="923"/>
      <c r="P4" s="923"/>
      <c r="Q4" s="923"/>
      <c r="R4" s="750"/>
      <c r="T4" s="749" t="s">
        <v>220</v>
      </c>
      <c r="U4" s="923"/>
      <c r="V4" s="923"/>
      <c r="W4" s="750"/>
      <c r="Y4" s="1011" t="s">
        <v>829</v>
      </c>
      <c r="Z4" s="1012"/>
      <c r="AA4" s="1012"/>
      <c r="AB4" s="1013"/>
    </row>
    <row r="5" spans="2:28" ht="15.75" thickBot="1" x14ac:dyDescent="0.3">
      <c r="B5" s="1001" t="s">
        <v>420</v>
      </c>
      <c r="C5" s="1002"/>
      <c r="D5" s="86"/>
      <c r="E5" s="167" t="str">
        <f>IF(E15&lt;&gt;0,IF(DATA_VAL_MAIN&lt;&gt;E15,1,0),"")</f>
        <v/>
      </c>
      <c r="F5" s="99" t="s">
        <v>484</v>
      </c>
      <c r="G5" s="75" t="s">
        <v>182</v>
      </c>
      <c r="I5" s="729" t="s">
        <v>355</v>
      </c>
      <c r="J5" s="730"/>
      <c r="K5" s="102"/>
      <c r="L5" s="135" t="s">
        <v>433</v>
      </c>
      <c r="N5" s="72"/>
      <c r="O5" s="1"/>
      <c r="P5" s="1"/>
      <c r="Q5" s="1"/>
      <c r="R5" s="2"/>
      <c r="T5" s="72"/>
      <c r="U5" s="1"/>
      <c r="V5" s="1"/>
      <c r="W5" s="2"/>
      <c r="Y5" s="1014"/>
      <c r="Z5" s="1015"/>
      <c r="AA5" s="1015"/>
      <c r="AB5" s="1016"/>
    </row>
    <row r="6" spans="2:28" ht="15.75" thickBot="1" x14ac:dyDescent="0.3">
      <c r="B6" s="120" t="s">
        <v>32</v>
      </c>
      <c r="C6" s="140"/>
      <c r="D6" s="142" t="str">
        <f>IF(OR(C6="",E6&lt;&gt;""),"",IF(AND(C6=1,$C$15=1),$D$5,IF(AND(C6=1,$D$5=$C$15),1,IF(AND(C6=1,$C$15&gt;1,MOD($D$5,2)=0,INT($D$5/$C$15)*10=($D$5/$C$15)*10),$D$5/$C$15,""))))</f>
        <v/>
      </c>
      <c r="E6" s="136"/>
      <c r="F6" s="41">
        <f>IF(ACT_SP=1,"0",DJX_3)</f>
        <v>0</v>
      </c>
      <c r="G6" s="59">
        <f>IF(INP_ASB&lt;&gt;"",INP_ASB+F7,INP_MSB+F7)</f>
        <v>0</v>
      </c>
      <c r="I6" s="1030" t="s">
        <v>356</v>
      </c>
      <c r="J6" s="1031"/>
      <c r="K6" s="66">
        <v>1</v>
      </c>
      <c r="L6" s="98"/>
      <c r="N6" s="46"/>
      <c r="R6" s="3"/>
      <c r="T6" s="46"/>
      <c r="U6" s="28" t="s">
        <v>354</v>
      </c>
      <c r="V6" s="300">
        <f ca="1">DAY(TODAY())</f>
        <v>9</v>
      </c>
      <c r="W6" s="3"/>
      <c r="Y6" s="56" t="s">
        <v>671</v>
      </c>
      <c r="Z6" s="65" t="s">
        <v>635</v>
      </c>
      <c r="AA6" s="65" t="s">
        <v>828</v>
      </c>
      <c r="AB6" s="156" t="str">
        <f>ADDRESS(JOUR_X+6,26)</f>
        <v>$Z$15</v>
      </c>
    </row>
    <row r="7" spans="2:28" x14ac:dyDescent="0.25">
      <c r="B7" s="109" t="s">
        <v>33</v>
      </c>
      <c r="C7" s="88"/>
      <c r="D7" s="143" t="str">
        <f>IF(OR(C7="",E7&lt;&gt;""),"",IF(AND(C7=1,$C$15=1),$D$5,IF(AND(C7=1,$D$5=$C$15),1,IF(AND(C7=1,$C$15&gt;1,MOD($D$5,2)=0,INT($D$5/$C$15)*10=($D$5/$C$15)*10),$D$5/$C$15,""))))</f>
        <v/>
      </c>
      <c r="E7" s="137"/>
      <c r="F7" s="74">
        <f>IF(ACT_SP=1,0,DJX_4)</f>
        <v>0</v>
      </c>
      <c r="G7" s="78">
        <f t="shared" ref="G7:G14" si="0">IF(D7&lt;&gt;"",D7+F7,E7+F7)</f>
        <v>0</v>
      </c>
      <c r="I7" s="763" t="s">
        <v>357</v>
      </c>
      <c r="J7" s="764"/>
      <c r="K7" s="66">
        <v>1</v>
      </c>
      <c r="L7" s="98"/>
      <c r="N7" s="46"/>
      <c r="O7" s="28" t="s">
        <v>536</v>
      </c>
      <c r="P7" s="28"/>
      <c r="Q7" s="28" t="s">
        <v>539</v>
      </c>
      <c r="R7" s="3"/>
      <c r="T7" s="46"/>
      <c r="U7" s="28" t="s">
        <v>594</v>
      </c>
      <c r="V7" s="300">
        <f ca="1">MONTH(TODAY())</f>
        <v>2</v>
      </c>
      <c r="W7" s="174"/>
      <c r="Y7" s="76">
        <v>1</v>
      </c>
      <c r="Z7" t="s">
        <v>933</v>
      </c>
      <c r="AA7" s="28">
        <f t="shared" ref="AA7:AA37" si="1">IF(AND(Y7&lt;&gt;"",Z7&lt;&gt;""),1,0)</f>
        <v>1</v>
      </c>
      <c r="AB7" s="241"/>
    </row>
    <row r="8" spans="2:28" x14ac:dyDescent="0.25">
      <c r="B8" s="109" t="s">
        <v>34</v>
      </c>
      <c r="C8" s="88"/>
      <c r="D8" s="143" t="str">
        <f t="shared" ref="D8:D14" si="2">IF(OR(C8="",E8&lt;&gt;""),"",IF(AND(C8=1,$C$15=1),$D$5,IF(AND(C8=1,$D$5=$C$15),1,IF(AND(C8=1,$C$15&gt;1,MOD($D$5,2)=0,INT($D$5/$C$15)*10=($D$5/$C$15)*10),$D$5/$C$15,""))))</f>
        <v/>
      </c>
      <c r="E8" s="137"/>
      <c r="F8" s="74">
        <f>IF(ACT_SP=1,0,DJX_5)</f>
        <v>0</v>
      </c>
      <c r="G8" s="78">
        <f t="shared" si="0"/>
        <v>0</v>
      </c>
      <c r="I8" s="763" t="s">
        <v>358</v>
      </c>
      <c r="J8" s="764"/>
      <c r="K8" s="66">
        <v>1</v>
      </c>
      <c r="L8" s="98"/>
      <c r="N8" s="46"/>
      <c r="O8" s="162">
        <v>16</v>
      </c>
      <c r="P8" s="28"/>
      <c r="Q8" s="162"/>
      <c r="R8" s="3"/>
      <c r="T8" s="46"/>
      <c r="U8" s="28" t="s">
        <v>595</v>
      </c>
      <c r="V8" s="300">
        <f ca="1">YEAR(TODAY())</f>
        <v>2025</v>
      </c>
      <c r="W8" s="3"/>
      <c r="Y8" s="76">
        <v>2</v>
      </c>
      <c r="Z8" t="s">
        <v>933</v>
      </c>
      <c r="AA8" s="28">
        <f t="shared" si="1"/>
        <v>1</v>
      </c>
      <c r="AB8" s="242"/>
    </row>
    <row r="9" spans="2:28" x14ac:dyDescent="0.25">
      <c r="B9" s="109" t="s">
        <v>35</v>
      </c>
      <c r="C9" s="88"/>
      <c r="D9" s="143" t="str">
        <f t="shared" si="2"/>
        <v/>
      </c>
      <c r="E9" s="137"/>
      <c r="F9" s="74">
        <f>IF(ACT_SP=1,0,DJX_6+DJX_16)</f>
        <v>0</v>
      </c>
      <c r="G9" s="78">
        <f t="shared" si="0"/>
        <v>0</v>
      </c>
      <c r="I9" s="763" t="s">
        <v>359</v>
      </c>
      <c r="J9" s="764"/>
      <c r="K9" s="66">
        <v>1</v>
      </c>
      <c r="L9" s="98"/>
      <c r="N9" s="46"/>
      <c r="O9" s="28"/>
      <c r="P9" s="28"/>
      <c r="Q9" s="28"/>
      <c r="R9" s="3"/>
      <c r="T9" s="46"/>
      <c r="U9" s="28" t="s">
        <v>601</v>
      </c>
      <c r="V9" s="300" t="str">
        <f ca="1">TEXT(TODAY(),"MM")</f>
        <v>02</v>
      </c>
      <c r="W9" s="3"/>
      <c r="Y9" s="76">
        <v>3</v>
      </c>
      <c r="Z9" t="s">
        <v>933</v>
      </c>
      <c r="AA9" s="28">
        <f t="shared" si="1"/>
        <v>1</v>
      </c>
      <c r="AB9" s="242"/>
    </row>
    <row r="10" spans="2:28" ht="15.75" thickBot="1" x14ac:dyDescent="0.3">
      <c r="B10" s="109" t="s">
        <v>36</v>
      </c>
      <c r="C10" s="88"/>
      <c r="D10" s="143" t="str">
        <f t="shared" si="2"/>
        <v/>
      </c>
      <c r="E10" s="137"/>
      <c r="F10" s="74">
        <f>IF(ACT_SP=1,0,DJX_7+DJX_17)</f>
        <v>0</v>
      </c>
      <c r="G10" s="78">
        <f t="shared" si="0"/>
        <v>0</v>
      </c>
      <c r="I10" s="1028" t="s">
        <v>360</v>
      </c>
      <c r="J10" s="1029"/>
      <c r="K10" s="66">
        <v>1</v>
      </c>
      <c r="L10" s="98"/>
      <c r="N10" s="46"/>
      <c r="O10" s="28" t="s">
        <v>537</v>
      </c>
      <c r="P10" s="28"/>
      <c r="Q10" s="28" t="s">
        <v>540</v>
      </c>
      <c r="R10" s="3"/>
      <c r="T10" s="46"/>
      <c r="U10" s="28" t="s">
        <v>598</v>
      </c>
      <c r="V10" s="300" t="str">
        <f ca="1">TEXT(TODAY(),"MMMM")</f>
        <v>février</v>
      </c>
      <c r="W10" s="3"/>
      <c r="Y10" s="76">
        <v>4</v>
      </c>
      <c r="Z10" t="s">
        <v>844</v>
      </c>
      <c r="AA10" s="28">
        <f t="shared" si="1"/>
        <v>1</v>
      </c>
      <c r="AB10" s="242"/>
    </row>
    <row r="11" spans="2:28" ht="15.75" thickBot="1" x14ac:dyDescent="0.3">
      <c r="B11" s="109" t="s">
        <v>37</v>
      </c>
      <c r="C11" s="88"/>
      <c r="D11" s="143" t="str">
        <f t="shared" si="2"/>
        <v/>
      </c>
      <c r="E11" s="137"/>
      <c r="F11" s="74">
        <f>IF(ACT_SP=1,0,DJX_8+DJX_18)</f>
        <v>0</v>
      </c>
      <c r="G11" s="78">
        <f t="shared" si="0"/>
        <v>0</v>
      </c>
      <c r="I11" s="729" t="s">
        <v>382</v>
      </c>
      <c r="J11" s="730"/>
      <c r="K11" s="111"/>
      <c r="L11" s="99">
        <f>IF(OR(K6="",K7="",K8="",K9="",K10=""),1,0)</f>
        <v>0</v>
      </c>
      <c r="N11" s="46"/>
      <c r="O11" s="147">
        <v>52</v>
      </c>
      <c r="P11" s="28"/>
      <c r="Q11" s="147" t="s">
        <v>243</v>
      </c>
      <c r="R11" s="3"/>
      <c r="T11" s="46"/>
      <c r="U11" s="28" t="s">
        <v>823</v>
      </c>
      <c r="V11" s="300">
        <f ca="1">IF(MOIS_M=1,12,MOIS_M-1)</f>
        <v>1</v>
      </c>
      <c r="W11" s="3"/>
      <c r="Y11" s="76">
        <v>5</v>
      </c>
      <c r="Z11" t="s">
        <v>942</v>
      </c>
      <c r="AA11" s="28">
        <f t="shared" si="1"/>
        <v>1</v>
      </c>
      <c r="AB11" s="242"/>
    </row>
    <row r="12" spans="2:28" x14ac:dyDescent="0.25">
      <c r="B12" s="109" t="s">
        <v>38</v>
      </c>
      <c r="C12" s="88"/>
      <c r="D12" s="143" t="str">
        <f t="shared" si="2"/>
        <v/>
      </c>
      <c r="E12" s="137"/>
      <c r="F12" s="74">
        <f>IF(ACT_SP=1,0,DJX_9)</f>
        <v>0</v>
      </c>
      <c r="G12" s="78">
        <f t="shared" si="0"/>
        <v>0</v>
      </c>
      <c r="I12" s="1030" t="s">
        <v>361</v>
      </c>
      <c r="J12" s="1031"/>
      <c r="K12" s="66">
        <v>1</v>
      </c>
      <c r="L12" s="98"/>
      <c r="N12" s="46"/>
      <c r="O12" s="28"/>
      <c r="P12" s="28"/>
      <c r="Q12" s="28"/>
      <c r="R12" s="3"/>
      <c r="T12" s="46"/>
      <c r="U12" s="677" t="s">
        <v>806</v>
      </c>
      <c r="V12" s="677"/>
      <c r="W12" s="3"/>
      <c r="Y12" s="76">
        <v>6</v>
      </c>
      <c r="Z12" t="s">
        <v>844</v>
      </c>
      <c r="AA12" s="28">
        <f t="shared" si="1"/>
        <v>1</v>
      </c>
      <c r="AB12" s="242"/>
    </row>
    <row r="13" spans="2:28" x14ac:dyDescent="0.25">
      <c r="B13" s="109" t="s">
        <v>39</v>
      </c>
      <c r="C13" s="88"/>
      <c r="D13" s="143" t="str">
        <f t="shared" si="2"/>
        <v/>
      </c>
      <c r="E13" s="137"/>
      <c r="F13" s="74">
        <f>IF(ACT_SP=1,0,DJX_10)</f>
        <v>0</v>
      </c>
      <c r="G13" s="78">
        <f t="shared" si="0"/>
        <v>0</v>
      </c>
      <c r="I13" s="763" t="s">
        <v>362</v>
      </c>
      <c r="J13" s="764"/>
      <c r="K13" s="66">
        <v>1</v>
      </c>
      <c r="L13" s="98"/>
      <c r="N13" s="46"/>
      <c r="O13" s="28"/>
      <c r="P13" s="28" t="s">
        <v>538</v>
      </c>
      <c r="Q13" s="28"/>
      <c r="R13" s="3"/>
      <c r="T13" s="316"/>
      <c r="U13" s="1022" t="str">
        <f ca="1">UPPER(TEXT(EDATE(TODAY(),1),"MMMM"))</f>
        <v>MARS</v>
      </c>
      <c r="V13" s="1022"/>
      <c r="W13" s="3"/>
      <c r="Y13" s="76">
        <v>7</v>
      </c>
      <c r="Z13" t="s">
        <v>844</v>
      </c>
      <c r="AA13" s="28">
        <f t="shared" si="1"/>
        <v>1</v>
      </c>
      <c r="AB13" s="242"/>
    </row>
    <row r="14" spans="2:28" ht="15.75" thickBot="1" x14ac:dyDescent="0.3">
      <c r="B14" s="109" t="s">
        <v>40</v>
      </c>
      <c r="C14" s="88"/>
      <c r="D14" s="144" t="str">
        <f t="shared" si="2"/>
        <v/>
      </c>
      <c r="E14" s="137"/>
      <c r="F14" s="74">
        <f>IF(ACT_SP=1,0,DJX_11)</f>
        <v>0</v>
      </c>
      <c r="G14" s="78">
        <f t="shared" si="0"/>
        <v>0</v>
      </c>
      <c r="I14" s="1028" t="s">
        <v>363</v>
      </c>
      <c r="J14" s="1029"/>
      <c r="K14" s="66">
        <v>1</v>
      </c>
      <c r="L14" s="98"/>
      <c r="N14" s="46"/>
      <c r="O14" s="28"/>
      <c r="P14" s="161"/>
      <c r="Q14" s="28"/>
      <c r="R14" s="3"/>
      <c r="T14" s="46"/>
      <c r="U14" s="1021" t="str">
        <f ca="1">TEXT(TODAY(),"AA")</f>
        <v>25</v>
      </c>
      <c r="V14" s="1021"/>
      <c r="W14" s="3"/>
      <c r="Y14" s="76">
        <v>8</v>
      </c>
      <c r="Z14" t="s">
        <v>844</v>
      </c>
      <c r="AA14" s="28">
        <f t="shared" si="1"/>
        <v>1</v>
      </c>
      <c r="AB14" s="242"/>
    </row>
    <row r="15" spans="2:28" ht="15.75" thickBot="1" x14ac:dyDescent="0.3">
      <c r="B15" s="132" t="s">
        <v>182</v>
      </c>
      <c r="C15" s="134">
        <f>SUM(C6:C14)</f>
        <v>0</v>
      </c>
      <c r="D15" s="141"/>
      <c r="E15" s="168">
        <f>SUM(E6:E14)+SUM(D6:D14)</f>
        <v>0</v>
      </c>
      <c r="F15" s="83"/>
      <c r="G15" s="90"/>
      <c r="I15" s="729" t="s">
        <v>364</v>
      </c>
      <c r="J15" s="730"/>
      <c r="K15" s="111"/>
      <c r="L15" s="99">
        <f>IF(OR(ST_4001="",ST_ACO="",ST_CMP=""),1,0)</f>
        <v>0</v>
      </c>
      <c r="N15" s="46"/>
      <c r="R15" s="3"/>
      <c r="T15" s="46"/>
      <c r="U15" s="1021">
        <f ca="1">ANNEE_A-1</f>
        <v>2024</v>
      </c>
      <c r="V15" s="1021"/>
      <c r="W15" s="3"/>
      <c r="Y15" s="76">
        <v>9</v>
      </c>
      <c r="Z15" t="s">
        <v>944</v>
      </c>
      <c r="AA15" s="28">
        <f t="shared" si="1"/>
        <v>1</v>
      </c>
      <c r="AB15" s="242"/>
    </row>
    <row r="16" spans="2:28" ht="15.75" thickBot="1" x14ac:dyDescent="0.3">
      <c r="B16" s="1001" t="s">
        <v>214</v>
      </c>
      <c r="C16" s="1009"/>
      <c r="D16" s="141"/>
      <c r="E16" s="166" t="str">
        <f>IF(E29&lt;&gt;0,IF(DATA_VAL_MAIN&lt;&gt;E29,1,0),"")</f>
        <v/>
      </c>
      <c r="F16" s="94"/>
      <c r="G16" s="92"/>
      <c r="I16" s="1030" t="s">
        <v>365</v>
      </c>
      <c r="J16" s="1031"/>
      <c r="K16" s="66">
        <v>1</v>
      </c>
      <c r="L16" s="98"/>
      <c r="N16" s="46"/>
      <c r="O16" s="148"/>
      <c r="P16" s="148"/>
      <c r="Q16" s="148"/>
      <c r="R16" s="3"/>
      <c r="T16" s="46"/>
      <c r="U16" s="1021"/>
      <c r="V16" s="1021"/>
      <c r="W16" s="3"/>
      <c r="Y16" s="76">
        <v>10</v>
      </c>
      <c r="Z16" t="s">
        <v>944</v>
      </c>
      <c r="AA16" s="28">
        <f t="shared" si="1"/>
        <v>1</v>
      </c>
      <c r="AB16" s="242"/>
    </row>
    <row r="17" spans="2:28" x14ac:dyDescent="0.25">
      <c r="B17" s="581" t="s">
        <v>92</v>
      </c>
      <c r="C17" s="582"/>
      <c r="D17" s="583" t="str">
        <f>IF(OR(C17="",E17&lt;&gt;""),"",IF(AND(C17=1,$C$29=1),$D$5,IF(AND(C17=1,$D$5=$C$29),1,IF(AND(C17=1,$C$29&gt;1,MOD($D$5,2)=0,INT($D$5/$C$29)*10=($D$5/$C$29)*10),$D$5/$C$29,""))))</f>
        <v/>
      </c>
      <c r="E17" s="584"/>
      <c r="F17" s="599"/>
      <c r="G17" s="600"/>
      <c r="I17" s="763" t="s">
        <v>366</v>
      </c>
      <c r="J17" s="764"/>
      <c r="K17" s="66">
        <v>1</v>
      </c>
      <c r="L17" s="98"/>
      <c r="N17" s="46"/>
      <c r="R17" s="3"/>
      <c r="T17" s="46"/>
      <c r="U17" s="1021" t="str">
        <f ca="1">UPPER(TEXT(TODAY(),"MMMM"))&amp;" "&amp;ANNEE_A</f>
        <v>FÉVRIER 2025</v>
      </c>
      <c r="V17" s="1021"/>
      <c r="W17" s="3"/>
      <c r="Y17" s="76">
        <v>11</v>
      </c>
      <c r="Z17" t="s">
        <v>946</v>
      </c>
      <c r="AA17" s="28">
        <f t="shared" si="1"/>
        <v>1</v>
      </c>
      <c r="AB17" s="242"/>
    </row>
    <row r="18" spans="2:28" ht="15.75" thickBot="1" x14ac:dyDescent="0.3">
      <c r="B18" s="581" t="s">
        <v>57</v>
      </c>
      <c r="C18" s="582"/>
      <c r="D18" s="586" t="str">
        <f t="shared" ref="D18:D28" si="3">IF(OR(C18="",E18&lt;&gt;""),"",IF(AND(C18=1,$C$29=1),$D$5,IF(AND(C18=1,$D$5=$C$29),1,IF(AND(C18=1,$C$29&gt;1,MOD($D$5,2)=0,INT($D$5/$C$29)*10=($D$5/$C$29)*10),$D$5/$C$29,""))))</f>
        <v/>
      </c>
      <c r="E18" s="584"/>
      <c r="F18" s="599"/>
      <c r="G18" s="600"/>
      <c r="I18" s="763" t="s">
        <v>367</v>
      </c>
      <c r="J18" s="764"/>
      <c r="K18" s="66">
        <v>1</v>
      </c>
      <c r="L18" s="98"/>
      <c r="N18" s="46"/>
      <c r="O18" s="28" t="s">
        <v>541</v>
      </c>
      <c r="P18" s="28"/>
      <c r="Q18" s="28" t="s">
        <v>542</v>
      </c>
      <c r="R18" s="3"/>
      <c r="T18" s="46"/>
      <c r="U18" s="1020" t="str">
        <f ca="1">IF(MOIS_M=1,"DECEMBRE"&amp;" "&amp;ANNEE_AM1,UPPER(TEXT(EDATE(MOIS_M,MOIS_M-2),"MMMM"))&amp;" "&amp;ANNEE_XX)</f>
        <v>JANVIER 25</v>
      </c>
      <c r="V18" s="1020"/>
      <c r="W18" s="3"/>
      <c r="Y18" s="76">
        <v>12</v>
      </c>
      <c r="Z18" t="s">
        <v>946</v>
      </c>
      <c r="AA18" s="28">
        <f t="shared" si="1"/>
        <v>1</v>
      </c>
      <c r="AB18" s="242"/>
    </row>
    <row r="19" spans="2:28" ht="15.75" thickBot="1" x14ac:dyDescent="0.3">
      <c r="B19" s="581" t="s">
        <v>62</v>
      </c>
      <c r="C19" s="582"/>
      <c r="D19" s="586" t="str">
        <f t="shared" si="3"/>
        <v/>
      </c>
      <c r="E19" s="584"/>
      <c r="F19" s="599"/>
      <c r="G19" s="600"/>
      <c r="I19" s="763" t="s">
        <v>368</v>
      </c>
      <c r="J19" s="764"/>
      <c r="K19" s="66">
        <v>1</v>
      </c>
      <c r="L19" s="99">
        <f>IF(AND(ST_DT=1,ST_GC=1),1,0)</f>
        <v>1</v>
      </c>
      <c r="N19" s="46"/>
      <c r="O19" s="149" t="str">
        <f>IF(ST_LI_CIE="","",VLOOKUP(ST_LI_CIE,DATA_SCIES,3,FALSE))</f>
        <v>AUA</v>
      </c>
      <c r="Q19" s="150" t="str">
        <f>IF(ST_LI_APP="","",VLOOKUP(ST_LI_APP,DATA_APP,3,FALSE))</f>
        <v>E195</v>
      </c>
      <c r="R19" s="3"/>
      <c r="T19" s="46"/>
      <c r="U19" s="677" t="s">
        <v>596</v>
      </c>
      <c r="V19" s="677"/>
      <c r="W19" s="3"/>
      <c r="Y19" s="76">
        <v>13</v>
      </c>
      <c r="Z19" t="s">
        <v>946</v>
      </c>
      <c r="AA19" s="28">
        <f t="shared" si="1"/>
        <v>1</v>
      </c>
      <c r="AB19" s="242"/>
    </row>
    <row r="20" spans="2:28" ht="15.75" thickBot="1" x14ac:dyDescent="0.3">
      <c r="B20" s="581" t="s">
        <v>61</v>
      </c>
      <c r="C20" s="582"/>
      <c r="D20" s="586" t="str">
        <f t="shared" si="3"/>
        <v/>
      </c>
      <c r="E20" s="584"/>
      <c r="F20" s="599"/>
      <c r="G20" s="600"/>
      <c r="I20" s="1028" t="s">
        <v>369</v>
      </c>
      <c r="J20" s="1029"/>
      <c r="K20" s="66">
        <v>1</v>
      </c>
      <c r="L20" s="98"/>
      <c r="N20" s="46"/>
      <c r="O20" s="169">
        <f>IF(ST_LI_CIE="N",VLOOKUP(ST_EY_TCIE,DATA_MTRILI,2,FALSE),ST_LI_CIE)</f>
        <v>16</v>
      </c>
      <c r="Q20" s="169">
        <f>IF(ST_LI_APP="N",VLOOKUP(ST_EY_TAPP,DATA_ST_LI,3,FALSE),ST_LI_APP)</f>
        <v>52</v>
      </c>
      <c r="R20" s="3"/>
      <c r="T20" s="46"/>
      <c r="U20" s="1019">
        <f ca="1">NOW()</f>
        <v>45697.962348958332</v>
      </c>
      <c r="V20" s="1019"/>
      <c r="W20" s="3"/>
      <c r="Y20" s="76">
        <v>14</v>
      </c>
      <c r="Z20" t="s">
        <v>948</v>
      </c>
      <c r="AA20" s="28">
        <f t="shared" si="1"/>
        <v>1</v>
      </c>
      <c r="AB20" s="242"/>
    </row>
    <row r="21" spans="2:28" ht="15.75" thickBot="1" x14ac:dyDescent="0.3">
      <c r="B21" s="581" t="s">
        <v>58</v>
      </c>
      <c r="C21" s="582"/>
      <c r="D21" s="586" t="str">
        <f t="shared" si="3"/>
        <v/>
      </c>
      <c r="E21" s="584"/>
      <c r="F21" s="599"/>
      <c r="G21" s="600"/>
      <c r="I21" s="729" t="s">
        <v>370</v>
      </c>
      <c r="J21" s="730"/>
      <c r="K21" s="111"/>
      <c r="L21" s="99">
        <f>IF(OR(ST_ECD="",ST_DT="",ST_GC="",ST_DAO="",ST_PSI=""),1,0)</f>
        <v>0</v>
      </c>
      <c r="N21" s="46"/>
      <c r="O21" s="28" t="s">
        <v>545</v>
      </c>
      <c r="P21" s="28"/>
      <c r="Q21" s="28" t="s">
        <v>546</v>
      </c>
      <c r="R21" s="3"/>
      <c r="T21" s="46"/>
      <c r="U21" s="28" t="s">
        <v>597</v>
      </c>
      <c r="V21" s="300">
        <f ca="1">HOUR(NOW())</f>
        <v>23</v>
      </c>
      <c r="W21" s="3"/>
      <c r="Y21" s="76">
        <v>15</v>
      </c>
      <c r="Z21" t="s">
        <v>950</v>
      </c>
      <c r="AA21" s="28">
        <f t="shared" si="1"/>
        <v>1</v>
      </c>
      <c r="AB21" s="242"/>
    </row>
    <row r="22" spans="2:28" x14ac:dyDescent="0.25">
      <c r="B22" s="581" t="s">
        <v>60</v>
      </c>
      <c r="C22" s="582"/>
      <c r="D22" s="586" t="str">
        <f t="shared" si="3"/>
        <v/>
      </c>
      <c r="E22" s="584"/>
      <c r="F22" s="599"/>
      <c r="G22" s="600"/>
      <c r="I22" s="1034" t="s">
        <v>371</v>
      </c>
      <c r="J22" s="1035"/>
      <c r="K22" s="66">
        <v>1</v>
      </c>
      <c r="L22" s="98"/>
      <c r="N22" s="46"/>
      <c r="O22" s="162" t="e">
        <f>VLOOKUP(ST_EY_TCIE,DATA_SCIES2,2,FALSE)</f>
        <v>#N/A</v>
      </c>
      <c r="P22" s="28"/>
      <c r="Q22" s="147" t="str">
        <f>VLOOKUP(ST_EY_TAPP,DATA_APP2,3,FALSE)</f>
        <v>EMBRAER E195</v>
      </c>
      <c r="R22" s="3"/>
      <c r="T22" s="46"/>
      <c r="U22" s="28" t="s">
        <v>599</v>
      </c>
      <c r="V22" s="300">
        <f ca="1">IF(OR(MOD(ANNEE_A,400)=0,AND(MOD(ANNEE_A,4)=0,MOD(ANNEE_A,100)&lt;&gt;0)),1,0)</f>
        <v>0</v>
      </c>
      <c r="W22" s="3"/>
      <c r="Y22" s="76">
        <v>16</v>
      </c>
      <c r="Z22" t="s">
        <v>948</v>
      </c>
      <c r="AA22" s="28">
        <f t="shared" si="1"/>
        <v>1</v>
      </c>
      <c r="AB22" s="242"/>
    </row>
    <row r="23" spans="2:28" x14ac:dyDescent="0.25">
      <c r="B23" s="581" t="s">
        <v>59</v>
      </c>
      <c r="C23" s="582"/>
      <c r="D23" s="586" t="str">
        <f t="shared" si="3"/>
        <v/>
      </c>
      <c r="E23" s="584"/>
      <c r="F23" s="599"/>
      <c r="G23" s="600"/>
      <c r="I23" s="765" t="s">
        <v>372</v>
      </c>
      <c r="J23" s="766"/>
      <c r="K23" s="66">
        <v>0</v>
      </c>
      <c r="L23" s="98"/>
      <c r="N23" s="46"/>
      <c r="O23" s="163">
        <f>_xlfn.IFNA(O22,1)</f>
        <v>1</v>
      </c>
      <c r="Q23" s="163" t="str">
        <f>_xlfn.IFNA(ST_EY_MC_APP,1)</f>
        <v>EMBRAER E195</v>
      </c>
      <c r="R23" s="3"/>
      <c r="T23" s="46"/>
      <c r="U23" t="s">
        <v>600</v>
      </c>
      <c r="V23" s="300">
        <f ca="1">IF(AND(JOUR_J=31,OR(MOIS_M=1,MOIS_M=3,MOIS_M=5,MOIS_M=7,MOIS_M=8,MOIS_M=10,MOIS_M=12)),1,IF(AND(JOUR_J=30,OR(MOIS_M=4,MOIS_M=6,MOIS_M=9,MOIS_M=10)),1,IF(AND(JOUR_J=28,MOIS_M=2,BISEX=0),1,IF(AND(JOUR_J=29,MOIS_M=2,BISEX=1),1,0))))</f>
        <v>0</v>
      </c>
      <c r="W23" s="3"/>
      <c r="Y23" s="76">
        <v>17</v>
      </c>
      <c r="Z23" t="s">
        <v>948</v>
      </c>
      <c r="AA23" s="28">
        <f t="shared" si="1"/>
        <v>1</v>
      </c>
      <c r="AB23" s="242"/>
    </row>
    <row r="24" spans="2:28" x14ac:dyDescent="0.25">
      <c r="B24" s="581" t="s">
        <v>219</v>
      </c>
      <c r="C24" s="582"/>
      <c r="D24" s="586" t="str">
        <f t="shared" si="3"/>
        <v/>
      </c>
      <c r="E24" s="584"/>
      <c r="F24" s="599"/>
      <c r="G24" s="600"/>
      <c r="I24" s="765" t="s">
        <v>373</v>
      </c>
      <c r="J24" s="766"/>
      <c r="K24" s="66">
        <v>0</v>
      </c>
      <c r="L24" s="98"/>
      <c r="N24" s="46"/>
      <c r="R24" s="3"/>
      <c r="T24" s="46"/>
      <c r="U24" s="28" t="s">
        <v>644</v>
      </c>
      <c r="V24" s="300">
        <f ca="1">IF(OR(MOIS_M=1,MOIS_M=3,MOIS_M=5,MOIS_M=7,MOIS_M=8,MOIS_M=10,MOIS_M=12),31,IF(AND(MOIS_M=2,BISEX=1),29,IF(AND(BISEX=0,MOIS_M=2),28,30)))</f>
        <v>28</v>
      </c>
      <c r="W24" s="3"/>
      <c r="Y24" s="76">
        <v>18</v>
      </c>
      <c r="Z24" t="s">
        <v>948</v>
      </c>
      <c r="AA24" s="28">
        <f t="shared" si="1"/>
        <v>1</v>
      </c>
      <c r="AB24" s="242"/>
    </row>
    <row r="25" spans="2:28" x14ac:dyDescent="0.25">
      <c r="B25" s="581" t="s">
        <v>403</v>
      </c>
      <c r="C25" s="582"/>
      <c r="D25" s="586" t="str">
        <f t="shared" si="3"/>
        <v/>
      </c>
      <c r="E25" s="584"/>
      <c r="F25" s="599"/>
      <c r="G25" s="600"/>
      <c r="I25" s="765" t="s">
        <v>374</v>
      </c>
      <c r="J25" s="766"/>
      <c r="K25" s="66">
        <v>1</v>
      </c>
      <c r="L25" s="98"/>
      <c r="N25" s="46"/>
      <c r="O25" t="s">
        <v>547</v>
      </c>
      <c r="R25" s="3"/>
      <c r="T25" s="46"/>
      <c r="U25" s="28" t="s">
        <v>834</v>
      </c>
      <c r="V25" s="300">
        <f ca="1">IF(OR(MOIS_M1=1,MOIS_M1=3,MOIS_M1=5,MOIS_M1=7,MOIS_M1=8,MOIS_M1=10,MOIS_M1=12),31,IF(AND(MOIS_M1=2,BISEX=1),29,IF(AND(BISEX=0,MOIS_M1=2),28,30)))</f>
        <v>31</v>
      </c>
      <c r="W25" s="3"/>
      <c r="Y25" s="76">
        <v>19</v>
      </c>
      <c r="Z25" t="s">
        <v>948</v>
      </c>
      <c r="AA25" s="28">
        <f t="shared" si="1"/>
        <v>1</v>
      </c>
      <c r="AB25" s="242"/>
    </row>
    <row r="26" spans="2:28" ht="15.75" thickBot="1" x14ac:dyDescent="0.3">
      <c r="B26" s="581" t="s">
        <v>405</v>
      </c>
      <c r="C26" s="582"/>
      <c r="D26" s="586" t="str">
        <f t="shared" si="3"/>
        <v/>
      </c>
      <c r="E26" s="584"/>
      <c r="F26" s="599"/>
      <c r="G26" s="600"/>
      <c r="I26" s="929" t="s">
        <v>375</v>
      </c>
      <c r="J26" s="1036"/>
      <c r="K26" s="66" t="s">
        <v>424</v>
      </c>
      <c r="L26" s="98"/>
      <c r="N26" s="46"/>
      <c r="O26" s="1017" t="e">
        <f>VLOOKUP(ST_EY_IMM,DATA_IMM,2,FALSE)</f>
        <v>#NAME?</v>
      </c>
      <c r="P26" s="1017"/>
      <c r="Q26" s="163" t="e">
        <f>_xlfn.IFNA(ST_MC_IMM,1)</f>
        <v>#NAME?</v>
      </c>
      <c r="R26" s="3"/>
      <c r="T26" s="46"/>
      <c r="U26" s="28" t="s">
        <v>835</v>
      </c>
      <c r="V26" s="300">
        <f ca="1">IF(JOUR_LAST=JOUR_J,1,0)</f>
        <v>0</v>
      </c>
      <c r="W26" s="3"/>
      <c r="Y26" s="76">
        <v>20</v>
      </c>
      <c r="Z26" t="s">
        <v>844</v>
      </c>
      <c r="AA26" s="28">
        <f t="shared" si="1"/>
        <v>1</v>
      </c>
      <c r="AB26" s="242"/>
    </row>
    <row r="27" spans="2:28" ht="15.75" thickBot="1" x14ac:dyDescent="0.3">
      <c r="B27" s="581" t="s">
        <v>404</v>
      </c>
      <c r="C27" s="582"/>
      <c r="D27" s="586" t="str">
        <f t="shared" si="3"/>
        <v/>
      </c>
      <c r="E27" s="584"/>
      <c r="F27" s="599"/>
      <c r="G27" s="600"/>
      <c r="I27" s="729" t="s">
        <v>376</v>
      </c>
      <c r="J27" s="730"/>
      <c r="K27" s="111"/>
      <c r="L27" s="99">
        <f>IF(OR(ST_CBV="",ST_LOD="",ST_CAT="",ST_CPM="",ST_AKH=""),1,0)</f>
        <v>0</v>
      </c>
      <c r="N27" s="46"/>
      <c r="R27" s="3"/>
      <c r="T27" s="46"/>
      <c r="U27" s="28" t="s">
        <v>857</v>
      </c>
      <c r="V27" s="298" t="str">
        <f ca="1">"TOTAUX -"&amp;ANNEE_A-1</f>
        <v>TOTAUX -2024</v>
      </c>
      <c r="W27" s="3"/>
      <c r="Y27" s="76">
        <v>21</v>
      </c>
      <c r="Z27" t="s">
        <v>844</v>
      </c>
      <c r="AA27" s="28">
        <f t="shared" si="1"/>
        <v>1</v>
      </c>
      <c r="AB27" s="242"/>
    </row>
    <row r="28" spans="2:28" ht="15.75" thickBot="1" x14ac:dyDescent="0.3">
      <c r="B28" s="581" t="s">
        <v>406</v>
      </c>
      <c r="C28" s="582"/>
      <c r="D28" s="587" t="str">
        <f t="shared" si="3"/>
        <v/>
      </c>
      <c r="E28" s="584"/>
      <c r="F28" s="599"/>
      <c r="G28" s="600"/>
      <c r="I28" s="1037" t="s">
        <v>377</v>
      </c>
      <c r="J28" s="1038"/>
      <c r="K28" s="66">
        <v>0</v>
      </c>
      <c r="L28" s="98"/>
      <c r="N28" s="46"/>
      <c r="O28" s="28" t="s">
        <v>543</v>
      </c>
      <c r="R28" s="3"/>
      <c r="T28" s="46"/>
      <c r="U28" s="28" t="s">
        <v>480</v>
      </c>
      <c r="V28" s="300" t="str">
        <f ca="1">ANNEE_XX&amp;MOIS_XX&amp;"-"</f>
        <v>2502-</v>
      </c>
      <c r="W28" s="3"/>
      <c r="Y28" s="76">
        <v>22</v>
      </c>
      <c r="Z28" t="s">
        <v>950</v>
      </c>
      <c r="AA28" s="28">
        <f t="shared" si="1"/>
        <v>1</v>
      </c>
      <c r="AB28" s="242"/>
    </row>
    <row r="29" spans="2:28" ht="15.75" thickBot="1" x14ac:dyDescent="0.3">
      <c r="B29" s="601" t="s">
        <v>182</v>
      </c>
      <c r="C29" s="602">
        <f>SUM(C17:C28)</f>
        <v>0</v>
      </c>
      <c r="D29" s="590"/>
      <c r="E29" s="591">
        <f>SUM(E17:E28)+SUM(D17:D28)</f>
        <v>0</v>
      </c>
      <c r="F29" s="592"/>
      <c r="G29" s="593"/>
      <c r="I29" s="1032" t="s">
        <v>378</v>
      </c>
      <c r="J29" s="1033"/>
      <c r="K29" s="66" t="s">
        <v>424</v>
      </c>
      <c r="L29" s="98"/>
      <c r="N29" s="46"/>
      <c r="O29" s="149" t="str">
        <f>IF(ST_LI_CIE="N",VLOOKUP(ST_RLI_CIE,DATA_SCIES,4,FALSE),VLOOKUP(ST_LI_CIE,DATA_SCIES,4,FALSE))</f>
        <v>AVP</v>
      </c>
      <c r="P29" s="925" t="str">
        <f>IF(ST_HDG_1="AFR","AIR FRANCE",IF(ST_HDG_1="AVP","AVIAPARTNER",IF(ST_HDG_1="ALZ","ALYZIA",IF(ST_HDG_1="MZS","MENZIES AVIATION",""))))</f>
        <v>AVIAPARTNER</v>
      </c>
      <c r="Q29" s="925"/>
      <c r="R29" s="3"/>
      <c r="T29" s="46"/>
      <c r="U29" s="28" t="s">
        <v>858</v>
      </c>
      <c r="V29" s="300" t="str">
        <f ca="1">"ST-"&amp;ANNEE_A</f>
        <v>ST-2025</v>
      </c>
      <c r="W29" s="3"/>
      <c r="Y29" s="76">
        <v>23</v>
      </c>
      <c r="Z29" t="s">
        <v>946</v>
      </c>
      <c r="AA29" s="28">
        <f t="shared" si="1"/>
        <v>1</v>
      </c>
      <c r="AB29" s="242"/>
    </row>
    <row r="30" spans="2:28" ht="15.75" thickBot="1" x14ac:dyDescent="0.3">
      <c r="B30" s="1001" t="s">
        <v>21</v>
      </c>
      <c r="C30" s="1009"/>
      <c r="D30" s="141"/>
      <c r="E30" s="166" t="str">
        <f>IF(E38&lt;&gt;0,IF(E38&lt;&gt;DATA_VAL_MAIN,1,0),"")</f>
        <v/>
      </c>
      <c r="F30" s="94"/>
      <c r="G30" s="92"/>
      <c r="I30" s="1032" t="s">
        <v>379</v>
      </c>
      <c r="J30" s="1033"/>
      <c r="K30" s="66" t="s">
        <v>424</v>
      </c>
      <c r="L30" s="98"/>
      <c r="N30" s="46"/>
      <c r="O30" s="28">
        <f>VLOOKUP(ST_HDG_1,DATA_HDG2,2,FALSE)</f>
        <v>2</v>
      </c>
      <c r="P30" s="28">
        <f>VLOOKUP(ST_LI_CIE,DATA_ST!AB7:AC70,2,FALSE)</f>
        <v>2</v>
      </c>
      <c r="R30" s="3"/>
      <c r="T30" s="43"/>
      <c r="U30" s="4"/>
      <c r="V30" s="4"/>
      <c r="W30" s="5"/>
      <c r="Y30" s="76">
        <v>24</v>
      </c>
      <c r="Z30" t="s">
        <v>950</v>
      </c>
      <c r="AA30" s="28">
        <f t="shared" si="1"/>
        <v>1</v>
      </c>
      <c r="AB30" s="242"/>
    </row>
    <row r="31" spans="2:28" ht="15.75" thickBot="1" x14ac:dyDescent="0.3">
      <c r="B31" s="581" t="s">
        <v>92</v>
      </c>
      <c r="C31" s="582"/>
      <c r="D31" s="583" t="str">
        <f>IF(OR(C31="",E31&lt;&gt;""),"",IF(AND(C31=1,$C$38=1),$D$5,IF(AND(C31=1,$D$5=$C$38),1,IF(AND(C31=1,$C$38&gt;1,MOD($D$5,2)=0,INT($D$5/$C$38)*10=($D$5/$C$38)*10),$D$5/$C$38,""))))</f>
        <v/>
      </c>
      <c r="E31" s="584"/>
      <c r="F31" s="585"/>
      <c r="G31" s="1023"/>
      <c r="I31" s="1026" t="s">
        <v>380</v>
      </c>
      <c r="J31" s="1027"/>
      <c r="K31" s="66" t="s">
        <v>424</v>
      </c>
      <c r="L31" s="98"/>
      <c r="N31" s="46"/>
      <c r="O31" t="s">
        <v>544</v>
      </c>
      <c r="R31" s="3"/>
      <c r="T31" s="677" t="s">
        <v>602</v>
      </c>
      <c r="U31" s="677"/>
      <c r="V31" s="677"/>
      <c r="W31" s="677"/>
      <c r="Y31" s="76">
        <v>25</v>
      </c>
      <c r="Z31" t="s">
        <v>948</v>
      </c>
      <c r="AA31" s="28">
        <f t="shared" si="1"/>
        <v>1</v>
      </c>
      <c r="AB31" s="242"/>
    </row>
    <row r="32" spans="2:28" ht="15.75" thickBot="1" x14ac:dyDescent="0.3">
      <c r="B32" s="581" t="s">
        <v>57</v>
      </c>
      <c r="C32" s="582"/>
      <c r="D32" s="586" t="str">
        <f>IF(OR(C32="",E32&lt;&gt;""),"",IF(AND(C32=1,$C$38=1),$D$5,IF(AND(C32=1,$D$5=$C$38),1,IF(AND(C32=1,$C$38&gt;1,MOD($D$5,2)=0,INT($D$5/$C$38)*10=($D$5/$C$38)*10),$D$5/$C$38,""))))</f>
        <v/>
      </c>
      <c r="E32" s="584"/>
      <c r="F32" s="585"/>
      <c r="G32" s="1024"/>
      <c r="I32" s="729" t="s">
        <v>381</v>
      </c>
      <c r="J32" s="730"/>
      <c r="K32" s="111"/>
      <c r="L32" s="99">
        <f>IF(OR(ST_WW="",ST_CTL="",ST_CC="",ST_VDP=""),1,0)</f>
        <v>0</v>
      </c>
      <c r="N32" s="46"/>
      <c r="O32" s="159"/>
      <c r="P32" s="160" t="e">
        <f>VLOOKUP(ST_ASS_CR,DATA_HDG,2,FALSE)</f>
        <v>#N/A</v>
      </c>
      <c r="R32" s="3"/>
      <c r="Y32" s="76">
        <v>26</v>
      </c>
      <c r="Z32" t="s">
        <v>948</v>
      </c>
      <c r="AA32" s="28">
        <f t="shared" si="1"/>
        <v>1</v>
      </c>
      <c r="AB32" s="242"/>
    </row>
    <row r="33" spans="2:28" x14ac:dyDescent="0.25">
      <c r="B33" s="581" t="s">
        <v>62</v>
      </c>
      <c r="C33" s="582"/>
      <c r="D33" s="586" t="str">
        <f t="shared" ref="D33:D37" si="4">IF(OR(C33="",E33&lt;&gt;""),"",IF(AND(C33=1,$C$38=1),$D$5,IF(AND(C33=1,$D$5=$C$38),1,IF(AND(C33=1,$C$38&gt;1,MOD($D$5,2)=0,INT($D$5/$C$38)*10=($D$5/$C$38)*10),$D$5/$C$38,""))))</f>
        <v/>
      </c>
      <c r="E33" s="584"/>
      <c r="F33" s="585"/>
      <c r="G33" s="1024"/>
      <c r="I33" s="1030" t="s">
        <v>383</v>
      </c>
      <c r="J33" s="1031"/>
      <c r="K33" s="66">
        <v>1</v>
      </c>
      <c r="L33" s="98"/>
      <c r="N33" s="46"/>
      <c r="R33" s="3"/>
      <c r="T33" s="1018" t="s">
        <v>603</v>
      </c>
      <c r="U33" s="28">
        <v>1</v>
      </c>
      <c r="V33" s="28">
        <f t="shared" ref="V33:V44" ca="1" si="5">IF(MOIS_M=U33,1,IF(MOIS_M&lt;U33,2,0))</f>
        <v>0</v>
      </c>
      <c r="Y33" s="76">
        <v>27</v>
      </c>
      <c r="Z33" t="s">
        <v>944</v>
      </c>
      <c r="AA33" s="28">
        <f t="shared" si="1"/>
        <v>1</v>
      </c>
      <c r="AB33" s="242"/>
    </row>
    <row r="34" spans="2:28" x14ac:dyDescent="0.25">
      <c r="B34" s="581" t="s">
        <v>61</v>
      </c>
      <c r="C34" s="582"/>
      <c r="D34" s="586" t="str">
        <f t="shared" si="4"/>
        <v/>
      </c>
      <c r="E34" s="584"/>
      <c r="F34" s="585"/>
      <c r="G34" s="1024"/>
      <c r="I34" s="763" t="s">
        <v>357</v>
      </c>
      <c r="J34" s="764"/>
      <c r="K34" s="66">
        <v>1</v>
      </c>
      <c r="L34" s="98"/>
      <c r="N34" s="46"/>
      <c r="O34" s="28" t="s">
        <v>442</v>
      </c>
      <c r="P34" s="28"/>
      <c r="Q34" s="28" t="s">
        <v>443</v>
      </c>
      <c r="R34" s="3"/>
      <c r="T34" s="1018"/>
      <c r="U34" s="28">
        <v>2</v>
      </c>
      <c r="V34" s="28">
        <f t="shared" ca="1" si="5"/>
        <v>1</v>
      </c>
      <c r="Y34" s="76">
        <v>28</v>
      </c>
      <c r="Z34" t="s">
        <v>844</v>
      </c>
      <c r="AA34" s="28">
        <f t="shared" si="1"/>
        <v>1</v>
      </c>
      <c r="AB34" s="242"/>
    </row>
    <row r="35" spans="2:28" x14ac:dyDescent="0.25">
      <c r="B35" s="581" t="s">
        <v>58</v>
      </c>
      <c r="C35" s="582"/>
      <c r="D35" s="586" t="str">
        <f t="shared" si="4"/>
        <v/>
      </c>
      <c r="E35" s="584"/>
      <c r="F35" s="585"/>
      <c r="G35" s="1024"/>
      <c r="I35" s="763" t="s">
        <v>384</v>
      </c>
      <c r="J35" s="764"/>
      <c r="K35" s="66">
        <v>1</v>
      </c>
      <c r="L35" s="98"/>
      <c r="N35" s="46"/>
      <c r="O35" s="151">
        <f>VLOOKUP(ST_PKG,DATA_PKG,2,FALSE)</f>
        <v>2</v>
      </c>
      <c r="P35" s="28"/>
      <c r="Q35" s="151">
        <f>VLOOKUP(ST_PKG,DATA_PKG,3,FALSE)</f>
        <v>1</v>
      </c>
      <c r="R35" s="3"/>
      <c r="T35" s="1018"/>
      <c r="U35" s="28">
        <v>3</v>
      </c>
      <c r="V35" s="28">
        <f t="shared" ca="1" si="5"/>
        <v>2</v>
      </c>
      <c r="Y35" s="76">
        <v>29</v>
      </c>
      <c r="Z35" t="s">
        <v>844</v>
      </c>
      <c r="AA35" s="28">
        <f t="shared" si="1"/>
        <v>1</v>
      </c>
      <c r="AB35" s="242"/>
    </row>
    <row r="36" spans="2:28" x14ac:dyDescent="0.25">
      <c r="B36" s="581" t="s">
        <v>60</v>
      </c>
      <c r="C36" s="582"/>
      <c r="D36" s="586" t="str">
        <f t="shared" si="4"/>
        <v/>
      </c>
      <c r="E36" s="584"/>
      <c r="F36" s="585"/>
      <c r="G36" s="1024"/>
      <c r="I36" s="763" t="s">
        <v>385</v>
      </c>
      <c r="J36" s="764"/>
      <c r="K36" s="66">
        <v>1</v>
      </c>
      <c r="L36" s="98"/>
      <c r="N36" s="46"/>
      <c r="O36" s="163">
        <f>_xlfn.IFNA(ST_PKG_WW,1)</f>
        <v>2</v>
      </c>
      <c r="P36" s="28"/>
      <c r="Q36" s="163">
        <f>_xlfn.IFNA(Q35,1)</f>
        <v>1</v>
      </c>
      <c r="R36" s="3"/>
      <c r="T36" s="1018"/>
      <c r="U36" s="28">
        <v>4</v>
      </c>
      <c r="V36" s="28">
        <f t="shared" ca="1" si="5"/>
        <v>2</v>
      </c>
      <c r="Y36" s="76" t="str">
        <f ca="1">IF(AND(MOIS_M=2,JOUR_J=1),30,IF(OR(JOUR_LAST=31,JOUR_LAST=30),30,""))</f>
        <v/>
      </c>
      <c r="Z36" t="s">
        <v>997</v>
      </c>
      <c r="AA36" s="28">
        <f ca="1">IF(AND(Y36&lt;&gt;"",Z36&lt;&gt;""),1,0)</f>
        <v>0</v>
      </c>
      <c r="AB36" s="242"/>
    </row>
    <row r="37" spans="2:28" ht="15.75" thickBot="1" x14ac:dyDescent="0.3">
      <c r="B37" s="581" t="s">
        <v>59</v>
      </c>
      <c r="C37" s="582"/>
      <c r="D37" s="587" t="str">
        <f t="shared" si="4"/>
        <v/>
      </c>
      <c r="E37" s="584"/>
      <c r="F37" s="585"/>
      <c r="G37" s="1025"/>
      <c r="I37" s="1028" t="s">
        <v>356</v>
      </c>
      <c r="J37" s="1029"/>
      <c r="K37" s="67">
        <v>1</v>
      </c>
      <c r="L37" s="98"/>
      <c r="N37" s="46"/>
      <c r="O37" s="28"/>
      <c r="P37" s="28"/>
      <c r="Q37" s="28"/>
      <c r="R37" s="3"/>
      <c r="T37" s="1018"/>
      <c r="U37" s="28">
        <v>5</v>
      </c>
      <c r="V37" s="28">
        <f t="shared" ca="1" si="5"/>
        <v>2</v>
      </c>
      <c r="Y37" s="62">
        <v>31</v>
      </c>
      <c r="Z37" s="4" t="s">
        <v>997</v>
      </c>
      <c r="AA37" s="63">
        <f t="shared" si="1"/>
        <v>1</v>
      </c>
      <c r="AB37" s="242"/>
    </row>
    <row r="38" spans="2:28" ht="15.75" thickBot="1" x14ac:dyDescent="0.3">
      <c r="B38" s="588" t="s">
        <v>182</v>
      </c>
      <c r="C38" s="589">
        <f>SUM(C31:C37)</f>
        <v>0</v>
      </c>
      <c r="D38" s="590"/>
      <c r="E38" s="591">
        <f>SUM(E31:E37)+SUM(D31:D37)</f>
        <v>0</v>
      </c>
      <c r="F38" s="592"/>
      <c r="G38" s="593"/>
      <c r="I38" s="91"/>
      <c r="J38" s="94"/>
      <c r="K38" s="94"/>
      <c r="L38" s="99">
        <f>IF(OR(ST_4002="",ST_PPP2="",ST_ZD2="",ST_REPO="",ST_IPA2=""),1,0)</f>
        <v>0</v>
      </c>
      <c r="N38" s="46"/>
      <c r="O38" s="28" t="s">
        <v>477</v>
      </c>
      <c r="P38" s="28"/>
      <c r="Q38" s="28" t="s">
        <v>486</v>
      </c>
      <c r="R38" s="3"/>
      <c r="T38" s="1018"/>
      <c r="U38" s="28">
        <v>6</v>
      </c>
      <c r="V38" s="28">
        <f t="shared" ca="1" si="5"/>
        <v>2</v>
      </c>
      <c r="Y38" s="919" t="s">
        <v>830</v>
      </c>
      <c r="Z38" s="921"/>
      <c r="AA38" s="244">
        <f>VLOOKUP(JOUR_X,Y7:AA37,3,FALSE)</f>
        <v>1</v>
      </c>
      <c r="AB38" s="242"/>
    </row>
    <row r="39" spans="2:28" ht="15.75" thickBot="1" x14ac:dyDescent="0.3">
      <c r="B39" s="594"/>
      <c r="C39" s="595"/>
      <c r="D39" s="590"/>
      <c r="E39" s="596" t="str">
        <f>IF(E48&lt;&gt;0,IF(E48&lt;&gt;DATA_VAL_MAIN,1,0),"")</f>
        <v/>
      </c>
      <c r="F39" s="597"/>
      <c r="G39" s="598"/>
      <c r="N39" s="46"/>
      <c r="O39" s="151">
        <v>10</v>
      </c>
      <c r="P39" s="28"/>
      <c r="Q39" s="199" t="s">
        <v>460</v>
      </c>
      <c r="R39" s="3"/>
      <c r="T39" s="1018"/>
      <c r="U39" s="28">
        <v>7</v>
      </c>
      <c r="V39" s="28">
        <f t="shared" ca="1" si="5"/>
        <v>2</v>
      </c>
      <c r="Y39" s="749" t="s">
        <v>831</v>
      </c>
      <c r="Z39" s="750"/>
      <c r="AA39" s="58">
        <v>0</v>
      </c>
      <c r="AB39" s="242"/>
    </row>
    <row r="40" spans="2:28" ht="15.75" thickBot="1" x14ac:dyDescent="0.3">
      <c r="B40" s="581" t="s">
        <v>478</v>
      </c>
      <c r="C40" s="582"/>
      <c r="D40" s="583" t="str">
        <f>IF(OR(C40="",E40&lt;&gt;""),"",IF(AND(C40=1,$C$48=1),$D$5,IF(AND(C40=1,$D$5=$C$48),1,IF(AND(C40=1,$C$48&gt;1,MOD($D$5,2)=0,INT($D$5/$C$48)*10=($D$5/$C$48)*10),$D$5/$C$48,""))))</f>
        <v/>
      </c>
      <c r="E40" s="584"/>
      <c r="F40" s="599"/>
      <c r="G40" s="600"/>
      <c r="J40" s="7" t="s">
        <v>534</v>
      </c>
      <c r="K40" s="7" t="s">
        <v>535</v>
      </c>
      <c r="L40" s="7" t="s">
        <v>182</v>
      </c>
      <c r="N40" s="46"/>
      <c r="O40" s="163" t="str">
        <f>VLOOKUP(ST_COP,DATA_COP,2,FALSE)</f>
        <v>MIEDZINSKA MATYLDA</v>
      </c>
      <c r="P40" s="28"/>
      <c r="Q40" s="163" t="str">
        <f>_xlfn.IFNA(VLOOKUP(ST_PKG,DATA_PKG,1,FALSE),1)</f>
        <v>10A</v>
      </c>
      <c r="R40" s="3"/>
      <c r="T40" s="1018"/>
      <c r="U40" s="28">
        <v>8</v>
      </c>
      <c r="V40" s="28">
        <f t="shared" ca="1" si="5"/>
        <v>2</v>
      </c>
      <c r="Y40" s="749" t="s">
        <v>832</v>
      </c>
      <c r="Z40" s="750"/>
      <c r="AA40" s="56">
        <f ca="1">IF(SUM(AA7:AA37)&lt;&gt;JOUR_LAST_M1,0,1)</f>
        <v>0</v>
      </c>
      <c r="AB40" s="242"/>
    </row>
    <row r="41" spans="2:28" ht="15.75" thickBot="1" x14ac:dyDescent="0.3">
      <c r="B41" s="581" t="s">
        <v>467</v>
      </c>
      <c r="C41" s="582"/>
      <c r="D41" s="586" t="str">
        <f t="shared" ref="D41:D47" si="6">IF(OR(C41="",E41&lt;&gt;""),"",IF(AND(C41=1,$C$48=1),$D$5,IF(AND(C41=1,$D$5=$C$48),1,IF(AND(C41=1,$C$48&gt;1,MOD($D$5,2)=0,INT($D$5/$C$48)*10=($D$5/$C$48)*10),$D$5/$C$48,""))))</f>
        <v/>
      </c>
      <c r="E41" s="584"/>
      <c r="F41" s="599"/>
      <c r="G41" s="600"/>
      <c r="I41" s="7" t="s">
        <v>408</v>
      </c>
      <c r="J41" s="60">
        <v>1</v>
      </c>
      <c r="K41" s="41">
        <f>DJX_43</f>
        <v>0</v>
      </c>
      <c r="L41" s="59">
        <f>DV_CS1+K41</f>
        <v>1</v>
      </c>
      <c r="N41" s="46"/>
      <c r="R41" s="3"/>
      <c r="T41" s="1018"/>
      <c r="U41" s="28">
        <v>9</v>
      </c>
      <c r="V41" s="28">
        <f t="shared" ca="1" si="5"/>
        <v>2</v>
      </c>
      <c r="Y41" s="749" t="s">
        <v>833</v>
      </c>
      <c r="Z41" s="750"/>
      <c r="AA41" s="56">
        <v>0</v>
      </c>
      <c r="AB41" s="243"/>
    </row>
    <row r="42" spans="2:28" ht="15.75" thickBot="1" x14ac:dyDescent="0.3">
      <c r="B42" s="581" t="s">
        <v>468</v>
      </c>
      <c r="C42" s="582"/>
      <c r="D42" s="586" t="str">
        <f t="shared" si="6"/>
        <v/>
      </c>
      <c r="E42" s="584"/>
      <c r="F42" s="599"/>
      <c r="G42" s="600"/>
      <c r="I42" s="8" t="s">
        <v>409</v>
      </c>
      <c r="J42" s="28">
        <v>0</v>
      </c>
      <c r="K42" s="74">
        <f>DJX_44</f>
        <v>0</v>
      </c>
      <c r="L42" s="78">
        <f>DV_CS2+K42</f>
        <v>0</v>
      </c>
      <c r="N42" s="46"/>
      <c r="O42" s="811" t="s">
        <v>583</v>
      </c>
      <c r="P42" s="811"/>
      <c r="Q42" s="811"/>
      <c r="R42" s="3"/>
      <c r="T42" s="1018"/>
      <c r="U42" s="28">
        <v>10</v>
      </c>
      <c r="V42" s="28">
        <f t="shared" ca="1" si="5"/>
        <v>2</v>
      </c>
    </row>
    <row r="43" spans="2:28" ht="15.75" thickBot="1" x14ac:dyDescent="0.3">
      <c r="B43" s="581" t="s">
        <v>469</v>
      </c>
      <c r="C43" s="582"/>
      <c r="D43" s="586" t="str">
        <f t="shared" si="6"/>
        <v/>
      </c>
      <c r="E43" s="584"/>
      <c r="F43" s="599"/>
      <c r="G43" s="600"/>
      <c r="I43" s="8" t="s">
        <v>410</v>
      </c>
      <c r="J43" s="28">
        <v>0</v>
      </c>
      <c r="K43" s="74">
        <f>DJX_45</f>
        <v>0</v>
      </c>
      <c r="L43" s="78">
        <f>DV_CS3+K43</f>
        <v>0</v>
      </c>
      <c r="N43" s="46"/>
      <c r="R43" s="3"/>
      <c r="T43" s="1018"/>
      <c r="U43" s="28">
        <v>11</v>
      </c>
      <c r="V43" s="28">
        <f t="shared" ca="1" si="5"/>
        <v>2</v>
      </c>
    </row>
    <row r="44" spans="2:28" ht="15.75" thickBot="1" x14ac:dyDescent="0.3">
      <c r="B44" s="581" t="s">
        <v>470</v>
      </c>
      <c r="C44" s="582"/>
      <c r="D44" s="586" t="str">
        <f t="shared" si="6"/>
        <v/>
      </c>
      <c r="E44" s="584"/>
      <c r="F44" s="599"/>
      <c r="G44" s="600"/>
      <c r="I44" s="9" t="s">
        <v>411</v>
      </c>
      <c r="J44" s="63">
        <v>1</v>
      </c>
      <c r="K44" s="74">
        <f>DJX_46</f>
        <v>0</v>
      </c>
      <c r="L44" s="78">
        <f>DV_CS4+K44</f>
        <v>1</v>
      </c>
      <c r="N44" s="1000" t="s">
        <v>92</v>
      </c>
      <c r="O44" s="164"/>
      <c r="R44" s="3"/>
      <c r="T44" s="1018"/>
      <c r="U44" s="28">
        <v>12</v>
      </c>
      <c r="V44" s="28">
        <f t="shared" ca="1" si="5"/>
        <v>2</v>
      </c>
      <c r="Y44" s="919" t="s">
        <v>848</v>
      </c>
      <c r="Z44" s="920"/>
      <c r="AA44" s="921"/>
    </row>
    <row r="45" spans="2:28" ht="15.75" thickBot="1" x14ac:dyDescent="0.3">
      <c r="B45" s="581" t="s">
        <v>471</v>
      </c>
      <c r="C45" s="582"/>
      <c r="D45" s="586" t="str">
        <f t="shared" si="6"/>
        <v/>
      </c>
      <c r="E45" s="584"/>
      <c r="F45" s="599"/>
      <c r="G45" s="600"/>
      <c r="I45" s="103"/>
      <c r="J45" s="28">
        <f>SUM(J41:J44)</f>
        <v>2</v>
      </c>
      <c r="K45" s="318">
        <f>SUM(K41:K44)</f>
        <v>0</v>
      </c>
      <c r="L45" s="73">
        <f t="shared" ref="L45:L53" si="7">J45+K45</f>
        <v>2</v>
      </c>
      <c r="N45" s="1000"/>
      <c r="O45" s="164"/>
      <c r="R45" s="3"/>
      <c r="Y45" s="58">
        <v>1</v>
      </c>
      <c r="Z45" s="60">
        <v>31</v>
      </c>
      <c r="AA45" s="59">
        <f t="shared" ref="AA45:AA56" ca="1" si="8">IF(MOIS_M&gt;Y45,Z45,"")</f>
        <v>31</v>
      </c>
    </row>
    <row r="46" spans="2:28" ht="15.75" thickBot="1" x14ac:dyDescent="0.3">
      <c r="B46" s="581" t="s">
        <v>472</v>
      </c>
      <c r="C46" s="582"/>
      <c r="D46" s="586" t="str">
        <f t="shared" si="6"/>
        <v/>
      </c>
      <c r="E46" s="584"/>
      <c r="F46" s="599"/>
      <c r="G46" s="600"/>
      <c r="I46" s="7" t="s">
        <v>412</v>
      </c>
      <c r="J46" s="60">
        <v>0</v>
      </c>
      <c r="K46" s="41">
        <f>DJX_47</f>
        <v>0</v>
      </c>
      <c r="L46" s="78">
        <f t="shared" si="7"/>
        <v>0</v>
      </c>
      <c r="N46" s="1000"/>
      <c r="O46" s="164"/>
      <c r="R46" s="3"/>
      <c r="Y46" s="76">
        <v>2</v>
      </c>
      <c r="Z46" s="28">
        <f ca="1">IF(BISEX=0,28,29)</f>
        <v>28</v>
      </c>
      <c r="AA46" s="78" t="str">
        <f t="shared" ca="1" si="8"/>
        <v/>
      </c>
    </row>
    <row r="47" spans="2:28" ht="15.75" thickBot="1" x14ac:dyDescent="0.3">
      <c r="B47" s="581" t="s">
        <v>481</v>
      </c>
      <c r="C47" s="582"/>
      <c r="D47" s="587" t="str">
        <f t="shared" si="6"/>
        <v/>
      </c>
      <c r="E47" s="584"/>
      <c r="F47" s="599"/>
      <c r="G47" s="600"/>
      <c r="I47" s="8" t="s">
        <v>413</v>
      </c>
      <c r="J47" s="28">
        <v>0</v>
      </c>
      <c r="K47" s="74">
        <f>DJX_48</f>
        <v>0</v>
      </c>
      <c r="L47" s="78">
        <f t="shared" si="7"/>
        <v>0</v>
      </c>
      <c r="N47" s="1000" t="s">
        <v>57</v>
      </c>
      <c r="O47" s="164"/>
      <c r="R47" s="3"/>
      <c r="T47" s="749" t="s">
        <v>609</v>
      </c>
      <c r="U47" s="923"/>
      <c r="V47" s="923"/>
      <c r="W47" s="750"/>
      <c r="Y47" s="76">
        <v>3</v>
      </c>
      <c r="Z47" s="28">
        <v>31</v>
      </c>
      <c r="AA47" s="78" t="str">
        <f t="shared" ca="1" si="8"/>
        <v/>
      </c>
    </row>
    <row r="48" spans="2:28" ht="15.75" thickBot="1" x14ac:dyDescent="0.3">
      <c r="B48" s="132" t="s">
        <v>182</v>
      </c>
      <c r="C48" s="134">
        <f>SUM(C40:C47)</f>
        <v>0</v>
      </c>
      <c r="D48" s="141"/>
      <c r="E48" s="168">
        <f>SUM(E40:E47)+SUM(D40:D47)</f>
        <v>0</v>
      </c>
      <c r="F48" s="83"/>
      <c r="G48" s="90"/>
      <c r="I48" s="8" t="s">
        <v>414</v>
      </c>
      <c r="J48" s="28">
        <v>0</v>
      </c>
      <c r="K48" s="74">
        <f>DJX_49</f>
        <v>0</v>
      </c>
      <c r="L48" s="78">
        <f t="shared" si="7"/>
        <v>0</v>
      </c>
      <c r="N48" s="1000"/>
      <c r="O48" s="164"/>
      <c r="Q48" s="28" t="s">
        <v>584</v>
      </c>
      <c r="R48" s="3"/>
      <c r="T48" s="46"/>
      <c r="W48" s="3"/>
      <c r="Y48" s="76">
        <v>4</v>
      </c>
      <c r="Z48" s="28">
        <v>30</v>
      </c>
      <c r="AA48" s="78" t="str">
        <f t="shared" ca="1" si="8"/>
        <v/>
      </c>
    </row>
    <row r="49" spans="2:27" ht="15.75" thickBot="1" x14ac:dyDescent="0.3">
      <c r="B49" s="1001" t="s">
        <v>20</v>
      </c>
      <c r="C49" s="1009"/>
      <c r="D49" s="141"/>
      <c r="E49" s="166" t="str">
        <f>IF(E55&lt;&gt;0,IF(OR(E55&lt;&gt;DATA_VAL_MAIN,E56&lt;&gt;DATA_VAL_MAIN),1,0),"")</f>
        <v/>
      </c>
      <c r="F49" s="94"/>
      <c r="G49" s="92"/>
      <c r="I49" s="8" t="s">
        <v>415</v>
      </c>
      <c r="J49" s="28">
        <v>0</v>
      </c>
      <c r="K49" s="74">
        <f>DJX_50</f>
        <v>0</v>
      </c>
      <c r="L49" s="78">
        <f t="shared" si="7"/>
        <v>0</v>
      </c>
      <c r="N49" s="1000"/>
      <c r="O49" s="164"/>
      <c r="Q49" s="162">
        <f ca="1">IF(OR(JOUR_DATA=O44,JOUR_DATA=O45,JOUR_DATA=O46,JOUR_DATA=O47,JOUR_DATA=O48,JOUR_DATA=O49,JOUR_DATA=O50,JOUR_DATA=O51,JOUR_DATA=O52,JOUR_DATA=O53,JOUR_DATA=O54,JOUR_DATA=O55),1,0)</f>
        <v>0</v>
      </c>
      <c r="R49" s="3"/>
      <c r="T49" s="46"/>
      <c r="U49" s="31" t="s">
        <v>535</v>
      </c>
      <c r="V49" s="28">
        <v>1</v>
      </c>
      <c r="W49" s="3"/>
      <c r="Y49" s="76">
        <v>5</v>
      </c>
      <c r="Z49" s="28">
        <v>31</v>
      </c>
      <c r="AA49" s="78" t="str">
        <f t="shared" ca="1" si="8"/>
        <v/>
      </c>
    </row>
    <row r="50" spans="2:27" ht="15.75" thickBot="1" x14ac:dyDescent="0.3">
      <c r="B50" s="109" t="s">
        <v>482</v>
      </c>
      <c r="C50" s="88"/>
      <c r="D50" s="142" t="str">
        <f>IF(OR(C50="",E50&lt;&gt;""),"",IF(AND(C50=1,$C$55=1),$D$5,IF(AND(C50=1,$D$5=$C$55),1,IF(AND(C50=1,$C$55&gt;1,MOD($D$5,2)=0,INT($D$5/$C$55)*10=($D$5/$C$55)*10),$D$5/$C$55,""))))</f>
        <v/>
      </c>
      <c r="E50" s="137"/>
      <c r="F50" s="78">
        <f>IF(ACT_SP=1,0,DJX_26)</f>
        <v>0</v>
      </c>
      <c r="G50" s="78">
        <f>IF(D50&lt;&gt;"",D50+F50,E50+F50)</f>
        <v>0</v>
      </c>
      <c r="I50" s="8" t="s">
        <v>416</v>
      </c>
      <c r="J50" s="28">
        <v>0</v>
      </c>
      <c r="K50" s="74">
        <f>DJX_51</f>
        <v>0</v>
      </c>
      <c r="L50" s="78">
        <f t="shared" si="7"/>
        <v>0</v>
      </c>
      <c r="N50" s="1000" t="s">
        <v>61</v>
      </c>
      <c r="O50" s="164"/>
      <c r="R50" s="3"/>
      <c r="T50" s="46"/>
      <c r="U50" s="31" t="s">
        <v>610</v>
      </c>
      <c r="V50" s="28">
        <v>0</v>
      </c>
      <c r="W50" s="3"/>
      <c r="Y50" s="76">
        <v>6</v>
      </c>
      <c r="Z50" s="28">
        <v>30</v>
      </c>
      <c r="AA50" s="78" t="str">
        <f t="shared" ca="1" si="8"/>
        <v/>
      </c>
    </row>
    <row r="51" spans="2:27" ht="15.75" thickBot="1" x14ac:dyDescent="0.3">
      <c r="B51" s="109" t="s">
        <v>483</v>
      </c>
      <c r="C51" s="88"/>
      <c r="D51" s="143" t="str">
        <f t="shared" ref="D51" si="9">IF(OR(C51="",E51&lt;&gt;""),"",IF(AND(C51=1,$C$55=1),$D$5,IF(AND(C51=1,$D$5=$C$55),1,IF(AND(C51=1,$C$55&gt;1,MOD($D$5,2)=0,INT($D$5/$C$55)*10=($D$5/$C$55)*10),$D$5/$C$55,""))))</f>
        <v/>
      </c>
      <c r="E51" s="137"/>
      <c r="F51" s="78">
        <f>IF(ACT_SP=1,0,DJX_27)</f>
        <v>1</v>
      </c>
      <c r="G51" s="78">
        <f>IF(D51&lt;&gt;"",D51+F51,E51+F51)</f>
        <v>1</v>
      </c>
      <c r="I51" s="8" t="s">
        <v>417</v>
      </c>
      <c r="J51" s="28">
        <v>0</v>
      </c>
      <c r="K51" s="74">
        <f>DJX_52</f>
        <v>0</v>
      </c>
      <c r="L51" s="78">
        <f t="shared" si="7"/>
        <v>0</v>
      </c>
      <c r="N51" s="1000"/>
      <c r="O51" s="164"/>
      <c r="Q51" t="s">
        <v>971</v>
      </c>
      <c r="R51" s="3"/>
      <c r="T51" s="43"/>
      <c r="U51" s="77" t="s">
        <v>825</v>
      </c>
      <c r="V51" s="63">
        <v>0</v>
      </c>
      <c r="W51" s="5"/>
      <c r="Y51" s="76">
        <v>7</v>
      </c>
      <c r="Z51" s="28">
        <v>31</v>
      </c>
      <c r="AA51" s="78" t="str">
        <f t="shared" ca="1" si="8"/>
        <v/>
      </c>
    </row>
    <row r="52" spans="2:27" ht="15.75" thickBot="1" x14ac:dyDescent="0.3">
      <c r="B52" s="106" t="s">
        <v>426</v>
      </c>
      <c r="C52" s="88"/>
      <c r="D52" s="143" t="str">
        <f>IF(OR(C52="",E52&lt;&gt;""),"",IF(AND(C52=1,$C$56=1),$D$5,IF(AND(C52=1,$D$5=$C$56),1,IF(AND(C52=1,$C$56&gt;1,MOD($D$5,2)=0,INT($D$5/$C$56)*10=($D$5/$C$56)*10),$D$5/$C$56,""))))</f>
        <v/>
      </c>
      <c r="E52" s="137"/>
      <c r="F52" s="78">
        <f>IF(ACT_SP=1,0,DJX_28)</f>
        <v>1</v>
      </c>
      <c r="G52" s="78">
        <f>IF(D52&lt;&gt;"",D52+F52,E52+F52)</f>
        <v>1</v>
      </c>
      <c r="I52" s="8" t="s">
        <v>418</v>
      </c>
      <c r="J52" s="28">
        <v>0</v>
      </c>
      <c r="K52" s="74">
        <f>DJX_53</f>
        <v>0</v>
      </c>
      <c r="L52" s="78">
        <f t="shared" si="7"/>
        <v>0</v>
      </c>
      <c r="N52" s="1000"/>
      <c r="O52" s="164"/>
      <c r="Q52" s="563">
        <f>DATEVALUE(ST_ENT_DATE)</f>
        <v>45711</v>
      </c>
      <c r="R52" s="3"/>
      <c r="T52" s="749" t="s">
        <v>743</v>
      </c>
      <c r="U52" s="923"/>
      <c r="V52" s="923"/>
      <c r="W52" s="750"/>
      <c r="Y52" s="76">
        <v>8</v>
      </c>
      <c r="Z52" s="28">
        <v>31</v>
      </c>
      <c r="AA52" s="78" t="str">
        <f t="shared" ca="1" si="8"/>
        <v/>
      </c>
    </row>
    <row r="53" spans="2:27" ht="15.75" thickBot="1" x14ac:dyDescent="0.3">
      <c r="B53" s="106" t="s">
        <v>427</v>
      </c>
      <c r="C53" s="88"/>
      <c r="D53" s="143" t="str">
        <f>IF(OR(C53="",E53&lt;&gt;""),"",IF(AND(C53=1,$C$56=1),$D$5,IF(AND(C53=1,$D$5=$C$56),1,IF(AND(C53=1,$C$56&gt;1,MOD($D$5,2)=0,INT($D$5/$C$56)*10=($D$5/$C$56)*10),$D$5/$C$56,""))))</f>
        <v/>
      </c>
      <c r="E53" s="137"/>
      <c r="F53" s="78">
        <f>IF(ACT_SP=1,0,DJX_29)</f>
        <v>0</v>
      </c>
      <c r="G53" s="78">
        <f>IF(D53&lt;&gt;"",D53+F53,E53+F53)</f>
        <v>0</v>
      </c>
      <c r="I53" s="9" t="s">
        <v>419</v>
      </c>
      <c r="J53" s="63">
        <v>0</v>
      </c>
      <c r="K53" s="42">
        <f>DJX_54</f>
        <v>0</v>
      </c>
      <c r="L53" s="78">
        <f t="shared" si="7"/>
        <v>0</v>
      </c>
      <c r="N53" s="1000" t="s">
        <v>62</v>
      </c>
      <c r="O53" s="164"/>
      <c r="Q53" s="27">
        <v>0</v>
      </c>
      <c r="R53" s="3"/>
      <c r="T53" s="72"/>
      <c r="U53" s="1"/>
      <c r="V53" s="1"/>
      <c r="W53" s="2"/>
      <c r="Y53" s="76">
        <v>9</v>
      </c>
      <c r="Z53" s="28">
        <v>30</v>
      </c>
      <c r="AA53" s="78" t="str">
        <f t="shared" ca="1" si="8"/>
        <v/>
      </c>
    </row>
    <row r="54" spans="2:27" ht="15.75" thickBot="1" x14ac:dyDescent="0.3">
      <c r="B54" s="106" t="s">
        <v>479</v>
      </c>
      <c r="C54" s="88"/>
      <c r="D54" s="144" t="str">
        <f>IF(OR(C54="",E54&lt;&gt;""),"",IF(AND(C54=1,$C$56=1),$D$5,IF(AND(C54=1,$D$5=$C$56),1,IF(AND(C54=1,$C$56&gt;1,MOD($D$5,2)=0,INT($D$5/$C$56)*10=($D$5/$C$56)*10),$D$5/$C$56,""))))</f>
        <v/>
      </c>
      <c r="E54" s="138"/>
      <c r="F54" s="78">
        <f>IF(ACT_SP=1,0,DJX_30)</f>
        <v>0</v>
      </c>
      <c r="G54" s="78">
        <f>IF(D54&lt;&gt;"",D54+F54,E54+F54)</f>
        <v>0</v>
      </c>
      <c r="I54" s="91"/>
      <c r="J54" s="62">
        <f>SUM(J46:J53)</f>
        <v>0</v>
      </c>
      <c r="K54" s="145">
        <f>SUM(K46:K53)</f>
        <v>0</v>
      </c>
      <c r="L54" s="146">
        <f>J54+K54</f>
        <v>0</v>
      </c>
      <c r="N54" s="1000"/>
      <c r="O54" s="164"/>
      <c r="Q54" t="s">
        <v>1014</v>
      </c>
      <c r="R54" s="3"/>
      <c r="T54" s="46"/>
      <c r="U54" s="31" t="s">
        <v>744</v>
      </c>
      <c r="V54" s="28">
        <v>1</v>
      </c>
      <c r="W54" s="3"/>
      <c r="Y54" s="76">
        <v>10</v>
      </c>
      <c r="Z54" s="28">
        <v>31</v>
      </c>
      <c r="AA54" s="78" t="str">
        <f t="shared" ca="1" si="8"/>
        <v/>
      </c>
    </row>
    <row r="55" spans="2:27" ht="15.75" thickBot="1" x14ac:dyDescent="0.3">
      <c r="B55" s="132" t="s">
        <v>592</v>
      </c>
      <c r="C55" s="133">
        <f>SUM(C50:C51)</f>
        <v>0</v>
      </c>
      <c r="D55" s="1003"/>
      <c r="E55" s="245">
        <f>SUM(E50:E51)+SUM(D50:D51)</f>
        <v>0</v>
      </c>
      <c r="F55" s="1005"/>
      <c r="G55" s="1006"/>
      <c r="K55" s="99" t="s">
        <v>6</v>
      </c>
      <c r="L55" s="73">
        <f>DJX_13+DV_PDV+DV_PPI</f>
        <v>2</v>
      </c>
      <c r="N55" s="1000"/>
      <c r="O55" s="164"/>
      <c r="R55" s="3"/>
      <c r="T55" s="46"/>
      <c r="U55" s="31" t="s">
        <v>472</v>
      </c>
      <c r="V55" s="28">
        <v>1</v>
      </c>
      <c r="W55" s="3"/>
      <c r="Y55" s="76">
        <v>11</v>
      </c>
      <c r="Z55" s="28">
        <v>30</v>
      </c>
      <c r="AA55" s="78" t="str">
        <f t="shared" ca="1" si="8"/>
        <v/>
      </c>
    </row>
    <row r="56" spans="2:27" ht="15.75" thickBot="1" x14ac:dyDescent="0.3">
      <c r="B56" s="132" t="s">
        <v>593</v>
      </c>
      <c r="C56" s="133">
        <f>SUM(C52:C54)</f>
        <v>0</v>
      </c>
      <c r="D56" s="1004"/>
      <c r="E56" s="245">
        <f>SUM(E52:E54)+SUM(D52:D54)</f>
        <v>0</v>
      </c>
      <c r="F56" s="1007"/>
      <c r="G56" s="1008"/>
      <c r="N56" s="43"/>
      <c r="O56" s="4"/>
      <c r="P56" s="4"/>
      <c r="Q56" s="4"/>
      <c r="R56" s="5"/>
      <c r="T56" s="46"/>
      <c r="U56" s="31" t="s">
        <v>742</v>
      </c>
      <c r="V56" s="28">
        <v>1</v>
      </c>
      <c r="W56" s="3"/>
      <c r="Y56" s="76">
        <v>12</v>
      </c>
      <c r="Z56" s="28">
        <v>31</v>
      </c>
      <c r="AA56" s="78" t="str">
        <f t="shared" ca="1" si="8"/>
        <v/>
      </c>
    </row>
    <row r="57" spans="2:27" ht="15.75" thickBot="1" x14ac:dyDescent="0.3">
      <c r="B57" s="1001" t="s">
        <v>836</v>
      </c>
      <c r="C57" s="1002"/>
      <c r="D57" s="1004"/>
      <c r="E57" s="53" t="str">
        <f>IF(E60&lt;&gt;0,IF(E60&lt;&gt;DATA_VAL_MAIN,1,0),"")</f>
        <v/>
      </c>
      <c r="F57" s="1007"/>
      <c r="G57" s="1008"/>
      <c r="T57" s="43"/>
      <c r="U57" s="4"/>
      <c r="V57" s="4"/>
      <c r="W57" s="5"/>
      <c r="Y57" s="460">
        <f ca="1">Z46</f>
        <v>28</v>
      </c>
      <c r="Z57" s="460">
        <v>30</v>
      </c>
      <c r="AA57" s="460">
        <v>31</v>
      </c>
    </row>
    <row r="58" spans="2:27" ht="15.75" thickBot="1" x14ac:dyDescent="0.3">
      <c r="B58" s="120" t="s">
        <v>837</v>
      </c>
      <c r="C58" s="248">
        <v>1</v>
      </c>
      <c r="D58" s="59">
        <f>IF(OR(C58="",E58&lt;&gt;""),"",IF($C$63=$C$70,DATA_VAL_MAIN,IF($C$67=$C$70,DATA_VAL_MAIN,IF($C$63+$C$67=$C$70,DATA_VAL_MAIN,IF(C58=$C$60,DATA_VAL_MAIN,"")))))</f>
        <v>0</v>
      </c>
      <c r="E58" s="2"/>
      <c r="F58" s="58">
        <f>IF(ACT_SP=1,0,DJX_41)</f>
        <v>0</v>
      </c>
      <c r="G58" s="41">
        <f>IF(D58&lt;&gt;"",D58+F58,E58+F58)</f>
        <v>0</v>
      </c>
      <c r="I58" s="558"/>
      <c r="J58" s="558"/>
      <c r="K58" s="558"/>
      <c r="L58" s="558"/>
      <c r="M58" s="558"/>
      <c r="T58" s="749" t="s">
        <v>751</v>
      </c>
      <c r="U58" s="923"/>
      <c r="V58" s="923"/>
      <c r="W58" s="750"/>
      <c r="Y58" s="36">
        <f ca="1">COUNTIF($AA$45:$AA$56,Y57)</f>
        <v>0</v>
      </c>
      <c r="Z58" s="33">
        <f ca="1">COUNTIF($AA$45:$AA$56,30)</f>
        <v>0</v>
      </c>
      <c r="AA58" s="154">
        <f ca="1">COUNTIF($AA$45:$AA$56,31)</f>
        <v>1</v>
      </c>
    </row>
    <row r="59" spans="2:27" ht="15.75" thickBot="1" x14ac:dyDescent="0.3">
      <c r="B59" s="246" t="s">
        <v>838</v>
      </c>
      <c r="C59" s="249"/>
      <c r="D59" s="64" t="str">
        <f>IF(OR(C59="",E59&lt;&gt;""),"",IF(AND(C59=1,$C$60=1),DATA_VAL_MAIN,IF(AND(C59=1,DATA_VAL_MAIN=$C$60),1,IF(AND(C59=1,$C$60&gt;1,MOD(DATA_VAL_MAIN,2)=0,INT(DATA_VAL_MAIN/$C$60)*10=(DATA_VAL_MAIN/$C$60)*10),DATA_VAL_MAIN/$C$60,""))))</f>
        <v/>
      </c>
      <c r="E59" s="3"/>
      <c r="F59" s="62">
        <f>IF(ACT_SP=1,0,DJX_42)</f>
        <v>0</v>
      </c>
      <c r="G59" s="42">
        <f>IF(D59&lt;&gt;"",D59+F59,E59+F59)</f>
        <v>0</v>
      </c>
      <c r="I59" s="1010"/>
      <c r="J59" s="1010"/>
      <c r="K59" s="1010"/>
      <c r="L59" s="1010"/>
      <c r="M59" s="1010"/>
      <c r="T59" s="72"/>
      <c r="U59" s="1"/>
      <c r="V59" s="1"/>
      <c r="W59" s="2"/>
      <c r="Y59" s="62">
        <f ca="1">Y58*Z46</f>
        <v>0</v>
      </c>
      <c r="Z59" s="63">
        <f ca="1">Z58*30</f>
        <v>0</v>
      </c>
      <c r="AA59" s="64">
        <f ca="1">AA58*31</f>
        <v>31</v>
      </c>
    </row>
    <row r="60" spans="2:27" ht="15.75" thickBot="1" x14ac:dyDescent="0.3">
      <c r="B60" s="62" t="s">
        <v>182</v>
      </c>
      <c r="C60" s="250">
        <f>SUM(C58:C59)</f>
        <v>1</v>
      </c>
      <c r="D60" s="998"/>
      <c r="E60" s="121">
        <f>SUM(E58:E59)+SUM(D58:D59)</f>
        <v>0</v>
      </c>
      <c r="F60" s="89"/>
      <c r="G60" s="146">
        <f>C_PGEN2+C_PCOM2</f>
        <v>0</v>
      </c>
      <c r="I60" s="574"/>
      <c r="J60" s="1039"/>
      <c r="K60" s="1039"/>
      <c r="L60" s="1039"/>
      <c r="M60" s="1039"/>
      <c r="T60" s="46"/>
      <c r="U60" s="31" t="s">
        <v>748</v>
      </c>
      <c r="V60" s="28">
        <v>0</v>
      </c>
      <c r="W60" s="3"/>
    </row>
    <row r="61" spans="2:27" ht="15.75" thickBot="1" x14ac:dyDescent="0.3">
      <c r="B61" s="84"/>
      <c r="C61" s="32"/>
      <c r="D61" s="999"/>
      <c r="E61" s="53" t="str">
        <f>IF(E60&lt;&gt;0,IF(E60&lt;&gt;DATA_VAL_MAIN,1,0),"")</f>
        <v/>
      </c>
      <c r="F61" s="94"/>
      <c r="G61" s="92"/>
      <c r="I61" s="574"/>
      <c r="J61" s="1039"/>
      <c r="K61" s="1040"/>
      <c r="L61" s="1040"/>
      <c r="M61" s="1040"/>
      <c r="T61" s="46"/>
      <c r="U61" s="31" t="s">
        <v>749</v>
      </c>
      <c r="V61" s="28">
        <v>1</v>
      </c>
      <c r="W61" s="3"/>
    </row>
    <row r="62" spans="2:27" x14ac:dyDescent="0.25">
      <c r="B62" s="120" t="s">
        <v>478</v>
      </c>
      <c r="C62" s="248"/>
      <c r="D62" s="41" t="str">
        <f t="shared" ref="D62:D69" si="10">IF(OR(C62="",E62&lt;&gt;""),"",IF(AND(C62=1,$C$70=1),DATA_VAL_MAIN,IF(AND(C62=1,DATA_VAL_MAIN=$C$70),1,IF(AND(C62=1,$C$70&gt;1,MOD(DATA_VAL_MAIN,2)=0,INT(DATA_VAL_MAIN/$C$70)*10=(DATA_VAL_MAIN/$C$70)*10),DATA_VAL_MAIN/$C$70,""))))</f>
        <v/>
      </c>
      <c r="E62" s="74"/>
      <c r="F62" s="41">
        <f>IF(ACT_SP=1,0,DJX_33)</f>
        <v>0</v>
      </c>
      <c r="G62" s="41">
        <f>IF(D62&lt;&gt;"",D62+F62,E62+F62)</f>
        <v>0</v>
      </c>
      <c r="I62" s="574"/>
      <c r="J62" s="1039"/>
      <c r="K62" s="1040"/>
      <c r="L62" s="1040"/>
      <c r="M62" s="1040"/>
      <c r="T62" s="46"/>
      <c r="U62" s="31" t="s">
        <v>625</v>
      </c>
      <c r="V62" s="28">
        <v>0</v>
      </c>
      <c r="W62" s="6" t="s">
        <v>873</v>
      </c>
    </row>
    <row r="63" spans="2:27" x14ac:dyDescent="0.25">
      <c r="B63" s="109" t="s">
        <v>467</v>
      </c>
      <c r="C63" s="251"/>
      <c r="D63" s="74" t="str">
        <f t="shared" si="10"/>
        <v/>
      </c>
      <c r="E63" s="74"/>
      <c r="F63" s="74">
        <f>IF(ACT_SP=1,0,DJX_35)</f>
        <v>0</v>
      </c>
      <c r="G63" s="74">
        <f t="shared" ref="G63:G69" si="11">IF(D63&lt;&gt;"",D63+F63,E63+F63)</f>
        <v>0</v>
      </c>
      <c r="I63" s="574"/>
      <c r="J63" s="1039"/>
      <c r="K63" s="1040"/>
      <c r="L63" s="1040"/>
      <c r="M63" s="1040"/>
      <c r="T63" s="46"/>
      <c r="U63" s="31" t="s">
        <v>750</v>
      </c>
      <c r="V63" s="28">
        <v>0</v>
      </c>
      <c r="W63" s="78">
        <v>0</v>
      </c>
    </row>
    <row r="64" spans="2:27" x14ac:dyDescent="0.25">
      <c r="B64" s="109" t="s">
        <v>468</v>
      </c>
      <c r="C64" s="251">
        <v>1</v>
      </c>
      <c r="D64" s="74" t="str">
        <f t="shared" si="10"/>
        <v/>
      </c>
      <c r="E64" s="74">
        <v>3</v>
      </c>
      <c r="F64" s="74">
        <f>IF(ACT_SP=1,0,DJX_34)</f>
        <v>0</v>
      </c>
      <c r="G64" s="74">
        <f t="shared" si="11"/>
        <v>3</v>
      </c>
      <c r="I64" s="574"/>
      <c r="J64" s="1039"/>
      <c r="K64" s="1040"/>
      <c r="L64" s="1040"/>
      <c r="M64" s="1040"/>
      <c r="T64" s="46"/>
      <c r="U64" s="31" t="s">
        <v>824</v>
      </c>
      <c r="V64" s="28">
        <v>0</v>
      </c>
      <c r="W64" s="78">
        <v>0</v>
      </c>
    </row>
    <row r="65" spans="2:23" ht="15.75" thickBot="1" x14ac:dyDescent="0.3">
      <c r="B65" s="109" t="s">
        <v>469</v>
      </c>
      <c r="C65" s="251"/>
      <c r="D65" s="74" t="str">
        <f t="shared" si="10"/>
        <v/>
      </c>
      <c r="E65" s="74"/>
      <c r="F65" s="74">
        <f>IF(ACT_SP=1,0,DJX_38)</f>
        <v>0</v>
      </c>
      <c r="G65" s="74">
        <f t="shared" si="11"/>
        <v>0</v>
      </c>
      <c r="I65" s="574"/>
      <c r="J65" s="1039"/>
      <c r="K65" s="1040"/>
      <c r="L65" s="1040"/>
      <c r="M65" s="1040"/>
      <c r="T65" s="43"/>
      <c r="U65" s="4"/>
      <c r="V65" s="4"/>
      <c r="W65" s="5"/>
    </row>
    <row r="66" spans="2:23" x14ac:dyDescent="0.25">
      <c r="B66" s="109" t="s">
        <v>470</v>
      </c>
      <c r="C66" s="251">
        <v>1</v>
      </c>
      <c r="D66" s="74" t="str">
        <f t="shared" si="10"/>
        <v/>
      </c>
      <c r="E66" s="74">
        <v>1</v>
      </c>
      <c r="F66" s="74">
        <f>IF(ACT_SP=1,0,DJX_39)</f>
        <v>0</v>
      </c>
      <c r="G66" s="74">
        <f t="shared" si="11"/>
        <v>1</v>
      </c>
      <c r="I66" s="574"/>
      <c r="J66" s="1039"/>
      <c r="K66" s="1040"/>
      <c r="L66" s="1040"/>
      <c r="M66" s="1040"/>
    </row>
    <row r="67" spans="2:23" x14ac:dyDescent="0.25">
      <c r="B67" s="109" t="s">
        <v>471</v>
      </c>
      <c r="C67" s="251"/>
      <c r="D67" s="74" t="str">
        <f t="shared" si="10"/>
        <v/>
      </c>
      <c r="E67" s="74"/>
      <c r="F67" s="74">
        <f>IF(ACT_SP=1,0,DJX_37)</f>
        <v>0</v>
      </c>
      <c r="G67" s="74">
        <f t="shared" si="11"/>
        <v>0</v>
      </c>
      <c r="I67" s="574"/>
      <c r="J67" s="1039"/>
      <c r="K67" s="1040"/>
      <c r="L67" s="1040"/>
      <c r="M67" s="1040"/>
    </row>
    <row r="68" spans="2:23" x14ac:dyDescent="0.25">
      <c r="B68" s="109" t="s">
        <v>472</v>
      </c>
      <c r="C68" s="251"/>
      <c r="D68" s="74" t="str">
        <f t="shared" si="10"/>
        <v/>
      </c>
      <c r="E68" s="74"/>
      <c r="F68" s="74">
        <f>IF(ACT_SP=1,0,DJX_36)</f>
        <v>0</v>
      </c>
      <c r="G68" s="74">
        <f t="shared" si="11"/>
        <v>0</v>
      </c>
      <c r="I68" s="574"/>
      <c r="J68" s="1039"/>
      <c r="K68" s="1040"/>
      <c r="L68" s="1040"/>
      <c r="M68" s="1040"/>
    </row>
    <row r="69" spans="2:23" ht="15.75" thickBot="1" x14ac:dyDescent="0.3">
      <c r="B69" s="109" t="s">
        <v>481</v>
      </c>
      <c r="C69" s="251"/>
      <c r="D69" s="42" t="str">
        <f t="shared" si="10"/>
        <v/>
      </c>
      <c r="E69" s="42"/>
      <c r="F69" s="42">
        <f>IF(ACT_SP=1,0,DJX_32)</f>
        <v>0</v>
      </c>
      <c r="G69" s="42">
        <f t="shared" si="11"/>
        <v>0</v>
      </c>
      <c r="I69" s="558"/>
      <c r="J69" s="558"/>
      <c r="K69" s="558"/>
      <c r="L69" s="558"/>
      <c r="M69" s="558"/>
    </row>
    <row r="70" spans="2:23" ht="15.75" thickBot="1" x14ac:dyDescent="0.3">
      <c r="B70" s="132" t="s">
        <v>182</v>
      </c>
      <c r="C70" s="133">
        <f>SUM(C62:C69)</f>
        <v>2</v>
      </c>
      <c r="D70" s="252"/>
      <c r="E70" s="121">
        <f>SUM(D62:D69)+SUM(E62:E69)</f>
        <v>4</v>
      </c>
      <c r="F70" s="173"/>
      <c r="G70" s="139"/>
      <c r="I70" s="558"/>
      <c r="J70" s="558"/>
      <c r="K70" s="558"/>
      <c r="L70" s="558"/>
      <c r="M70" s="558"/>
    </row>
    <row r="71" spans="2:23" ht="15.75" thickBot="1" x14ac:dyDescent="0.3">
      <c r="E71" s="53">
        <f>IF(E70&lt;&gt;0,IF(E70&lt;&gt;DATA_VAL_MAIN,1,0),"")</f>
        <v>1</v>
      </c>
    </row>
  </sheetData>
  <mergeCells count="83">
    <mergeCell ref="J67:M67"/>
    <mergeCell ref="J68:M68"/>
    <mergeCell ref="J60:M60"/>
    <mergeCell ref="J61:M61"/>
    <mergeCell ref="J62:M62"/>
    <mergeCell ref="J63:M63"/>
    <mergeCell ref="J64:M64"/>
    <mergeCell ref="J65:M65"/>
    <mergeCell ref="J66:M66"/>
    <mergeCell ref="B5:C5"/>
    <mergeCell ref="B16:C16"/>
    <mergeCell ref="I19:J19"/>
    <mergeCell ref="I16:J16"/>
    <mergeCell ref="I17:J17"/>
    <mergeCell ref="I18:J18"/>
    <mergeCell ref="I13:J13"/>
    <mergeCell ref="I14:J14"/>
    <mergeCell ref="I15:J15"/>
    <mergeCell ref="I4:L4"/>
    <mergeCell ref="N4:R4"/>
    <mergeCell ref="I10:J10"/>
    <mergeCell ref="I11:J11"/>
    <mergeCell ref="I12:J12"/>
    <mergeCell ref="I5:J5"/>
    <mergeCell ref="I6:J6"/>
    <mergeCell ref="I7:J7"/>
    <mergeCell ref="I8:J8"/>
    <mergeCell ref="I9:J9"/>
    <mergeCell ref="B30:C30"/>
    <mergeCell ref="I30:J30"/>
    <mergeCell ref="I20:J20"/>
    <mergeCell ref="I21:J21"/>
    <mergeCell ref="I22:J22"/>
    <mergeCell ref="I23:J23"/>
    <mergeCell ref="I24:J24"/>
    <mergeCell ref="I29:J29"/>
    <mergeCell ref="I25:J25"/>
    <mergeCell ref="I26:J26"/>
    <mergeCell ref="I27:J27"/>
    <mergeCell ref="I28:J28"/>
    <mergeCell ref="O42:Q42"/>
    <mergeCell ref="N44:N46"/>
    <mergeCell ref="N47:N49"/>
    <mergeCell ref="N50:N52"/>
    <mergeCell ref="I31:J31"/>
    <mergeCell ref="I37:J37"/>
    <mergeCell ref="I32:J32"/>
    <mergeCell ref="I33:J33"/>
    <mergeCell ref="I34:J34"/>
    <mergeCell ref="I35:J35"/>
    <mergeCell ref="I36:J36"/>
    <mergeCell ref="U14:V14"/>
    <mergeCell ref="U13:V13"/>
    <mergeCell ref="Y41:Z41"/>
    <mergeCell ref="G31:G34"/>
    <mergeCell ref="G35:G37"/>
    <mergeCell ref="Y4:AB5"/>
    <mergeCell ref="Y38:Z38"/>
    <mergeCell ref="Y39:Z39"/>
    <mergeCell ref="Y40:Z40"/>
    <mergeCell ref="O26:P26"/>
    <mergeCell ref="P29:Q29"/>
    <mergeCell ref="U12:V12"/>
    <mergeCell ref="T4:W4"/>
    <mergeCell ref="T31:W31"/>
    <mergeCell ref="T33:T44"/>
    <mergeCell ref="U20:V20"/>
    <mergeCell ref="U19:V19"/>
    <mergeCell ref="U18:V18"/>
    <mergeCell ref="U17:V17"/>
    <mergeCell ref="U16:V16"/>
    <mergeCell ref="U15:V15"/>
    <mergeCell ref="B57:C57"/>
    <mergeCell ref="D55:D57"/>
    <mergeCell ref="F55:G57"/>
    <mergeCell ref="B49:C49"/>
    <mergeCell ref="I59:M59"/>
    <mergeCell ref="T58:W58"/>
    <mergeCell ref="T52:W52"/>
    <mergeCell ref="T47:W47"/>
    <mergeCell ref="Y44:AA44"/>
    <mergeCell ref="D60:D61"/>
    <mergeCell ref="N53:N55"/>
  </mergeCells>
  <pageMargins left="0.7" right="0.7" top="0.75" bottom="0.75" header="0.3" footer="0.3"/>
  <pageSetup paperSize="9" orientation="portrait" verticalDpi="0" r:id="rId1"/>
  <ignoredErrors>
    <ignoredError sqref="O22 O26 Q26 P32" evalError="1"/>
    <ignoredError sqref="C55" formulaRange="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pageSetUpPr fitToPage="1"/>
  </sheetPr>
  <dimension ref="A1:XFD185"/>
  <sheetViews>
    <sheetView topLeftCell="A100" zoomScale="130" zoomScaleNormal="130" workbookViewId="0">
      <selection activeCell="F90" sqref="F90"/>
    </sheetView>
  </sheetViews>
  <sheetFormatPr baseColWidth="10" defaultColWidth="11.42578125" defaultRowHeight="15.75" x14ac:dyDescent="0.25"/>
  <cols>
    <col min="1" max="1" width="61.28515625" style="203" customWidth="1"/>
    <col min="2" max="2" width="11.5703125" style="202" bestFit="1" customWidth="1"/>
    <col min="3" max="3" width="12.140625" style="202" bestFit="1" customWidth="1"/>
    <col min="4" max="4" width="14.42578125" style="202" customWidth="1"/>
    <col min="5" max="16384" width="11.42578125" style="201"/>
  </cols>
  <sheetData>
    <row r="1" spans="1:6" s="207" customFormat="1" ht="32.25" customHeight="1" thickBot="1" x14ac:dyDescent="0.3">
      <c r="A1" s="512" t="s">
        <v>726</v>
      </c>
      <c r="B1" s="1041" t="str">
        <f ca="1">"["&amp;MOIS_N1&amp;"]"</f>
        <v>[JANVIER 25]</v>
      </c>
      <c r="C1" s="1041"/>
      <c r="D1" s="1041"/>
      <c r="E1" s="239" t="str">
        <f ca="1">"Indicateurs OPS"&amp;" - "&amp;MOIS_M1</f>
        <v>Indicateurs OPS - 1</v>
      </c>
      <c r="F1" s="208"/>
    </row>
    <row r="2" spans="1:6" s="207" customFormat="1" thickTop="1" x14ac:dyDescent="0.25">
      <c r="B2" s="482"/>
      <c r="C2" s="482"/>
      <c r="D2" s="482"/>
    </row>
    <row r="3" spans="1:6" ht="17.25" x14ac:dyDescent="0.25">
      <c r="A3" s="511" t="s">
        <v>725</v>
      </c>
      <c r="B3" s="483">
        <f ca="1">IF(MONTH(TODAY())=1,YEAR(TODAY())-1,YEAR(TODAY()))</f>
        <v>2025</v>
      </c>
      <c r="C3" s="483">
        <f ca="1">B3-1</f>
        <v>2024</v>
      </c>
      <c r="D3" s="484" t="s">
        <v>645</v>
      </c>
    </row>
    <row r="4" spans="1:6" x14ac:dyDescent="0.25">
      <c r="A4" s="485" t="s">
        <v>646</v>
      </c>
      <c r="B4" s="486">
        <f ca="1">IF(MOIS_M=1,VLOOKUP(162,DATA_A_PERMIS,15,FALSE),VLOOKUP(162,DATA_A_PERMIS,MOIS_M+2,FALSE))</f>
        <v>65</v>
      </c>
      <c r="C4" s="487">
        <f ca="1">IF(MOIS_M=1,VLOOKUP(162,DATA_AN_PER,15,FALSE),VLOOKUP(162,DATA_AN_PER,MOIS_M+2,FALSE))</f>
        <v>69</v>
      </c>
      <c r="D4" s="488">
        <f t="shared" ref="D4:D16" ca="1" si="0">IFERROR((B4-C4)/C4,IF(B4&lt;&gt;0,1,0))</f>
        <v>-5.7971014492753624E-2</v>
      </c>
    </row>
    <row r="5" spans="1:6" x14ac:dyDescent="0.25">
      <c r="A5" s="485" t="s">
        <v>647</v>
      </c>
      <c r="B5" s="486">
        <f ca="1">IF(MOIS_M=1,VLOOKUP(163,DATA_A_PERMIS,15,FALSE),VLOOKUP(163,DATA_A_PERMIS,MOIS_M+2,FALSE))</f>
        <v>1</v>
      </c>
      <c r="C5" s="487">
        <f ca="1">IF(MOIS_M=1,VLOOKUP(163,DATA_AN_PER,15,FALSE),VLOOKUP(163,DATA_AN_PER,MOIS_M+2,FALSE))</f>
        <v>9</v>
      </c>
      <c r="D5" s="488">
        <f t="shared" ca="1" si="0"/>
        <v>-0.88888888888888884</v>
      </c>
    </row>
    <row r="6" spans="1:6" x14ac:dyDescent="0.25">
      <c r="A6" s="485" t="s">
        <v>648</v>
      </c>
      <c r="B6" s="486">
        <f ca="1">IF(MOIS_M=1,VLOOKUP(164,DATA_A_PERMIS,15,FALSE),VLOOKUP(164,DATA_A_PERMIS,MOIS_M+2,FALSE))</f>
        <v>10</v>
      </c>
      <c r="C6" s="487">
        <f ca="1">IF(MOIS_M=1,VLOOKUP(164,DATA_AN_PER,15,FALSE),VLOOKUP(164,DATA_AN_PER,MOIS_M+2,FALSE))</f>
        <v>72</v>
      </c>
      <c r="D6" s="488">
        <f t="shared" ca="1" si="0"/>
        <v>-0.86111111111111116</v>
      </c>
    </row>
    <row r="7" spans="1:6" x14ac:dyDescent="0.25">
      <c r="A7" s="485" t="s">
        <v>724</v>
      </c>
      <c r="B7" s="486">
        <f ca="1">IF(MOIS_M=1,VLOOKUP(165,DATA_A_PERMIS,15,FALSE),VLOOKUP(165,DATA_A_PERMIS,MOIS_M+2,FALSE))</f>
        <v>108</v>
      </c>
      <c r="C7" s="487">
        <f ca="1">IF(MOIS_M=1,VLOOKUP(165,DATA_AN_PER,15,FALSE),VLOOKUP(165,DATA_AN_PER,MOIS_M+2,FALSE))</f>
        <v>6</v>
      </c>
      <c r="D7" s="488">
        <f t="shared" ca="1" si="0"/>
        <v>17</v>
      </c>
    </row>
    <row r="8" spans="1:6" ht="16.5" thickBot="1" x14ac:dyDescent="0.3">
      <c r="A8" s="490" t="s">
        <v>649</v>
      </c>
      <c r="B8" s="491">
        <f ca="1">IF(MOIS_M=1,VLOOKUP(166,DATA_A_PERMIS,15,FALSE),VLOOKUP(166,DATA_A_PERMIS,MOIS_M+2,FALSE))</f>
        <v>2</v>
      </c>
      <c r="C8" s="492">
        <f ca="1">IF(MOIS_M=1,VLOOKUP(166,DATA_AN_PER,15,FALSE),VLOOKUP(166,DATA_AN_PER,MOIS_M+2,FALSE))</f>
        <v>4</v>
      </c>
      <c r="D8" s="493">
        <f t="shared" ca="1" si="0"/>
        <v>-0.5</v>
      </c>
    </row>
    <row r="9" spans="1:6" ht="16.5" thickBot="1" x14ac:dyDescent="0.3">
      <c r="A9" s="505" t="s">
        <v>723</v>
      </c>
      <c r="B9" s="506">
        <f ca="1">SUM(B4:B8)</f>
        <v>186</v>
      </c>
      <c r="C9" s="507">
        <f ca="1">SUM(C4:C8)</f>
        <v>160</v>
      </c>
      <c r="D9" s="508">
        <f t="shared" ca="1" si="0"/>
        <v>0.16250000000000001</v>
      </c>
    </row>
    <row r="10" spans="1:6" x14ac:dyDescent="0.25">
      <c r="A10" s="501" t="s">
        <v>650</v>
      </c>
      <c r="B10" s="502">
        <f ca="1">IF(MOIS_M=1,VLOOKUP(167,DATA_A_PERMIS,15,FALSE),VLOOKUP(167,DATA_A_PERMIS,MOIS_M+2,FALSE))</f>
        <v>3762</v>
      </c>
      <c r="C10" s="503">
        <f ca="1">IF(MOIS_M=1,VLOOKUP(167,DATA_AN_PER,15,FALSE),VLOOKUP(167,DATA_AN_PER,MOIS_M+2,FALSE))</f>
        <v>4015</v>
      </c>
      <c r="D10" s="504">
        <f t="shared" ca="1" si="0"/>
        <v>-6.3013698630136991E-2</v>
      </c>
    </row>
    <row r="11" spans="1:6" x14ac:dyDescent="0.25">
      <c r="A11" s="485" t="s">
        <v>651</v>
      </c>
      <c r="B11" s="486">
        <f ca="1">IF(MOIS_M=1,VLOOKUP(168,DATA_A_PERMIS,15,FALSE),VLOOKUP(168,DATA_A_PERMIS,MOIS_M+2,FALSE))</f>
        <v>1382</v>
      </c>
      <c r="C11" s="487">
        <f ca="1">IF(MOIS_M=1,VLOOKUP(168,DATA_AN_PER,15,FALSE),VLOOKUP(168,DATA_AN_PER,MOIS_M+2,FALSE))</f>
        <v>1326</v>
      </c>
      <c r="D11" s="488">
        <f t="shared" ca="1" si="0"/>
        <v>4.2232277526395176E-2</v>
      </c>
    </row>
    <row r="12" spans="1:6" x14ac:dyDescent="0.25">
      <c r="A12" s="485" t="s">
        <v>652</v>
      </c>
      <c r="B12" s="486">
        <f ca="1">IF(MOIS_M=1,VLOOKUP(169,DATA_A_PERMIS,15,FALSE),VLOOKUP(169,DATA_A_PERMIS,MOIS_M+2,FALSE))</f>
        <v>410</v>
      </c>
      <c r="C12" s="487">
        <f ca="1">IF(MOIS_M=1,VLOOKUP(169,DATA_AN_PER,15,FALSE),VLOOKUP(169,DATA_AN_PER,MOIS_M+2,FALSE))</f>
        <v>2808</v>
      </c>
      <c r="D12" s="488">
        <f t="shared" ca="1" si="0"/>
        <v>-0.85398860398860399</v>
      </c>
    </row>
    <row r="13" spans="1:6" x14ac:dyDescent="0.25">
      <c r="A13" s="485" t="s">
        <v>722</v>
      </c>
      <c r="B13" s="486">
        <f ca="1">IF(MOIS_M=1,VLOOKUP(170,DATA_A_PERMIS,15,FALSE),VLOOKUP(170,DATA_A_PERMIS,MOIS_M+2,FALSE))</f>
        <v>0</v>
      </c>
      <c r="C13" s="487">
        <f ca="1">IF(MOIS_M=1,VLOOKUP(170,DATA_AN_PER,15,FALSE),VLOOKUP(170,DATA_AN_PER,MOIS_M+2,FALSE))</f>
        <v>0</v>
      </c>
      <c r="D13" s="488">
        <f t="shared" ca="1" si="0"/>
        <v>0</v>
      </c>
    </row>
    <row r="14" spans="1:6" ht="16.5" thickBot="1" x14ac:dyDescent="0.3">
      <c r="A14" s="490" t="s">
        <v>649</v>
      </c>
      <c r="B14" s="491">
        <f ca="1">IF(MOIS_M=1,VLOOKUP(171,DATA_A_PERMIS,15,FALSE),VLOOKUP(171,DATA_A_PERMIS,MOIS_M+2,FALSE))</f>
        <v>648</v>
      </c>
      <c r="C14" s="492">
        <f ca="1">IF(MOIS_M=1,VLOOKUP(171,DATA_AN_PER,15,FALSE),VLOOKUP(171,DATA_AN_PER,MOIS_M+2,FALSE))</f>
        <v>1244</v>
      </c>
      <c r="D14" s="493">
        <f t="shared" ca="1" si="0"/>
        <v>-0.47909967845659163</v>
      </c>
    </row>
    <row r="15" spans="1:6" ht="16.5" thickBot="1" x14ac:dyDescent="0.3">
      <c r="A15" s="494" t="s">
        <v>721</v>
      </c>
      <c r="B15" s="509">
        <f ca="1">SUM(B10:B14)</f>
        <v>6202</v>
      </c>
      <c r="C15" s="510">
        <f ca="1">SUM(C10:C14)</f>
        <v>9393</v>
      </c>
      <c r="D15" s="495">
        <f t="shared" ca="1" si="0"/>
        <v>-0.33972106888108167</v>
      </c>
    </row>
    <row r="16" spans="1:6" ht="16.5" thickBot="1" x14ac:dyDescent="0.3">
      <c r="A16" s="494" t="s">
        <v>875</v>
      </c>
      <c r="B16" s="506">
        <f ca="1">IF(MOIS_M=1,VLOOKUP(172,DATA_A_PERMIS,15,FALSE),VLOOKUP(172,DATA_A_PERMIS,MOIS_M+2,FALSE))</f>
        <v>73</v>
      </c>
      <c r="C16" s="507">
        <f ca="1">IF(MOIS_M=1,VLOOKUP(172,DATA_AN_PER,15,FALSE),VLOOKUP(172,DATA_AN_PER,MOIS_M+2,FALSE))</f>
        <v>80</v>
      </c>
      <c r="D16" s="495">
        <f t="shared" ca="1" si="0"/>
        <v>-8.7499999999999994E-2</v>
      </c>
    </row>
    <row r="17" spans="1:4" x14ac:dyDescent="0.25">
      <c r="A17" s="498"/>
      <c r="B17" s="499"/>
      <c r="C17" s="499"/>
      <c r="D17" s="499"/>
    </row>
    <row r="18" spans="1:4" ht="17.25" x14ac:dyDescent="0.25">
      <c r="A18" s="511" t="s">
        <v>653</v>
      </c>
      <c r="B18" s="483">
        <f ca="1">B3</f>
        <v>2025</v>
      </c>
      <c r="C18" s="483">
        <f ca="1">C3</f>
        <v>2024</v>
      </c>
      <c r="D18" s="484" t="s">
        <v>645</v>
      </c>
    </row>
    <row r="19" spans="1:4" x14ac:dyDescent="0.25">
      <c r="A19" s="485" t="s">
        <v>654</v>
      </c>
      <c r="B19" s="486">
        <f ca="1">IF(MOIS_M=1,INT(VLOOKUP(152,DATA_A_CARB,15,FALSE)),INT(VLOOKUP(152,DATA_A_CARB,MOIS_M+2,FALSE)))</f>
        <v>21198</v>
      </c>
      <c r="C19" s="487">
        <f ca="1">IF(MOIS_M=1,INT(VLOOKUP(152,DATA_AN_CARB,15,FALSE)),INT(VLOOKUP(152,DATA_AN_CARB,MOIS_M+2,FALSE)))</f>
        <v>20205</v>
      </c>
      <c r="D19" s="488">
        <f t="shared" ref="D19:D26" ca="1" si="1">IFERROR((B19-C19)/C19,IF(B19&lt;&gt;0,1,0))</f>
        <v>4.9146250927988119E-2</v>
      </c>
    </row>
    <row r="20" spans="1:4" x14ac:dyDescent="0.25">
      <c r="A20" s="485" t="s">
        <v>655</v>
      </c>
      <c r="B20" s="486">
        <f ca="1">IF(MOIS_M=1,INT(VLOOKUP(153,DATA_A_CARB,15,FALSE)),INT(VLOOKUP(153,DATA_A_CARB,MOIS_M+2,FALSE)))</f>
        <v>23208</v>
      </c>
      <c r="C20" s="487">
        <f ca="1">IF(MOIS_M=1,INT(VLOOKUP(153,DATA_AN_CARB,15,FALSE)),INT(VLOOKUP(153,DATA_AN_CARB,MOIS_M+2,FALSE)))</f>
        <v>21215</v>
      </c>
      <c r="D20" s="488">
        <f t="shared" ca="1" si="1"/>
        <v>9.3942964883337268E-2</v>
      </c>
    </row>
    <row r="21" spans="1:4" ht="16.5" thickBot="1" x14ac:dyDescent="0.3">
      <c r="A21" s="490" t="s">
        <v>656</v>
      </c>
      <c r="B21" s="491">
        <f ca="1">IF(MOIS_M=1,INT(VLOOKUP(154,DATA_A_CARB,15,FALSE)),INT(VLOOKUP(154,DATA_A_CARB,MOIS_M+2,FALSE)))</f>
        <v>5934</v>
      </c>
      <c r="C21" s="492">
        <f ca="1">IF(MOIS_M=1,INT(VLOOKUP(154,DATA_AN_CARB,15,FALSE)),INT(VLOOKUP(154,DATA_AN_CARB,MOIS_M+2,FALSE)))</f>
        <v>10998</v>
      </c>
      <c r="D21" s="493">
        <f t="shared" ca="1" si="1"/>
        <v>-0.46044735406437531</v>
      </c>
    </row>
    <row r="22" spans="1:4" ht="16.5" thickBot="1" x14ac:dyDescent="0.3">
      <c r="A22" s="505" t="s">
        <v>657</v>
      </c>
      <c r="B22" s="506">
        <f ca="1">SUM(B19:B21)</f>
        <v>50340</v>
      </c>
      <c r="C22" s="507">
        <f ca="1">SUM(C19:C21)</f>
        <v>52418</v>
      </c>
      <c r="D22" s="508">
        <f t="shared" ca="1" si="1"/>
        <v>-3.964287076958297E-2</v>
      </c>
    </row>
    <row r="23" spans="1:4" x14ac:dyDescent="0.25">
      <c r="A23" s="501" t="s">
        <v>658</v>
      </c>
      <c r="B23" s="502">
        <f ca="1">IF(MOIS_M=1,INT(VLOOKUP(155,DATA_A_CARB,15,FALSE)),INT(VLOOKUP(155,DATA_A_CARB,MOIS_M+2,FALSE)))</f>
        <v>11033</v>
      </c>
      <c r="C23" s="503">
        <f ca="1">IF(MOIS_M=1,INT(VLOOKUP(155,DATA_AN_CARB,15,FALSE)),INT(VLOOKUP(155,DATA_AN_CARB,MOIS_M+2,FALSE)))</f>
        <v>20046</v>
      </c>
      <c r="D23" s="504">
        <f t="shared" ca="1" si="1"/>
        <v>-0.44961588346802356</v>
      </c>
    </row>
    <row r="24" spans="1:4" x14ac:dyDescent="0.25">
      <c r="A24" s="485" t="s">
        <v>659</v>
      </c>
      <c r="B24" s="486">
        <f ca="1">IF(MOIS_M=1,INT(VLOOKUP(156,DATA_A_CARB,15,FALSE)),INT(VLOOKUP(156,DATA_A_CARB,MOIS_M+2,FALSE)))</f>
        <v>842</v>
      </c>
      <c r="C24" s="487">
        <f ca="1">IF(MOIS_M=1,INT(VLOOKUP(156,DATA_AN_CARB,15,FALSE)),INT(VLOOKUP(156,DATA_AN_CARB,MOIS_M+2,FALSE)))</f>
        <v>619</v>
      </c>
      <c r="D24" s="488">
        <f t="shared" ca="1" si="1"/>
        <v>0.36025848142164779</v>
      </c>
    </row>
    <row r="25" spans="1:4" ht="16.5" thickBot="1" x14ac:dyDescent="0.3">
      <c r="A25" s="490" t="s">
        <v>660</v>
      </c>
      <c r="B25" s="491">
        <f ca="1">IF(MOIS_M=1,INT(VLOOKUP(157,DATA_A_CARB,15,FALSE)),INT(VLOOKUP(157,DATA_A_CARB,MOIS_M+2,FALSE)))</f>
        <v>1610</v>
      </c>
      <c r="C25" s="492">
        <f ca="1">IF(MOIS_M=1,INT(VLOOKUP(157,DATA_AN_CARB,15,FALSE)),INT(VLOOKUP(157,DATA_AN_CARB,MOIS_M+2,FALSE)))</f>
        <v>1162</v>
      </c>
      <c r="D25" s="493">
        <f t="shared" ca="1" si="1"/>
        <v>0.38554216867469882</v>
      </c>
    </row>
    <row r="26" spans="1:4" ht="16.5" thickBot="1" x14ac:dyDescent="0.3">
      <c r="A26" s="505" t="s">
        <v>661</v>
      </c>
      <c r="B26" s="506">
        <f ca="1">SUM(B23:B25)</f>
        <v>13485</v>
      </c>
      <c r="C26" s="507">
        <f ca="1">SUM(C23:C25)</f>
        <v>21827</v>
      </c>
      <c r="D26" s="508">
        <f t="shared" ca="1" si="1"/>
        <v>-0.38218719934026663</v>
      </c>
    </row>
    <row r="27" spans="1:4" x14ac:dyDescent="0.25">
      <c r="A27" s="498"/>
      <c r="B27" s="499"/>
      <c r="C27" s="499"/>
      <c r="D27" s="499"/>
    </row>
    <row r="28" spans="1:4" ht="17.25" x14ac:dyDescent="0.25">
      <c r="A28" s="511" t="s">
        <v>720</v>
      </c>
      <c r="B28" s="483">
        <f ca="1">IF(MONTH(TODAY())=1,YEAR(TODAY())-1,YEAR(TODAY()))</f>
        <v>2025</v>
      </c>
      <c r="C28" s="483">
        <f ca="1">B28-1</f>
        <v>2024</v>
      </c>
      <c r="D28" s="484" t="s">
        <v>645</v>
      </c>
    </row>
    <row r="29" spans="1:4" x14ac:dyDescent="0.25">
      <c r="A29" s="485" t="s">
        <v>719</v>
      </c>
      <c r="B29" s="486">
        <f ca="1">IF(MOIS_M=1,VLOOKUP(56,DATA_A_TRA,15,FALSE),VLOOKUP(56,DATA_A_TRA,MOIS_M+2,FALSE))</f>
        <v>0</v>
      </c>
      <c r="C29" s="487">
        <f ca="1">IF(MOIS_M=1,VLOOKUP(56,DATA_AN_TRA,15,FALSE),VLOOKUP(56,DATA_AN_TRA,MOIS_M+2,FALSE))</f>
        <v>0</v>
      </c>
      <c r="D29" s="488">
        <f t="shared" ref="D29:D35" ca="1" si="2">IFERROR((B29-C29)/C29,IF(B29&lt;&gt;0,1,0))</f>
        <v>0</v>
      </c>
    </row>
    <row r="30" spans="1:4" x14ac:dyDescent="0.25">
      <c r="A30" s="485" t="s">
        <v>718</v>
      </c>
      <c r="B30" s="486">
        <f ca="1">IF(MOIS_M=1,VLOOKUP(112,DATA_A_FAC,15,FALSE),VLOOKUP(112,DATA_A_FAC,MOIS_M+2,FALSE))</f>
        <v>0</v>
      </c>
      <c r="C30" s="487">
        <f ca="1">IF(MOIS_M=1,VLOOKUP(112,DATA_AN_FAC,15,FALSE),VLOOKUP(112,DATA_AN_FAC,MOIS_M+2,FALSE))</f>
        <v>0</v>
      </c>
      <c r="D30" s="488">
        <f t="shared" ca="1" si="2"/>
        <v>0</v>
      </c>
    </row>
    <row r="31" spans="1:4" x14ac:dyDescent="0.25">
      <c r="A31" s="485" t="s">
        <v>717</v>
      </c>
      <c r="B31" s="486">
        <f ca="1">IF(MOIS_M=1,VLOOKUP(69,DATA_A_TRA,15,FALSE),VLOOKUP(69,DATA_A_TRA,MOIS_M+2,FALSE))</f>
        <v>0</v>
      </c>
      <c r="C31" s="487">
        <f ca="1">IF(MOIS_M=1,VLOOKUP(69,DATA_AN_TRA,15,FALSE),VLOOKUP(69,DATA_AN_TRA,MOIS_M+2,FALSE))</f>
        <v>0</v>
      </c>
      <c r="D31" s="488">
        <f t="shared" ca="1" si="2"/>
        <v>0</v>
      </c>
    </row>
    <row r="32" spans="1:4" x14ac:dyDescent="0.25">
      <c r="A32" s="485" t="s">
        <v>716</v>
      </c>
      <c r="B32" s="486">
        <f ca="1">IF(MOIS_M=1,VLOOKUP(82,DATA_A_TRA,15,FALSE),VLOOKUP(82,DATA_A_TRA,MOIS_M+2,FALSE))</f>
        <v>0</v>
      </c>
      <c r="C32" s="487">
        <f ca="1">IF(MOIS_M=1,VLOOKUP(82,DATA_AN_TRA,15,FALSE),VLOOKUP(82,DATA_AN_TRA,MOIS_M+2,FALSE))</f>
        <v>0</v>
      </c>
      <c r="D32" s="488">
        <f t="shared" ca="1" si="2"/>
        <v>0</v>
      </c>
    </row>
    <row r="33" spans="1:8" x14ac:dyDescent="0.25">
      <c r="A33" s="485" t="s">
        <v>715</v>
      </c>
      <c r="B33" s="486">
        <f ca="1">IF(MOIS_M=1,VLOOKUP(125,DATA_A_FAC,15,FALSE),VLOOKUP(125,DATA_A_FAC,MOIS_M+2,FALSE))</f>
        <v>0</v>
      </c>
      <c r="C33" s="487">
        <f ca="1">IF(MOIS_M=1,VLOOKUP(125,DATA_AN_FAC,15,FALSE),VLOOKUP(125,DATA_AN_FAC,MOIS_M+2,FALSE))</f>
        <v>0</v>
      </c>
      <c r="D33" s="488">
        <f t="shared" ca="1" si="2"/>
        <v>0</v>
      </c>
    </row>
    <row r="34" spans="1:8" ht="16.5" thickBot="1" x14ac:dyDescent="0.3">
      <c r="A34" s="490" t="s">
        <v>714</v>
      </c>
      <c r="B34" s="491">
        <f ca="1">IF(MOIS_M=1,VLOOKUP(95,DATA_A_TRA,15,FALSE),VLOOKUP(95,DATA_A_TRA,MOIS_M+2,FALSE))</f>
        <v>0</v>
      </c>
      <c r="C34" s="492">
        <f ca="1">IF(MOIS_M=1,VLOOKUP(95,DATA_AN_TRA,15,FALSE),VLOOKUP(95,DATA_AN_TRA,MOIS_M+2,FALSE))</f>
        <v>0</v>
      </c>
      <c r="D34" s="493">
        <f t="shared" ca="1" si="2"/>
        <v>0</v>
      </c>
    </row>
    <row r="35" spans="1:8" ht="16.5" thickBot="1" x14ac:dyDescent="0.3">
      <c r="A35" s="505" t="s">
        <v>662</v>
      </c>
      <c r="B35" s="506">
        <f ca="1">SUM(B29:B34)</f>
        <v>0</v>
      </c>
      <c r="C35" s="507">
        <f ca="1">SUM(C29:C34)</f>
        <v>0</v>
      </c>
      <c r="D35" s="508">
        <f t="shared" ca="1" si="2"/>
        <v>0</v>
      </c>
    </row>
    <row r="36" spans="1:8" x14ac:dyDescent="0.25">
      <c r="A36" s="498"/>
      <c r="B36" s="499"/>
      <c r="C36" s="499"/>
      <c r="D36" s="499"/>
    </row>
    <row r="37" spans="1:8" ht="17.25" x14ac:dyDescent="0.25">
      <c r="A37" s="511" t="s">
        <v>713</v>
      </c>
      <c r="B37" s="483">
        <f ca="1">B3</f>
        <v>2025</v>
      </c>
      <c r="C37" s="483">
        <f ca="1">C3</f>
        <v>2024</v>
      </c>
      <c r="D37" s="484" t="s">
        <v>645</v>
      </c>
    </row>
    <row r="38" spans="1:8" x14ac:dyDescent="0.25">
      <c r="A38" s="485" t="str">
        <f>HDG_1_F</f>
        <v>Air France</v>
      </c>
      <c r="B38" s="486">
        <f t="shared" ref="B38:B49" ca="1" si="3">IF(MOIS_M=1,+VLOOKUP(G38,DATA_A_FAC,15,FALSE)+VLOOKUP(F38,DATA_A_TRA,15,FALSE)+VLOOKUP(H38,DATA_A_FAC,15,FALSE),VLOOKUP(F38,DATA_A_TRA,MOIS_M+2,FALSE)+VLOOKUP(G38,DATA_A_FAC,MOIS_M+2,FALSE)+VLOOKUP(H38,DATA_A_FAC,MOIS_M+2,FALSE))</f>
        <v>0</v>
      </c>
      <c r="C38" s="487">
        <f t="shared" ref="C38:C49" ca="1" si="4">IF(MOIS_M=1,VLOOKUP(G38,DATA_AN_FAC,15,FALSE)+VLOOKUP(H38,DATA_AN_FAC,15,FALSE)+VLOOKUP(F38,DATA_AN_TRA,15,FALSE),VLOOKUP(G38,DATA_AN_FAC,MOIS_M+2,FALSE)+VLOOKUP(H38,DATA_AN_FAC,MOIS_M+2,FALSE)+VLOOKUP(F38,DATA_AN_TRA,MOIS_M+2,FALSE))</f>
        <v>0</v>
      </c>
      <c r="D38" s="488">
        <f t="shared" ref="D38:D50" ca="1" si="5">IFERROR((B38-C38)/C38,IF(B38&lt;&gt;0,1,0))</f>
        <v>0</v>
      </c>
      <c r="F38" s="157">
        <v>183</v>
      </c>
      <c r="G38" s="157">
        <v>113</v>
      </c>
      <c r="H38" s="157">
        <v>126</v>
      </c>
    </row>
    <row r="39" spans="1:8" x14ac:dyDescent="0.25">
      <c r="A39" s="485" t="str">
        <f>HDG_2_F</f>
        <v>Aviapartner</v>
      </c>
      <c r="B39" s="486">
        <f t="shared" ca="1" si="3"/>
        <v>0</v>
      </c>
      <c r="C39" s="487">
        <f t="shared" ca="1" si="4"/>
        <v>0</v>
      </c>
      <c r="D39" s="488">
        <f t="shared" ca="1" si="5"/>
        <v>0</v>
      </c>
      <c r="F39" s="157">
        <v>184</v>
      </c>
      <c r="G39" s="157">
        <v>114</v>
      </c>
      <c r="H39" s="157">
        <v>127</v>
      </c>
    </row>
    <row r="40" spans="1:8" x14ac:dyDescent="0.25">
      <c r="A40" s="485" t="str">
        <f>HDG_4_F</f>
        <v>Menzies Aviation</v>
      </c>
      <c r="B40" s="486">
        <f t="shared" ca="1" si="3"/>
        <v>0</v>
      </c>
      <c r="C40" s="487">
        <f t="shared" ca="1" si="4"/>
        <v>0</v>
      </c>
      <c r="D40" s="488">
        <f t="shared" ca="1" si="5"/>
        <v>0</v>
      </c>
      <c r="F40" s="157">
        <v>185</v>
      </c>
      <c r="G40" s="157">
        <v>115</v>
      </c>
      <c r="H40" s="157">
        <v>128</v>
      </c>
    </row>
    <row r="41" spans="1:8" x14ac:dyDescent="0.25">
      <c r="A41" s="485" t="str">
        <f>HDG_3_F</f>
        <v>Alyzia</v>
      </c>
      <c r="B41" s="486">
        <f t="shared" ca="1" si="3"/>
        <v>0</v>
      </c>
      <c r="C41" s="487">
        <f t="shared" ca="1" si="4"/>
        <v>0</v>
      </c>
      <c r="D41" s="488">
        <f t="shared" ca="1" si="5"/>
        <v>0</v>
      </c>
      <c r="F41" s="157">
        <v>186</v>
      </c>
      <c r="G41" s="157">
        <v>116</v>
      </c>
      <c r="H41" s="157">
        <v>129</v>
      </c>
    </row>
    <row r="42" spans="1:8" x14ac:dyDescent="0.25">
      <c r="A42" s="485" t="str">
        <f>HDG_5_F</f>
        <v>Aviapartner Ex</v>
      </c>
      <c r="B42" s="486">
        <f t="shared" ca="1" si="3"/>
        <v>0</v>
      </c>
      <c r="C42" s="487">
        <f t="shared" ca="1" si="4"/>
        <v>0</v>
      </c>
      <c r="D42" s="488">
        <f t="shared" ca="1" si="5"/>
        <v>0</v>
      </c>
      <c r="F42" s="157">
        <v>187</v>
      </c>
      <c r="G42" s="157">
        <v>117</v>
      </c>
      <c r="H42" s="157">
        <v>130</v>
      </c>
    </row>
    <row r="43" spans="1:8" x14ac:dyDescent="0.25">
      <c r="A43" s="485" t="str">
        <f>HDG_7_F</f>
        <v>Signature FS</v>
      </c>
      <c r="B43" s="486">
        <f t="shared" ca="1" si="3"/>
        <v>0</v>
      </c>
      <c r="C43" s="487">
        <f t="shared" ca="1" si="4"/>
        <v>0</v>
      </c>
      <c r="D43" s="488">
        <f t="shared" ca="1" si="5"/>
        <v>0</v>
      </c>
      <c r="F43" s="157">
        <v>188</v>
      </c>
      <c r="G43" s="157">
        <v>118</v>
      </c>
      <c r="H43" s="157">
        <v>131</v>
      </c>
    </row>
    <row r="44" spans="1:8" x14ac:dyDescent="0.25">
      <c r="A44" s="485" t="str">
        <f>HDG_6_F</f>
        <v>DC/GOPS</v>
      </c>
      <c r="B44" s="486">
        <f t="shared" ca="1" si="3"/>
        <v>0</v>
      </c>
      <c r="C44" s="487">
        <f t="shared" ca="1" si="4"/>
        <v>0</v>
      </c>
      <c r="D44" s="488">
        <f t="shared" ca="1" si="5"/>
        <v>0</v>
      </c>
      <c r="F44" s="157">
        <v>189</v>
      </c>
      <c r="G44" s="157">
        <v>119</v>
      </c>
      <c r="H44" s="157">
        <v>132</v>
      </c>
    </row>
    <row r="45" spans="1:8" x14ac:dyDescent="0.25">
      <c r="A45" s="485" t="str">
        <f>HDG_9_F</f>
        <v>Héli Sécurité</v>
      </c>
      <c r="B45" s="486">
        <f t="shared" ca="1" si="3"/>
        <v>0</v>
      </c>
      <c r="C45" s="487">
        <f t="shared" ca="1" si="4"/>
        <v>0</v>
      </c>
      <c r="D45" s="488">
        <f t="shared" ca="1" si="5"/>
        <v>0</v>
      </c>
      <c r="F45" s="157">
        <v>190</v>
      </c>
      <c r="G45" s="157">
        <v>120</v>
      </c>
      <c r="H45" s="157">
        <v>133</v>
      </c>
    </row>
    <row r="46" spans="1:8" x14ac:dyDescent="0.25">
      <c r="A46" s="485" t="str">
        <f>HDG_11_F</f>
        <v>Monacair</v>
      </c>
      <c r="B46" s="486">
        <f t="shared" ca="1" si="3"/>
        <v>0</v>
      </c>
      <c r="C46" s="487">
        <f t="shared" ca="1" si="4"/>
        <v>0</v>
      </c>
      <c r="D46" s="488">
        <f t="shared" ca="1" si="5"/>
        <v>0</v>
      </c>
      <c r="F46" s="157">
        <v>191</v>
      </c>
      <c r="G46" s="157">
        <v>121</v>
      </c>
      <c r="H46" s="157">
        <v>134</v>
      </c>
    </row>
    <row r="47" spans="1:8" x14ac:dyDescent="0.25">
      <c r="A47" s="485" t="str">
        <f>HDG_10_F</f>
        <v>Héli Air Monaco</v>
      </c>
      <c r="B47" s="486">
        <f t="shared" ca="1" si="3"/>
        <v>0</v>
      </c>
      <c r="C47" s="487">
        <f t="shared" ca="1" si="4"/>
        <v>0</v>
      </c>
      <c r="D47" s="488">
        <f t="shared" ca="1" si="5"/>
        <v>0</v>
      </c>
      <c r="F47" s="157">
        <v>192</v>
      </c>
      <c r="G47" s="157">
        <v>122</v>
      </c>
      <c r="H47" s="157">
        <v>135</v>
      </c>
    </row>
    <row r="48" spans="1:8" x14ac:dyDescent="0.25">
      <c r="A48" s="485" t="str">
        <f>HDG_8_F</f>
        <v>Azur Hélicoptère</v>
      </c>
      <c r="B48" s="486">
        <f t="shared" ca="1" si="3"/>
        <v>0</v>
      </c>
      <c r="C48" s="487">
        <f t="shared" ca="1" si="4"/>
        <v>0</v>
      </c>
      <c r="D48" s="488">
        <f t="shared" ca="1" si="5"/>
        <v>0</v>
      </c>
      <c r="F48" s="157">
        <v>193</v>
      </c>
      <c r="G48" s="157">
        <v>123</v>
      </c>
      <c r="H48" s="157">
        <v>136</v>
      </c>
    </row>
    <row r="49" spans="1:8" ht="16.5" thickBot="1" x14ac:dyDescent="0.3">
      <c r="A49" s="490" t="s">
        <v>707</v>
      </c>
      <c r="B49" s="491">
        <f t="shared" ca="1" si="3"/>
        <v>0</v>
      </c>
      <c r="C49" s="492">
        <f t="shared" ca="1" si="4"/>
        <v>0</v>
      </c>
      <c r="D49" s="493">
        <f t="shared" ca="1" si="5"/>
        <v>0</v>
      </c>
      <c r="F49" s="157">
        <v>194</v>
      </c>
      <c r="G49" s="157">
        <v>124</v>
      </c>
      <c r="H49" s="157">
        <v>137</v>
      </c>
    </row>
    <row r="50" spans="1:8" ht="16.5" thickBot="1" x14ac:dyDescent="0.3">
      <c r="A50" s="505" t="s">
        <v>662</v>
      </c>
      <c r="B50" s="506">
        <f ca="1">SUM(B38:B49)</f>
        <v>0</v>
      </c>
      <c r="C50" s="507">
        <f ca="1">SUM(C38:C49)</f>
        <v>0</v>
      </c>
      <c r="D50" s="508">
        <f t="shared" ca="1" si="5"/>
        <v>0</v>
      </c>
    </row>
    <row r="51" spans="1:8" x14ac:dyDescent="0.25">
      <c r="A51" s="498"/>
      <c r="B51" s="499"/>
      <c r="C51" s="499"/>
      <c r="D51" s="499"/>
    </row>
    <row r="52" spans="1:8" ht="17.25" x14ac:dyDescent="0.25">
      <c r="A52" s="511" t="s">
        <v>706</v>
      </c>
      <c r="B52" s="483">
        <f ca="1">B3</f>
        <v>2025</v>
      </c>
      <c r="C52" s="483">
        <f ca="1">C3</f>
        <v>2024</v>
      </c>
      <c r="D52" s="484" t="s">
        <v>645</v>
      </c>
    </row>
    <row r="53" spans="1:8" x14ac:dyDescent="0.25">
      <c r="A53" s="485" t="s">
        <v>663</v>
      </c>
      <c r="B53" s="486">
        <f ca="1">IF(MOIS_M=1,VLOOKUP(32,DATA_A_MAIN,15,FALSE),VLOOKUP(32,DATA_A_MAIN,MOIS_M+2,FALSE))</f>
        <v>0</v>
      </c>
      <c r="C53" s="487">
        <f ca="1">IF(MOIS_M=1,VLOOKUP(32,DATA_AN_MAIN,15,FALSE),VLOOKUP(32,DATA_AN_MAIN,MOIS_M+2,FALSE))</f>
        <v>0</v>
      </c>
      <c r="D53" s="488">
        <f t="shared" ref="D53:D63" ca="1" si="6">IFERROR((B53-C53)/C53,IF(B53&lt;&gt;0,1,0))</f>
        <v>0</v>
      </c>
    </row>
    <row r="54" spans="1:8" x14ac:dyDescent="0.25">
      <c r="A54" s="485" t="s">
        <v>705</v>
      </c>
      <c r="B54" s="486">
        <f ca="1">IF(MOIS_M=1,VLOOKUP(32,DATA_A_MAIN,15,FALSE),VLOOKUP(33,DATA_A_MAIN,MOIS_M+2,FALSE))</f>
        <v>0</v>
      </c>
      <c r="C54" s="487">
        <f ca="1">IF(MOIS_M=1,VLOOKUP(33,DATA_AN_MAIN,15,FALSE),VLOOKUP(33,DATA_AN_MAIN,MOIS_M+2,FALSE))</f>
        <v>2</v>
      </c>
      <c r="D54" s="488">
        <f t="shared" ca="1" si="6"/>
        <v>-1</v>
      </c>
    </row>
    <row r="55" spans="1:8" x14ac:dyDescent="0.25">
      <c r="A55" s="485" t="s">
        <v>704</v>
      </c>
      <c r="B55" s="486">
        <f ca="1">IF(MOIS_M=1,VLOOKUP(34,DATA_A_MAIN,15,FALSE),VLOOKUP(34,DATA_A_MAIN,MOIS_M+2,FALSE))</f>
        <v>73</v>
      </c>
      <c r="C55" s="487">
        <f ca="1">IF(MOIS_M=1,VLOOKUP(34,DATA_AN_MAIN,15,FALSE),VLOOKUP(34,DATA_AN_MAIN,MOIS_M+2,FALSE))</f>
        <v>41</v>
      </c>
      <c r="D55" s="488">
        <f t="shared" ca="1" si="6"/>
        <v>0.78048780487804881</v>
      </c>
    </row>
    <row r="56" spans="1:8" x14ac:dyDescent="0.25">
      <c r="A56" s="485" t="s">
        <v>703</v>
      </c>
      <c r="B56" s="486">
        <f ca="1">IF(MOIS_M=1,VLOOKUP(35,DATA_A_MAIN,15,FALSE),VLOOKUP(35,DATA_A_MAIN,MOIS_M+2,FALSE))</f>
        <v>5</v>
      </c>
      <c r="C56" s="487">
        <f ca="1">IF(MOIS_M=1,VLOOKUP(35,DATA_AN_MAIN,15,FALSE),VLOOKUP(35,DATA_AN_MAIN,MOIS_M+2,FALSE))</f>
        <v>7</v>
      </c>
      <c r="D56" s="488">
        <f t="shared" ca="1" si="6"/>
        <v>-0.2857142857142857</v>
      </c>
    </row>
    <row r="57" spans="1:8" x14ac:dyDescent="0.25">
      <c r="A57" s="485" t="s">
        <v>665</v>
      </c>
      <c r="B57" s="486">
        <f ca="1">IF(MOIS_M=1,VLOOKUP(36,DATA_A_MAIN,15,FALSE),VLOOKUP(36,DATA_A_MAIN,MOIS_M+2,FALSE))</f>
        <v>0</v>
      </c>
      <c r="C57" s="487">
        <f ca="1">IF(MOIS_M=1,VLOOKUP(36,DATA_AN_MAIN,15,FALSE),VLOOKUP(36,DATA_AN_MAIN,MOIS_M+2,FALSE))</f>
        <v>0</v>
      </c>
      <c r="D57" s="488">
        <f t="shared" ca="1" si="6"/>
        <v>0</v>
      </c>
    </row>
    <row r="58" spans="1:8" x14ac:dyDescent="0.25">
      <c r="A58" s="485" t="s">
        <v>702</v>
      </c>
      <c r="B58" s="486">
        <f ca="1">IF(MOIS_M=1,VLOOKUP(37,DATA_A_MAIN,15,FALSE),VLOOKUP(37,DATA_A_MAIN,MOIS_M+2,FALSE))</f>
        <v>6</v>
      </c>
      <c r="C58" s="487">
        <f ca="1">IF(MOIS_M=1,VLOOKUP(37,DATA_AN_MAIN,15,FALSE),VLOOKUP(37,DATA_AN_MAIN,MOIS_M+2,FALSE))</f>
        <v>4</v>
      </c>
      <c r="D58" s="488">
        <f t="shared" ca="1" si="6"/>
        <v>0.5</v>
      </c>
    </row>
    <row r="59" spans="1:8" x14ac:dyDescent="0.25">
      <c r="A59" s="485" t="s">
        <v>701</v>
      </c>
      <c r="B59" s="486">
        <f ca="1">IF(MOIS_M=1,VLOOKUP(38,DATA_A_MAIN,15,FALSE),VLOOKUP(38,DATA_A_MAIN,MOIS_M+2,FALSE))</f>
        <v>3</v>
      </c>
      <c r="C59" s="487">
        <f ca="1">IF(MOIS_M=1,VLOOKUP(38,DATA_AN_MAIN,15,FALSE),VLOOKUP(38,DATA_AN_MAIN,MOIS_M+2,FALSE))</f>
        <v>4</v>
      </c>
      <c r="D59" s="488">
        <f t="shared" ca="1" si="6"/>
        <v>-0.25</v>
      </c>
    </row>
    <row r="60" spans="1:8" x14ac:dyDescent="0.25">
      <c r="A60" s="485" t="s">
        <v>664</v>
      </c>
      <c r="B60" s="486">
        <f ca="1">IF(MOIS_M=1,VLOOKUP(39,DATA_A_MAIN,15,FALSE),VLOOKUP(39,DATA_A_MAIN,MOIS_M+2,FALSE))</f>
        <v>22</v>
      </c>
      <c r="C60" s="487">
        <f ca="1">IF(MOIS_M=1,VLOOKUP(39,DATA_AN_MAIN,15,FALSE),VLOOKUP(39,DATA_AN_MAIN,MOIS_M+2,FALSE))</f>
        <v>8</v>
      </c>
      <c r="D60" s="488">
        <f t="shared" ca="1" si="6"/>
        <v>1.75</v>
      </c>
    </row>
    <row r="61" spans="1:8" x14ac:dyDescent="0.25">
      <c r="A61" s="485" t="s">
        <v>700</v>
      </c>
      <c r="B61" s="486">
        <f ca="1">IF(MOIS_M=1,VLOOKUP(144,DATA_A_TVX,15,FALSE),VLOOKUP(144,DATA_A_TVX,MOIS_M+2,FALSE))</f>
        <v>20</v>
      </c>
      <c r="C61" s="487">
        <f ca="1">IF(MOIS_M=1,VLOOKUP(144,DATA_AN_TVX,15,FALSE),VLOOKUP(144,DATA_AN_TVX,MOIS_M+2,FALSE))</f>
        <v>13</v>
      </c>
      <c r="D61" s="488">
        <f t="shared" ca="1" si="6"/>
        <v>0.53846153846153844</v>
      </c>
    </row>
    <row r="62" spans="1:8" ht="16.5" thickBot="1" x14ac:dyDescent="0.3">
      <c r="A62" s="490" t="s">
        <v>739</v>
      </c>
      <c r="B62" s="491">
        <f ca="1">IF(MOIS_M=1,VLOOKUP(111,DATA_A_FAC,15,FALSE),VLOOKUP(111,DATA_A_FAC,MOIS_M+2,FALSE))</f>
        <v>7</v>
      </c>
      <c r="C62" s="492">
        <f ca="1">IF(MOIS_M=1,VLOOKUP(111,DATA_AN_FAC,15,FALSE),VLOOKUP(111,DATA_AN_FAC,MOIS_M+2,FALSE))</f>
        <v>11</v>
      </c>
      <c r="D62" s="493">
        <f t="shared" ca="1" si="6"/>
        <v>-0.36363636363636365</v>
      </c>
    </row>
    <row r="63" spans="1:8" ht="16.5" thickBot="1" x14ac:dyDescent="0.3">
      <c r="A63" s="494" t="s">
        <v>662</v>
      </c>
      <c r="B63" s="496">
        <f ca="1">SUM(B53:B62)</f>
        <v>136</v>
      </c>
      <c r="C63" s="497">
        <f ca="1">SUM(C53:C62)</f>
        <v>90</v>
      </c>
      <c r="D63" s="495">
        <f t="shared" ca="1" si="6"/>
        <v>0.51111111111111107</v>
      </c>
    </row>
    <row r="64" spans="1:8" x14ac:dyDescent="0.25">
      <c r="A64" s="498"/>
      <c r="B64" s="499"/>
      <c r="C64" s="500"/>
      <c r="D64" s="499"/>
    </row>
    <row r="65" spans="1:16384" ht="17.25" x14ac:dyDescent="0.25">
      <c r="A65" s="511" t="s">
        <v>699</v>
      </c>
      <c r="B65" s="483">
        <f ca="1">B3</f>
        <v>2025</v>
      </c>
      <c r="C65" s="483">
        <f ca="1">C3</f>
        <v>2024</v>
      </c>
      <c r="D65" s="484" t="s">
        <v>645</v>
      </c>
    </row>
    <row r="66" spans="1:16384" x14ac:dyDescent="0.25">
      <c r="A66" s="485" t="s">
        <v>698</v>
      </c>
      <c r="B66" s="486">
        <f ca="1">IF(MOIS_M=1,VLOOKUP(16,DATA_A_MAIN,15,FALSE),VLOOKUP(16,DATA_A_MAIN,MOIS_M+2,FALSE))</f>
        <v>1</v>
      </c>
      <c r="C66" s="487">
        <f ca="1">IF(MOIS_M=1,VLOOKUP(16,DATA_AN_MAIN,15,FALSE),VLOOKUP(16,DATA_AN_MAIN,MOIS_M+2,FALSE))</f>
        <v>3</v>
      </c>
      <c r="D66" s="488">
        <f t="shared" ref="D66:D69" ca="1" si="7">IFERROR((B66-C66)/C66,IF(B66&lt;&gt;0,1,0))</f>
        <v>-0.66666666666666663</v>
      </c>
    </row>
    <row r="67" spans="1:16384" x14ac:dyDescent="0.25">
      <c r="A67" s="485" t="s">
        <v>697</v>
      </c>
      <c r="B67" s="486">
        <f ca="1">IF(MOIS_M=1,VLOOKUP(17,DATA_A_MAIN,15,FALSE),VLOOKUP(17,DATA_A_MAIN,MOIS_M+2,FALSE))</f>
        <v>3</v>
      </c>
      <c r="C67" s="487">
        <f ca="1">IF(MOIS_M=1,VLOOKUP(17,DATA_AN_MAIN,15,FALSE),VLOOKUP(17,DATA_AN_MAIN,MOIS_M+2,FALSE))</f>
        <v>2</v>
      </c>
      <c r="D67" s="488">
        <f t="shared" ca="1" si="7"/>
        <v>0.5</v>
      </c>
    </row>
    <row r="68" spans="1:16384" x14ac:dyDescent="0.25">
      <c r="A68" s="485" t="s">
        <v>696</v>
      </c>
      <c r="B68" s="486">
        <f ca="1">IF(MOIS_M=1,VLOOKUP(18,DATA_A_MAIN,15,FALSE),VLOOKUP(18,DATA_A_MAIN,MOIS_M+2,FALSE))</f>
        <v>0</v>
      </c>
      <c r="C68" s="487">
        <f ca="1">IF(MOIS_M=1,VLOOKUP(18,DATA_AN_MAIN,15,FALSE),VLOOKUP(18,DATA_AN_MAIN,MOIS_M+2,FALSE))</f>
        <v>0</v>
      </c>
      <c r="D68" s="488">
        <f t="shared" ca="1" si="7"/>
        <v>0</v>
      </c>
    </row>
    <row r="69" spans="1:16384" x14ac:dyDescent="0.25">
      <c r="A69" s="485" t="s">
        <v>666</v>
      </c>
      <c r="B69" s="486">
        <f ca="1">IF(MOIS_M=1,VLOOKUP(19,DATA_A_MAIN,15,FALSE),VLOOKUP(19,DATA_A_MAIN,MOIS_M+2,FALSE))</f>
        <v>0</v>
      </c>
      <c r="C69" s="487">
        <f ca="1">IF(MOIS_M=1,VLOOKUP(19,DATA_AN_MAIN,15,FALSE),VLOOKUP(19,DATA_AN_MAIN,MOIS_M+2,FALSE))</f>
        <v>0</v>
      </c>
      <c r="D69" s="488">
        <f t="shared" ca="1" si="7"/>
        <v>0</v>
      </c>
    </row>
    <row r="70" spans="1:16384" x14ac:dyDescent="0.25">
      <c r="A70" s="498"/>
      <c r="B70" s="499"/>
      <c r="C70" s="499"/>
      <c r="D70" s="499"/>
    </row>
    <row r="71" spans="1:16384" ht="17.25" x14ac:dyDescent="0.25">
      <c r="A71" s="511" t="s">
        <v>13</v>
      </c>
      <c r="B71" s="483">
        <f ca="1">B3</f>
        <v>2025</v>
      </c>
      <c r="C71" s="483">
        <f ca="1">C3</f>
        <v>2024</v>
      </c>
      <c r="D71" s="484" t="s">
        <v>645</v>
      </c>
    </row>
    <row r="72" spans="1:16384" x14ac:dyDescent="0.25">
      <c r="A72" s="485" t="s">
        <v>695</v>
      </c>
      <c r="B72" s="486">
        <f ca="1">IF(MOIS_M=1,VLOOKUP(21,DATA_A_MAIN,15,FALSE),VLOOKUP(21,DATA_A_MAIN,MOIS_M+2,FALSE))</f>
        <v>0</v>
      </c>
      <c r="C72" s="487">
        <f ca="1">IF(MOIS_M=1,VLOOKUP(21,DATA_AN_MAIN,15,FALSE),VLOOKUP(21,DATA_AN_MAIN,MOIS_M+2,FALSE))</f>
        <v>2</v>
      </c>
      <c r="D72" s="488">
        <f t="shared" ref="D72:D75" ca="1" si="8">IFERROR((B72-C72)/C72,IF(B72&lt;&gt;0,1,0))</f>
        <v>-1</v>
      </c>
    </row>
    <row r="73" spans="1:16384" x14ac:dyDescent="0.25">
      <c r="A73" s="485" t="s">
        <v>694</v>
      </c>
      <c r="B73" s="486">
        <f ca="1">IF(MOIS_M=1,VLOOKUP(22,DATA_A_MAIN,15,FALSE),VLOOKUP(22,DATA_A_MAIN,MOIS_M+2,FALSE))</f>
        <v>0</v>
      </c>
      <c r="C73" s="487">
        <f ca="1">IF(MOIS_M=1,VLOOKUP(22,DATA_AN_MAIN,15,FALSE),VLOOKUP(22,DATA_AN_MAIN,MOIS_M+2,FALSE))</f>
        <v>0</v>
      </c>
      <c r="D73" s="488">
        <f t="shared" ca="1" si="8"/>
        <v>0</v>
      </c>
    </row>
    <row r="74" spans="1:16384" ht="16.5" thickBot="1" x14ac:dyDescent="0.3">
      <c r="A74" s="490" t="s">
        <v>693</v>
      </c>
      <c r="B74" s="491">
        <f ca="1">IF(MOIS_M=1,VLOOKUP(23,DATA_A_MAIN,15,FALSE),VLOOKUP(23,DATA_A_MAIN,MOIS_M+2,FALSE))</f>
        <v>0</v>
      </c>
      <c r="C74" s="492">
        <f ca="1">IF(MOIS_M=1,VLOOKUP(23,DATA_AN_MAIN,15,FALSE),VLOOKUP(23,DATA_AN_MAIN,MOIS_M+2,FALSE))</f>
        <v>0</v>
      </c>
      <c r="D74" s="493">
        <f t="shared" ca="1" si="8"/>
        <v>0</v>
      </c>
    </row>
    <row r="75" spans="1:16384" ht="16.5" thickBot="1" x14ac:dyDescent="0.3">
      <c r="A75" s="505" t="s">
        <v>662</v>
      </c>
      <c r="B75" s="506">
        <f ca="1">SUM(B72:B74)</f>
        <v>0</v>
      </c>
      <c r="C75" s="507">
        <f ca="1">SUM(C72:C74)</f>
        <v>2</v>
      </c>
      <c r="D75" s="508">
        <f t="shared" ca="1" si="8"/>
        <v>-1</v>
      </c>
    </row>
    <row r="76" spans="1:16384" x14ac:dyDescent="0.25">
      <c r="A76" s="498"/>
      <c r="B76" s="499"/>
      <c r="C76" s="499"/>
      <c r="D76" s="499"/>
    </row>
    <row r="77" spans="1:16384" ht="17.25" x14ac:dyDescent="0.25">
      <c r="A77" s="511" t="s">
        <v>692</v>
      </c>
      <c r="B77" s="483">
        <f ca="1">B3</f>
        <v>2025</v>
      </c>
      <c r="C77" s="483">
        <f ca="1">C3</f>
        <v>2024</v>
      </c>
      <c r="D77" s="484" t="s">
        <v>645</v>
      </c>
      <c r="E77" s="206"/>
      <c r="F77" s="205"/>
      <c r="G77" s="205"/>
      <c r="H77" s="204"/>
      <c r="I77" s="206"/>
      <c r="J77" s="205"/>
      <c r="K77" s="205"/>
      <c r="L77" s="204"/>
      <c r="M77" s="206"/>
      <c r="N77" s="205"/>
      <c r="O77" s="205"/>
      <c r="P77" s="204"/>
      <c r="Q77" s="206"/>
      <c r="R77" s="205"/>
      <c r="S77" s="205"/>
      <c r="T77" s="204"/>
      <c r="U77" s="206"/>
      <c r="V77" s="205"/>
      <c r="W77" s="205"/>
      <c r="X77" s="204"/>
      <c r="Y77" s="206"/>
      <c r="Z77" s="205"/>
      <c r="AA77" s="205"/>
      <c r="AB77" s="204"/>
      <c r="AC77" s="206"/>
      <c r="AD77" s="205"/>
      <c r="AE77" s="205"/>
      <c r="AF77" s="204"/>
      <c r="AG77" s="206"/>
      <c r="AH77" s="205"/>
      <c r="AI77" s="205"/>
      <c r="AJ77" s="204"/>
      <c r="AK77" s="206"/>
      <c r="AL77" s="205"/>
      <c r="AM77" s="205"/>
      <c r="AN77" s="204"/>
      <c r="AO77" s="206"/>
      <c r="AP77" s="205"/>
      <c r="AQ77" s="205"/>
      <c r="AR77" s="204"/>
      <c r="AS77" s="206"/>
      <c r="AT77" s="205"/>
      <c r="AU77" s="205"/>
      <c r="AV77" s="204"/>
      <c r="AW77" s="206"/>
      <c r="AX77" s="205"/>
      <c r="AY77" s="205"/>
      <c r="AZ77" s="204"/>
      <c r="BA77" s="206"/>
      <c r="BB77" s="205"/>
      <c r="BC77" s="205"/>
      <c r="BD77" s="204"/>
      <c r="BE77" s="206"/>
      <c r="BF77" s="205"/>
      <c r="BG77" s="205"/>
      <c r="BH77" s="204"/>
      <c r="BI77" s="206"/>
      <c r="BJ77" s="205"/>
      <c r="BK77" s="205"/>
      <c r="BL77" s="204"/>
      <c r="BM77" s="206"/>
      <c r="BN77" s="205"/>
      <c r="BO77" s="205"/>
      <c r="BP77" s="204"/>
      <c r="BQ77" s="206"/>
      <c r="BR77" s="205"/>
      <c r="BS77" s="205"/>
      <c r="BT77" s="204"/>
      <c r="BU77" s="206"/>
      <c r="BV77" s="205"/>
      <c r="BW77" s="205"/>
      <c r="BX77" s="204"/>
      <c r="BY77" s="206"/>
      <c r="BZ77" s="205"/>
      <c r="CA77" s="205"/>
      <c r="CB77" s="204"/>
      <c r="CC77" s="206"/>
      <c r="CD77" s="205"/>
      <c r="CE77" s="205"/>
      <c r="CF77" s="204"/>
      <c r="CG77" s="206"/>
      <c r="CH77" s="205"/>
      <c r="CI77" s="205"/>
      <c r="CJ77" s="204"/>
      <c r="CK77" s="206"/>
      <c r="CL77" s="205"/>
      <c r="CM77" s="205"/>
      <c r="CN77" s="204"/>
      <c r="CO77" s="206"/>
      <c r="CP77" s="205"/>
      <c r="CQ77" s="205"/>
      <c r="CR77" s="204"/>
      <c r="CS77" s="206"/>
      <c r="CT77" s="205"/>
      <c r="CU77" s="205"/>
      <c r="CV77" s="204"/>
      <c r="CW77" s="206"/>
      <c r="CX77" s="205"/>
      <c r="CY77" s="205"/>
      <c r="CZ77" s="204"/>
      <c r="DA77" s="206"/>
      <c r="DB77" s="205"/>
      <c r="DC77" s="205"/>
      <c r="DD77" s="204"/>
      <c r="DE77" s="206"/>
      <c r="DF77" s="205"/>
      <c r="DG77" s="205"/>
      <c r="DH77" s="204"/>
      <c r="DI77" s="206"/>
      <c r="DJ77" s="205"/>
      <c r="DK77" s="205"/>
      <c r="DL77" s="204"/>
      <c r="DM77" s="206"/>
      <c r="DN77" s="205"/>
      <c r="DO77" s="205"/>
      <c r="DP77" s="204"/>
      <c r="DQ77" s="206"/>
      <c r="DR77" s="205"/>
      <c r="DS77" s="205"/>
      <c r="DT77" s="204"/>
      <c r="DU77" s="206"/>
      <c r="DV77" s="205"/>
      <c r="DW77" s="205"/>
      <c r="DX77" s="204"/>
      <c r="DY77" s="206"/>
      <c r="DZ77" s="205"/>
      <c r="EA77" s="205"/>
      <c r="EB77" s="204"/>
      <c r="EC77" s="206"/>
      <c r="ED77" s="205"/>
      <c r="EE77" s="205"/>
      <c r="EF77" s="204"/>
      <c r="EG77" s="206"/>
      <c r="EH77" s="205"/>
      <c r="EI77" s="205"/>
      <c r="EJ77" s="204"/>
      <c r="EK77" s="206"/>
      <c r="EL77" s="205"/>
      <c r="EM77" s="205"/>
      <c r="EN77" s="204"/>
      <c r="EO77" s="206"/>
      <c r="EP77" s="205"/>
      <c r="EQ77" s="205"/>
      <c r="ER77" s="204"/>
      <c r="ES77" s="206"/>
      <c r="ET77" s="205"/>
      <c r="EU77" s="205"/>
      <c r="EV77" s="204"/>
      <c r="EW77" s="206"/>
      <c r="EX77" s="205"/>
      <c r="EY77" s="205"/>
      <c r="EZ77" s="204"/>
      <c r="FA77" s="206"/>
      <c r="FB77" s="205"/>
      <c r="FC77" s="205"/>
      <c r="FD77" s="204"/>
      <c r="FE77" s="206"/>
      <c r="FF77" s="205"/>
      <c r="FG77" s="205"/>
      <c r="FH77" s="204"/>
      <c r="FI77" s="206"/>
      <c r="FJ77" s="205"/>
      <c r="FK77" s="205"/>
      <c r="FL77" s="204"/>
      <c r="FM77" s="206"/>
      <c r="FN77" s="205"/>
      <c r="FO77" s="205"/>
      <c r="FP77" s="204"/>
      <c r="FQ77" s="206"/>
      <c r="FR77" s="205"/>
      <c r="FS77" s="205"/>
      <c r="FT77" s="204"/>
      <c r="FU77" s="206"/>
      <c r="FV77" s="205"/>
      <c r="FW77" s="205"/>
      <c r="FX77" s="204"/>
      <c r="FY77" s="206"/>
      <c r="FZ77" s="205"/>
      <c r="GA77" s="205"/>
      <c r="GB77" s="204"/>
      <c r="GC77" s="206"/>
      <c r="GD77" s="205"/>
      <c r="GE77" s="205"/>
      <c r="GF77" s="204"/>
      <c r="GG77" s="206"/>
      <c r="GH77" s="205"/>
      <c r="GI77" s="205"/>
      <c r="GJ77" s="204"/>
      <c r="GK77" s="206"/>
      <c r="GL77" s="205"/>
      <c r="GM77" s="205"/>
      <c r="GN77" s="204"/>
      <c r="GO77" s="206"/>
      <c r="GP77" s="205"/>
      <c r="GQ77" s="205"/>
      <c r="GR77" s="204"/>
      <c r="GS77" s="206"/>
      <c r="GT77" s="205"/>
      <c r="GU77" s="205"/>
      <c r="GV77" s="204"/>
      <c r="GW77" s="206"/>
      <c r="GX77" s="205"/>
      <c r="GY77" s="205"/>
      <c r="GZ77" s="204"/>
      <c r="HA77" s="206"/>
      <c r="HB77" s="205"/>
      <c r="HC77" s="205"/>
      <c r="HD77" s="204"/>
      <c r="HE77" s="206"/>
      <c r="HF77" s="205"/>
      <c r="HG77" s="205"/>
      <c r="HH77" s="204"/>
      <c r="HI77" s="206"/>
      <c r="HJ77" s="205"/>
      <c r="HK77" s="205"/>
      <c r="HL77" s="204"/>
      <c r="HM77" s="206"/>
      <c r="HN77" s="205"/>
      <c r="HO77" s="205"/>
      <c r="HP77" s="204"/>
      <c r="HQ77" s="206"/>
      <c r="HR77" s="205"/>
      <c r="HS77" s="205"/>
      <c r="HT77" s="204"/>
      <c r="HU77" s="206"/>
      <c r="HV77" s="205"/>
      <c r="HW77" s="205"/>
      <c r="HX77" s="204"/>
      <c r="HY77" s="206"/>
      <c r="HZ77" s="205"/>
      <c r="IA77" s="205"/>
      <c r="IB77" s="204"/>
      <c r="IC77" s="206"/>
      <c r="ID77" s="205"/>
      <c r="IE77" s="205"/>
      <c r="IF77" s="204"/>
      <c r="IG77" s="206"/>
      <c r="IH77" s="205"/>
      <c r="II77" s="205"/>
      <c r="IJ77" s="204"/>
      <c r="IK77" s="206"/>
      <c r="IL77" s="205"/>
      <c r="IM77" s="205"/>
      <c r="IN77" s="204"/>
      <c r="IO77" s="206"/>
      <c r="IP77" s="205"/>
      <c r="IQ77" s="205"/>
      <c r="IR77" s="204"/>
      <c r="IS77" s="206"/>
      <c r="IT77" s="205"/>
      <c r="IU77" s="205"/>
      <c r="IV77" s="204"/>
      <c r="IW77" s="206"/>
      <c r="IX77" s="205"/>
      <c r="IY77" s="205"/>
      <c r="IZ77" s="204"/>
      <c r="JA77" s="206"/>
      <c r="JB77" s="205"/>
      <c r="JC77" s="205"/>
      <c r="JD77" s="204"/>
      <c r="JE77" s="206"/>
      <c r="JF77" s="205"/>
      <c r="JG77" s="205"/>
      <c r="JH77" s="204"/>
      <c r="JI77" s="206"/>
      <c r="JJ77" s="205"/>
      <c r="JK77" s="205"/>
      <c r="JL77" s="204"/>
      <c r="JM77" s="206"/>
      <c r="JN77" s="205"/>
      <c r="JO77" s="205"/>
      <c r="JP77" s="204"/>
      <c r="JQ77" s="206"/>
      <c r="JR77" s="205"/>
      <c r="JS77" s="205"/>
      <c r="JT77" s="204"/>
      <c r="JU77" s="206"/>
      <c r="JV77" s="205"/>
      <c r="JW77" s="205"/>
      <c r="JX77" s="204"/>
      <c r="JY77" s="206"/>
      <c r="JZ77" s="205"/>
      <c r="KA77" s="205"/>
      <c r="KB77" s="204"/>
      <c r="KC77" s="206"/>
      <c r="KD77" s="205"/>
      <c r="KE77" s="205"/>
      <c r="KF77" s="204"/>
      <c r="KG77" s="206"/>
      <c r="KH77" s="205"/>
      <c r="KI77" s="205"/>
      <c r="KJ77" s="204"/>
      <c r="KK77" s="206"/>
      <c r="KL77" s="205"/>
      <c r="KM77" s="205"/>
      <c r="KN77" s="204"/>
      <c r="KO77" s="206"/>
      <c r="KP77" s="205"/>
      <c r="KQ77" s="205"/>
      <c r="KR77" s="204"/>
      <c r="KS77" s="206"/>
      <c r="KT77" s="205"/>
      <c r="KU77" s="205"/>
      <c r="KV77" s="204"/>
      <c r="KW77" s="206"/>
      <c r="KX77" s="205"/>
      <c r="KY77" s="205"/>
      <c r="KZ77" s="204"/>
      <c r="LA77" s="206"/>
      <c r="LB77" s="205"/>
      <c r="LC77" s="205"/>
      <c r="LD77" s="204"/>
      <c r="LE77" s="206"/>
      <c r="LF77" s="205"/>
      <c r="LG77" s="205"/>
      <c r="LH77" s="204"/>
      <c r="LI77" s="206"/>
      <c r="LJ77" s="205"/>
      <c r="LK77" s="205"/>
      <c r="LL77" s="204"/>
      <c r="LM77" s="206"/>
      <c r="LN77" s="205"/>
      <c r="LO77" s="205"/>
      <c r="LP77" s="204"/>
      <c r="LQ77" s="206"/>
      <c r="LR77" s="205"/>
      <c r="LS77" s="205"/>
      <c r="LT77" s="204"/>
      <c r="LU77" s="206"/>
      <c r="LV77" s="205"/>
      <c r="LW77" s="205"/>
      <c r="LX77" s="204"/>
      <c r="LY77" s="206"/>
      <c r="LZ77" s="205"/>
      <c r="MA77" s="205"/>
      <c r="MB77" s="204"/>
      <c r="MC77" s="206"/>
      <c r="MD77" s="205"/>
      <c r="ME77" s="205"/>
      <c r="MF77" s="204"/>
      <c r="MG77" s="206"/>
      <c r="MH77" s="205"/>
      <c r="MI77" s="205"/>
      <c r="MJ77" s="204"/>
      <c r="MK77" s="206"/>
      <c r="ML77" s="205"/>
      <c r="MM77" s="205"/>
      <c r="MN77" s="204"/>
      <c r="MO77" s="206"/>
      <c r="MP77" s="205"/>
      <c r="MQ77" s="205"/>
      <c r="MR77" s="204"/>
      <c r="MS77" s="206"/>
      <c r="MT77" s="205"/>
      <c r="MU77" s="205"/>
      <c r="MV77" s="204"/>
      <c r="MW77" s="206"/>
      <c r="MX77" s="205"/>
      <c r="MY77" s="205"/>
      <c r="MZ77" s="204"/>
      <c r="NA77" s="206"/>
      <c r="NB77" s="205"/>
      <c r="NC77" s="205"/>
      <c r="ND77" s="204"/>
      <c r="NE77" s="206"/>
      <c r="NF77" s="205"/>
      <c r="NG77" s="205"/>
      <c r="NH77" s="204"/>
      <c r="NI77" s="206"/>
      <c r="NJ77" s="205"/>
      <c r="NK77" s="205"/>
      <c r="NL77" s="204"/>
      <c r="NM77" s="206"/>
      <c r="NN77" s="205"/>
      <c r="NO77" s="205"/>
      <c r="NP77" s="204"/>
      <c r="NQ77" s="206"/>
      <c r="NR77" s="205"/>
      <c r="NS77" s="205"/>
      <c r="NT77" s="204"/>
      <c r="NU77" s="206"/>
      <c r="NV77" s="205"/>
      <c r="NW77" s="205"/>
      <c r="NX77" s="204"/>
      <c r="NY77" s="206"/>
      <c r="NZ77" s="205"/>
      <c r="OA77" s="205"/>
      <c r="OB77" s="204"/>
      <c r="OC77" s="206"/>
      <c r="OD77" s="205"/>
      <c r="OE77" s="205"/>
      <c r="OF77" s="204"/>
      <c r="OG77" s="206"/>
      <c r="OH77" s="205"/>
      <c r="OI77" s="205"/>
      <c r="OJ77" s="204"/>
      <c r="OK77" s="206"/>
      <c r="OL77" s="205"/>
      <c r="OM77" s="205"/>
      <c r="ON77" s="204"/>
      <c r="OO77" s="206"/>
      <c r="OP77" s="205"/>
      <c r="OQ77" s="205"/>
      <c r="OR77" s="204"/>
      <c r="OS77" s="206"/>
      <c r="OT77" s="205"/>
      <c r="OU77" s="205"/>
      <c r="OV77" s="204"/>
      <c r="OW77" s="206"/>
      <c r="OX77" s="205"/>
      <c r="OY77" s="205"/>
      <c r="OZ77" s="204"/>
      <c r="PA77" s="206"/>
      <c r="PB77" s="205"/>
      <c r="PC77" s="205"/>
      <c r="PD77" s="204"/>
      <c r="PE77" s="206"/>
      <c r="PF77" s="205"/>
      <c r="PG77" s="205"/>
      <c r="PH77" s="204"/>
      <c r="PI77" s="206"/>
      <c r="PJ77" s="205"/>
      <c r="PK77" s="205"/>
      <c r="PL77" s="204"/>
      <c r="PM77" s="206"/>
      <c r="PN77" s="205"/>
      <c r="PO77" s="205"/>
      <c r="PP77" s="204"/>
      <c r="PQ77" s="206"/>
      <c r="PR77" s="205"/>
      <c r="PS77" s="205"/>
      <c r="PT77" s="204"/>
      <c r="PU77" s="206"/>
      <c r="PV77" s="205"/>
      <c r="PW77" s="205"/>
      <c r="PX77" s="204"/>
      <c r="PY77" s="206"/>
      <c r="PZ77" s="205"/>
      <c r="QA77" s="205"/>
      <c r="QB77" s="204"/>
      <c r="QC77" s="206"/>
      <c r="QD77" s="205"/>
      <c r="QE77" s="205"/>
      <c r="QF77" s="204"/>
      <c r="QG77" s="206"/>
      <c r="QH77" s="205"/>
      <c r="QI77" s="205"/>
      <c r="QJ77" s="204"/>
      <c r="QK77" s="206"/>
      <c r="QL77" s="205"/>
      <c r="QM77" s="205"/>
      <c r="QN77" s="204"/>
      <c r="QO77" s="206"/>
      <c r="QP77" s="205"/>
      <c r="QQ77" s="205"/>
      <c r="QR77" s="204"/>
      <c r="QS77" s="206"/>
      <c r="QT77" s="205"/>
      <c r="QU77" s="205"/>
      <c r="QV77" s="204"/>
      <c r="QW77" s="206"/>
      <c r="QX77" s="205"/>
      <c r="QY77" s="205"/>
      <c r="QZ77" s="204"/>
      <c r="RA77" s="206"/>
      <c r="RB77" s="205"/>
      <c r="RC77" s="205"/>
      <c r="RD77" s="204"/>
      <c r="RE77" s="206"/>
      <c r="RF77" s="205"/>
      <c r="RG77" s="205"/>
      <c r="RH77" s="204"/>
      <c r="RI77" s="206"/>
      <c r="RJ77" s="205"/>
      <c r="RK77" s="205"/>
      <c r="RL77" s="204"/>
      <c r="RM77" s="206"/>
      <c r="RN77" s="205"/>
      <c r="RO77" s="205"/>
      <c r="RP77" s="204"/>
      <c r="RQ77" s="206"/>
      <c r="RR77" s="205"/>
      <c r="RS77" s="205"/>
      <c r="RT77" s="204"/>
      <c r="RU77" s="206"/>
      <c r="RV77" s="205"/>
      <c r="RW77" s="205"/>
      <c r="RX77" s="204"/>
      <c r="RY77" s="206"/>
      <c r="RZ77" s="205"/>
      <c r="SA77" s="205"/>
      <c r="SB77" s="204"/>
      <c r="SC77" s="206"/>
      <c r="SD77" s="205"/>
      <c r="SE77" s="205"/>
      <c r="SF77" s="204"/>
      <c r="SG77" s="206"/>
      <c r="SH77" s="205"/>
      <c r="SI77" s="205"/>
      <c r="SJ77" s="204"/>
      <c r="SK77" s="206"/>
      <c r="SL77" s="205"/>
      <c r="SM77" s="205"/>
      <c r="SN77" s="204"/>
      <c r="SO77" s="206"/>
      <c r="SP77" s="205"/>
      <c r="SQ77" s="205"/>
      <c r="SR77" s="204"/>
      <c r="SS77" s="206"/>
      <c r="ST77" s="205"/>
      <c r="SU77" s="205"/>
      <c r="SV77" s="204"/>
      <c r="SW77" s="206"/>
      <c r="SX77" s="205"/>
      <c r="SY77" s="205"/>
      <c r="SZ77" s="204"/>
      <c r="TA77" s="206"/>
      <c r="TB77" s="205"/>
      <c r="TC77" s="205"/>
      <c r="TD77" s="204"/>
      <c r="TE77" s="206"/>
      <c r="TF77" s="205"/>
      <c r="TG77" s="205"/>
      <c r="TH77" s="204"/>
      <c r="TI77" s="206"/>
      <c r="TJ77" s="205"/>
      <c r="TK77" s="205"/>
      <c r="TL77" s="204"/>
      <c r="TM77" s="206"/>
      <c r="TN77" s="205"/>
      <c r="TO77" s="205"/>
      <c r="TP77" s="204"/>
      <c r="TQ77" s="206"/>
      <c r="TR77" s="205"/>
      <c r="TS77" s="205"/>
      <c r="TT77" s="204"/>
      <c r="TU77" s="206"/>
      <c r="TV77" s="205"/>
      <c r="TW77" s="205"/>
      <c r="TX77" s="204"/>
      <c r="TY77" s="206"/>
      <c r="TZ77" s="205"/>
      <c r="UA77" s="205"/>
      <c r="UB77" s="204"/>
      <c r="UC77" s="206"/>
      <c r="UD77" s="205"/>
      <c r="UE77" s="205"/>
      <c r="UF77" s="204"/>
      <c r="UG77" s="206"/>
      <c r="UH77" s="205"/>
      <c r="UI77" s="205"/>
      <c r="UJ77" s="204"/>
      <c r="UK77" s="206"/>
      <c r="UL77" s="205"/>
      <c r="UM77" s="205"/>
      <c r="UN77" s="204"/>
      <c r="UO77" s="206"/>
      <c r="UP77" s="205"/>
      <c r="UQ77" s="205"/>
      <c r="UR77" s="204"/>
      <c r="US77" s="206"/>
      <c r="UT77" s="205"/>
      <c r="UU77" s="205"/>
      <c r="UV77" s="204"/>
      <c r="UW77" s="206"/>
      <c r="UX77" s="205"/>
      <c r="UY77" s="205"/>
      <c r="UZ77" s="204"/>
      <c r="VA77" s="206"/>
      <c r="VB77" s="205"/>
      <c r="VC77" s="205"/>
      <c r="VD77" s="204"/>
      <c r="VE77" s="206"/>
      <c r="VF77" s="205"/>
      <c r="VG77" s="205"/>
      <c r="VH77" s="204"/>
      <c r="VI77" s="206"/>
      <c r="VJ77" s="205"/>
      <c r="VK77" s="205"/>
      <c r="VL77" s="204"/>
      <c r="VM77" s="206"/>
      <c r="VN77" s="205"/>
      <c r="VO77" s="205"/>
      <c r="VP77" s="204"/>
      <c r="VQ77" s="206"/>
      <c r="VR77" s="205"/>
      <c r="VS77" s="205"/>
      <c r="VT77" s="204"/>
      <c r="VU77" s="206"/>
      <c r="VV77" s="205"/>
      <c r="VW77" s="205"/>
      <c r="VX77" s="204"/>
      <c r="VY77" s="206"/>
      <c r="VZ77" s="205"/>
      <c r="WA77" s="205"/>
      <c r="WB77" s="204"/>
      <c r="WC77" s="206"/>
      <c r="WD77" s="205"/>
      <c r="WE77" s="205"/>
      <c r="WF77" s="204"/>
      <c r="WG77" s="206"/>
      <c r="WH77" s="205"/>
      <c r="WI77" s="205"/>
      <c r="WJ77" s="204"/>
      <c r="WK77" s="206"/>
      <c r="WL77" s="205"/>
      <c r="WM77" s="205"/>
      <c r="WN77" s="204"/>
      <c r="WO77" s="206"/>
      <c r="WP77" s="205"/>
      <c r="WQ77" s="205"/>
      <c r="WR77" s="204"/>
      <c r="WS77" s="206"/>
      <c r="WT77" s="205"/>
      <c r="WU77" s="205"/>
      <c r="WV77" s="204"/>
      <c r="WW77" s="206"/>
      <c r="WX77" s="205"/>
      <c r="WY77" s="205"/>
      <c r="WZ77" s="204"/>
      <c r="XA77" s="206"/>
      <c r="XB77" s="205"/>
      <c r="XC77" s="205"/>
      <c r="XD77" s="204"/>
      <c r="XE77" s="206"/>
      <c r="XF77" s="205"/>
      <c r="XG77" s="205"/>
      <c r="XH77" s="204"/>
      <c r="XI77" s="206"/>
      <c r="XJ77" s="205"/>
      <c r="XK77" s="205"/>
      <c r="XL77" s="204"/>
      <c r="XM77" s="206"/>
      <c r="XN77" s="205"/>
      <c r="XO77" s="205"/>
      <c r="XP77" s="204"/>
      <c r="XQ77" s="206"/>
      <c r="XR77" s="205"/>
      <c r="XS77" s="205"/>
      <c r="XT77" s="204"/>
      <c r="XU77" s="206"/>
      <c r="XV77" s="205"/>
      <c r="XW77" s="205"/>
      <c r="XX77" s="204"/>
      <c r="XY77" s="206"/>
      <c r="XZ77" s="205"/>
      <c r="YA77" s="205"/>
      <c r="YB77" s="204"/>
      <c r="YC77" s="206"/>
      <c r="YD77" s="205"/>
      <c r="YE77" s="205"/>
      <c r="YF77" s="204"/>
      <c r="YG77" s="206"/>
      <c r="YH77" s="205"/>
      <c r="YI77" s="205"/>
      <c r="YJ77" s="204"/>
      <c r="YK77" s="206"/>
      <c r="YL77" s="205"/>
      <c r="YM77" s="205"/>
      <c r="YN77" s="204"/>
      <c r="YO77" s="206"/>
      <c r="YP77" s="205"/>
      <c r="YQ77" s="205"/>
      <c r="YR77" s="204"/>
      <c r="YS77" s="206"/>
      <c r="YT77" s="205"/>
      <c r="YU77" s="205"/>
      <c r="YV77" s="204"/>
      <c r="YW77" s="206"/>
      <c r="YX77" s="205"/>
      <c r="YY77" s="205"/>
      <c r="YZ77" s="204"/>
      <c r="ZA77" s="206"/>
      <c r="ZB77" s="205"/>
      <c r="ZC77" s="205"/>
      <c r="ZD77" s="204"/>
      <c r="ZE77" s="206"/>
      <c r="ZF77" s="205"/>
      <c r="ZG77" s="205"/>
      <c r="ZH77" s="204"/>
      <c r="ZI77" s="206"/>
      <c r="ZJ77" s="205"/>
      <c r="ZK77" s="205"/>
      <c r="ZL77" s="204"/>
      <c r="ZM77" s="206"/>
      <c r="ZN77" s="205"/>
      <c r="ZO77" s="205"/>
      <c r="ZP77" s="204"/>
      <c r="ZQ77" s="206"/>
      <c r="ZR77" s="205"/>
      <c r="ZS77" s="205"/>
      <c r="ZT77" s="204"/>
      <c r="ZU77" s="206"/>
      <c r="ZV77" s="205"/>
      <c r="ZW77" s="205"/>
      <c r="ZX77" s="204"/>
      <c r="ZY77" s="206"/>
      <c r="ZZ77" s="205"/>
      <c r="AAA77" s="205"/>
      <c r="AAB77" s="204"/>
      <c r="AAC77" s="206"/>
      <c r="AAD77" s="205"/>
      <c r="AAE77" s="205"/>
      <c r="AAF77" s="204"/>
      <c r="AAG77" s="206"/>
      <c r="AAH77" s="205"/>
      <c r="AAI77" s="205"/>
      <c r="AAJ77" s="204"/>
      <c r="AAK77" s="206"/>
      <c r="AAL77" s="205"/>
      <c r="AAM77" s="205"/>
      <c r="AAN77" s="204"/>
      <c r="AAO77" s="206"/>
      <c r="AAP77" s="205"/>
      <c r="AAQ77" s="205"/>
      <c r="AAR77" s="204"/>
      <c r="AAS77" s="206"/>
      <c r="AAT77" s="205"/>
      <c r="AAU77" s="205"/>
      <c r="AAV77" s="204"/>
      <c r="AAW77" s="206"/>
      <c r="AAX77" s="205"/>
      <c r="AAY77" s="205"/>
      <c r="AAZ77" s="204"/>
      <c r="ABA77" s="206"/>
      <c r="ABB77" s="205"/>
      <c r="ABC77" s="205"/>
      <c r="ABD77" s="204"/>
      <c r="ABE77" s="206"/>
      <c r="ABF77" s="205"/>
      <c r="ABG77" s="205"/>
      <c r="ABH77" s="204"/>
      <c r="ABI77" s="206"/>
      <c r="ABJ77" s="205"/>
      <c r="ABK77" s="205"/>
      <c r="ABL77" s="204"/>
      <c r="ABM77" s="206"/>
      <c r="ABN77" s="205"/>
      <c r="ABO77" s="205"/>
      <c r="ABP77" s="204"/>
      <c r="ABQ77" s="206"/>
      <c r="ABR77" s="205"/>
      <c r="ABS77" s="205"/>
      <c r="ABT77" s="204"/>
      <c r="ABU77" s="206"/>
      <c r="ABV77" s="205"/>
      <c r="ABW77" s="205"/>
      <c r="ABX77" s="204"/>
      <c r="ABY77" s="206"/>
      <c r="ABZ77" s="205"/>
      <c r="ACA77" s="205"/>
      <c r="ACB77" s="204"/>
      <c r="ACC77" s="206"/>
      <c r="ACD77" s="205"/>
      <c r="ACE77" s="205"/>
      <c r="ACF77" s="204"/>
      <c r="ACG77" s="206"/>
      <c r="ACH77" s="205"/>
      <c r="ACI77" s="205"/>
      <c r="ACJ77" s="204"/>
      <c r="ACK77" s="206"/>
      <c r="ACL77" s="205"/>
      <c r="ACM77" s="205"/>
      <c r="ACN77" s="204"/>
      <c r="ACO77" s="206"/>
      <c r="ACP77" s="205"/>
      <c r="ACQ77" s="205"/>
      <c r="ACR77" s="204"/>
      <c r="ACS77" s="206"/>
      <c r="ACT77" s="205"/>
      <c r="ACU77" s="205"/>
      <c r="ACV77" s="204"/>
      <c r="ACW77" s="206"/>
      <c r="ACX77" s="205"/>
      <c r="ACY77" s="205"/>
      <c r="ACZ77" s="204"/>
      <c r="ADA77" s="206"/>
      <c r="ADB77" s="205"/>
      <c r="ADC77" s="205"/>
      <c r="ADD77" s="204"/>
      <c r="ADE77" s="206"/>
      <c r="ADF77" s="205"/>
      <c r="ADG77" s="205"/>
      <c r="ADH77" s="204"/>
      <c r="ADI77" s="206"/>
      <c r="ADJ77" s="205"/>
      <c r="ADK77" s="205"/>
      <c r="ADL77" s="204"/>
      <c r="ADM77" s="206"/>
      <c r="ADN77" s="205"/>
      <c r="ADO77" s="205"/>
      <c r="ADP77" s="204"/>
      <c r="ADQ77" s="206"/>
      <c r="ADR77" s="205"/>
      <c r="ADS77" s="205"/>
      <c r="ADT77" s="204"/>
      <c r="ADU77" s="206"/>
      <c r="ADV77" s="205"/>
      <c r="ADW77" s="205"/>
      <c r="ADX77" s="204"/>
      <c r="ADY77" s="206"/>
      <c r="ADZ77" s="205"/>
      <c r="AEA77" s="205"/>
      <c r="AEB77" s="204"/>
      <c r="AEC77" s="206"/>
      <c r="AED77" s="205"/>
      <c r="AEE77" s="205"/>
      <c r="AEF77" s="204"/>
      <c r="AEG77" s="206"/>
      <c r="AEH77" s="205"/>
      <c r="AEI77" s="205"/>
      <c r="AEJ77" s="204"/>
      <c r="AEK77" s="206"/>
      <c r="AEL77" s="205"/>
      <c r="AEM77" s="205"/>
      <c r="AEN77" s="204"/>
      <c r="AEO77" s="206"/>
      <c r="AEP77" s="205"/>
      <c r="AEQ77" s="205"/>
      <c r="AER77" s="204"/>
      <c r="AES77" s="206"/>
      <c r="AET77" s="205"/>
      <c r="AEU77" s="205"/>
      <c r="AEV77" s="204"/>
      <c r="AEW77" s="206"/>
      <c r="AEX77" s="205"/>
      <c r="AEY77" s="205"/>
      <c r="AEZ77" s="204"/>
      <c r="AFA77" s="206"/>
      <c r="AFB77" s="205"/>
      <c r="AFC77" s="205"/>
      <c r="AFD77" s="204"/>
      <c r="AFE77" s="206"/>
      <c r="AFF77" s="205"/>
      <c r="AFG77" s="205"/>
      <c r="AFH77" s="204"/>
      <c r="AFI77" s="206"/>
      <c r="AFJ77" s="205"/>
      <c r="AFK77" s="205"/>
      <c r="AFL77" s="204"/>
      <c r="AFM77" s="206"/>
      <c r="AFN77" s="205"/>
      <c r="AFO77" s="205"/>
      <c r="AFP77" s="204"/>
      <c r="AFQ77" s="206"/>
      <c r="AFR77" s="205"/>
      <c r="AFS77" s="205"/>
      <c r="AFT77" s="204"/>
      <c r="AFU77" s="206"/>
      <c r="AFV77" s="205"/>
      <c r="AFW77" s="205"/>
      <c r="AFX77" s="204"/>
      <c r="AFY77" s="206"/>
      <c r="AFZ77" s="205"/>
      <c r="AGA77" s="205"/>
      <c r="AGB77" s="204"/>
      <c r="AGC77" s="206"/>
      <c r="AGD77" s="205"/>
      <c r="AGE77" s="205"/>
      <c r="AGF77" s="204"/>
      <c r="AGG77" s="206"/>
      <c r="AGH77" s="205"/>
      <c r="AGI77" s="205"/>
      <c r="AGJ77" s="204"/>
      <c r="AGK77" s="206"/>
      <c r="AGL77" s="205"/>
      <c r="AGM77" s="205"/>
      <c r="AGN77" s="204"/>
      <c r="AGO77" s="206"/>
      <c r="AGP77" s="205"/>
      <c r="AGQ77" s="205"/>
      <c r="AGR77" s="204"/>
      <c r="AGS77" s="206"/>
      <c r="AGT77" s="205"/>
      <c r="AGU77" s="205"/>
      <c r="AGV77" s="204"/>
      <c r="AGW77" s="206"/>
      <c r="AGX77" s="205"/>
      <c r="AGY77" s="205"/>
      <c r="AGZ77" s="204"/>
      <c r="AHA77" s="206"/>
      <c r="AHB77" s="205"/>
      <c r="AHC77" s="205"/>
      <c r="AHD77" s="204"/>
      <c r="AHE77" s="206"/>
      <c r="AHF77" s="205"/>
      <c r="AHG77" s="205"/>
      <c r="AHH77" s="204"/>
      <c r="AHI77" s="206"/>
      <c r="AHJ77" s="205"/>
      <c r="AHK77" s="205"/>
      <c r="AHL77" s="204"/>
      <c r="AHM77" s="206"/>
      <c r="AHN77" s="205"/>
      <c r="AHO77" s="205"/>
      <c r="AHP77" s="204"/>
      <c r="AHQ77" s="206"/>
      <c r="AHR77" s="205"/>
      <c r="AHS77" s="205"/>
      <c r="AHT77" s="204"/>
      <c r="AHU77" s="206"/>
      <c r="AHV77" s="205"/>
      <c r="AHW77" s="205"/>
      <c r="AHX77" s="204"/>
      <c r="AHY77" s="206"/>
      <c r="AHZ77" s="205"/>
      <c r="AIA77" s="205"/>
      <c r="AIB77" s="204"/>
      <c r="AIC77" s="206"/>
      <c r="AID77" s="205"/>
      <c r="AIE77" s="205"/>
      <c r="AIF77" s="204"/>
      <c r="AIG77" s="206"/>
      <c r="AIH77" s="205"/>
      <c r="AII77" s="205"/>
      <c r="AIJ77" s="204"/>
      <c r="AIK77" s="206"/>
      <c r="AIL77" s="205"/>
      <c r="AIM77" s="205"/>
      <c r="AIN77" s="204"/>
      <c r="AIO77" s="206"/>
      <c r="AIP77" s="205"/>
      <c r="AIQ77" s="205"/>
      <c r="AIR77" s="204"/>
      <c r="AIS77" s="206"/>
      <c r="AIT77" s="205"/>
      <c r="AIU77" s="205"/>
      <c r="AIV77" s="204"/>
      <c r="AIW77" s="206"/>
      <c r="AIX77" s="205"/>
      <c r="AIY77" s="205"/>
      <c r="AIZ77" s="204"/>
      <c r="AJA77" s="206"/>
      <c r="AJB77" s="205"/>
      <c r="AJC77" s="205"/>
      <c r="AJD77" s="204"/>
      <c r="AJE77" s="206"/>
      <c r="AJF77" s="205"/>
      <c r="AJG77" s="205"/>
      <c r="AJH77" s="204"/>
      <c r="AJI77" s="206"/>
      <c r="AJJ77" s="205"/>
      <c r="AJK77" s="205"/>
      <c r="AJL77" s="204"/>
      <c r="AJM77" s="206"/>
      <c r="AJN77" s="205"/>
      <c r="AJO77" s="205"/>
      <c r="AJP77" s="204"/>
      <c r="AJQ77" s="206"/>
      <c r="AJR77" s="205"/>
      <c r="AJS77" s="205"/>
      <c r="AJT77" s="204"/>
      <c r="AJU77" s="206"/>
      <c r="AJV77" s="205"/>
      <c r="AJW77" s="205"/>
      <c r="AJX77" s="204"/>
      <c r="AJY77" s="206"/>
      <c r="AJZ77" s="205"/>
      <c r="AKA77" s="205"/>
      <c r="AKB77" s="204"/>
      <c r="AKC77" s="206"/>
      <c r="AKD77" s="205"/>
      <c r="AKE77" s="205"/>
      <c r="AKF77" s="204"/>
      <c r="AKG77" s="206"/>
      <c r="AKH77" s="205"/>
      <c r="AKI77" s="205"/>
      <c r="AKJ77" s="204"/>
      <c r="AKK77" s="206"/>
      <c r="AKL77" s="205"/>
      <c r="AKM77" s="205"/>
      <c r="AKN77" s="204"/>
      <c r="AKO77" s="206"/>
      <c r="AKP77" s="205"/>
      <c r="AKQ77" s="205"/>
      <c r="AKR77" s="204"/>
      <c r="AKS77" s="206"/>
      <c r="AKT77" s="205"/>
      <c r="AKU77" s="205"/>
      <c r="AKV77" s="204"/>
      <c r="AKW77" s="206"/>
      <c r="AKX77" s="205"/>
      <c r="AKY77" s="205"/>
      <c r="AKZ77" s="204"/>
      <c r="ALA77" s="206"/>
      <c r="ALB77" s="205"/>
      <c r="ALC77" s="205"/>
      <c r="ALD77" s="204"/>
      <c r="ALE77" s="206"/>
      <c r="ALF77" s="205"/>
      <c r="ALG77" s="205"/>
      <c r="ALH77" s="204"/>
      <c r="ALI77" s="206"/>
      <c r="ALJ77" s="205"/>
      <c r="ALK77" s="205"/>
      <c r="ALL77" s="204"/>
      <c r="ALM77" s="206"/>
      <c r="ALN77" s="205"/>
      <c r="ALO77" s="205"/>
      <c r="ALP77" s="204"/>
      <c r="ALQ77" s="206"/>
      <c r="ALR77" s="205"/>
      <c r="ALS77" s="205"/>
      <c r="ALT77" s="204"/>
      <c r="ALU77" s="206"/>
      <c r="ALV77" s="205"/>
      <c r="ALW77" s="205"/>
      <c r="ALX77" s="204"/>
      <c r="ALY77" s="206"/>
      <c r="ALZ77" s="205"/>
      <c r="AMA77" s="205"/>
      <c r="AMB77" s="204"/>
      <c r="AMC77" s="206"/>
      <c r="AMD77" s="205"/>
      <c r="AME77" s="205"/>
      <c r="AMF77" s="204"/>
      <c r="AMG77" s="206"/>
      <c r="AMH77" s="205"/>
      <c r="AMI77" s="205"/>
      <c r="AMJ77" s="204"/>
      <c r="AMK77" s="206"/>
      <c r="AML77" s="205"/>
      <c r="AMM77" s="205"/>
      <c r="AMN77" s="204"/>
      <c r="AMO77" s="206"/>
      <c r="AMP77" s="205"/>
      <c r="AMQ77" s="205"/>
      <c r="AMR77" s="204"/>
      <c r="AMS77" s="206"/>
      <c r="AMT77" s="205"/>
      <c r="AMU77" s="205"/>
      <c r="AMV77" s="204"/>
      <c r="AMW77" s="206"/>
      <c r="AMX77" s="205"/>
      <c r="AMY77" s="205"/>
      <c r="AMZ77" s="204"/>
      <c r="ANA77" s="206"/>
      <c r="ANB77" s="205"/>
      <c r="ANC77" s="205"/>
      <c r="AND77" s="204"/>
      <c r="ANE77" s="206"/>
      <c r="ANF77" s="205"/>
      <c r="ANG77" s="205"/>
      <c r="ANH77" s="204"/>
      <c r="ANI77" s="206"/>
      <c r="ANJ77" s="205"/>
      <c r="ANK77" s="205"/>
      <c r="ANL77" s="204"/>
      <c r="ANM77" s="206"/>
      <c r="ANN77" s="205"/>
      <c r="ANO77" s="205"/>
      <c r="ANP77" s="204"/>
      <c r="ANQ77" s="206"/>
      <c r="ANR77" s="205"/>
      <c r="ANS77" s="205"/>
      <c r="ANT77" s="204"/>
      <c r="ANU77" s="206"/>
      <c r="ANV77" s="205"/>
      <c r="ANW77" s="205"/>
      <c r="ANX77" s="204"/>
      <c r="ANY77" s="206"/>
      <c r="ANZ77" s="205"/>
      <c r="AOA77" s="205"/>
      <c r="AOB77" s="204"/>
      <c r="AOC77" s="206"/>
      <c r="AOD77" s="205"/>
      <c r="AOE77" s="205"/>
      <c r="AOF77" s="204"/>
      <c r="AOG77" s="206"/>
      <c r="AOH77" s="205"/>
      <c r="AOI77" s="205"/>
      <c r="AOJ77" s="204"/>
      <c r="AOK77" s="206"/>
      <c r="AOL77" s="205"/>
      <c r="AOM77" s="205"/>
      <c r="AON77" s="204"/>
      <c r="AOO77" s="206"/>
      <c r="AOP77" s="205"/>
      <c r="AOQ77" s="205"/>
      <c r="AOR77" s="204"/>
      <c r="AOS77" s="206"/>
      <c r="AOT77" s="205"/>
      <c r="AOU77" s="205"/>
      <c r="AOV77" s="204"/>
      <c r="AOW77" s="206"/>
      <c r="AOX77" s="205"/>
      <c r="AOY77" s="205"/>
      <c r="AOZ77" s="204"/>
      <c r="APA77" s="206"/>
      <c r="APB77" s="205"/>
      <c r="APC77" s="205"/>
      <c r="APD77" s="204"/>
      <c r="APE77" s="206"/>
      <c r="APF77" s="205"/>
      <c r="APG77" s="205"/>
      <c r="APH77" s="204"/>
      <c r="API77" s="206"/>
      <c r="APJ77" s="205"/>
      <c r="APK77" s="205"/>
      <c r="APL77" s="204"/>
      <c r="APM77" s="206"/>
      <c r="APN77" s="205"/>
      <c r="APO77" s="205"/>
      <c r="APP77" s="204"/>
      <c r="APQ77" s="206"/>
      <c r="APR77" s="205"/>
      <c r="APS77" s="205"/>
      <c r="APT77" s="204"/>
      <c r="APU77" s="206"/>
      <c r="APV77" s="205"/>
      <c r="APW77" s="205"/>
      <c r="APX77" s="204"/>
      <c r="APY77" s="206"/>
      <c r="APZ77" s="205"/>
      <c r="AQA77" s="205"/>
      <c r="AQB77" s="204"/>
      <c r="AQC77" s="206"/>
      <c r="AQD77" s="205"/>
      <c r="AQE77" s="205"/>
      <c r="AQF77" s="204"/>
      <c r="AQG77" s="206"/>
      <c r="AQH77" s="205"/>
      <c r="AQI77" s="205"/>
      <c r="AQJ77" s="204"/>
      <c r="AQK77" s="206"/>
      <c r="AQL77" s="205"/>
      <c r="AQM77" s="205"/>
      <c r="AQN77" s="204"/>
      <c r="AQO77" s="206"/>
      <c r="AQP77" s="205"/>
      <c r="AQQ77" s="205"/>
      <c r="AQR77" s="204"/>
      <c r="AQS77" s="206"/>
      <c r="AQT77" s="205"/>
      <c r="AQU77" s="205"/>
      <c r="AQV77" s="204"/>
      <c r="AQW77" s="206"/>
      <c r="AQX77" s="205"/>
      <c r="AQY77" s="205"/>
      <c r="AQZ77" s="204"/>
      <c r="ARA77" s="206"/>
      <c r="ARB77" s="205"/>
      <c r="ARC77" s="205"/>
      <c r="ARD77" s="204"/>
      <c r="ARE77" s="206"/>
      <c r="ARF77" s="205"/>
      <c r="ARG77" s="205"/>
      <c r="ARH77" s="204"/>
      <c r="ARI77" s="206"/>
      <c r="ARJ77" s="205"/>
      <c r="ARK77" s="205"/>
      <c r="ARL77" s="204"/>
      <c r="ARM77" s="206"/>
      <c r="ARN77" s="205"/>
      <c r="ARO77" s="205"/>
      <c r="ARP77" s="204"/>
      <c r="ARQ77" s="206"/>
      <c r="ARR77" s="205"/>
      <c r="ARS77" s="205"/>
      <c r="ART77" s="204"/>
      <c r="ARU77" s="206"/>
      <c r="ARV77" s="205"/>
      <c r="ARW77" s="205"/>
      <c r="ARX77" s="204"/>
      <c r="ARY77" s="206"/>
      <c r="ARZ77" s="205"/>
      <c r="ASA77" s="205"/>
      <c r="ASB77" s="204"/>
      <c r="ASC77" s="206"/>
      <c r="ASD77" s="205"/>
      <c r="ASE77" s="205"/>
      <c r="ASF77" s="204"/>
      <c r="ASG77" s="206"/>
      <c r="ASH77" s="205"/>
      <c r="ASI77" s="205"/>
      <c r="ASJ77" s="204"/>
      <c r="ASK77" s="206"/>
      <c r="ASL77" s="205"/>
      <c r="ASM77" s="205"/>
      <c r="ASN77" s="204"/>
      <c r="ASO77" s="206"/>
      <c r="ASP77" s="205"/>
      <c r="ASQ77" s="205"/>
      <c r="ASR77" s="204"/>
      <c r="ASS77" s="206"/>
      <c r="AST77" s="205"/>
      <c r="ASU77" s="205"/>
      <c r="ASV77" s="204"/>
      <c r="ASW77" s="206"/>
      <c r="ASX77" s="205"/>
      <c r="ASY77" s="205"/>
      <c r="ASZ77" s="204"/>
      <c r="ATA77" s="206"/>
      <c r="ATB77" s="205"/>
      <c r="ATC77" s="205"/>
      <c r="ATD77" s="204"/>
      <c r="ATE77" s="206"/>
      <c r="ATF77" s="205"/>
      <c r="ATG77" s="205"/>
      <c r="ATH77" s="204"/>
      <c r="ATI77" s="206"/>
      <c r="ATJ77" s="205"/>
      <c r="ATK77" s="205"/>
      <c r="ATL77" s="204"/>
      <c r="ATM77" s="206"/>
      <c r="ATN77" s="205"/>
      <c r="ATO77" s="205"/>
      <c r="ATP77" s="204"/>
      <c r="ATQ77" s="206"/>
      <c r="ATR77" s="205"/>
      <c r="ATS77" s="205"/>
      <c r="ATT77" s="204"/>
      <c r="ATU77" s="206"/>
      <c r="ATV77" s="205"/>
      <c r="ATW77" s="205"/>
      <c r="ATX77" s="204"/>
      <c r="ATY77" s="206"/>
      <c r="ATZ77" s="205"/>
      <c r="AUA77" s="205"/>
      <c r="AUB77" s="204"/>
      <c r="AUC77" s="206"/>
      <c r="AUD77" s="205"/>
      <c r="AUE77" s="205"/>
      <c r="AUF77" s="204"/>
      <c r="AUG77" s="206"/>
      <c r="AUH77" s="205"/>
      <c r="AUI77" s="205"/>
      <c r="AUJ77" s="204"/>
      <c r="AUK77" s="206"/>
      <c r="AUL77" s="205"/>
      <c r="AUM77" s="205"/>
      <c r="AUN77" s="204"/>
      <c r="AUO77" s="206"/>
      <c r="AUP77" s="205"/>
      <c r="AUQ77" s="205"/>
      <c r="AUR77" s="204"/>
      <c r="AUS77" s="206"/>
      <c r="AUT77" s="205"/>
      <c r="AUU77" s="205"/>
      <c r="AUV77" s="204"/>
      <c r="AUW77" s="206"/>
      <c r="AUX77" s="205"/>
      <c r="AUY77" s="205"/>
      <c r="AUZ77" s="204"/>
      <c r="AVA77" s="206"/>
      <c r="AVB77" s="205"/>
      <c r="AVC77" s="205"/>
      <c r="AVD77" s="204"/>
      <c r="AVE77" s="206"/>
      <c r="AVF77" s="205"/>
      <c r="AVG77" s="205"/>
      <c r="AVH77" s="204"/>
      <c r="AVI77" s="206"/>
      <c r="AVJ77" s="205"/>
      <c r="AVK77" s="205"/>
      <c r="AVL77" s="204"/>
      <c r="AVM77" s="206"/>
      <c r="AVN77" s="205"/>
      <c r="AVO77" s="205"/>
      <c r="AVP77" s="204"/>
      <c r="AVQ77" s="206"/>
      <c r="AVR77" s="205"/>
      <c r="AVS77" s="205"/>
      <c r="AVT77" s="204"/>
      <c r="AVU77" s="206"/>
      <c r="AVV77" s="205"/>
      <c r="AVW77" s="205"/>
      <c r="AVX77" s="204"/>
      <c r="AVY77" s="206"/>
      <c r="AVZ77" s="205"/>
      <c r="AWA77" s="205"/>
      <c r="AWB77" s="204"/>
      <c r="AWC77" s="206"/>
      <c r="AWD77" s="205"/>
      <c r="AWE77" s="205"/>
      <c r="AWF77" s="204"/>
      <c r="AWG77" s="206"/>
      <c r="AWH77" s="205"/>
      <c r="AWI77" s="205"/>
      <c r="AWJ77" s="204"/>
      <c r="AWK77" s="206"/>
      <c r="AWL77" s="205"/>
      <c r="AWM77" s="205"/>
      <c r="AWN77" s="204"/>
      <c r="AWO77" s="206"/>
      <c r="AWP77" s="205"/>
      <c r="AWQ77" s="205"/>
      <c r="AWR77" s="204"/>
      <c r="AWS77" s="206"/>
      <c r="AWT77" s="205"/>
      <c r="AWU77" s="205"/>
      <c r="AWV77" s="204"/>
      <c r="AWW77" s="206"/>
      <c r="AWX77" s="205"/>
      <c r="AWY77" s="205"/>
      <c r="AWZ77" s="204"/>
      <c r="AXA77" s="206"/>
      <c r="AXB77" s="205"/>
      <c r="AXC77" s="205"/>
      <c r="AXD77" s="204"/>
      <c r="AXE77" s="206"/>
      <c r="AXF77" s="205"/>
      <c r="AXG77" s="205"/>
      <c r="AXH77" s="204"/>
      <c r="AXI77" s="206"/>
      <c r="AXJ77" s="205"/>
      <c r="AXK77" s="205"/>
      <c r="AXL77" s="204"/>
      <c r="AXM77" s="206"/>
      <c r="AXN77" s="205"/>
      <c r="AXO77" s="205"/>
      <c r="AXP77" s="204"/>
      <c r="AXQ77" s="206"/>
      <c r="AXR77" s="205"/>
      <c r="AXS77" s="205"/>
      <c r="AXT77" s="204"/>
      <c r="AXU77" s="206"/>
      <c r="AXV77" s="205"/>
      <c r="AXW77" s="205"/>
      <c r="AXX77" s="204"/>
      <c r="AXY77" s="206"/>
      <c r="AXZ77" s="205"/>
      <c r="AYA77" s="205"/>
      <c r="AYB77" s="204"/>
      <c r="AYC77" s="206"/>
      <c r="AYD77" s="205"/>
      <c r="AYE77" s="205"/>
      <c r="AYF77" s="204"/>
      <c r="AYG77" s="206"/>
      <c r="AYH77" s="205"/>
      <c r="AYI77" s="205"/>
      <c r="AYJ77" s="204"/>
      <c r="AYK77" s="206"/>
      <c r="AYL77" s="205"/>
      <c r="AYM77" s="205"/>
      <c r="AYN77" s="204"/>
      <c r="AYO77" s="206"/>
      <c r="AYP77" s="205"/>
      <c r="AYQ77" s="205"/>
      <c r="AYR77" s="204"/>
      <c r="AYS77" s="206"/>
      <c r="AYT77" s="205"/>
      <c r="AYU77" s="205"/>
      <c r="AYV77" s="204"/>
      <c r="AYW77" s="206"/>
      <c r="AYX77" s="205"/>
      <c r="AYY77" s="205"/>
      <c r="AYZ77" s="204"/>
      <c r="AZA77" s="206"/>
      <c r="AZB77" s="205"/>
      <c r="AZC77" s="205"/>
      <c r="AZD77" s="204"/>
      <c r="AZE77" s="206"/>
      <c r="AZF77" s="205"/>
      <c r="AZG77" s="205"/>
      <c r="AZH77" s="204"/>
      <c r="AZI77" s="206"/>
      <c r="AZJ77" s="205"/>
      <c r="AZK77" s="205"/>
      <c r="AZL77" s="204"/>
      <c r="AZM77" s="206"/>
      <c r="AZN77" s="205"/>
      <c r="AZO77" s="205"/>
      <c r="AZP77" s="204"/>
      <c r="AZQ77" s="206"/>
      <c r="AZR77" s="205"/>
      <c r="AZS77" s="205"/>
      <c r="AZT77" s="204"/>
      <c r="AZU77" s="206"/>
      <c r="AZV77" s="205"/>
      <c r="AZW77" s="205"/>
      <c r="AZX77" s="204"/>
      <c r="AZY77" s="206"/>
      <c r="AZZ77" s="205"/>
      <c r="BAA77" s="205"/>
      <c r="BAB77" s="204"/>
      <c r="BAC77" s="206"/>
      <c r="BAD77" s="205"/>
      <c r="BAE77" s="205"/>
      <c r="BAF77" s="204"/>
      <c r="BAG77" s="206"/>
      <c r="BAH77" s="205"/>
      <c r="BAI77" s="205"/>
      <c r="BAJ77" s="204"/>
      <c r="BAK77" s="206"/>
      <c r="BAL77" s="205"/>
      <c r="BAM77" s="205"/>
      <c r="BAN77" s="204"/>
      <c r="BAO77" s="206"/>
      <c r="BAP77" s="205"/>
      <c r="BAQ77" s="205"/>
      <c r="BAR77" s="204"/>
      <c r="BAS77" s="206"/>
      <c r="BAT77" s="205"/>
      <c r="BAU77" s="205"/>
      <c r="BAV77" s="204"/>
      <c r="BAW77" s="206"/>
      <c r="BAX77" s="205"/>
      <c r="BAY77" s="205"/>
      <c r="BAZ77" s="204"/>
      <c r="BBA77" s="206"/>
      <c r="BBB77" s="205"/>
      <c r="BBC77" s="205"/>
      <c r="BBD77" s="204"/>
      <c r="BBE77" s="206"/>
      <c r="BBF77" s="205"/>
      <c r="BBG77" s="205"/>
      <c r="BBH77" s="204"/>
      <c r="BBI77" s="206"/>
      <c r="BBJ77" s="205"/>
      <c r="BBK77" s="205"/>
      <c r="BBL77" s="204"/>
      <c r="BBM77" s="206"/>
      <c r="BBN77" s="205"/>
      <c r="BBO77" s="205"/>
      <c r="BBP77" s="204"/>
      <c r="BBQ77" s="206"/>
      <c r="BBR77" s="205"/>
      <c r="BBS77" s="205"/>
      <c r="BBT77" s="204"/>
      <c r="BBU77" s="206"/>
      <c r="BBV77" s="205"/>
      <c r="BBW77" s="205"/>
      <c r="BBX77" s="204"/>
      <c r="BBY77" s="206"/>
      <c r="BBZ77" s="205"/>
      <c r="BCA77" s="205"/>
      <c r="BCB77" s="204"/>
      <c r="BCC77" s="206"/>
      <c r="BCD77" s="205"/>
      <c r="BCE77" s="205"/>
      <c r="BCF77" s="204"/>
      <c r="BCG77" s="206"/>
      <c r="BCH77" s="205"/>
      <c r="BCI77" s="205"/>
      <c r="BCJ77" s="204"/>
      <c r="BCK77" s="206"/>
      <c r="BCL77" s="205"/>
      <c r="BCM77" s="205"/>
      <c r="BCN77" s="204"/>
      <c r="BCO77" s="206"/>
      <c r="BCP77" s="205"/>
      <c r="BCQ77" s="205"/>
      <c r="BCR77" s="204"/>
      <c r="BCS77" s="206"/>
      <c r="BCT77" s="205"/>
      <c r="BCU77" s="205"/>
      <c r="BCV77" s="204"/>
      <c r="BCW77" s="206"/>
      <c r="BCX77" s="205"/>
      <c r="BCY77" s="205"/>
      <c r="BCZ77" s="204"/>
      <c r="BDA77" s="206"/>
      <c r="BDB77" s="205"/>
      <c r="BDC77" s="205"/>
      <c r="BDD77" s="204"/>
      <c r="BDE77" s="206"/>
      <c r="BDF77" s="205"/>
      <c r="BDG77" s="205"/>
      <c r="BDH77" s="204"/>
      <c r="BDI77" s="206"/>
      <c r="BDJ77" s="205"/>
      <c r="BDK77" s="205"/>
      <c r="BDL77" s="204"/>
      <c r="BDM77" s="206"/>
      <c r="BDN77" s="205"/>
      <c r="BDO77" s="205"/>
      <c r="BDP77" s="204"/>
      <c r="BDQ77" s="206"/>
      <c r="BDR77" s="205"/>
      <c r="BDS77" s="205"/>
      <c r="BDT77" s="204"/>
      <c r="BDU77" s="206"/>
      <c r="BDV77" s="205"/>
      <c r="BDW77" s="205"/>
      <c r="BDX77" s="204"/>
      <c r="BDY77" s="206"/>
      <c r="BDZ77" s="205"/>
      <c r="BEA77" s="205"/>
      <c r="BEB77" s="204"/>
      <c r="BEC77" s="206"/>
      <c r="BED77" s="205"/>
      <c r="BEE77" s="205"/>
      <c r="BEF77" s="204"/>
      <c r="BEG77" s="206"/>
      <c r="BEH77" s="205"/>
      <c r="BEI77" s="205"/>
      <c r="BEJ77" s="204"/>
      <c r="BEK77" s="206"/>
      <c r="BEL77" s="205"/>
      <c r="BEM77" s="205"/>
      <c r="BEN77" s="204"/>
      <c r="BEO77" s="206"/>
      <c r="BEP77" s="205"/>
      <c r="BEQ77" s="205"/>
      <c r="BER77" s="204"/>
      <c r="BES77" s="206"/>
      <c r="BET77" s="205"/>
      <c r="BEU77" s="205"/>
      <c r="BEV77" s="204"/>
      <c r="BEW77" s="206"/>
      <c r="BEX77" s="205"/>
      <c r="BEY77" s="205"/>
      <c r="BEZ77" s="204"/>
      <c r="BFA77" s="206"/>
      <c r="BFB77" s="205"/>
      <c r="BFC77" s="205"/>
      <c r="BFD77" s="204"/>
      <c r="BFE77" s="206"/>
      <c r="BFF77" s="205"/>
      <c r="BFG77" s="205"/>
      <c r="BFH77" s="204"/>
      <c r="BFI77" s="206"/>
      <c r="BFJ77" s="205"/>
      <c r="BFK77" s="205"/>
      <c r="BFL77" s="204"/>
      <c r="BFM77" s="206"/>
      <c r="BFN77" s="205"/>
      <c r="BFO77" s="205"/>
      <c r="BFP77" s="204"/>
      <c r="BFQ77" s="206"/>
      <c r="BFR77" s="205"/>
      <c r="BFS77" s="205"/>
      <c r="BFT77" s="204"/>
      <c r="BFU77" s="206"/>
      <c r="BFV77" s="205"/>
      <c r="BFW77" s="205"/>
      <c r="BFX77" s="204"/>
      <c r="BFY77" s="206"/>
      <c r="BFZ77" s="205"/>
      <c r="BGA77" s="205"/>
      <c r="BGB77" s="204"/>
      <c r="BGC77" s="206"/>
      <c r="BGD77" s="205"/>
      <c r="BGE77" s="205"/>
      <c r="BGF77" s="204"/>
      <c r="BGG77" s="206"/>
      <c r="BGH77" s="205"/>
      <c r="BGI77" s="205"/>
      <c r="BGJ77" s="204"/>
      <c r="BGK77" s="206"/>
      <c r="BGL77" s="205"/>
      <c r="BGM77" s="205"/>
      <c r="BGN77" s="204"/>
      <c r="BGO77" s="206"/>
      <c r="BGP77" s="205"/>
      <c r="BGQ77" s="205"/>
      <c r="BGR77" s="204"/>
      <c r="BGS77" s="206"/>
      <c r="BGT77" s="205"/>
      <c r="BGU77" s="205"/>
      <c r="BGV77" s="204"/>
      <c r="BGW77" s="206"/>
      <c r="BGX77" s="205"/>
      <c r="BGY77" s="205"/>
      <c r="BGZ77" s="204"/>
      <c r="BHA77" s="206"/>
      <c r="BHB77" s="205"/>
      <c r="BHC77" s="205"/>
      <c r="BHD77" s="204"/>
      <c r="BHE77" s="206"/>
      <c r="BHF77" s="205"/>
      <c r="BHG77" s="205"/>
      <c r="BHH77" s="204"/>
      <c r="BHI77" s="206"/>
      <c r="BHJ77" s="205"/>
      <c r="BHK77" s="205"/>
      <c r="BHL77" s="204"/>
      <c r="BHM77" s="206"/>
      <c r="BHN77" s="205"/>
      <c r="BHO77" s="205"/>
      <c r="BHP77" s="204"/>
      <c r="BHQ77" s="206"/>
      <c r="BHR77" s="205"/>
      <c r="BHS77" s="205"/>
      <c r="BHT77" s="204"/>
      <c r="BHU77" s="206"/>
      <c r="BHV77" s="205"/>
      <c r="BHW77" s="205"/>
      <c r="BHX77" s="204"/>
      <c r="BHY77" s="206"/>
      <c r="BHZ77" s="205"/>
      <c r="BIA77" s="205"/>
      <c r="BIB77" s="204"/>
      <c r="BIC77" s="206"/>
      <c r="BID77" s="205"/>
      <c r="BIE77" s="205"/>
      <c r="BIF77" s="204"/>
      <c r="BIG77" s="206"/>
      <c r="BIH77" s="205"/>
      <c r="BII77" s="205"/>
      <c r="BIJ77" s="204"/>
      <c r="BIK77" s="206"/>
      <c r="BIL77" s="205"/>
      <c r="BIM77" s="205"/>
      <c r="BIN77" s="204"/>
      <c r="BIO77" s="206"/>
      <c r="BIP77" s="205"/>
      <c r="BIQ77" s="205"/>
      <c r="BIR77" s="204"/>
      <c r="BIS77" s="206"/>
      <c r="BIT77" s="205"/>
      <c r="BIU77" s="205"/>
      <c r="BIV77" s="204"/>
      <c r="BIW77" s="206"/>
      <c r="BIX77" s="205"/>
      <c r="BIY77" s="205"/>
      <c r="BIZ77" s="204"/>
      <c r="BJA77" s="206"/>
      <c r="BJB77" s="205"/>
      <c r="BJC77" s="205"/>
      <c r="BJD77" s="204"/>
      <c r="BJE77" s="206"/>
      <c r="BJF77" s="205"/>
      <c r="BJG77" s="205"/>
      <c r="BJH77" s="204"/>
      <c r="BJI77" s="206"/>
      <c r="BJJ77" s="205"/>
      <c r="BJK77" s="205"/>
      <c r="BJL77" s="204"/>
      <c r="BJM77" s="206"/>
      <c r="BJN77" s="205"/>
      <c r="BJO77" s="205"/>
      <c r="BJP77" s="204"/>
      <c r="BJQ77" s="206"/>
      <c r="BJR77" s="205"/>
      <c r="BJS77" s="205"/>
      <c r="BJT77" s="204"/>
      <c r="BJU77" s="206"/>
      <c r="BJV77" s="205"/>
      <c r="BJW77" s="205"/>
      <c r="BJX77" s="204"/>
      <c r="BJY77" s="206"/>
      <c r="BJZ77" s="205"/>
      <c r="BKA77" s="205"/>
      <c r="BKB77" s="204"/>
      <c r="BKC77" s="206"/>
      <c r="BKD77" s="205"/>
      <c r="BKE77" s="205"/>
      <c r="BKF77" s="204"/>
      <c r="BKG77" s="206"/>
      <c r="BKH77" s="205"/>
      <c r="BKI77" s="205"/>
      <c r="BKJ77" s="204"/>
      <c r="BKK77" s="206"/>
      <c r="BKL77" s="205"/>
      <c r="BKM77" s="205"/>
      <c r="BKN77" s="204"/>
      <c r="BKO77" s="206"/>
      <c r="BKP77" s="205"/>
      <c r="BKQ77" s="205"/>
      <c r="BKR77" s="204"/>
      <c r="BKS77" s="206"/>
      <c r="BKT77" s="205"/>
      <c r="BKU77" s="205"/>
      <c r="BKV77" s="204"/>
      <c r="BKW77" s="206"/>
      <c r="BKX77" s="205"/>
      <c r="BKY77" s="205"/>
      <c r="BKZ77" s="204"/>
      <c r="BLA77" s="206"/>
      <c r="BLB77" s="205"/>
      <c r="BLC77" s="205"/>
      <c r="BLD77" s="204"/>
      <c r="BLE77" s="206"/>
      <c r="BLF77" s="205"/>
      <c r="BLG77" s="205"/>
      <c r="BLH77" s="204"/>
      <c r="BLI77" s="206"/>
      <c r="BLJ77" s="205"/>
      <c r="BLK77" s="205"/>
      <c r="BLL77" s="204"/>
      <c r="BLM77" s="206"/>
      <c r="BLN77" s="205"/>
      <c r="BLO77" s="205"/>
      <c r="BLP77" s="204"/>
      <c r="BLQ77" s="206"/>
      <c r="BLR77" s="205"/>
      <c r="BLS77" s="205"/>
      <c r="BLT77" s="204"/>
      <c r="BLU77" s="206"/>
      <c r="BLV77" s="205"/>
      <c r="BLW77" s="205"/>
      <c r="BLX77" s="204"/>
      <c r="BLY77" s="206"/>
      <c r="BLZ77" s="205"/>
      <c r="BMA77" s="205"/>
      <c r="BMB77" s="204"/>
      <c r="BMC77" s="206"/>
      <c r="BMD77" s="205"/>
      <c r="BME77" s="205"/>
      <c r="BMF77" s="204"/>
      <c r="BMG77" s="206"/>
      <c r="BMH77" s="205"/>
      <c r="BMI77" s="205"/>
      <c r="BMJ77" s="204"/>
      <c r="BMK77" s="206"/>
      <c r="BML77" s="205"/>
      <c r="BMM77" s="205"/>
      <c r="BMN77" s="204"/>
      <c r="BMO77" s="206"/>
      <c r="BMP77" s="205"/>
      <c r="BMQ77" s="205"/>
      <c r="BMR77" s="204"/>
      <c r="BMS77" s="206"/>
      <c r="BMT77" s="205"/>
      <c r="BMU77" s="205"/>
      <c r="BMV77" s="204"/>
      <c r="BMW77" s="206"/>
      <c r="BMX77" s="205"/>
      <c r="BMY77" s="205"/>
      <c r="BMZ77" s="204"/>
      <c r="BNA77" s="206"/>
      <c r="BNB77" s="205"/>
      <c r="BNC77" s="205"/>
      <c r="BND77" s="204"/>
      <c r="BNE77" s="206"/>
      <c r="BNF77" s="205"/>
      <c r="BNG77" s="205"/>
      <c r="BNH77" s="204"/>
      <c r="BNI77" s="206"/>
      <c r="BNJ77" s="205"/>
      <c r="BNK77" s="205"/>
      <c r="BNL77" s="204"/>
      <c r="BNM77" s="206"/>
      <c r="BNN77" s="205"/>
      <c r="BNO77" s="205"/>
      <c r="BNP77" s="204"/>
      <c r="BNQ77" s="206"/>
      <c r="BNR77" s="205"/>
      <c r="BNS77" s="205"/>
      <c r="BNT77" s="204"/>
      <c r="BNU77" s="206"/>
      <c r="BNV77" s="205"/>
      <c r="BNW77" s="205"/>
      <c r="BNX77" s="204"/>
      <c r="BNY77" s="206"/>
      <c r="BNZ77" s="205"/>
      <c r="BOA77" s="205"/>
      <c r="BOB77" s="204"/>
      <c r="BOC77" s="206"/>
      <c r="BOD77" s="205"/>
      <c r="BOE77" s="205"/>
      <c r="BOF77" s="204"/>
      <c r="BOG77" s="206"/>
      <c r="BOH77" s="205"/>
      <c r="BOI77" s="205"/>
      <c r="BOJ77" s="204"/>
      <c r="BOK77" s="206"/>
      <c r="BOL77" s="205"/>
      <c r="BOM77" s="205"/>
      <c r="BON77" s="204"/>
      <c r="BOO77" s="206"/>
      <c r="BOP77" s="205"/>
      <c r="BOQ77" s="205"/>
      <c r="BOR77" s="204"/>
      <c r="BOS77" s="206"/>
      <c r="BOT77" s="205"/>
      <c r="BOU77" s="205"/>
      <c r="BOV77" s="204"/>
      <c r="BOW77" s="206"/>
      <c r="BOX77" s="205"/>
      <c r="BOY77" s="205"/>
      <c r="BOZ77" s="204"/>
      <c r="BPA77" s="206"/>
      <c r="BPB77" s="205"/>
      <c r="BPC77" s="205"/>
      <c r="BPD77" s="204"/>
      <c r="BPE77" s="206"/>
      <c r="BPF77" s="205"/>
      <c r="BPG77" s="205"/>
      <c r="BPH77" s="204"/>
      <c r="BPI77" s="206"/>
      <c r="BPJ77" s="205"/>
      <c r="BPK77" s="205"/>
      <c r="BPL77" s="204"/>
      <c r="BPM77" s="206"/>
      <c r="BPN77" s="205"/>
      <c r="BPO77" s="205"/>
      <c r="BPP77" s="204"/>
      <c r="BPQ77" s="206"/>
      <c r="BPR77" s="205"/>
      <c r="BPS77" s="205"/>
      <c r="BPT77" s="204"/>
      <c r="BPU77" s="206"/>
      <c r="BPV77" s="205"/>
      <c r="BPW77" s="205"/>
      <c r="BPX77" s="204"/>
      <c r="BPY77" s="206"/>
      <c r="BPZ77" s="205"/>
      <c r="BQA77" s="205"/>
      <c r="BQB77" s="204"/>
      <c r="BQC77" s="206"/>
      <c r="BQD77" s="205"/>
      <c r="BQE77" s="205"/>
      <c r="BQF77" s="204"/>
      <c r="BQG77" s="206"/>
      <c r="BQH77" s="205"/>
      <c r="BQI77" s="205"/>
      <c r="BQJ77" s="204"/>
      <c r="BQK77" s="206"/>
      <c r="BQL77" s="205"/>
      <c r="BQM77" s="205"/>
      <c r="BQN77" s="204"/>
      <c r="BQO77" s="206"/>
      <c r="BQP77" s="205"/>
      <c r="BQQ77" s="205"/>
      <c r="BQR77" s="204"/>
      <c r="BQS77" s="206"/>
      <c r="BQT77" s="205"/>
      <c r="BQU77" s="205"/>
      <c r="BQV77" s="204"/>
      <c r="BQW77" s="206"/>
      <c r="BQX77" s="205"/>
      <c r="BQY77" s="205"/>
      <c r="BQZ77" s="204"/>
      <c r="BRA77" s="206"/>
      <c r="BRB77" s="205"/>
      <c r="BRC77" s="205"/>
      <c r="BRD77" s="204"/>
      <c r="BRE77" s="206"/>
      <c r="BRF77" s="205"/>
      <c r="BRG77" s="205"/>
      <c r="BRH77" s="204"/>
      <c r="BRI77" s="206"/>
      <c r="BRJ77" s="205"/>
      <c r="BRK77" s="205"/>
      <c r="BRL77" s="204"/>
      <c r="BRM77" s="206"/>
      <c r="BRN77" s="205"/>
      <c r="BRO77" s="205"/>
      <c r="BRP77" s="204"/>
      <c r="BRQ77" s="206"/>
      <c r="BRR77" s="205"/>
      <c r="BRS77" s="205"/>
      <c r="BRT77" s="204"/>
      <c r="BRU77" s="206"/>
      <c r="BRV77" s="205"/>
      <c r="BRW77" s="205"/>
      <c r="BRX77" s="204"/>
      <c r="BRY77" s="206"/>
      <c r="BRZ77" s="205"/>
      <c r="BSA77" s="205"/>
      <c r="BSB77" s="204"/>
      <c r="BSC77" s="206"/>
      <c r="BSD77" s="205"/>
      <c r="BSE77" s="205"/>
      <c r="BSF77" s="204"/>
      <c r="BSG77" s="206"/>
      <c r="BSH77" s="205"/>
      <c r="BSI77" s="205"/>
      <c r="BSJ77" s="204"/>
      <c r="BSK77" s="206"/>
      <c r="BSL77" s="205"/>
      <c r="BSM77" s="205"/>
      <c r="BSN77" s="204"/>
      <c r="BSO77" s="206"/>
      <c r="BSP77" s="205"/>
      <c r="BSQ77" s="205"/>
      <c r="BSR77" s="204"/>
      <c r="BSS77" s="206"/>
      <c r="BST77" s="205"/>
      <c r="BSU77" s="205"/>
      <c r="BSV77" s="204"/>
      <c r="BSW77" s="206"/>
      <c r="BSX77" s="205"/>
      <c r="BSY77" s="205"/>
      <c r="BSZ77" s="204"/>
      <c r="BTA77" s="206"/>
      <c r="BTB77" s="205"/>
      <c r="BTC77" s="205"/>
      <c r="BTD77" s="204"/>
      <c r="BTE77" s="206"/>
      <c r="BTF77" s="205"/>
      <c r="BTG77" s="205"/>
      <c r="BTH77" s="204"/>
      <c r="BTI77" s="206"/>
      <c r="BTJ77" s="205"/>
      <c r="BTK77" s="205"/>
      <c r="BTL77" s="204"/>
      <c r="BTM77" s="206"/>
      <c r="BTN77" s="205"/>
      <c r="BTO77" s="205"/>
      <c r="BTP77" s="204"/>
      <c r="BTQ77" s="206"/>
      <c r="BTR77" s="205"/>
      <c r="BTS77" s="205"/>
      <c r="BTT77" s="204"/>
      <c r="BTU77" s="206"/>
      <c r="BTV77" s="205"/>
      <c r="BTW77" s="205"/>
      <c r="BTX77" s="204"/>
      <c r="BTY77" s="206"/>
      <c r="BTZ77" s="205"/>
      <c r="BUA77" s="205"/>
      <c r="BUB77" s="204"/>
      <c r="BUC77" s="206"/>
      <c r="BUD77" s="205"/>
      <c r="BUE77" s="205"/>
      <c r="BUF77" s="204"/>
      <c r="BUG77" s="206"/>
      <c r="BUH77" s="205"/>
      <c r="BUI77" s="205"/>
      <c r="BUJ77" s="204"/>
      <c r="BUK77" s="206"/>
      <c r="BUL77" s="205"/>
      <c r="BUM77" s="205"/>
      <c r="BUN77" s="204"/>
      <c r="BUO77" s="206"/>
      <c r="BUP77" s="205"/>
      <c r="BUQ77" s="205"/>
      <c r="BUR77" s="204"/>
      <c r="BUS77" s="206"/>
      <c r="BUT77" s="205"/>
      <c r="BUU77" s="205"/>
      <c r="BUV77" s="204"/>
      <c r="BUW77" s="206"/>
      <c r="BUX77" s="205"/>
      <c r="BUY77" s="205"/>
      <c r="BUZ77" s="204"/>
      <c r="BVA77" s="206"/>
      <c r="BVB77" s="205"/>
      <c r="BVC77" s="205"/>
      <c r="BVD77" s="204"/>
      <c r="BVE77" s="206"/>
      <c r="BVF77" s="205"/>
      <c r="BVG77" s="205"/>
      <c r="BVH77" s="204"/>
      <c r="BVI77" s="206"/>
      <c r="BVJ77" s="205"/>
      <c r="BVK77" s="205"/>
      <c r="BVL77" s="204"/>
      <c r="BVM77" s="206"/>
      <c r="BVN77" s="205"/>
      <c r="BVO77" s="205"/>
      <c r="BVP77" s="204"/>
      <c r="BVQ77" s="206"/>
      <c r="BVR77" s="205"/>
      <c r="BVS77" s="205"/>
      <c r="BVT77" s="204"/>
      <c r="BVU77" s="206"/>
      <c r="BVV77" s="205"/>
      <c r="BVW77" s="205"/>
      <c r="BVX77" s="204"/>
      <c r="BVY77" s="206"/>
      <c r="BVZ77" s="205"/>
      <c r="BWA77" s="205"/>
      <c r="BWB77" s="204"/>
      <c r="BWC77" s="206"/>
      <c r="BWD77" s="205"/>
      <c r="BWE77" s="205"/>
      <c r="BWF77" s="204"/>
      <c r="BWG77" s="206"/>
      <c r="BWH77" s="205"/>
      <c r="BWI77" s="205"/>
      <c r="BWJ77" s="204"/>
      <c r="BWK77" s="206"/>
      <c r="BWL77" s="205"/>
      <c r="BWM77" s="205"/>
      <c r="BWN77" s="204"/>
      <c r="BWO77" s="206"/>
      <c r="BWP77" s="205"/>
      <c r="BWQ77" s="205"/>
      <c r="BWR77" s="204"/>
      <c r="BWS77" s="206"/>
      <c r="BWT77" s="205"/>
      <c r="BWU77" s="205"/>
      <c r="BWV77" s="204"/>
      <c r="BWW77" s="206"/>
      <c r="BWX77" s="205"/>
      <c r="BWY77" s="205"/>
      <c r="BWZ77" s="204"/>
      <c r="BXA77" s="206"/>
      <c r="BXB77" s="205"/>
      <c r="BXC77" s="205"/>
      <c r="BXD77" s="204"/>
      <c r="BXE77" s="206"/>
      <c r="BXF77" s="205"/>
      <c r="BXG77" s="205"/>
      <c r="BXH77" s="204"/>
      <c r="BXI77" s="206"/>
      <c r="BXJ77" s="205"/>
      <c r="BXK77" s="205"/>
      <c r="BXL77" s="204"/>
      <c r="BXM77" s="206"/>
      <c r="BXN77" s="205"/>
      <c r="BXO77" s="205"/>
      <c r="BXP77" s="204"/>
      <c r="BXQ77" s="206"/>
      <c r="BXR77" s="205"/>
      <c r="BXS77" s="205"/>
      <c r="BXT77" s="204"/>
      <c r="BXU77" s="206"/>
      <c r="BXV77" s="205"/>
      <c r="BXW77" s="205"/>
      <c r="BXX77" s="204"/>
      <c r="BXY77" s="206"/>
      <c r="BXZ77" s="205"/>
      <c r="BYA77" s="205"/>
      <c r="BYB77" s="204"/>
      <c r="BYC77" s="206"/>
      <c r="BYD77" s="205"/>
      <c r="BYE77" s="205"/>
      <c r="BYF77" s="204"/>
      <c r="BYG77" s="206"/>
      <c r="BYH77" s="205"/>
      <c r="BYI77" s="205"/>
      <c r="BYJ77" s="204"/>
      <c r="BYK77" s="206"/>
      <c r="BYL77" s="205"/>
      <c r="BYM77" s="205"/>
      <c r="BYN77" s="204"/>
      <c r="BYO77" s="206"/>
      <c r="BYP77" s="205"/>
      <c r="BYQ77" s="205"/>
      <c r="BYR77" s="204"/>
      <c r="BYS77" s="206"/>
      <c r="BYT77" s="205"/>
      <c r="BYU77" s="205"/>
      <c r="BYV77" s="204"/>
      <c r="BYW77" s="206"/>
      <c r="BYX77" s="205"/>
      <c r="BYY77" s="205"/>
      <c r="BYZ77" s="204"/>
      <c r="BZA77" s="206"/>
      <c r="BZB77" s="205"/>
      <c r="BZC77" s="205"/>
      <c r="BZD77" s="204"/>
      <c r="BZE77" s="206"/>
      <c r="BZF77" s="205"/>
      <c r="BZG77" s="205"/>
      <c r="BZH77" s="204"/>
      <c r="BZI77" s="206"/>
      <c r="BZJ77" s="205"/>
      <c r="BZK77" s="205"/>
      <c r="BZL77" s="204"/>
      <c r="BZM77" s="206"/>
      <c r="BZN77" s="205"/>
      <c r="BZO77" s="205"/>
      <c r="BZP77" s="204"/>
      <c r="BZQ77" s="206"/>
      <c r="BZR77" s="205"/>
      <c r="BZS77" s="205"/>
      <c r="BZT77" s="204"/>
      <c r="BZU77" s="206"/>
      <c r="BZV77" s="205"/>
      <c r="BZW77" s="205"/>
      <c r="BZX77" s="204"/>
      <c r="BZY77" s="206"/>
      <c r="BZZ77" s="205"/>
      <c r="CAA77" s="205"/>
      <c r="CAB77" s="204"/>
      <c r="CAC77" s="206"/>
      <c r="CAD77" s="205"/>
      <c r="CAE77" s="205"/>
      <c r="CAF77" s="204"/>
      <c r="CAG77" s="206"/>
      <c r="CAH77" s="205"/>
      <c r="CAI77" s="205"/>
      <c r="CAJ77" s="204"/>
      <c r="CAK77" s="206"/>
      <c r="CAL77" s="205"/>
      <c r="CAM77" s="205"/>
      <c r="CAN77" s="204"/>
      <c r="CAO77" s="206"/>
      <c r="CAP77" s="205"/>
      <c r="CAQ77" s="205"/>
      <c r="CAR77" s="204"/>
      <c r="CAS77" s="206"/>
      <c r="CAT77" s="205"/>
      <c r="CAU77" s="205"/>
      <c r="CAV77" s="204"/>
      <c r="CAW77" s="206"/>
      <c r="CAX77" s="205"/>
      <c r="CAY77" s="205"/>
      <c r="CAZ77" s="204"/>
      <c r="CBA77" s="206"/>
      <c r="CBB77" s="205"/>
      <c r="CBC77" s="205"/>
      <c r="CBD77" s="204"/>
      <c r="CBE77" s="206"/>
      <c r="CBF77" s="205"/>
      <c r="CBG77" s="205"/>
      <c r="CBH77" s="204"/>
      <c r="CBI77" s="206"/>
      <c r="CBJ77" s="205"/>
      <c r="CBK77" s="205"/>
      <c r="CBL77" s="204"/>
      <c r="CBM77" s="206"/>
      <c r="CBN77" s="205"/>
      <c r="CBO77" s="205"/>
      <c r="CBP77" s="204"/>
      <c r="CBQ77" s="206"/>
      <c r="CBR77" s="205"/>
      <c r="CBS77" s="205"/>
      <c r="CBT77" s="204"/>
      <c r="CBU77" s="206"/>
      <c r="CBV77" s="205"/>
      <c r="CBW77" s="205"/>
      <c r="CBX77" s="204"/>
      <c r="CBY77" s="206"/>
      <c r="CBZ77" s="205"/>
      <c r="CCA77" s="205"/>
      <c r="CCB77" s="204"/>
      <c r="CCC77" s="206"/>
      <c r="CCD77" s="205"/>
      <c r="CCE77" s="205"/>
      <c r="CCF77" s="204"/>
      <c r="CCG77" s="206"/>
      <c r="CCH77" s="205"/>
      <c r="CCI77" s="205"/>
      <c r="CCJ77" s="204"/>
      <c r="CCK77" s="206"/>
      <c r="CCL77" s="205"/>
      <c r="CCM77" s="205"/>
      <c r="CCN77" s="204"/>
      <c r="CCO77" s="206"/>
      <c r="CCP77" s="205"/>
      <c r="CCQ77" s="205"/>
      <c r="CCR77" s="204"/>
      <c r="CCS77" s="206"/>
      <c r="CCT77" s="205"/>
      <c r="CCU77" s="205"/>
      <c r="CCV77" s="204"/>
      <c r="CCW77" s="206"/>
      <c r="CCX77" s="205"/>
      <c r="CCY77" s="205"/>
      <c r="CCZ77" s="204"/>
      <c r="CDA77" s="206"/>
      <c r="CDB77" s="205"/>
      <c r="CDC77" s="205"/>
      <c r="CDD77" s="204"/>
      <c r="CDE77" s="206"/>
      <c r="CDF77" s="205"/>
      <c r="CDG77" s="205"/>
      <c r="CDH77" s="204"/>
      <c r="CDI77" s="206"/>
      <c r="CDJ77" s="205"/>
      <c r="CDK77" s="205"/>
      <c r="CDL77" s="204"/>
      <c r="CDM77" s="206"/>
      <c r="CDN77" s="205"/>
      <c r="CDO77" s="205"/>
      <c r="CDP77" s="204"/>
      <c r="CDQ77" s="206"/>
      <c r="CDR77" s="205"/>
      <c r="CDS77" s="205"/>
      <c r="CDT77" s="204"/>
      <c r="CDU77" s="206"/>
      <c r="CDV77" s="205"/>
      <c r="CDW77" s="205"/>
      <c r="CDX77" s="204"/>
      <c r="CDY77" s="206"/>
      <c r="CDZ77" s="205"/>
      <c r="CEA77" s="205"/>
      <c r="CEB77" s="204"/>
      <c r="CEC77" s="206"/>
      <c r="CED77" s="205"/>
      <c r="CEE77" s="205"/>
      <c r="CEF77" s="204"/>
      <c r="CEG77" s="206"/>
      <c r="CEH77" s="205"/>
      <c r="CEI77" s="205"/>
      <c r="CEJ77" s="204"/>
      <c r="CEK77" s="206"/>
      <c r="CEL77" s="205"/>
      <c r="CEM77" s="205"/>
      <c r="CEN77" s="204"/>
      <c r="CEO77" s="206"/>
      <c r="CEP77" s="205"/>
      <c r="CEQ77" s="205"/>
      <c r="CER77" s="204"/>
      <c r="CES77" s="206"/>
      <c r="CET77" s="205"/>
      <c r="CEU77" s="205"/>
      <c r="CEV77" s="204"/>
      <c r="CEW77" s="206"/>
      <c r="CEX77" s="205"/>
      <c r="CEY77" s="205"/>
      <c r="CEZ77" s="204"/>
      <c r="CFA77" s="206"/>
      <c r="CFB77" s="205"/>
      <c r="CFC77" s="205"/>
      <c r="CFD77" s="204"/>
      <c r="CFE77" s="206"/>
      <c r="CFF77" s="205"/>
      <c r="CFG77" s="205"/>
      <c r="CFH77" s="204"/>
      <c r="CFI77" s="206"/>
      <c r="CFJ77" s="205"/>
      <c r="CFK77" s="205"/>
      <c r="CFL77" s="204"/>
      <c r="CFM77" s="206"/>
      <c r="CFN77" s="205"/>
      <c r="CFO77" s="205"/>
      <c r="CFP77" s="204"/>
      <c r="CFQ77" s="206"/>
      <c r="CFR77" s="205"/>
      <c r="CFS77" s="205"/>
      <c r="CFT77" s="204"/>
      <c r="CFU77" s="206"/>
      <c r="CFV77" s="205"/>
      <c r="CFW77" s="205"/>
      <c r="CFX77" s="204"/>
      <c r="CFY77" s="206"/>
      <c r="CFZ77" s="205"/>
      <c r="CGA77" s="205"/>
      <c r="CGB77" s="204"/>
      <c r="CGC77" s="206"/>
      <c r="CGD77" s="205"/>
      <c r="CGE77" s="205"/>
      <c r="CGF77" s="204"/>
      <c r="CGG77" s="206"/>
      <c r="CGH77" s="205"/>
      <c r="CGI77" s="205"/>
      <c r="CGJ77" s="204"/>
      <c r="CGK77" s="206"/>
      <c r="CGL77" s="205"/>
      <c r="CGM77" s="205"/>
      <c r="CGN77" s="204"/>
      <c r="CGO77" s="206"/>
      <c r="CGP77" s="205"/>
      <c r="CGQ77" s="205"/>
      <c r="CGR77" s="204"/>
      <c r="CGS77" s="206"/>
      <c r="CGT77" s="205"/>
      <c r="CGU77" s="205"/>
      <c r="CGV77" s="204"/>
      <c r="CGW77" s="206"/>
      <c r="CGX77" s="205"/>
      <c r="CGY77" s="205"/>
      <c r="CGZ77" s="204"/>
      <c r="CHA77" s="206"/>
      <c r="CHB77" s="205"/>
      <c r="CHC77" s="205"/>
      <c r="CHD77" s="204"/>
      <c r="CHE77" s="206"/>
      <c r="CHF77" s="205"/>
      <c r="CHG77" s="205"/>
      <c r="CHH77" s="204"/>
      <c r="CHI77" s="206"/>
      <c r="CHJ77" s="205"/>
      <c r="CHK77" s="205"/>
      <c r="CHL77" s="204"/>
      <c r="CHM77" s="206"/>
      <c r="CHN77" s="205"/>
      <c r="CHO77" s="205"/>
      <c r="CHP77" s="204"/>
      <c r="CHQ77" s="206"/>
      <c r="CHR77" s="205"/>
      <c r="CHS77" s="205"/>
      <c r="CHT77" s="204"/>
      <c r="CHU77" s="206"/>
      <c r="CHV77" s="205"/>
      <c r="CHW77" s="205"/>
      <c r="CHX77" s="204"/>
      <c r="CHY77" s="206"/>
      <c r="CHZ77" s="205"/>
      <c r="CIA77" s="205"/>
      <c r="CIB77" s="204"/>
      <c r="CIC77" s="206"/>
      <c r="CID77" s="205"/>
      <c r="CIE77" s="205"/>
      <c r="CIF77" s="204"/>
      <c r="CIG77" s="206"/>
      <c r="CIH77" s="205"/>
      <c r="CII77" s="205"/>
      <c r="CIJ77" s="204"/>
      <c r="CIK77" s="206"/>
      <c r="CIL77" s="205"/>
      <c r="CIM77" s="205"/>
      <c r="CIN77" s="204"/>
      <c r="CIO77" s="206"/>
      <c r="CIP77" s="205"/>
      <c r="CIQ77" s="205"/>
      <c r="CIR77" s="204"/>
      <c r="CIS77" s="206"/>
      <c r="CIT77" s="205"/>
      <c r="CIU77" s="205"/>
      <c r="CIV77" s="204"/>
      <c r="CIW77" s="206"/>
      <c r="CIX77" s="205"/>
      <c r="CIY77" s="205"/>
      <c r="CIZ77" s="204"/>
      <c r="CJA77" s="206"/>
      <c r="CJB77" s="205"/>
      <c r="CJC77" s="205"/>
      <c r="CJD77" s="204"/>
      <c r="CJE77" s="206"/>
      <c r="CJF77" s="205"/>
      <c r="CJG77" s="205"/>
      <c r="CJH77" s="204"/>
      <c r="CJI77" s="206"/>
      <c r="CJJ77" s="205"/>
      <c r="CJK77" s="205"/>
      <c r="CJL77" s="204"/>
      <c r="CJM77" s="206"/>
      <c r="CJN77" s="205"/>
      <c r="CJO77" s="205"/>
      <c r="CJP77" s="204"/>
      <c r="CJQ77" s="206"/>
      <c r="CJR77" s="205"/>
      <c r="CJS77" s="205"/>
      <c r="CJT77" s="204"/>
      <c r="CJU77" s="206"/>
      <c r="CJV77" s="205"/>
      <c r="CJW77" s="205"/>
      <c r="CJX77" s="204"/>
      <c r="CJY77" s="206"/>
      <c r="CJZ77" s="205"/>
      <c r="CKA77" s="205"/>
      <c r="CKB77" s="204"/>
      <c r="CKC77" s="206"/>
      <c r="CKD77" s="205"/>
      <c r="CKE77" s="205"/>
      <c r="CKF77" s="204"/>
      <c r="CKG77" s="206"/>
      <c r="CKH77" s="205"/>
      <c r="CKI77" s="205"/>
      <c r="CKJ77" s="204"/>
      <c r="CKK77" s="206"/>
      <c r="CKL77" s="205"/>
      <c r="CKM77" s="205"/>
      <c r="CKN77" s="204"/>
      <c r="CKO77" s="206"/>
      <c r="CKP77" s="205"/>
      <c r="CKQ77" s="205"/>
      <c r="CKR77" s="204"/>
      <c r="CKS77" s="206"/>
      <c r="CKT77" s="205"/>
      <c r="CKU77" s="205"/>
      <c r="CKV77" s="204"/>
      <c r="CKW77" s="206"/>
      <c r="CKX77" s="205"/>
      <c r="CKY77" s="205"/>
      <c r="CKZ77" s="204"/>
      <c r="CLA77" s="206"/>
      <c r="CLB77" s="205"/>
      <c r="CLC77" s="205"/>
      <c r="CLD77" s="204"/>
      <c r="CLE77" s="206"/>
      <c r="CLF77" s="205"/>
      <c r="CLG77" s="205"/>
      <c r="CLH77" s="204"/>
      <c r="CLI77" s="206"/>
      <c r="CLJ77" s="205"/>
      <c r="CLK77" s="205"/>
      <c r="CLL77" s="204"/>
      <c r="CLM77" s="206"/>
      <c r="CLN77" s="205"/>
      <c r="CLO77" s="205"/>
      <c r="CLP77" s="204"/>
      <c r="CLQ77" s="206"/>
      <c r="CLR77" s="205"/>
      <c r="CLS77" s="205"/>
      <c r="CLT77" s="204"/>
      <c r="CLU77" s="206"/>
      <c r="CLV77" s="205"/>
      <c r="CLW77" s="205"/>
      <c r="CLX77" s="204"/>
      <c r="CLY77" s="206"/>
      <c r="CLZ77" s="205"/>
      <c r="CMA77" s="205"/>
      <c r="CMB77" s="204"/>
      <c r="CMC77" s="206"/>
      <c r="CMD77" s="205"/>
      <c r="CME77" s="205"/>
      <c r="CMF77" s="204"/>
      <c r="CMG77" s="206"/>
      <c r="CMH77" s="205"/>
      <c r="CMI77" s="205"/>
      <c r="CMJ77" s="204"/>
      <c r="CMK77" s="206"/>
      <c r="CML77" s="205"/>
      <c r="CMM77" s="205"/>
      <c r="CMN77" s="204"/>
      <c r="CMO77" s="206"/>
      <c r="CMP77" s="205"/>
      <c r="CMQ77" s="205"/>
      <c r="CMR77" s="204"/>
      <c r="CMS77" s="206"/>
      <c r="CMT77" s="205"/>
      <c r="CMU77" s="205"/>
      <c r="CMV77" s="204"/>
      <c r="CMW77" s="206"/>
      <c r="CMX77" s="205"/>
      <c r="CMY77" s="205"/>
      <c r="CMZ77" s="204"/>
      <c r="CNA77" s="206"/>
      <c r="CNB77" s="205"/>
      <c r="CNC77" s="205"/>
      <c r="CND77" s="204"/>
      <c r="CNE77" s="206"/>
      <c r="CNF77" s="205"/>
      <c r="CNG77" s="205"/>
      <c r="CNH77" s="204"/>
      <c r="CNI77" s="206"/>
      <c r="CNJ77" s="205"/>
      <c r="CNK77" s="205"/>
      <c r="CNL77" s="204"/>
      <c r="CNM77" s="206"/>
      <c r="CNN77" s="205"/>
      <c r="CNO77" s="205"/>
      <c r="CNP77" s="204"/>
      <c r="CNQ77" s="206"/>
      <c r="CNR77" s="205"/>
      <c r="CNS77" s="205"/>
      <c r="CNT77" s="204"/>
      <c r="CNU77" s="206"/>
      <c r="CNV77" s="205"/>
      <c r="CNW77" s="205"/>
      <c r="CNX77" s="204"/>
      <c r="CNY77" s="206"/>
      <c r="CNZ77" s="205"/>
      <c r="COA77" s="205"/>
      <c r="COB77" s="204"/>
      <c r="COC77" s="206"/>
      <c r="COD77" s="205"/>
      <c r="COE77" s="205"/>
      <c r="COF77" s="204"/>
      <c r="COG77" s="206"/>
      <c r="COH77" s="205"/>
      <c r="COI77" s="205"/>
      <c r="COJ77" s="204"/>
      <c r="COK77" s="206"/>
      <c r="COL77" s="205"/>
      <c r="COM77" s="205"/>
      <c r="CON77" s="204"/>
      <c r="COO77" s="206"/>
      <c r="COP77" s="205"/>
      <c r="COQ77" s="205"/>
      <c r="COR77" s="204"/>
      <c r="COS77" s="206"/>
      <c r="COT77" s="205"/>
      <c r="COU77" s="205"/>
      <c r="COV77" s="204"/>
      <c r="COW77" s="206"/>
      <c r="COX77" s="205"/>
      <c r="COY77" s="205"/>
      <c r="COZ77" s="204"/>
      <c r="CPA77" s="206"/>
      <c r="CPB77" s="205"/>
      <c r="CPC77" s="205"/>
      <c r="CPD77" s="204"/>
      <c r="CPE77" s="206"/>
      <c r="CPF77" s="205"/>
      <c r="CPG77" s="205"/>
      <c r="CPH77" s="204"/>
      <c r="CPI77" s="206"/>
      <c r="CPJ77" s="205"/>
      <c r="CPK77" s="205"/>
      <c r="CPL77" s="204"/>
      <c r="CPM77" s="206"/>
      <c r="CPN77" s="205"/>
      <c r="CPO77" s="205"/>
      <c r="CPP77" s="204"/>
      <c r="CPQ77" s="206"/>
      <c r="CPR77" s="205"/>
      <c r="CPS77" s="205"/>
      <c r="CPT77" s="204"/>
      <c r="CPU77" s="206"/>
      <c r="CPV77" s="205"/>
      <c r="CPW77" s="205"/>
      <c r="CPX77" s="204"/>
      <c r="CPY77" s="206"/>
      <c r="CPZ77" s="205"/>
      <c r="CQA77" s="205"/>
      <c r="CQB77" s="204"/>
      <c r="CQC77" s="206"/>
      <c r="CQD77" s="205"/>
      <c r="CQE77" s="205"/>
      <c r="CQF77" s="204"/>
      <c r="CQG77" s="206"/>
      <c r="CQH77" s="205"/>
      <c r="CQI77" s="205"/>
      <c r="CQJ77" s="204"/>
      <c r="CQK77" s="206"/>
      <c r="CQL77" s="205"/>
      <c r="CQM77" s="205"/>
      <c r="CQN77" s="204"/>
      <c r="CQO77" s="206"/>
      <c r="CQP77" s="205"/>
      <c r="CQQ77" s="205"/>
      <c r="CQR77" s="204"/>
      <c r="CQS77" s="206"/>
      <c r="CQT77" s="205"/>
      <c r="CQU77" s="205"/>
      <c r="CQV77" s="204"/>
      <c r="CQW77" s="206"/>
      <c r="CQX77" s="205"/>
      <c r="CQY77" s="205"/>
      <c r="CQZ77" s="204"/>
      <c r="CRA77" s="206"/>
      <c r="CRB77" s="205"/>
      <c r="CRC77" s="205"/>
      <c r="CRD77" s="204"/>
      <c r="CRE77" s="206"/>
      <c r="CRF77" s="205"/>
      <c r="CRG77" s="205"/>
      <c r="CRH77" s="204"/>
      <c r="CRI77" s="206"/>
      <c r="CRJ77" s="205"/>
      <c r="CRK77" s="205"/>
      <c r="CRL77" s="204"/>
      <c r="CRM77" s="206"/>
      <c r="CRN77" s="205"/>
      <c r="CRO77" s="205"/>
      <c r="CRP77" s="204"/>
      <c r="CRQ77" s="206"/>
      <c r="CRR77" s="205"/>
      <c r="CRS77" s="205"/>
      <c r="CRT77" s="204"/>
      <c r="CRU77" s="206"/>
      <c r="CRV77" s="205"/>
      <c r="CRW77" s="205"/>
      <c r="CRX77" s="204"/>
      <c r="CRY77" s="206"/>
      <c r="CRZ77" s="205"/>
      <c r="CSA77" s="205"/>
      <c r="CSB77" s="204"/>
      <c r="CSC77" s="206"/>
      <c r="CSD77" s="205"/>
      <c r="CSE77" s="205"/>
      <c r="CSF77" s="204"/>
      <c r="CSG77" s="206"/>
      <c r="CSH77" s="205"/>
      <c r="CSI77" s="205"/>
      <c r="CSJ77" s="204"/>
      <c r="CSK77" s="206"/>
      <c r="CSL77" s="205"/>
      <c r="CSM77" s="205"/>
      <c r="CSN77" s="204"/>
      <c r="CSO77" s="206"/>
      <c r="CSP77" s="205"/>
      <c r="CSQ77" s="205"/>
      <c r="CSR77" s="204"/>
      <c r="CSS77" s="206"/>
      <c r="CST77" s="205"/>
      <c r="CSU77" s="205"/>
      <c r="CSV77" s="204"/>
      <c r="CSW77" s="206"/>
      <c r="CSX77" s="205"/>
      <c r="CSY77" s="205"/>
      <c r="CSZ77" s="204"/>
      <c r="CTA77" s="206"/>
      <c r="CTB77" s="205"/>
      <c r="CTC77" s="205"/>
      <c r="CTD77" s="204"/>
      <c r="CTE77" s="206"/>
      <c r="CTF77" s="205"/>
      <c r="CTG77" s="205"/>
      <c r="CTH77" s="204"/>
      <c r="CTI77" s="206"/>
      <c r="CTJ77" s="205"/>
      <c r="CTK77" s="205"/>
      <c r="CTL77" s="204"/>
      <c r="CTM77" s="206"/>
      <c r="CTN77" s="205"/>
      <c r="CTO77" s="205"/>
      <c r="CTP77" s="204"/>
      <c r="CTQ77" s="206"/>
      <c r="CTR77" s="205"/>
      <c r="CTS77" s="205"/>
      <c r="CTT77" s="204"/>
      <c r="CTU77" s="206"/>
      <c r="CTV77" s="205"/>
      <c r="CTW77" s="205"/>
      <c r="CTX77" s="204"/>
      <c r="CTY77" s="206"/>
      <c r="CTZ77" s="205"/>
      <c r="CUA77" s="205"/>
      <c r="CUB77" s="204"/>
      <c r="CUC77" s="206"/>
      <c r="CUD77" s="205"/>
      <c r="CUE77" s="205"/>
      <c r="CUF77" s="204"/>
      <c r="CUG77" s="206"/>
      <c r="CUH77" s="205"/>
      <c r="CUI77" s="205"/>
      <c r="CUJ77" s="204"/>
      <c r="CUK77" s="206"/>
      <c r="CUL77" s="205"/>
      <c r="CUM77" s="205"/>
      <c r="CUN77" s="204"/>
      <c r="CUO77" s="206"/>
      <c r="CUP77" s="205"/>
      <c r="CUQ77" s="205"/>
      <c r="CUR77" s="204"/>
      <c r="CUS77" s="206"/>
      <c r="CUT77" s="205"/>
      <c r="CUU77" s="205"/>
      <c r="CUV77" s="204"/>
      <c r="CUW77" s="206"/>
      <c r="CUX77" s="205"/>
      <c r="CUY77" s="205"/>
      <c r="CUZ77" s="204"/>
      <c r="CVA77" s="206"/>
      <c r="CVB77" s="205"/>
      <c r="CVC77" s="205"/>
      <c r="CVD77" s="204"/>
      <c r="CVE77" s="206"/>
      <c r="CVF77" s="205"/>
      <c r="CVG77" s="205"/>
      <c r="CVH77" s="204"/>
      <c r="CVI77" s="206"/>
      <c r="CVJ77" s="205"/>
      <c r="CVK77" s="205"/>
      <c r="CVL77" s="204"/>
      <c r="CVM77" s="206"/>
      <c r="CVN77" s="205"/>
      <c r="CVO77" s="205"/>
      <c r="CVP77" s="204"/>
      <c r="CVQ77" s="206"/>
      <c r="CVR77" s="205"/>
      <c r="CVS77" s="205"/>
      <c r="CVT77" s="204"/>
      <c r="CVU77" s="206"/>
      <c r="CVV77" s="205"/>
      <c r="CVW77" s="205"/>
      <c r="CVX77" s="204"/>
      <c r="CVY77" s="206"/>
      <c r="CVZ77" s="205"/>
      <c r="CWA77" s="205"/>
      <c r="CWB77" s="204"/>
      <c r="CWC77" s="206"/>
      <c r="CWD77" s="205"/>
      <c r="CWE77" s="205"/>
      <c r="CWF77" s="204"/>
      <c r="CWG77" s="206"/>
      <c r="CWH77" s="205"/>
      <c r="CWI77" s="205"/>
      <c r="CWJ77" s="204"/>
      <c r="CWK77" s="206"/>
      <c r="CWL77" s="205"/>
      <c r="CWM77" s="205"/>
      <c r="CWN77" s="204"/>
      <c r="CWO77" s="206"/>
      <c r="CWP77" s="205"/>
      <c r="CWQ77" s="205"/>
      <c r="CWR77" s="204"/>
      <c r="CWS77" s="206"/>
      <c r="CWT77" s="205"/>
      <c r="CWU77" s="205"/>
      <c r="CWV77" s="204"/>
      <c r="CWW77" s="206"/>
      <c r="CWX77" s="205"/>
      <c r="CWY77" s="205"/>
      <c r="CWZ77" s="204"/>
      <c r="CXA77" s="206"/>
      <c r="CXB77" s="205"/>
      <c r="CXC77" s="205"/>
      <c r="CXD77" s="204"/>
      <c r="CXE77" s="206"/>
      <c r="CXF77" s="205"/>
      <c r="CXG77" s="205"/>
      <c r="CXH77" s="204"/>
      <c r="CXI77" s="206"/>
      <c r="CXJ77" s="205"/>
      <c r="CXK77" s="205"/>
      <c r="CXL77" s="204"/>
      <c r="CXM77" s="206"/>
      <c r="CXN77" s="205"/>
      <c r="CXO77" s="205"/>
      <c r="CXP77" s="204"/>
      <c r="CXQ77" s="206"/>
      <c r="CXR77" s="205"/>
      <c r="CXS77" s="205"/>
      <c r="CXT77" s="204"/>
      <c r="CXU77" s="206"/>
      <c r="CXV77" s="205"/>
      <c r="CXW77" s="205"/>
      <c r="CXX77" s="204"/>
      <c r="CXY77" s="206"/>
      <c r="CXZ77" s="205"/>
      <c r="CYA77" s="205"/>
      <c r="CYB77" s="204"/>
      <c r="CYC77" s="206"/>
      <c r="CYD77" s="205"/>
      <c r="CYE77" s="205"/>
      <c r="CYF77" s="204"/>
      <c r="CYG77" s="206"/>
      <c r="CYH77" s="205"/>
      <c r="CYI77" s="205"/>
      <c r="CYJ77" s="204"/>
      <c r="CYK77" s="206"/>
      <c r="CYL77" s="205"/>
      <c r="CYM77" s="205"/>
      <c r="CYN77" s="204"/>
      <c r="CYO77" s="206"/>
      <c r="CYP77" s="205"/>
      <c r="CYQ77" s="205"/>
      <c r="CYR77" s="204"/>
      <c r="CYS77" s="206"/>
      <c r="CYT77" s="205"/>
      <c r="CYU77" s="205"/>
      <c r="CYV77" s="204"/>
      <c r="CYW77" s="206"/>
      <c r="CYX77" s="205"/>
      <c r="CYY77" s="205"/>
      <c r="CYZ77" s="204"/>
      <c r="CZA77" s="206"/>
      <c r="CZB77" s="205"/>
      <c r="CZC77" s="205"/>
      <c r="CZD77" s="204"/>
      <c r="CZE77" s="206"/>
      <c r="CZF77" s="205"/>
      <c r="CZG77" s="205"/>
      <c r="CZH77" s="204"/>
      <c r="CZI77" s="206"/>
      <c r="CZJ77" s="205"/>
      <c r="CZK77" s="205"/>
      <c r="CZL77" s="204"/>
      <c r="CZM77" s="206"/>
      <c r="CZN77" s="205"/>
      <c r="CZO77" s="205"/>
      <c r="CZP77" s="204"/>
      <c r="CZQ77" s="206"/>
      <c r="CZR77" s="205"/>
      <c r="CZS77" s="205"/>
      <c r="CZT77" s="204"/>
      <c r="CZU77" s="206"/>
      <c r="CZV77" s="205"/>
      <c r="CZW77" s="205"/>
      <c r="CZX77" s="204"/>
      <c r="CZY77" s="206"/>
      <c r="CZZ77" s="205"/>
      <c r="DAA77" s="205"/>
      <c r="DAB77" s="204"/>
      <c r="DAC77" s="206"/>
      <c r="DAD77" s="205"/>
      <c r="DAE77" s="205"/>
      <c r="DAF77" s="204"/>
      <c r="DAG77" s="206"/>
      <c r="DAH77" s="205"/>
      <c r="DAI77" s="205"/>
      <c r="DAJ77" s="204"/>
      <c r="DAK77" s="206"/>
      <c r="DAL77" s="205"/>
      <c r="DAM77" s="205"/>
      <c r="DAN77" s="204"/>
      <c r="DAO77" s="206"/>
      <c r="DAP77" s="205"/>
      <c r="DAQ77" s="205"/>
      <c r="DAR77" s="204"/>
      <c r="DAS77" s="206"/>
      <c r="DAT77" s="205"/>
      <c r="DAU77" s="205"/>
      <c r="DAV77" s="204"/>
      <c r="DAW77" s="206"/>
      <c r="DAX77" s="205"/>
      <c r="DAY77" s="205"/>
      <c r="DAZ77" s="204"/>
      <c r="DBA77" s="206"/>
      <c r="DBB77" s="205"/>
      <c r="DBC77" s="205"/>
      <c r="DBD77" s="204"/>
      <c r="DBE77" s="206"/>
      <c r="DBF77" s="205"/>
      <c r="DBG77" s="205"/>
      <c r="DBH77" s="204"/>
      <c r="DBI77" s="206"/>
      <c r="DBJ77" s="205"/>
      <c r="DBK77" s="205"/>
      <c r="DBL77" s="204"/>
      <c r="DBM77" s="206"/>
      <c r="DBN77" s="205"/>
      <c r="DBO77" s="205"/>
      <c r="DBP77" s="204"/>
      <c r="DBQ77" s="206"/>
      <c r="DBR77" s="205"/>
      <c r="DBS77" s="205"/>
      <c r="DBT77" s="204"/>
      <c r="DBU77" s="206"/>
      <c r="DBV77" s="205"/>
      <c r="DBW77" s="205"/>
      <c r="DBX77" s="204"/>
      <c r="DBY77" s="206"/>
      <c r="DBZ77" s="205"/>
      <c r="DCA77" s="205"/>
      <c r="DCB77" s="204"/>
      <c r="DCC77" s="206"/>
      <c r="DCD77" s="205"/>
      <c r="DCE77" s="205"/>
      <c r="DCF77" s="204"/>
      <c r="DCG77" s="206"/>
      <c r="DCH77" s="205"/>
      <c r="DCI77" s="205"/>
      <c r="DCJ77" s="204"/>
      <c r="DCK77" s="206"/>
      <c r="DCL77" s="205"/>
      <c r="DCM77" s="205"/>
      <c r="DCN77" s="204"/>
      <c r="DCO77" s="206"/>
      <c r="DCP77" s="205"/>
      <c r="DCQ77" s="205"/>
      <c r="DCR77" s="204"/>
      <c r="DCS77" s="206"/>
      <c r="DCT77" s="205"/>
      <c r="DCU77" s="205"/>
      <c r="DCV77" s="204"/>
      <c r="DCW77" s="206"/>
      <c r="DCX77" s="205"/>
      <c r="DCY77" s="205"/>
      <c r="DCZ77" s="204"/>
      <c r="DDA77" s="206"/>
      <c r="DDB77" s="205"/>
      <c r="DDC77" s="205"/>
      <c r="DDD77" s="204"/>
      <c r="DDE77" s="206"/>
      <c r="DDF77" s="205"/>
      <c r="DDG77" s="205"/>
      <c r="DDH77" s="204"/>
      <c r="DDI77" s="206"/>
      <c r="DDJ77" s="205"/>
      <c r="DDK77" s="205"/>
      <c r="DDL77" s="204"/>
      <c r="DDM77" s="206"/>
      <c r="DDN77" s="205"/>
      <c r="DDO77" s="205"/>
      <c r="DDP77" s="204"/>
      <c r="DDQ77" s="206"/>
      <c r="DDR77" s="205"/>
      <c r="DDS77" s="205"/>
      <c r="DDT77" s="204"/>
      <c r="DDU77" s="206"/>
      <c r="DDV77" s="205"/>
      <c r="DDW77" s="205"/>
      <c r="DDX77" s="204"/>
      <c r="DDY77" s="206"/>
      <c r="DDZ77" s="205"/>
      <c r="DEA77" s="205"/>
      <c r="DEB77" s="204"/>
      <c r="DEC77" s="206"/>
      <c r="DED77" s="205"/>
      <c r="DEE77" s="205"/>
      <c r="DEF77" s="204"/>
      <c r="DEG77" s="206"/>
      <c r="DEH77" s="205"/>
      <c r="DEI77" s="205"/>
      <c r="DEJ77" s="204"/>
      <c r="DEK77" s="206"/>
      <c r="DEL77" s="205"/>
      <c r="DEM77" s="205"/>
      <c r="DEN77" s="204"/>
      <c r="DEO77" s="206"/>
      <c r="DEP77" s="205"/>
      <c r="DEQ77" s="205"/>
      <c r="DER77" s="204"/>
      <c r="DES77" s="206"/>
      <c r="DET77" s="205"/>
      <c r="DEU77" s="205"/>
      <c r="DEV77" s="204"/>
      <c r="DEW77" s="206"/>
      <c r="DEX77" s="205"/>
      <c r="DEY77" s="205"/>
      <c r="DEZ77" s="204"/>
      <c r="DFA77" s="206"/>
      <c r="DFB77" s="205"/>
      <c r="DFC77" s="205"/>
      <c r="DFD77" s="204"/>
      <c r="DFE77" s="206"/>
      <c r="DFF77" s="205"/>
      <c r="DFG77" s="205"/>
      <c r="DFH77" s="204"/>
      <c r="DFI77" s="206"/>
      <c r="DFJ77" s="205"/>
      <c r="DFK77" s="205"/>
      <c r="DFL77" s="204"/>
      <c r="DFM77" s="206"/>
      <c r="DFN77" s="205"/>
      <c r="DFO77" s="205"/>
      <c r="DFP77" s="204"/>
      <c r="DFQ77" s="206"/>
      <c r="DFR77" s="205"/>
      <c r="DFS77" s="205"/>
      <c r="DFT77" s="204"/>
      <c r="DFU77" s="206"/>
      <c r="DFV77" s="205"/>
      <c r="DFW77" s="205"/>
      <c r="DFX77" s="204"/>
      <c r="DFY77" s="206"/>
      <c r="DFZ77" s="205"/>
      <c r="DGA77" s="205"/>
      <c r="DGB77" s="204"/>
      <c r="DGC77" s="206"/>
      <c r="DGD77" s="205"/>
      <c r="DGE77" s="205"/>
      <c r="DGF77" s="204"/>
      <c r="DGG77" s="206"/>
      <c r="DGH77" s="205"/>
      <c r="DGI77" s="205"/>
      <c r="DGJ77" s="204"/>
      <c r="DGK77" s="206"/>
      <c r="DGL77" s="205"/>
      <c r="DGM77" s="205"/>
      <c r="DGN77" s="204"/>
      <c r="DGO77" s="206"/>
      <c r="DGP77" s="205"/>
      <c r="DGQ77" s="205"/>
      <c r="DGR77" s="204"/>
      <c r="DGS77" s="206"/>
      <c r="DGT77" s="205"/>
      <c r="DGU77" s="205"/>
      <c r="DGV77" s="204"/>
      <c r="DGW77" s="206"/>
      <c r="DGX77" s="205"/>
      <c r="DGY77" s="205"/>
      <c r="DGZ77" s="204"/>
      <c r="DHA77" s="206"/>
      <c r="DHB77" s="205"/>
      <c r="DHC77" s="205"/>
      <c r="DHD77" s="204"/>
      <c r="DHE77" s="206"/>
      <c r="DHF77" s="205"/>
      <c r="DHG77" s="205"/>
      <c r="DHH77" s="204"/>
      <c r="DHI77" s="206"/>
      <c r="DHJ77" s="205"/>
      <c r="DHK77" s="205"/>
      <c r="DHL77" s="204"/>
      <c r="DHM77" s="206"/>
      <c r="DHN77" s="205"/>
      <c r="DHO77" s="205"/>
      <c r="DHP77" s="204"/>
      <c r="DHQ77" s="206"/>
      <c r="DHR77" s="205"/>
      <c r="DHS77" s="205"/>
      <c r="DHT77" s="204"/>
      <c r="DHU77" s="206"/>
      <c r="DHV77" s="205"/>
      <c r="DHW77" s="205"/>
      <c r="DHX77" s="204"/>
      <c r="DHY77" s="206"/>
      <c r="DHZ77" s="205"/>
      <c r="DIA77" s="205"/>
      <c r="DIB77" s="204"/>
      <c r="DIC77" s="206"/>
      <c r="DID77" s="205"/>
      <c r="DIE77" s="205"/>
      <c r="DIF77" s="204"/>
      <c r="DIG77" s="206"/>
      <c r="DIH77" s="205"/>
      <c r="DII77" s="205"/>
      <c r="DIJ77" s="204"/>
      <c r="DIK77" s="206"/>
      <c r="DIL77" s="205"/>
      <c r="DIM77" s="205"/>
      <c r="DIN77" s="204"/>
      <c r="DIO77" s="206"/>
      <c r="DIP77" s="205"/>
      <c r="DIQ77" s="205"/>
      <c r="DIR77" s="204"/>
      <c r="DIS77" s="206"/>
      <c r="DIT77" s="205"/>
      <c r="DIU77" s="205"/>
      <c r="DIV77" s="204"/>
      <c r="DIW77" s="206"/>
      <c r="DIX77" s="205"/>
      <c r="DIY77" s="205"/>
      <c r="DIZ77" s="204"/>
      <c r="DJA77" s="206"/>
      <c r="DJB77" s="205"/>
      <c r="DJC77" s="205"/>
      <c r="DJD77" s="204"/>
      <c r="DJE77" s="206"/>
      <c r="DJF77" s="205"/>
      <c r="DJG77" s="205"/>
      <c r="DJH77" s="204"/>
      <c r="DJI77" s="206"/>
      <c r="DJJ77" s="205"/>
      <c r="DJK77" s="205"/>
      <c r="DJL77" s="204"/>
      <c r="DJM77" s="206"/>
      <c r="DJN77" s="205"/>
      <c r="DJO77" s="205"/>
      <c r="DJP77" s="204"/>
      <c r="DJQ77" s="206"/>
      <c r="DJR77" s="205"/>
      <c r="DJS77" s="205"/>
      <c r="DJT77" s="204"/>
      <c r="DJU77" s="206"/>
      <c r="DJV77" s="205"/>
      <c r="DJW77" s="205"/>
      <c r="DJX77" s="204"/>
      <c r="DJY77" s="206"/>
      <c r="DJZ77" s="205"/>
      <c r="DKA77" s="205"/>
      <c r="DKB77" s="204"/>
      <c r="DKC77" s="206"/>
      <c r="DKD77" s="205"/>
      <c r="DKE77" s="205"/>
      <c r="DKF77" s="204"/>
      <c r="DKG77" s="206"/>
      <c r="DKH77" s="205"/>
      <c r="DKI77" s="205"/>
      <c r="DKJ77" s="204"/>
      <c r="DKK77" s="206"/>
      <c r="DKL77" s="205"/>
      <c r="DKM77" s="205"/>
      <c r="DKN77" s="204"/>
      <c r="DKO77" s="206"/>
      <c r="DKP77" s="205"/>
      <c r="DKQ77" s="205"/>
      <c r="DKR77" s="204"/>
      <c r="DKS77" s="206"/>
      <c r="DKT77" s="205"/>
      <c r="DKU77" s="205"/>
      <c r="DKV77" s="204"/>
      <c r="DKW77" s="206"/>
      <c r="DKX77" s="205"/>
      <c r="DKY77" s="205"/>
      <c r="DKZ77" s="204"/>
      <c r="DLA77" s="206"/>
      <c r="DLB77" s="205"/>
      <c r="DLC77" s="205"/>
      <c r="DLD77" s="204"/>
      <c r="DLE77" s="206"/>
      <c r="DLF77" s="205"/>
      <c r="DLG77" s="205"/>
      <c r="DLH77" s="204"/>
      <c r="DLI77" s="206"/>
      <c r="DLJ77" s="205"/>
      <c r="DLK77" s="205"/>
      <c r="DLL77" s="204"/>
      <c r="DLM77" s="206"/>
      <c r="DLN77" s="205"/>
      <c r="DLO77" s="205"/>
      <c r="DLP77" s="204"/>
      <c r="DLQ77" s="206"/>
      <c r="DLR77" s="205"/>
      <c r="DLS77" s="205"/>
      <c r="DLT77" s="204"/>
      <c r="DLU77" s="206"/>
      <c r="DLV77" s="205"/>
      <c r="DLW77" s="205"/>
      <c r="DLX77" s="204"/>
      <c r="DLY77" s="206"/>
      <c r="DLZ77" s="205"/>
      <c r="DMA77" s="205"/>
      <c r="DMB77" s="204"/>
      <c r="DMC77" s="206"/>
      <c r="DMD77" s="205"/>
      <c r="DME77" s="205"/>
      <c r="DMF77" s="204"/>
      <c r="DMG77" s="206"/>
      <c r="DMH77" s="205"/>
      <c r="DMI77" s="205"/>
      <c r="DMJ77" s="204"/>
      <c r="DMK77" s="206"/>
      <c r="DML77" s="205"/>
      <c r="DMM77" s="205"/>
      <c r="DMN77" s="204"/>
      <c r="DMO77" s="206"/>
      <c r="DMP77" s="205"/>
      <c r="DMQ77" s="205"/>
      <c r="DMR77" s="204"/>
      <c r="DMS77" s="206"/>
      <c r="DMT77" s="205"/>
      <c r="DMU77" s="205"/>
      <c r="DMV77" s="204"/>
      <c r="DMW77" s="206"/>
      <c r="DMX77" s="205"/>
      <c r="DMY77" s="205"/>
      <c r="DMZ77" s="204"/>
      <c r="DNA77" s="206"/>
      <c r="DNB77" s="205"/>
      <c r="DNC77" s="205"/>
      <c r="DND77" s="204"/>
      <c r="DNE77" s="206"/>
      <c r="DNF77" s="205"/>
      <c r="DNG77" s="205"/>
      <c r="DNH77" s="204"/>
      <c r="DNI77" s="206"/>
      <c r="DNJ77" s="205"/>
      <c r="DNK77" s="205"/>
      <c r="DNL77" s="204"/>
      <c r="DNM77" s="206"/>
      <c r="DNN77" s="205"/>
      <c r="DNO77" s="205"/>
      <c r="DNP77" s="204"/>
      <c r="DNQ77" s="206"/>
      <c r="DNR77" s="205"/>
      <c r="DNS77" s="205"/>
      <c r="DNT77" s="204"/>
      <c r="DNU77" s="206"/>
      <c r="DNV77" s="205"/>
      <c r="DNW77" s="205"/>
      <c r="DNX77" s="204"/>
      <c r="DNY77" s="206"/>
      <c r="DNZ77" s="205"/>
      <c r="DOA77" s="205"/>
      <c r="DOB77" s="204"/>
      <c r="DOC77" s="206"/>
      <c r="DOD77" s="205"/>
      <c r="DOE77" s="205"/>
      <c r="DOF77" s="204"/>
      <c r="DOG77" s="206"/>
      <c r="DOH77" s="205"/>
      <c r="DOI77" s="205"/>
      <c r="DOJ77" s="204"/>
      <c r="DOK77" s="206"/>
      <c r="DOL77" s="205"/>
      <c r="DOM77" s="205"/>
      <c r="DON77" s="204"/>
      <c r="DOO77" s="206"/>
      <c r="DOP77" s="205"/>
      <c r="DOQ77" s="205"/>
      <c r="DOR77" s="204"/>
      <c r="DOS77" s="206"/>
      <c r="DOT77" s="205"/>
      <c r="DOU77" s="205"/>
      <c r="DOV77" s="204"/>
      <c r="DOW77" s="206"/>
      <c r="DOX77" s="205"/>
      <c r="DOY77" s="205"/>
      <c r="DOZ77" s="204"/>
      <c r="DPA77" s="206"/>
      <c r="DPB77" s="205"/>
      <c r="DPC77" s="205"/>
      <c r="DPD77" s="204"/>
      <c r="DPE77" s="206"/>
      <c r="DPF77" s="205"/>
      <c r="DPG77" s="205"/>
      <c r="DPH77" s="204"/>
      <c r="DPI77" s="206"/>
      <c r="DPJ77" s="205"/>
      <c r="DPK77" s="205"/>
      <c r="DPL77" s="204"/>
      <c r="DPM77" s="206"/>
      <c r="DPN77" s="205"/>
      <c r="DPO77" s="205"/>
      <c r="DPP77" s="204"/>
      <c r="DPQ77" s="206"/>
      <c r="DPR77" s="205"/>
      <c r="DPS77" s="205"/>
      <c r="DPT77" s="204"/>
      <c r="DPU77" s="206"/>
      <c r="DPV77" s="205"/>
      <c r="DPW77" s="205"/>
      <c r="DPX77" s="204"/>
      <c r="DPY77" s="206"/>
      <c r="DPZ77" s="205"/>
      <c r="DQA77" s="205"/>
      <c r="DQB77" s="204"/>
      <c r="DQC77" s="206"/>
      <c r="DQD77" s="205"/>
      <c r="DQE77" s="205"/>
      <c r="DQF77" s="204"/>
      <c r="DQG77" s="206"/>
      <c r="DQH77" s="205"/>
      <c r="DQI77" s="205"/>
      <c r="DQJ77" s="204"/>
      <c r="DQK77" s="206"/>
      <c r="DQL77" s="205"/>
      <c r="DQM77" s="205"/>
      <c r="DQN77" s="204"/>
      <c r="DQO77" s="206"/>
      <c r="DQP77" s="205"/>
      <c r="DQQ77" s="205"/>
      <c r="DQR77" s="204"/>
      <c r="DQS77" s="206"/>
      <c r="DQT77" s="205"/>
      <c r="DQU77" s="205"/>
      <c r="DQV77" s="204"/>
      <c r="DQW77" s="206"/>
      <c r="DQX77" s="205"/>
      <c r="DQY77" s="205"/>
      <c r="DQZ77" s="204"/>
      <c r="DRA77" s="206"/>
      <c r="DRB77" s="205"/>
      <c r="DRC77" s="205"/>
      <c r="DRD77" s="204"/>
      <c r="DRE77" s="206"/>
      <c r="DRF77" s="205"/>
      <c r="DRG77" s="205"/>
      <c r="DRH77" s="204"/>
      <c r="DRI77" s="206"/>
      <c r="DRJ77" s="205"/>
      <c r="DRK77" s="205"/>
      <c r="DRL77" s="204"/>
      <c r="DRM77" s="206"/>
      <c r="DRN77" s="205"/>
      <c r="DRO77" s="205"/>
      <c r="DRP77" s="204"/>
      <c r="DRQ77" s="206"/>
      <c r="DRR77" s="205"/>
      <c r="DRS77" s="205"/>
      <c r="DRT77" s="204"/>
      <c r="DRU77" s="206"/>
      <c r="DRV77" s="205"/>
      <c r="DRW77" s="205"/>
      <c r="DRX77" s="204"/>
      <c r="DRY77" s="206"/>
      <c r="DRZ77" s="205"/>
      <c r="DSA77" s="205"/>
      <c r="DSB77" s="204"/>
      <c r="DSC77" s="206"/>
      <c r="DSD77" s="205"/>
      <c r="DSE77" s="205"/>
      <c r="DSF77" s="204"/>
      <c r="DSG77" s="206"/>
      <c r="DSH77" s="205"/>
      <c r="DSI77" s="205"/>
      <c r="DSJ77" s="204"/>
      <c r="DSK77" s="206"/>
      <c r="DSL77" s="205"/>
      <c r="DSM77" s="205"/>
      <c r="DSN77" s="204"/>
      <c r="DSO77" s="206"/>
      <c r="DSP77" s="205"/>
      <c r="DSQ77" s="205"/>
      <c r="DSR77" s="204"/>
      <c r="DSS77" s="206"/>
      <c r="DST77" s="205"/>
      <c r="DSU77" s="205"/>
      <c r="DSV77" s="204"/>
      <c r="DSW77" s="206"/>
      <c r="DSX77" s="205"/>
      <c r="DSY77" s="205"/>
      <c r="DSZ77" s="204"/>
      <c r="DTA77" s="206"/>
      <c r="DTB77" s="205"/>
      <c r="DTC77" s="205"/>
      <c r="DTD77" s="204"/>
      <c r="DTE77" s="206"/>
      <c r="DTF77" s="205"/>
      <c r="DTG77" s="205"/>
      <c r="DTH77" s="204"/>
      <c r="DTI77" s="206"/>
      <c r="DTJ77" s="205"/>
      <c r="DTK77" s="205"/>
      <c r="DTL77" s="204"/>
      <c r="DTM77" s="206"/>
      <c r="DTN77" s="205"/>
      <c r="DTO77" s="205"/>
      <c r="DTP77" s="204"/>
      <c r="DTQ77" s="206"/>
      <c r="DTR77" s="205"/>
      <c r="DTS77" s="205"/>
      <c r="DTT77" s="204"/>
      <c r="DTU77" s="206"/>
      <c r="DTV77" s="205"/>
      <c r="DTW77" s="205"/>
      <c r="DTX77" s="204"/>
      <c r="DTY77" s="206"/>
      <c r="DTZ77" s="205"/>
      <c r="DUA77" s="205"/>
      <c r="DUB77" s="204"/>
      <c r="DUC77" s="206"/>
      <c r="DUD77" s="205"/>
      <c r="DUE77" s="205"/>
      <c r="DUF77" s="204"/>
      <c r="DUG77" s="206"/>
      <c r="DUH77" s="205"/>
      <c r="DUI77" s="205"/>
      <c r="DUJ77" s="204"/>
      <c r="DUK77" s="206"/>
      <c r="DUL77" s="205"/>
      <c r="DUM77" s="205"/>
      <c r="DUN77" s="204"/>
      <c r="DUO77" s="206"/>
      <c r="DUP77" s="205"/>
      <c r="DUQ77" s="205"/>
      <c r="DUR77" s="204"/>
      <c r="DUS77" s="206"/>
      <c r="DUT77" s="205"/>
      <c r="DUU77" s="205"/>
      <c r="DUV77" s="204"/>
      <c r="DUW77" s="206"/>
      <c r="DUX77" s="205"/>
      <c r="DUY77" s="205"/>
      <c r="DUZ77" s="204"/>
      <c r="DVA77" s="206"/>
      <c r="DVB77" s="205"/>
      <c r="DVC77" s="205"/>
      <c r="DVD77" s="204"/>
      <c r="DVE77" s="206"/>
      <c r="DVF77" s="205"/>
      <c r="DVG77" s="205"/>
      <c r="DVH77" s="204"/>
      <c r="DVI77" s="206"/>
      <c r="DVJ77" s="205"/>
      <c r="DVK77" s="205"/>
      <c r="DVL77" s="204"/>
      <c r="DVM77" s="206"/>
      <c r="DVN77" s="205"/>
      <c r="DVO77" s="205"/>
      <c r="DVP77" s="204"/>
      <c r="DVQ77" s="206"/>
      <c r="DVR77" s="205"/>
      <c r="DVS77" s="205"/>
      <c r="DVT77" s="204"/>
      <c r="DVU77" s="206"/>
      <c r="DVV77" s="205"/>
      <c r="DVW77" s="205"/>
      <c r="DVX77" s="204"/>
      <c r="DVY77" s="206"/>
      <c r="DVZ77" s="205"/>
      <c r="DWA77" s="205"/>
      <c r="DWB77" s="204"/>
      <c r="DWC77" s="206"/>
      <c r="DWD77" s="205"/>
      <c r="DWE77" s="205"/>
      <c r="DWF77" s="204"/>
      <c r="DWG77" s="206"/>
      <c r="DWH77" s="205"/>
      <c r="DWI77" s="205"/>
      <c r="DWJ77" s="204"/>
      <c r="DWK77" s="206"/>
      <c r="DWL77" s="205"/>
      <c r="DWM77" s="205"/>
      <c r="DWN77" s="204"/>
      <c r="DWO77" s="206"/>
      <c r="DWP77" s="205"/>
      <c r="DWQ77" s="205"/>
      <c r="DWR77" s="204"/>
      <c r="DWS77" s="206"/>
      <c r="DWT77" s="205"/>
      <c r="DWU77" s="205"/>
      <c r="DWV77" s="204"/>
      <c r="DWW77" s="206"/>
      <c r="DWX77" s="205"/>
      <c r="DWY77" s="205"/>
      <c r="DWZ77" s="204"/>
      <c r="DXA77" s="206"/>
      <c r="DXB77" s="205"/>
      <c r="DXC77" s="205"/>
      <c r="DXD77" s="204"/>
      <c r="DXE77" s="206"/>
      <c r="DXF77" s="205"/>
      <c r="DXG77" s="205"/>
      <c r="DXH77" s="204"/>
      <c r="DXI77" s="206"/>
      <c r="DXJ77" s="205"/>
      <c r="DXK77" s="205"/>
      <c r="DXL77" s="204"/>
      <c r="DXM77" s="206"/>
      <c r="DXN77" s="205"/>
      <c r="DXO77" s="205"/>
      <c r="DXP77" s="204"/>
      <c r="DXQ77" s="206"/>
      <c r="DXR77" s="205"/>
      <c r="DXS77" s="205"/>
      <c r="DXT77" s="204"/>
      <c r="DXU77" s="206"/>
      <c r="DXV77" s="205"/>
      <c r="DXW77" s="205"/>
      <c r="DXX77" s="204"/>
      <c r="DXY77" s="206"/>
      <c r="DXZ77" s="205"/>
      <c r="DYA77" s="205"/>
      <c r="DYB77" s="204"/>
      <c r="DYC77" s="206"/>
      <c r="DYD77" s="205"/>
      <c r="DYE77" s="205"/>
      <c r="DYF77" s="204"/>
      <c r="DYG77" s="206"/>
      <c r="DYH77" s="205"/>
      <c r="DYI77" s="205"/>
      <c r="DYJ77" s="204"/>
      <c r="DYK77" s="206"/>
      <c r="DYL77" s="205"/>
      <c r="DYM77" s="205"/>
      <c r="DYN77" s="204"/>
      <c r="DYO77" s="206"/>
      <c r="DYP77" s="205"/>
      <c r="DYQ77" s="205"/>
      <c r="DYR77" s="204"/>
      <c r="DYS77" s="206"/>
      <c r="DYT77" s="205"/>
      <c r="DYU77" s="205"/>
      <c r="DYV77" s="204"/>
      <c r="DYW77" s="206"/>
      <c r="DYX77" s="205"/>
      <c r="DYY77" s="205"/>
      <c r="DYZ77" s="204"/>
      <c r="DZA77" s="206"/>
      <c r="DZB77" s="205"/>
      <c r="DZC77" s="205"/>
      <c r="DZD77" s="204"/>
      <c r="DZE77" s="206"/>
      <c r="DZF77" s="205"/>
      <c r="DZG77" s="205"/>
      <c r="DZH77" s="204"/>
      <c r="DZI77" s="206"/>
      <c r="DZJ77" s="205"/>
      <c r="DZK77" s="205"/>
      <c r="DZL77" s="204"/>
      <c r="DZM77" s="206"/>
      <c r="DZN77" s="205"/>
      <c r="DZO77" s="205"/>
      <c r="DZP77" s="204"/>
      <c r="DZQ77" s="206"/>
      <c r="DZR77" s="205"/>
      <c r="DZS77" s="205"/>
      <c r="DZT77" s="204"/>
      <c r="DZU77" s="206"/>
      <c r="DZV77" s="205"/>
      <c r="DZW77" s="205"/>
      <c r="DZX77" s="204"/>
      <c r="DZY77" s="206"/>
      <c r="DZZ77" s="205"/>
      <c r="EAA77" s="205"/>
      <c r="EAB77" s="204"/>
      <c r="EAC77" s="206"/>
      <c r="EAD77" s="205"/>
      <c r="EAE77" s="205"/>
      <c r="EAF77" s="204"/>
      <c r="EAG77" s="206"/>
      <c r="EAH77" s="205"/>
      <c r="EAI77" s="205"/>
      <c r="EAJ77" s="204"/>
      <c r="EAK77" s="206"/>
      <c r="EAL77" s="205"/>
      <c r="EAM77" s="205"/>
      <c r="EAN77" s="204"/>
      <c r="EAO77" s="206"/>
      <c r="EAP77" s="205"/>
      <c r="EAQ77" s="205"/>
      <c r="EAR77" s="204"/>
      <c r="EAS77" s="206"/>
      <c r="EAT77" s="205"/>
      <c r="EAU77" s="205"/>
      <c r="EAV77" s="204"/>
      <c r="EAW77" s="206"/>
      <c r="EAX77" s="205"/>
      <c r="EAY77" s="205"/>
      <c r="EAZ77" s="204"/>
      <c r="EBA77" s="206"/>
      <c r="EBB77" s="205"/>
      <c r="EBC77" s="205"/>
      <c r="EBD77" s="204"/>
      <c r="EBE77" s="206"/>
      <c r="EBF77" s="205"/>
      <c r="EBG77" s="205"/>
      <c r="EBH77" s="204"/>
      <c r="EBI77" s="206"/>
      <c r="EBJ77" s="205"/>
      <c r="EBK77" s="205"/>
      <c r="EBL77" s="204"/>
      <c r="EBM77" s="206"/>
      <c r="EBN77" s="205"/>
      <c r="EBO77" s="205"/>
      <c r="EBP77" s="204"/>
      <c r="EBQ77" s="206"/>
      <c r="EBR77" s="205"/>
      <c r="EBS77" s="205"/>
      <c r="EBT77" s="204"/>
      <c r="EBU77" s="206"/>
      <c r="EBV77" s="205"/>
      <c r="EBW77" s="205"/>
      <c r="EBX77" s="204"/>
      <c r="EBY77" s="206"/>
      <c r="EBZ77" s="205"/>
      <c r="ECA77" s="205"/>
      <c r="ECB77" s="204"/>
      <c r="ECC77" s="206"/>
      <c r="ECD77" s="205"/>
      <c r="ECE77" s="205"/>
      <c r="ECF77" s="204"/>
      <c r="ECG77" s="206"/>
      <c r="ECH77" s="205"/>
      <c r="ECI77" s="205"/>
      <c r="ECJ77" s="204"/>
      <c r="ECK77" s="206"/>
      <c r="ECL77" s="205"/>
      <c r="ECM77" s="205"/>
      <c r="ECN77" s="204"/>
      <c r="ECO77" s="206"/>
      <c r="ECP77" s="205"/>
      <c r="ECQ77" s="205"/>
      <c r="ECR77" s="204"/>
      <c r="ECS77" s="206"/>
      <c r="ECT77" s="205"/>
      <c r="ECU77" s="205"/>
      <c r="ECV77" s="204"/>
      <c r="ECW77" s="206"/>
      <c r="ECX77" s="205"/>
      <c r="ECY77" s="205"/>
      <c r="ECZ77" s="204"/>
      <c r="EDA77" s="206"/>
      <c r="EDB77" s="205"/>
      <c r="EDC77" s="205"/>
      <c r="EDD77" s="204"/>
      <c r="EDE77" s="206"/>
      <c r="EDF77" s="205"/>
      <c r="EDG77" s="205"/>
      <c r="EDH77" s="204"/>
      <c r="EDI77" s="206"/>
      <c r="EDJ77" s="205"/>
      <c r="EDK77" s="205"/>
      <c r="EDL77" s="204"/>
      <c r="EDM77" s="206"/>
      <c r="EDN77" s="205"/>
      <c r="EDO77" s="205"/>
      <c r="EDP77" s="204"/>
      <c r="EDQ77" s="206"/>
      <c r="EDR77" s="205"/>
      <c r="EDS77" s="205"/>
      <c r="EDT77" s="204"/>
      <c r="EDU77" s="206"/>
      <c r="EDV77" s="205"/>
      <c r="EDW77" s="205"/>
      <c r="EDX77" s="204"/>
      <c r="EDY77" s="206"/>
      <c r="EDZ77" s="205"/>
      <c r="EEA77" s="205"/>
      <c r="EEB77" s="204"/>
      <c r="EEC77" s="206"/>
      <c r="EED77" s="205"/>
      <c r="EEE77" s="205"/>
      <c r="EEF77" s="204"/>
      <c r="EEG77" s="206"/>
      <c r="EEH77" s="205"/>
      <c r="EEI77" s="205"/>
      <c r="EEJ77" s="204"/>
      <c r="EEK77" s="206"/>
      <c r="EEL77" s="205"/>
      <c r="EEM77" s="205"/>
      <c r="EEN77" s="204"/>
      <c r="EEO77" s="206"/>
      <c r="EEP77" s="205"/>
      <c r="EEQ77" s="205"/>
      <c r="EER77" s="204"/>
      <c r="EES77" s="206"/>
      <c r="EET77" s="205"/>
      <c r="EEU77" s="205"/>
      <c r="EEV77" s="204"/>
      <c r="EEW77" s="206"/>
      <c r="EEX77" s="205"/>
      <c r="EEY77" s="205"/>
      <c r="EEZ77" s="204"/>
      <c r="EFA77" s="206"/>
      <c r="EFB77" s="205"/>
      <c r="EFC77" s="205"/>
      <c r="EFD77" s="204"/>
      <c r="EFE77" s="206"/>
      <c r="EFF77" s="205"/>
      <c r="EFG77" s="205"/>
      <c r="EFH77" s="204"/>
      <c r="EFI77" s="206"/>
      <c r="EFJ77" s="205"/>
      <c r="EFK77" s="205"/>
      <c r="EFL77" s="204"/>
      <c r="EFM77" s="206"/>
      <c r="EFN77" s="205"/>
      <c r="EFO77" s="205"/>
      <c r="EFP77" s="204"/>
      <c r="EFQ77" s="206"/>
      <c r="EFR77" s="205"/>
      <c r="EFS77" s="205"/>
      <c r="EFT77" s="204"/>
      <c r="EFU77" s="206"/>
      <c r="EFV77" s="205"/>
      <c r="EFW77" s="205"/>
      <c r="EFX77" s="204"/>
      <c r="EFY77" s="206"/>
      <c r="EFZ77" s="205"/>
      <c r="EGA77" s="205"/>
      <c r="EGB77" s="204"/>
      <c r="EGC77" s="206"/>
      <c r="EGD77" s="205"/>
      <c r="EGE77" s="205"/>
      <c r="EGF77" s="204"/>
      <c r="EGG77" s="206"/>
      <c r="EGH77" s="205"/>
      <c r="EGI77" s="205"/>
      <c r="EGJ77" s="204"/>
      <c r="EGK77" s="206"/>
      <c r="EGL77" s="205"/>
      <c r="EGM77" s="205"/>
      <c r="EGN77" s="204"/>
      <c r="EGO77" s="206"/>
      <c r="EGP77" s="205"/>
      <c r="EGQ77" s="205"/>
      <c r="EGR77" s="204"/>
      <c r="EGS77" s="206"/>
      <c r="EGT77" s="205"/>
      <c r="EGU77" s="205"/>
      <c r="EGV77" s="204"/>
      <c r="EGW77" s="206"/>
      <c r="EGX77" s="205"/>
      <c r="EGY77" s="205"/>
      <c r="EGZ77" s="204"/>
      <c r="EHA77" s="206"/>
      <c r="EHB77" s="205"/>
      <c r="EHC77" s="205"/>
      <c r="EHD77" s="204"/>
      <c r="EHE77" s="206"/>
      <c r="EHF77" s="205"/>
      <c r="EHG77" s="205"/>
      <c r="EHH77" s="204"/>
      <c r="EHI77" s="206"/>
      <c r="EHJ77" s="205"/>
      <c r="EHK77" s="205"/>
      <c r="EHL77" s="204"/>
      <c r="EHM77" s="206"/>
      <c r="EHN77" s="205"/>
      <c r="EHO77" s="205"/>
      <c r="EHP77" s="204"/>
      <c r="EHQ77" s="206"/>
      <c r="EHR77" s="205"/>
      <c r="EHS77" s="205"/>
      <c r="EHT77" s="204"/>
      <c r="EHU77" s="206"/>
      <c r="EHV77" s="205"/>
      <c r="EHW77" s="205"/>
      <c r="EHX77" s="204"/>
      <c r="EHY77" s="206"/>
      <c r="EHZ77" s="205"/>
      <c r="EIA77" s="205"/>
      <c r="EIB77" s="204"/>
      <c r="EIC77" s="206"/>
      <c r="EID77" s="205"/>
      <c r="EIE77" s="205"/>
      <c r="EIF77" s="204"/>
      <c r="EIG77" s="206"/>
      <c r="EIH77" s="205"/>
      <c r="EII77" s="205"/>
      <c r="EIJ77" s="204"/>
      <c r="EIK77" s="206"/>
      <c r="EIL77" s="205"/>
      <c r="EIM77" s="205"/>
      <c r="EIN77" s="204"/>
      <c r="EIO77" s="206"/>
      <c r="EIP77" s="205"/>
      <c r="EIQ77" s="205"/>
      <c r="EIR77" s="204"/>
      <c r="EIS77" s="206"/>
      <c r="EIT77" s="205"/>
      <c r="EIU77" s="205"/>
      <c r="EIV77" s="204"/>
      <c r="EIW77" s="206"/>
      <c r="EIX77" s="205"/>
      <c r="EIY77" s="205"/>
      <c r="EIZ77" s="204"/>
      <c r="EJA77" s="206"/>
      <c r="EJB77" s="205"/>
      <c r="EJC77" s="205"/>
      <c r="EJD77" s="204"/>
      <c r="EJE77" s="206"/>
      <c r="EJF77" s="205"/>
      <c r="EJG77" s="205"/>
      <c r="EJH77" s="204"/>
      <c r="EJI77" s="206"/>
      <c r="EJJ77" s="205"/>
      <c r="EJK77" s="205"/>
      <c r="EJL77" s="204"/>
      <c r="EJM77" s="206"/>
      <c r="EJN77" s="205"/>
      <c r="EJO77" s="205"/>
      <c r="EJP77" s="204"/>
      <c r="EJQ77" s="206"/>
      <c r="EJR77" s="205"/>
      <c r="EJS77" s="205"/>
      <c r="EJT77" s="204"/>
      <c r="EJU77" s="206"/>
      <c r="EJV77" s="205"/>
      <c r="EJW77" s="205"/>
      <c r="EJX77" s="204"/>
      <c r="EJY77" s="206"/>
      <c r="EJZ77" s="205"/>
      <c r="EKA77" s="205"/>
      <c r="EKB77" s="204"/>
      <c r="EKC77" s="206"/>
      <c r="EKD77" s="205"/>
      <c r="EKE77" s="205"/>
      <c r="EKF77" s="204"/>
      <c r="EKG77" s="206"/>
      <c r="EKH77" s="205"/>
      <c r="EKI77" s="205"/>
      <c r="EKJ77" s="204"/>
      <c r="EKK77" s="206"/>
      <c r="EKL77" s="205"/>
      <c r="EKM77" s="205"/>
      <c r="EKN77" s="204"/>
      <c r="EKO77" s="206"/>
      <c r="EKP77" s="205"/>
      <c r="EKQ77" s="205"/>
      <c r="EKR77" s="204"/>
      <c r="EKS77" s="206"/>
      <c r="EKT77" s="205"/>
      <c r="EKU77" s="205"/>
      <c r="EKV77" s="204"/>
      <c r="EKW77" s="206"/>
      <c r="EKX77" s="205"/>
      <c r="EKY77" s="205"/>
      <c r="EKZ77" s="204"/>
      <c r="ELA77" s="206"/>
      <c r="ELB77" s="205"/>
      <c r="ELC77" s="205"/>
      <c r="ELD77" s="204"/>
      <c r="ELE77" s="206"/>
      <c r="ELF77" s="205"/>
      <c r="ELG77" s="205"/>
      <c r="ELH77" s="204"/>
      <c r="ELI77" s="206"/>
      <c r="ELJ77" s="205"/>
      <c r="ELK77" s="205"/>
      <c r="ELL77" s="204"/>
      <c r="ELM77" s="206"/>
      <c r="ELN77" s="205"/>
      <c r="ELO77" s="205"/>
      <c r="ELP77" s="204"/>
      <c r="ELQ77" s="206"/>
      <c r="ELR77" s="205"/>
      <c r="ELS77" s="205"/>
      <c r="ELT77" s="204"/>
      <c r="ELU77" s="206"/>
      <c r="ELV77" s="205"/>
      <c r="ELW77" s="205"/>
      <c r="ELX77" s="204"/>
      <c r="ELY77" s="206"/>
      <c r="ELZ77" s="205"/>
      <c r="EMA77" s="205"/>
      <c r="EMB77" s="204"/>
      <c r="EMC77" s="206"/>
      <c r="EMD77" s="205"/>
      <c r="EME77" s="205"/>
      <c r="EMF77" s="204"/>
      <c r="EMG77" s="206"/>
      <c r="EMH77" s="205"/>
      <c r="EMI77" s="205"/>
      <c r="EMJ77" s="204"/>
      <c r="EMK77" s="206"/>
      <c r="EML77" s="205"/>
      <c r="EMM77" s="205"/>
      <c r="EMN77" s="204"/>
      <c r="EMO77" s="206"/>
      <c r="EMP77" s="205"/>
      <c r="EMQ77" s="205"/>
      <c r="EMR77" s="204"/>
      <c r="EMS77" s="206"/>
      <c r="EMT77" s="205"/>
      <c r="EMU77" s="205"/>
      <c r="EMV77" s="204"/>
      <c r="EMW77" s="206"/>
      <c r="EMX77" s="205"/>
      <c r="EMY77" s="205"/>
      <c r="EMZ77" s="204"/>
      <c r="ENA77" s="206"/>
      <c r="ENB77" s="205"/>
      <c r="ENC77" s="205"/>
      <c r="END77" s="204"/>
      <c r="ENE77" s="206"/>
      <c r="ENF77" s="205"/>
      <c r="ENG77" s="205"/>
      <c r="ENH77" s="204"/>
      <c r="ENI77" s="206"/>
      <c r="ENJ77" s="205"/>
      <c r="ENK77" s="205"/>
      <c r="ENL77" s="204"/>
      <c r="ENM77" s="206"/>
      <c r="ENN77" s="205"/>
      <c r="ENO77" s="205"/>
      <c r="ENP77" s="204"/>
      <c r="ENQ77" s="206"/>
      <c r="ENR77" s="205"/>
      <c r="ENS77" s="205"/>
      <c r="ENT77" s="204"/>
      <c r="ENU77" s="206"/>
      <c r="ENV77" s="205"/>
      <c r="ENW77" s="205"/>
      <c r="ENX77" s="204"/>
      <c r="ENY77" s="206"/>
      <c r="ENZ77" s="205"/>
      <c r="EOA77" s="205"/>
      <c r="EOB77" s="204"/>
      <c r="EOC77" s="206"/>
      <c r="EOD77" s="205"/>
      <c r="EOE77" s="205"/>
      <c r="EOF77" s="204"/>
      <c r="EOG77" s="206"/>
      <c r="EOH77" s="205"/>
      <c r="EOI77" s="205"/>
      <c r="EOJ77" s="204"/>
      <c r="EOK77" s="206"/>
      <c r="EOL77" s="205"/>
      <c r="EOM77" s="205"/>
      <c r="EON77" s="204"/>
      <c r="EOO77" s="206"/>
      <c r="EOP77" s="205"/>
      <c r="EOQ77" s="205"/>
      <c r="EOR77" s="204"/>
      <c r="EOS77" s="206"/>
      <c r="EOT77" s="205"/>
      <c r="EOU77" s="205"/>
      <c r="EOV77" s="204"/>
      <c r="EOW77" s="206"/>
      <c r="EOX77" s="205"/>
      <c r="EOY77" s="205"/>
      <c r="EOZ77" s="204"/>
      <c r="EPA77" s="206"/>
      <c r="EPB77" s="205"/>
      <c r="EPC77" s="205"/>
      <c r="EPD77" s="204"/>
      <c r="EPE77" s="206"/>
      <c r="EPF77" s="205"/>
      <c r="EPG77" s="205"/>
      <c r="EPH77" s="204"/>
      <c r="EPI77" s="206"/>
      <c r="EPJ77" s="205"/>
      <c r="EPK77" s="205"/>
      <c r="EPL77" s="204"/>
      <c r="EPM77" s="206"/>
      <c r="EPN77" s="205"/>
      <c r="EPO77" s="205"/>
      <c r="EPP77" s="204"/>
      <c r="EPQ77" s="206"/>
      <c r="EPR77" s="205"/>
      <c r="EPS77" s="205"/>
      <c r="EPT77" s="204"/>
      <c r="EPU77" s="206"/>
      <c r="EPV77" s="205"/>
      <c r="EPW77" s="205"/>
      <c r="EPX77" s="204"/>
      <c r="EPY77" s="206"/>
      <c r="EPZ77" s="205"/>
      <c r="EQA77" s="205"/>
      <c r="EQB77" s="204"/>
      <c r="EQC77" s="206"/>
      <c r="EQD77" s="205"/>
      <c r="EQE77" s="205"/>
      <c r="EQF77" s="204"/>
      <c r="EQG77" s="206"/>
      <c r="EQH77" s="205"/>
      <c r="EQI77" s="205"/>
      <c r="EQJ77" s="204"/>
      <c r="EQK77" s="206"/>
      <c r="EQL77" s="205"/>
      <c r="EQM77" s="205"/>
      <c r="EQN77" s="204"/>
      <c r="EQO77" s="206"/>
      <c r="EQP77" s="205"/>
      <c r="EQQ77" s="205"/>
      <c r="EQR77" s="204"/>
      <c r="EQS77" s="206"/>
      <c r="EQT77" s="205"/>
      <c r="EQU77" s="205"/>
      <c r="EQV77" s="204"/>
      <c r="EQW77" s="206"/>
      <c r="EQX77" s="205"/>
      <c r="EQY77" s="205"/>
      <c r="EQZ77" s="204"/>
      <c r="ERA77" s="206"/>
      <c r="ERB77" s="205"/>
      <c r="ERC77" s="205"/>
      <c r="ERD77" s="204"/>
      <c r="ERE77" s="206"/>
      <c r="ERF77" s="205"/>
      <c r="ERG77" s="205"/>
      <c r="ERH77" s="204"/>
      <c r="ERI77" s="206"/>
      <c r="ERJ77" s="205"/>
      <c r="ERK77" s="205"/>
      <c r="ERL77" s="204"/>
      <c r="ERM77" s="206"/>
      <c r="ERN77" s="205"/>
      <c r="ERO77" s="205"/>
      <c r="ERP77" s="204"/>
      <c r="ERQ77" s="206"/>
      <c r="ERR77" s="205"/>
      <c r="ERS77" s="205"/>
      <c r="ERT77" s="204"/>
      <c r="ERU77" s="206"/>
      <c r="ERV77" s="205"/>
      <c r="ERW77" s="205"/>
      <c r="ERX77" s="204"/>
      <c r="ERY77" s="206"/>
      <c r="ERZ77" s="205"/>
      <c r="ESA77" s="205"/>
      <c r="ESB77" s="204"/>
      <c r="ESC77" s="206"/>
      <c r="ESD77" s="205"/>
      <c r="ESE77" s="205"/>
      <c r="ESF77" s="204"/>
      <c r="ESG77" s="206"/>
      <c r="ESH77" s="205"/>
      <c r="ESI77" s="205"/>
      <c r="ESJ77" s="204"/>
      <c r="ESK77" s="206"/>
      <c r="ESL77" s="205"/>
      <c r="ESM77" s="205"/>
      <c r="ESN77" s="204"/>
      <c r="ESO77" s="206"/>
      <c r="ESP77" s="205"/>
      <c r="ESQ77" s="205"/>
      <c r="ESR77" s="204"/>
      <c r="ESS77" s="206"/>
      <c r="EST77" s="205"/>
      <c r="ESU77" s="205"/>
      <c r="ESV77" s="204"/>
      <c r="ESW77" s="206"/>
      <c r="ESX77" s="205"/>
      <c r="ESY77" s="205"/>
      <c r="ESZ77" s="204"/>
      <c r="ETA77" s="206"/>
      <c r="ETB77" s="205"/>
      <c r="ETC77" s="205"/>
      <c r="ETD77" s="204"/>
      <c r="ETE77" s="206"/>
      <c r="ETF77" s="205"/>
      <c r="ETG77" s="205"/>
      <c r="ETH77" s="204"/>
      <c r="ETI77" s="206"/>
      <c r="ETJ77" s="205"/>
      <c r="ETK77" s="205"/>
      <c r="ETL77" s="204"/>
      <c r="ETM77" s="206"/>
      <c r="ETN77" s="205"/>
      <c r="ETO77" s="205"/>
      <c r="ETP77" s="204"/>
      <c r="ETQ77" s="206"/>
      <c r="ETR77" s="205"/>
      <c r="ETS77" s="205"/>
      <c r="ETT77" s="204"/>
      <c r="ETU77" s="206"/>
      <c r="ETV77" s="205"/>
      <c r="ETW77" s="205"/>
      <c r="ETX77" s="204"/>
      <c r="ETY77" s="206"/>
      <c r="ETZ77" s="205"/>
      <c r="EUA77" s="205"/>
      <c r="EUB77" s="204"/>
      <c r="EUC77" s="206"/>
      <c r="EUD77" s="205"/>
      <c r="EUE77" s="205"/>
      <c r="EUF77" s="204"/>
      <c r="EUG77" s="206"/>
      <c r="EUH77" s="205"/>
      <c r="EUI77" s="205"/>
      <c r="EUJ77" s="204"/>
      <c r="EUK77" s="206"/>
      <c r="EUL77" s="205"/>
      <c r="EUM77" s="205"/>
      <c r="EUN77" s="204"/>
      <c r="EUO77" s="206"/>
      <c r="EUP77" s="205"/>
      <c r="EUQ77" s="205"/>
      <c r="EUR77" s="204"/>
      <c r="EUS77" s="206"/>
      <c r="EUT77" s="205"/>
      <c r="EUU77" s="205"/>
      <c r="EUV77" s="204"/>
      <c r="EUW77" s="206"/>
      <c r="EUX77" s="205"/>
      <c r="EUY77" s="205"/>
      <c r="EUZ77" s="204"/>
      <c r="EVA77" s="206"/>
      <c r="EVB77" s="205"/>
      <c r="EVC77" s="205"/>
      <c r="EVD77" s="204"/>
      <c r="EVE77" s="206"/>
      <c r="EVF77" s="205"/>
      <c r="EVG77" s="205"/>
      <c r="EVH77" s="204"/>
      <c r="EVI77" s="206"/>
      <c r="EVJ77" s="205"/>
      <c r="EVK77" s="205"/>
      <c r="EVL77" s="204"/>
      <c r="EVM77" s="206"/>
      <c r="EVN77" s="205"/>
      <c r="EVO77" s="205"/>
      <c r="EVP77" s="204"/>
      <c r="EVQ77" s="206"/>
      <c r="EVR77" s="205"/>
      <c r="EVS77" s="205"/>
      <c r="EVT77" s="204"/>
      <c r="EVU77" s="206"/>
      <c r="EVV77" s="205"/>
      <c r="EVW77" s="205"/>
      <c r="EVX77" s="204"/>
      <c r="EVY77" s="206"/>
      <c r="EVZ77" s="205"/>
      <c r="EWA77" s="205"/>
      <c r="EWB77" s="204"/>
      <c r="EWC77" s="206"/>
      <c r="EWD77" s="205"/>
      <c r="EWE77" s="205"/>
      <c r="EWF77" s="204"/>
      <c r="EWG77" s="206"/>
      <c r="EWH77" s="205"/>
      <c r="EWI77" s="205"/>
      <c r="EWJ77" s="204"/>
      <c r="EWK77" s="206"/>
      <c r="EWL77" s="205"/>
      <c r="EWM77" s="205"/>
      <c r="EWN77" s="204"/>
      <c r="EWO77" s="206"/>
      <c r="EWP77" s="205"/>
      <c r="EWQ77" s="205"/>
      <c r="EWR77" s="204"/>
      <c r="EWS77" s="206"/>
      <c r="EWT77" s="205"/>
      <c r="EWU77" s="205"/>
      <c r="EWV77" s="204"/>
      <c r="EWW77" s="206"/>
      <c r="EWX77" s="205"/>
      <c r="EWY77" s="205"/>
      <c r="EWZ77" s="204"/>
      <c r="EXA77" s="206"/>
      <c r="EXB77" s="205"/>
      <c r="EXC77" s="205"/>
      <c r="EXD77" s="204"/>
      <c r="EXE77" s="206"/>
      <c r="EXF77" s="205"/>
      <c r="EXG77" s="205"/>
      <c r="EXH77" s="204"/>
      <c r="EXI77" s="206"/>
      <c r="EXJ77" s="205"/>
      <c r="EXK77" s="205"/>
      <c r="EXL77" s="204"/>
      <c r="EXM77" s="206"/>
      <c r="EXN77" s="205"/>
      <c r="EXO77" s="205"/>
      <c r="EXP77" s="204"/>
      <c r="EXQ77" s="206"/>
      <c r="EXR77" s="205"/>
      <c r="EXS77" s="205"/>
      <c r="EXT77" s="204"/>
      <c r="EXU77" s="206"/>
      <c r="EXV77" s="205"/>
      <c r="EXW77" s="205"/>
      <c r="EXX77" s="204"/>
      <c r="EXY77" s="206"/>
      <c r="EXZ77" s="205"/>
      <c r="EYA77" s="205"/>
      <c r="EYB77" s="204"/>
      <c r="EYC77" s="206"/>
      <c r="EYD77" s="205"/>
      <c r="EYE77" s="205"/>
      <c r="EYF77" s="204"/>
      <c r="EYG77" s="206"/>
      <c r="EYH77" s="205"/>
      <c r="EYI77" s="205"/>
      <c r="EYJ77" s="204"/>
      <c r="EYK77" s="206"/>
      <c r="EYL77" s="205"/>
      <c r="EYM77" s="205"/>
      <c r="EYN77" s="204"/>
      <c r="EYO77" s="206"/>
      <c r="EYP77" s="205"/>
      <c r="EYQ77" s="205"/>
      <c r="EYR77" s="204"/>
      <c r="EYS77" s="206"/>
      <c r="EYT77" s="205"/>
      <c r="EYU77" s="205"/>
      <c r="EYV77" s="204"/>
      <c r="EYW77" s="206"/>
      <c r="EYX77" s="205"/>
      <c r="EYY77" s="205"/>
      <c r="EYZ77" s="204"/>
      <c r="EZA77" s="206"/>
      <c r="EZB77" s="205"/>
      <c r="EZC77" s="205"/>
      <c r="EZD77" s="204"/>
      <c r="EZE77" s="206"/>
      <c r="EZF77" s="205"/>
      <c r="EZG77" s="205"/>
      <c r="EZH77" s="204"/>
      <c r="EZI77" s="206"/>
      <c r="EZJ77" s="205"/>
      <c r="EZK77" s="205"/>
      <c r="EZL77" s="204"/>
      <c r="EZM77" s="206"/>
      <c r="EZN77" s="205"/>
      <c r="EZO77" s="205"/>
      <c r="EZP77" s="204"/>
      <c r="EZQ77" s="206"/>
      <c r="EZR77" s="205"/>
      <c r="EZS77" s="205"/>
      <c r="EZT77" s="204"/>
      <c r="EZU77" s="206"/>
      <c r="EZV77" s="205"/>
      <c r="EZW77" s="205"/>
      <c r="EZX77" s="204"/>
      <c r="EZY77" s="206"/>
      <c r="EZZ77" s="205"/>
      <c r="FAA77" s="205"/>
      <c r="FAB77" s="204"/>
      <c r="FAC77" s="206"/>
      <c r="FAD77" s="205"/>
      <c r="FAE77" s="205"/>
      <c r="FAF77" s="204"/>
      <c r="FAG77" s="206"/>
      <c r="FAH77" s="205"/>
      <c r="FAI77" s="205"/>
      <c r="FAJ77" s="204"/>
      <c r="FAK77" s="206"/>
      <c r="FAL77" s="205"/>
      <c r="FAM77" s="205"/>
      <c r="FAN77" s="204"/>
      <c r="FAO77" s="206"/>
      <c r="FAP77" s="205"/>
      <c r="FAQ77" s="205"/>
      <c r="FAR77" s="204"/>
      <c r="FAS77" s="206"/>
      <c r="FAT77" s="205"/>
      <c r="FAU77" s="205"/>
      <c r="FAV77" s="204"/>
      <c r="FAW77" s="206"/>
      <c r="FAX77" s="205"/>
      <c r="FAY77" s="205"/>
      <c r="FAZ77" s="204"/>
      <c r="FBA77" s="206"/>
      <c r="FBB77" s="205"/>
      <c r="FBC77" s="205"/>
      <c r="FBD77" s="204"/>
      <c r="FBE77" s="206"/>
      <c r="FBF77" s="205"/>
      <c r="FBG77" s="205"/>
      <c r="FBH77" s="204"/>
      <c r="FBI77" s="206"/>
      <c r="FBJ77" s="205"/>
      <c r="FBK77" s="205"/>
      <c r="FBL77" s="204"/>
      <c r="FBM77" s="206"/>
      <c r="FBN77" s="205"/>
      <c r="FBO77" s="205"/>
      <c r="FBP77" s="204"/>
      <c r="FBQ77" s="206"/>
      <c r="FBR77" s="205"/>
      <c r="FBS77" s="205"/>
      <c r="FBT77" s="204"/>
      <c r="FBU77" s="206"/>
      <c r="FBV77" s="205"/>
      <c r="FBW77" s="205"/>
      <c r="FBX77" s="204"/>
      <c r="FBY77" s="206"/>
      <c r="FBZ77" s="205"/>
      <c r="FCA77" s="205"/>
      <c r="FCB77" s="204"/>
      <c r="FCC77" s="206"/>
      <c r="FCD77" s="205"/>
      <c r="FCE77" s="205"/>
      <c r="FCF77" s="204"/>
      <c r="FCG77" s="206"/>
      <c r="FCH77" s="205"/>
      <c r="FCI77" s="205"/>
      <c r="FCJ77" s="204"/>
      <c r="FCK77" s="206"/>
      <c r="FCL77" s="205"/>
      <c r="FCM77" s="205"/>
      <c r="FCN77" s="204"/>
      <c r="FCO77" s="206"/>
      <c r="FCP77" s="205"/>
      <c r="FCQ77" s="205"/>
      <c r="FCR77" s="204"/>
      <c r="FCS77" s="206"/>
      <c r="FCT77" s="205"/>
      <c r="FCU77" s="205"/>
      <c r="FCV77" s="204"/>
      <c r="FCW77" s="206"/>
      <c r="FCX77" s="205"/>
      <c r="FCY77" s="205"/>
      <c r="FCZ77" s="204"/>
      <c r="FDA77" s="206"/>
      <c r="FDB77" s="205"/>
      <c r="FDC77" s="205"/>
      <c r="FDD77" s="204"/>
      <c r="FDE77" s="206"/>
      <c r="FDF77" s="205"/>
      <c r="FDG77" s="205"/>
      <c r="FDH77" s="204"/>
      <c r="FDI77" s="206"/>
      <c r="FDJ77" s="205"/>
      <c r="FDK77" s="205"/>
      <c r="FDL77" s="204"/>
      <c r="FDM77" s="206"/>
      <c r="FDN77" s="205"/>
      <c r="FDO77" s="205"/>
      <c r="FDP77" s="204"/>
      <c r="FDQ77" s="206"/>
      <c r="FDR77" s="205"/>
      <c r="FDS77" s="205"/>
      <c r="FDT77" s="204"/>
      <c r="FDU77" s="206"/>
      <c r="FDV77" s="205"/>
      <c r="FDW77" s="205"/>
      <c r="FDX77" s="204"/>
      <c r="FDY77" s="206"/>
      <c r="FDZ77" s="205"/>
      <c r="FEA77" s="205"/>
      <c r="FEB77" s="204"/>
      <c r="FEC77" s="206"/>
      <c r="FED77" s="205"/>
      <c r="FEE77" s="205"/>
      <c r="FEF77" s="204"/>
      <c r="FEG77" s="206"/>
      <c r="FEH77" s="205"/>
      <c r="FEI77" s="205"/>
      <c r="FEJ77" s="204"/>
      <c r="FEK77" s="206"/>
      <c r="FEL77" s="205"/>
      <c r="FEM77" s="205"/>
      <c r="FEN77" s="204"/>
      <c r="FEO77" s="206"/>
      <c r="FEP77" s="205"/>
      <c r="FEQ77" s="205"/>
      <c r="FER77" s="204"/>
      <c r="FES77" s="206"/>
      <c r="FET77" s="205"/>
      <c r="FEU77" s="205"/>
      <c r="FEV77" s="204"/>
      <c r="FEW77" s="206"/>
      <c r="FEX77" s="205"/>
      <c r="FEY77" s="205"/>
      <c r="FEZ77" s="204"/>
      <c r="FFA77" s="206"/>
      <c r="FFB77" s="205"/>
      <c r="FFC77" s="205"/>
      <c r="FFD77" s="204"/>
      <c r="FFE77" s="206"/>
      <c r="FFF77" s="205"/>
      <c r="FFG77" s="205"/>
      <c r="FFH77" s="204"/>
      <c r="FFI77" s="206"/>
      <c r="FFJ77" s="205"/>
      <c r="FFK77" s="205"/>
      <c r="FFL77" s="204"/>
      <c r="FFM77" s="206"/>
      <c r="FFN77" s="205"/>
      <c r="FFO77" s="205"/>
      <c r="FFP77" s="204"/>
      <c r="FFQ77" s="206"/>
      <c r="FFR77" s="205"/>
      <c r="FFS77" s="205"/>
      <c r="FFT77" s="204"/>
      <c r="FFU77" s="206"/>
      <c r="FFV77" s="205"/>
      <c r="FFW77" s="205"/>
      <c r="FFX77" s="204"/>
      <c r="FFY77" s="206"/>
      <c r="FFZ77" s="205"/>
      <c r="FGA77" s="205"/>
      <c r="FGB77" s="204"/>
      <c r="FGC77" s="206"/>
      <c r="FGD77" s="205"/>
      <c r="FGE77" s="205"/>
      <c r="FGF77" s="204"/>
      <c r="FGG77" s="206"/>
      <c r="FGH77" s="205"/>
      <c r="FGI77" s="205"/>
      <c r="FGJ77" s="204"/>
      <c r="FGK77" s="206"/>
      <c r="FGL77" s="205"/>
      <c r="FGM77" s="205"/>
      <c r="FGN77" s="204"/>
      <c r="FGO77" s="206"/>
      <c r="FGP77" s="205"/>
      <c r="FGQ77" s="205"/>
      <c r="FGR77" s="204"/>
      <c r="FGS77" s="206"/>
      <c r="FGT77" s="205"/>
      <c r="FGU77" s="205"/>
      <c r="FGV77" s="204"/>
      <c r="FGW77" s="206"/>
      <c r="FGX77" s="205"/>
      <c r="FGY77" s="205"/>
      <c r="FGZ77" s="204"/>
      <c r="FHA77" s="206"/>
      <c r="FHB77" s="205"/>
      <c r="FHC77" s="205"/>
      <c r="FHD77" s="204"/>
      <c r="FHE77" s="206"/>
      <c r="FHF77" s="205"/>
      <c r="FHG77" s="205"/>
      <c r="FHH77" s="204"/>
      <c r="FHI77" s="206"/>
      <c r="FHJ77" s="205"/>
      <c r="FHK77" s="205"/>
      <c r="FHL77" s="204"/>
      <c r="FHM77" s="206"/>
      <c r="FHN77" s="205"/>
      <c r="FHO77" s="205"/>
      <c r="FHP77" s="204"/>
      <c r="FHQ77" s="206"/>
      <c r="FHR77" s="205"/>
      <c r="FHS77" s="205"/>
      <c r="FHT77" s="204"/>
      <c r="FHU77" s="206"/>
      <c r="FHV77" s="205"/>
      <c r="FHW77" s="205"/>
      <c r="FHX77" s="204"/>
      <c r="FHY77" s="206"/>
      <c r="FHZ77" s="205"/>
      <c r="FIA77" s="205"/>
      <c r="FIB77" s="204"/>
      <c r="FIC77" s="206"/>
      <c r="FID77" s="205"/>
      <c r="FIE77" s="205"/>
      <c r="FIF77" s="204"/>
      <c r="FIG77" s="206"/>
      <c r="FIH77" s="205"/>
      <c r="FII77" s="205"/>
      <c r="FIJ77" s="204"/>
      <c r="FIK77" s="206"/>
      <c r="FIL77" s="205"/>
      <c r="FIM77" s="205"/>
      <c r="FIN77" s="204"/>
      <c r="FIO77" s="206"/>
      <c r="FIP77" s="205"/>
      <c r="FIQ77" s="205"/>
      <c r="FIR77" s="204"/>
      <c r="FIS77" s="206"/>
      <c r="FIT77" s="205"/>
      <c r="FIU77" s="205"/>
      <c r="FIV77" s="204"/>
      <c r="FIW77" s="206"/>
      <c r="FIX77" s="205"/>
      <c r="FIY77" s="205"/>
      <c r="FIZ77" s="204"/>
      <c r="FJA77" s="206"/>
      <c r="FJB77" s="205"/>
      <c r="FJC77" s="205"/>
      <c r="FJD77" s="204"/>
      <c r="FJE77" s="206"/>
      <c r="FJF77" s="205"/>
      <c r="FJG77" s="205"/>
      <c r="FJH77" s="204"/>
      <c r="FJI77" s="206"/>
      <c r="FJJ77" s="205"/>
      <c r="FJK77" s="205"/>
      <c r="FJL77" s="204"/>
      <c r="FJM77" s="206"/>
      <c r="FJN77" s="205"/>
      <c r="FJO77" s="205"/>
      <c r="FJP77" s="204"/>
      <c r="FJQ77" s="206"/>
      <c r="FJR77" s="205"/>
      <c r="FJS77" s="205"/>
      <c r="FJT77" s="204"/>
      <c r="FJU77" s="206"/>
      <c r="FJV77" s="205"/>
      <c r="FJW77" s="205"/>
      <c r="FJX77" s="204"/>
      <c r="FJY77" s="206"/>
      <c r="FJZ77" s="205"/>
      <c r="FKA77" s="205"/>
      <c r="FKB77" s="204"/>
      <c r="FKC77" s="206"/>
      <c r="FKD77" s="205"/>
      <c r="FKE77" s="205"/>
      <c r="FKF77" s="204"/>
      <c r="FKG77" s="206"/>
      <c r="FKH77" s="205"/>
      <c r="FKI77" s="205"/>
      <c r="FKJ77" s="204"/>
      <c r="FKK77" s="206"/>
      <c r="FKL77" s="205"/>
      <c r="FKM77" s="205"/>
      <c r="FKN77" s="204"/>
      <c r="FKO77" s="206"/>
      <c r="FKP77" s="205"/>
      <c r="FKQ77" s="205"/>
      <c r="FKR77" s="204"/>
      <c r="FKS77" s="206"/>
      <c r="FKT77" s="205"/>
      <c r="FKU77" s="205"/>
      <c r="FKV77" s="204"/>
      <c r="FKW77" s="206"/>
      <c r="FKX77" s="205"/>
      <c r="FKY77" s="205"/>
      <c r="FKZ77" s="204"/>
      <c r="FLA77" s="206"/>
      <c r="FLB77" s="205"/>
      <c r="FLC77" s="205"/>
      <c r="FLD77" s="204"/>
      <c r="FLE77" s="206"/>
      <c r="FLF77" s="205"/>
      <c r="FLG77" s="205"/>
      <c r="FLH77" s="204"/>
      <c r="FLI77" s="206"/>
      <c r="FLJ77" s="205"/>
      <c r="FLK77" s="205"/>
      <c r="FLL77" s="204"/>
      <c r="FLM77" s="206"/>
      <c r="FLN77" s="205"/>
      <c r="FLO77" s="205"/>
      <c r="FLP77" s="204"/>
      <c r="FLQ77" s="206"/>
      <c r="FLR77" s="205"/>
      <c r="FLS77" s="205"/>
      <c r="FLT77" s="204"/>
      <c r="FLU77" s="206"/>
      <c r="FLV77" s="205"/>
      <c r="FLW77" s="205"/>
      <c r="FLX77" s="204"/>
      <c r="FLY77" s="206"/>
      <c r="FLZ77" s="205"/>
      <c r="FMA77" s="205"/>
      <c r="FMB77" s="204"/>
      <c r="FMC77" s="206"/>
      <c r="FMD77" s="205"/>
      <c r="FME77" s="205"/>
      <c r="FMF77" s="204"/>
      <c r="FMG77" s="206"/>
      <c r="FMH77" s="205"/>
      <c r="FMI77" s="205"/>
      <c r="FMJ77" s="204"/>
      <c r="FMK77" s="206"/>
      <c r="FML77" s="205"/>
      <c r="FMM77" s="205"/>
      <c r="FMN77" s="204"/>
      <c r="FMO77" s="206"/>
      <c r="FMP77" s="205"/>
      <c r="FMQ77" s="205"/>
      <c r="FMR77" s="204"/>
      <c r="FMS77" s="206"/>
      <c r="FMT77" s="205"/>
      <c r="FMU77" s="205"/>
      <c r="FMV77" s="204"/>
      <c r="FMW77" s="206"/>
      <c r="FMX77" s="205"/>
      <c r="FMY77" s="205"/>
      <c r="FMZ77" s="204"/>
      <c r="FNA77" s="206"/>
      <c r="FNB77" s="205"/>
      <c r="FNC77" s="205"/>
      <c r="FND77" s="204"/>
      <c r="FNE77" s="206"/>
      <c r="FNF77" s="205"/>
      <c r="FNG77" s="205"/>
      <c r="FNH77" s="204"/>
      <c r="FNI77" s="206"/>
      <c r="FNJ77" s="205"/>
      <c r="FNK77" s="205"/>
      <c r="FNL77" s="204"/>
      <c r="FNM77" s="206"/>
      <c r="FNN77" s="205"/>
      <c r="FNO77" s="205"/>
      <c r="FNP77" s="204"/>
      <c r="FNQ77" s="206"/>
      <c r="FNR77" s="205"/>
      <c r="FNS77" s="205"/>
      <c r="FNT77" s="204"/>
      <c r="FNU77" s="206"/>
      <c r="FNV77" s="205"/>
      <c r="FNW77" s="205"/>
      <c r="FNX77" s="204"/>
      <c r="FNY77" s="206"/>
      <c r="FNZ77" s="205"/>
      <c r="FOA77" s="205"/>
      <c r="FOB77" s="204"/>
      <c r="FOC77" s="206"/>
      <c r="FOD77" s="205"/>
      <c r="FOE77" s="205"/>
      <c r="FOF77" s="204"/>
      <c r="FOG77" s="206"/>
      <c r="FOH77" s="205"/>
      <c r="FOI77" s="205"/>
      <c r="FOJ77" s="204"/>
      <c r="FOK77" s="206"/>
      <c r="FOL77" s="205"/>
      <c r="FOM77" s="205"/>
      <c r="FON77" s="204"/>
      <c r="FOO77" s="206"/>
      <c r="FOP77" s="205"/>
      <c r="FOQ77" s="205"/>
      <c r="FOR77" s="204"/>
      <c r="FOS77" s="206"/>
      <c r="FOT77" s="205"/>
      <c r="FOU77" s="205"/>
      <c r="FOV77" s="204"/>
      <c r="FOW77" s="206"/>
      <c r="FOX77" s="205"/>
      <c r="FOY77" s="205"/>
      <c r="FOZ77" s="204"/>
      <c r="FPA77" s="206"/>
      <c r="FPB77" s="205"/>
      <c r="FPC77" s="205"/>
      <c r="FPD77" s="204"/>
      <c r="FPE77" s="206"/>
      <c r="FPF77" s="205"/>
      <c r="FPG77" s="205"/>
      <c r="FPH77" s="204"/>
      <c r="FPI77" s="206"/>
      <c r="FPJ77" s="205"/>
      <c r="FPK77" s="205"/>
      <c r="FPL77" s="204"/>
      <c r="FPM77" s="206"/>
      <c r="FPN77" s="205"/>
      <c r="FPO77" s="205"/>
      <c r="FPP77" s="204"/>
      <c r="FPQ77" s="206"/>
      <c r="FPR77" s="205"/>
      <c r="FPS77" s="205"/>
      <c r="FPT77" s="204"/>
      <c r="FPU77" s="206"/>
      <c r="FPV77" s="205"/>
      <c r="FPW77" s="205"/>
      <c r="FPX77" s="204"/>
      <c r="FPY77" s="206"/>
      <c r="FPZ77" s="205"/>
      <c r="FQA77" s="205"/>
      <c r="FQB77" s="204"/>
      <c r="FQC77" s="206"/>
      <c r="FQD77" s="205"/>
      <c r="FQE77" s="205"/>
      <c r="FQF77" s="204"/>
      <c r="FQG77" s="206"/>
      <c r="FQH77" s="205"/>
      <c r="FQI77" s="205"/>
      <c r="FQJ77" s="204"/>
      <c r="FQK77" s="206"/>
      <c r="FQL77" s="205"/>
      <c r="FQM77" s="205"/>
      <c r="FQN77" s="204"/>
      <c r="FQO77" s="206"/>
      <c r="FQP77" s="205"/>
      <c r="FQQ77" s="205"/>
      <c r="FQR77" s="204"/>
      <c r="FQS77" s="206"/>
      <c r="FQT77" s="205"/>
      <c r="FQU77" s="205"/>
      <c r="FQV77" s="204"/>
      <c r="FQW77" s="206"/>
      <c r="FQX77" s="205"/>
      <c r="FQY77" s="205"/>
      <c r="FQZ77" s="204"/>
      <c r="FRA77" s="206"/>
      <c r="FRB77" s="205"/>
      <c r="FRC77" s="205"/>
      <c r="FRD77" s="204"/>
      <c r="FRE77" s="206"/>
      <c r="FRF77" s="205"/>
      <c r="FRG77" s="205"/>
      <c r="FRH77" s="204"/>
      <c r="FRI77" s="206"/>
      <c r="FRJ77" s="205"/>
      <c r="FRK77" s="205"/>
      <c r="FRL77" s="204"/>
      <c r="FRM77" s="206"/>
      <c r="FRN77" s="205"/>
      <c r="FRO77" s="205"/>
      <c r="FRP77" s="204"/>
      <c r="FRQ77" s="206"/>
      <c r="FRR77" s="205"/>
      <c r="FRS77" s="205"/>
      <c r="FRT77" s="204"/>
      <c r="FRU77" s="206"/>
      <c r="FRV77" s="205"/>
      <c r="FRW77" s="205"/>
      <c r="FRX77" s="204"/>
      <c r="FRY77" s="206"/>
      <c r="FRZ77" s="205"/>
      <c r="FSA77" s="205"/>
      <c r="FSB77" s="204"/>
      <c r="FSC77" s="206"/>
      <c r="FSD77" s="205"/>
      <c r="FSE77" s="205"/>
      <c r="FSF77" s="204"/>
      <c r="FSG77" s="206"/>
      <c r="FSH77" s="205"/>
      <c r="FSI77" s="205"/>
      <c r="FSJ77" s="204"/>
      <c r="FSK77" s="206"/>
      <c r="FSL77" s="205"/>
      <c r="FSM77" s="205"/>
      <c r="FSN77" s="204"/>
      <c r="FSO77" s="206"/>
      <c r="FSP77" s="205"/>
      <c r="FSQ77" s="205"/>
      <c r="FSR77" s="204"/>
      <c r="FSS77" s="206"/>
      <c r="FST77" s="205"/>
      <c r="FSU77" s="205"/>
      <c r="FSV77" s="204"/>
      <c r="FSW77" s="206"/>
      <c r="FSX77" s="205"/>
      <c r="FSY77" s="205"/>
      <c r="FSZ77" s="204"/>
      <c r="FTA77" s="206"/>
      <c r="FTB77" s="205"/>
      <c r="FTC77" s="205"/>
      <c r="FTD77" s="204"/>
      <c r="FTE77" s="206"/>
      <c r="FTF77" s="205"/>
      <c r="FTG77" s="205"/>
      <c r="FTH77" s="204"/>
      <c r="FTI77" s="206"/>
      <c r="FTJ77" s="205"/>
      <c r="FTK77" s="205"/>
      <c r="FTL77" s="204"/>
      <c r="FTM77" s="206"/>
      <c r="FTN77" s="205"/>
      <c r="FTO77" s="205"/>
      <c r="FTP77" s="204"/>
      <c r="FTQ77" s="206"/>
      <c r="FTR77" s="205"/>
      <c r="FTS77" s="205"/>
      <c r="FTT77" s="204"/>
      <c r="FTU77" s="206"/>
      <c r="FTV77" s="205"/>
      <c r="FTW77" s="205"/>
      <c r="FTX77" s="204"/>
      <c r="FTY77" s="206"/>
      <c r="FTZ77" s="205"/>
      <c r="FUA77" s="205"/>
      <c r="FUB77" s="204"/>
      <c r="FUC77" s="206"/>
      <c r="FUD77" s="205"/>
      <c r="FUE77" s="205"/>
      <c r="FUF77" s="204"/>
      <c r="FUG77" s="206"/>
      <c r="FUH77" s="205"/>
      <c r="FUI77" s="205"/>
      <c r="FUJ77" s="204"/>
      <c r="FUK77" s="206"/>
      <c r="FUL77" s="205"/>
      <c r="FUM77" s="205"/>
      <c r="FUN77" s="204"/>
      <c r="FUO77" s="206"/>
      <c r="FUP77" s="205"/>
      <c r="FUQ77" s="205"/>
      <c r="FUR77" s="204"/>
      <c r="FUS77" s="206"/>
      <c r="FUT77" s="205"/>
      <c r="FUU77" s="205"/>
      <c r="FUV77" s="204"/>
      <c r="FUW77" s="206"/>
      <c r="FUX77" s="205"/>
      <c r="FUY77" s="205"/>
      <c r="FUZ77" s="204"/>
      <c r="FVA77" s="206"/>
      <c r="FVB77" s="205"/>
      <c r="FVC77" s="205"/>
      <c r="FVD77" s="204"/>
      <c r="FVE77" s="206"/>
      <c r="FVF77" s="205"/>
      <c r="FVG77" s="205"/>
      <c r="FVH77" s="204"/>
      <c r="FVI77" s="206"/>
      <c r="FVJ77" s="205"/>
      <c r="FVK77" s="205"/>
      <c r="FVL77" s="204"/>
      <c r="FVM77" s="206"/>
      <c r="FVN77" s="205"/>
      <c r="FVO77" s="205"/>
      <c r="FVP77" s="204"/>
      <c r="FVQ77" s="206"/>
      <c r="FVR77" s="205"/>
      <c r="FVS77" s="205"/>
      <c r="FVT77" s="204"/>
      <c r="FVU77" s="206"/>
      <c r="FVV77" s="205"/>
      <c r="FVW77" s="205"/>
      <c r="FVX77" s="204"/>
      <c r="FVY77" s="206"/>
      <c r="FVZ77" s="205"/>
      <c r="FWA77" s="205"/>
      <c r="FWB77" s="204"/>
      <c r="FWC77" s="206"/>
      <c r="FWD77" s="205"/>
      <c r="FWE77" s="205"/>
      <c r="FWF77" s="204"/>
      <c r="FWG77" s="206"/>
      <c r="FWH77" s="205"/>
      <c r="FWI77" s="205"/>
      <c r="FWJ77" s="204"/>
      <c r="FWK77" s="206"/>
      <c r="FWL77" s="205"/>
      <c r="FWM77" s="205"/>
      <c r="FWN77" s="204"/>
      <c r="FWO77" s="206"/>
      <c r="FWP77" s="205"/>
      <c r="FWQ77" s="205"/>
      <c r="FWR77" s="204"/>
      <c r="FWS77" s="206"/>
      <c r="FWT77" s="205"/>
      <c r="FWU77" s="205"/>
      <c r="FWV77" s="204"/>
      <c r="FWW77" s="206"/>
      <c r="FWX77" s="205"/>
      <c r="FWY77" s="205"/>
      <c r="FWZ77" s="204"/>
      <c r="FXA77" s="206"/>
      <c r="FXB77" s="205"/>
      <c r="FXC77" s="205"/>
      <c r="FXD77" s="204"/>
      <c r="FXE77" s="206"/>
      <c r="FXF77" s="205"/>
      <c r="FXG77" s="205"/>
      <c r="FXH77" s="204"/>
      <c r="FXI77" s="206"/>
      <c r="FXJ77" s="205"/>
      <c r="FXK77" s="205"/>
      <c r="FXL77" s="204"/>
      <c r="FXM77" s="206"/>
      <c r="FXN77" s="205"/>
      <c r="FXO77" s="205"/>
      <c r="FXP77" s="204"/>
      <c r="FXQ77" s="206"/>
      <c r="FXR77" s="205"/>
      <c r="FXS77" s="205"/>
      <c r="FXT77" s="204"/>
      <c r="FXU77" s="206"/>
      <c r="FXV77" s="205"/>
      <c r="FXW77" s="205"/>
      <c r="FXX77" s="204"/>
      <c r="FXY77" s="206"/>
      <c r="FXZ77" s="205"/>
      <c r="FYA77" s="205"/>
      <c r="FYB77" s="204"/>
      <c r="FYC77" s="206"/>
      <c r="FYD77" s="205"/>
      <c r="FYE77" s="205"/>
      <c r="FYF77" s="204"/>
      <c r="FYG77" s="206"/>
      <c r="FYH77" s="205"/>
      <c r="FYI77" s="205"/>
      <c r="FYJ77" s="204"/>
      <c r="FYK77" s="206"/>
      <c r="FYL77" s="205"/>
      <c r="FYM77" s="205"/>
      <c r="FYN77" s="204"/>
      <c r="FYO77" s="206"/>
      <c r="FYP77" s="205"/>
      <c r="FYQ77" s="205"/>
      <c r="FYR77" s="204"/>
      <c r="FYS77" s="206"/>
      <c r="FYT77" s="205"/>
      <c r="FYU77" s="205"/>
      <c r="FYV77" s="204"/>
      <c r="FYW77" s="206"/>
      <c r="FYX77" s="205"/>
      <c r="FYY77" s="205"/>
      <c r="FYZ77" s="204"/>
      <c r="FZA77" s="206"/>
      <c r="FZB77" s="205"/>
      <c r="FZC77" s="205"/>
      <c r="FZD77" s="204"/>
      <c r="FZE77" s="206"/>
      <c r="FZF77" s="205"/>
      <c r="FZG77" s="205"/>
      <c r="FZH77" s="204"/>
      <c r="FZI77" s="206"/>
      <c r="FZJ77" s="205"/>
      <c r="FZK77" s="205"/>
      <c r="FZL77" s="204"/>
      <c r="FZM77" s="206"/>
      <c r="FZN77" s="205"/>
      <c r="FZO77" s="205"/>
      <c r="FZP77" s="204"/>
      <c r="FZQ77" s="206"/>
      <c r="FZR77" s="205"/>
      <c r="FZS77" s="205"/>
      <c r="FZT77" s="204"/>
      <c r="FZU77" s="206"/>
      <c r="FZV77" s="205"/>
      <c r="FZW77" s="205"/>
      <c r="FZX77" s="204"/>
      <c r="FZY77" s="206"/>
      <c r="FZZ77" s="205"/>
      <c r="GAA77" s="205"/>
      <c r="GAB77" s="204"/>
      <c r="GAC77" s="206"/>
      <c r="GAD77" s="205"/>
      <c r="GAE77" s="205"/>
      <c r="GAF77" s="204"/>
      <c r="GAG77" s="206"/>
      <c r="GAH77" s="205"/>
      <c r="GAI77" s="205"/>
      <c r="GAJ77" s="204"/>
      <c r="GAK77" s="206"/>
      <c r="GAL77" s="205"/>
      <c r="GAM77" s="205"/>
      <c r="GAN77" s="204"/>
      <c r="GAO77" s="206"/>
      <c r="GAP77" s="205"/>
      <c r="GAQ77" s="205"/>
      <c r="GAR77" s="204"/>
      <c r="GAS77" s="206"/>
      <c r="GAT77" s="205"/>
      <c r="GAU77" s="205"/>
      <c r="GAV77" s="204"/>
      <c r="GAW77" s="206"/>
      <c r="GAX77" s="205"/>
      <c r="GAY77" s="205"/>
      <c r="GAZ77" s="204"/>
      <c r="GBA77" s="206"/>
      <c r="GBB77" s="205"/>
      <c r="GBC77" s="205"/>
      <c r="GBD77" s="204"/>
      <c r="GBE77" s="206"/>
      <c r="GBF77" s="205"/>
      <c r="GBG77" s="205"/>
      <c r="GBH77" s="204"/>
      <c r="GBI77" s="206"/>
      <c r="GBJ77" s="205"/>
      <c r="GBK77" s="205"/>
      <c r="GBL77" s="204"/>
      <c r="GBM77" s="206"/>
      <c r="GBN77" s="205"/>
      <c r="GBO77" s="205"/>
      <c r="GBP77" s="204"/>
      <c r="GBQ77" s="206"/>
      <c r="GBR77" s="205"/>
      <c r="GBS77" s="205"/>
      <c r="GBT77" s="204"/>
      <c r="GBU77" s="206"/>
      <c r="GBV77" s="205"/>
      <c r="GBW77" s="205"/>
      <c r="GBX77" s="204"/>
      <c r="GBY77" s="206"/>
      <c r="GBZ77" s="205"/>
      <c r="GCA77" s="205"/>
      <c r="GCB77" s="204"/>
      <c r="GCC77" s="206"/>
      <c r="GCD77" s="205"/>
      <c r="GCE77" s="205"/>
      <c r="GCF77" s="204"/>
      <c r="GCG77" s="206"/>
      <c r="GCH77" s="205"/>
      <c r="GCI77" s="205"/>
      <c r="GCJ77" s="204"/>
      <c r="GCK77" s="206"/>
      <c r="GCL77" s="205"/>
      <c r="GCM77" s="205"/>
      <c r="GCN77" s="204"/>
      <c r="GCO77" s="206"/>
      <c r="GCP77" s="205"/>
      <c r="GCQ77" s="205"/>
      <c r="GCR77" s="204"/>
      <c r="GCS77" s="206"/>
      <c r="GCT77" s="205"/>
      <c r="GCU77" s="205"/>
      <c r="GCV77" s="204"/>
      <c r="GCW77" s="206"/>
      <c r="GCX77" s="205"/>
      <c r="GCY77" s="205"/>
      <c r="GCZ77" s="204"/>
      <c r="GDA77" s="206"/>
      <c r="GDB77" s="205"/>
      <c r="GDC77" s="205"/>
      <c r="GDD77" s="204"/>
      <c r="GDE77" s="206"/>
      <c r="GDF77" s="205"/>
      <c r="GDG77" s="205"/>
      <c r="GDH77" s="204"/>
      <c r="GDI77" s="206"/>
      <c r="GDJ77" s="205"/>
      <c r="GDK77" s="205"/>
      <c r="GDL77" s="204"/>
      <c r="GDM77" s="206"/>
      <c r="GDN77" s="205"/>
      <c r="GDO77" s="205"/>
      <c r="GDP77" s="204"/>
      <c r="GDQ77" s="206"/>
      <c r="GDR77" s="205"/>
      <c r="GDS77" s="205"/>
      <c r="GDT77" s="204"/>
      <c r="GDU77" s="206"/>
      <c r="GDV77" s="205"/>
      <c r="GDW77" s="205"/>
      <c r="GDX77" s="204"/>
      <c r="GDY77" s="206"/>
      <c r="GDZ77" s="205"/>
      <c r="GEA77" s="205"/>
      <c r="GEB77" s="204"/>
      <c r="GEC77" s="206"/>
      <c r="GED77" s="205"/>
      <c r="GEE77" s="205"/>
      <c r="GEF77" s="204"/>
      <c r="GEG77" s="206"/>
      <c r="GEH77" s="205"/>
      <c r="GEI77" s="205"/>
      <c r="GEJ77" s="204"/>
      <c r="GEK77" s="206"/>
      <c r="GEL77" s="205"/>
      <c r="GEM77" s="205"/>
      <c r="GEN77" s="204"/>
      <c r="GEO77" s="206"/>
      <c r="GEP77" s="205"/>
      <c r="GEQ77" s="205"/>
      <c r="GER77" s="204"/>
      <c r="GES77" s="206"/>
      <c r="GET77" s="205"/>
      <c r="GEU77" s="205"/>
      <c r="GEV77" s="204"/>
      <c r="GEW77" s="206"/>
      <c r="GEX77" s="205"/>
      <c r="GEY77" s="205"/>
      <c r="GEZ77" s="204"/>
      <c r="GFA77" s="206"/>
      <c r="GFB77" s="205"/>
      <c r="GFC77" s="205"/>
      <c r="GFD77" s="204"/>
      <c r="GFE77" s="206"/>
      <c r="GFF77" s="205"/>
      <c r="GFG77" s="205"/>
      <c r="GFH77" s="204"/>
      <c r="GFI77" s="206"/>
      <c r="GFJ77" s="205"/>
      <c r="GFK77" s="205"/>
      <c r="GFL77" s="204"/>
      <c r="GFM77" s="206"/>
      <c r="GFN77" s="205"/>
      <c r="GFO77" s="205"/>
      <c r="GFP77" s="204"/>
      <c r="GFQ77" s="206"/>
      <c r="GFR77" s="205"/>
      <c r="GFS77" s="205"/>
      <c r="GFT77" s="204"/>
      <c r="GFU77" s="206"/>
      <c r="GFV77" s="205"/>
      <c r="GFW77" s="205"/>
      <c r="GFX77" s="204"/>
      <c r="GFY77" s="206"/>
      <c r="GFZ77" s="205"/>
      <c r="GGA77" s="205"/>
      <c r="GGB77" s="204"/>
      <c r="GGC77" s="206"/>
      <c r="GGD77" s="205"/>
      <c r="GGE77" s="205"/>
      <c r="GGF77" s="204"/>
      <c r="GGG77" s="206"/>
      <c r="GGH77" s="205"/>
      <c r="GGI77" s="205"/>
      <c r="GGJ77" s="204"/>
      <c r="GGK77" s="206"/>
      <c r="GGL77" s="205"/>
      <c r="GGM77" s="205"/>
      <c r="GGN77" s="204"/>
      <c r="GGO77" s="206"/>
      <c r="GGP77" s="205"/>
      <c r="GGQ77" s="205"/>
      <c r="GGR77" s="204"/>
      <c r="GGS77" s="206"/>
      <c r="GGT77" s="205"/>
      <c r="GGU77" s="205"/>
      <c r="GGV77" s="204"/>
      <c r="GGW77" s="206"/>
      <c r="GGX77" s="205"/>
      <c r="GGY77" s="205"/>
      <c r="GGZ77" s="204"/>
      <c r="GHA77" s="206"/>
      <c r="GHB77" s="205"/>
      <c r="GHC77" s="205"/>
      <c r="GHD77" s="204"/>
      <c r="GHE77" s="206"/>
      <c r="GHF77" s="205"/>
      <c r="GHG77" s="205"/>
      <c r="GHH77" s="204"/>
      <c r="GHI77" s="206"/>
      <c r="GHJ77" s="205"/>
      <c r="GHK77" s="205"/>
      <c r="GHL77" s="204"/>
      <c r="GHM77" s="206"/>
      <c r="GHN77" s="205"/>
      <c r="GHO77" s="205"/>
      <c r="GHP77" s="204"/>
      <c r="GHQ77" s="206"/>
      <c r="GHR77" s="205"/>
      <c r="GHS77" s="205"/>
      <c r="GHT77" s="204"/>
      <c r="GHU77" s="206"/>
      <c r="GHV77" s="205"/>
      <c r="GHW77" s="205"/>
      <c r="GHX77" s="204"/>
      <c r="GHY77" s="206"/>
      <c r="GHZ77" s="205"/>
      <c r="GIA77" s="205"/>
      <c r="GIB77" s="204"/>
      <c r="GIC77" s="206"/>
      <c r="GID77" s="205"/>
      <c r="GIE77" s="205"/>
      <c r="GIF77" s="204"/>
      <c r="GIG77" s="206"/>
      <c r="GIH77" s="205"/>
      <c r="GII77" s="205"/>
      <c r="GIJ77" s="204"/>
      <c r="GIK77" s="206"/>
      <c r="GIL77" s="205"/>
      <c r="GIM77" s="205"/>
      <c r="GIN77" s="204"/>
      <c r="GIO77" s="206"/>
      <c r="GIP77" s="205"/>
      <c r="GIQ77" s="205"/>
      <c r="GIR77" s="204"/>
      <c r="GIS77" s="206"/>
      <c r="GIT77" s="205"/>
      <c r="GIU77" s="205"/>
      <c r="GIV77" s="204"/>
      <c r="GIW77" s="206"/>
      <c r="GIX77" s="205"/>
      <c r="GIY77" s="205"/>
      <c r="GIZ77" s="204"/>
      <c r="GJA77" s="206"/>
      <c r="GJB77" s="205"/>
      <c r="GJC77" s="205"/>
      <c r="GJD77" s="204"/>
      <c r="GJE77" s="206"/>
      <c r="GJF77" s="205"/>
      <c r="GJG77" s="205"/>
      <c r="GJH77" s="204"/>
      <c r="GJI77" s="206"/>
      <c r="GJJ77" s="205"/>
      <c r="GJK77" s="205"/>
      <c r="GJL77" s="204"/>
      <c r="GJM77" s="206"/>
      <c r="GJN77" s="205"/>
      <c r="GJO77" s="205"/>
      <c r="GJP77" s="204"/>
      <c r="GJQ77" s="206"/>
      <c r="GJR77" s="205"/>
      <c r="GJS77" s="205"/>
      <c r="GJT77" s="204"/>
      <c r="GJU77" s="206"/>
      <c r="GJV77" s="205"/>
      <c r="GJW77" s="205"/>
      <c r="GJX77" s="204"/>
      <c r="GJY77" s="206"/>
      <c r="GJZ77" s="205"/>
      <c r="GKA77" s="205"/>
      <c r="GKB77" s="204"/>
      <c r="GKC77" s="206"/>
      <c r="GKD77" s="205"/>
      <c r="GKE77" s="205"/>
      <c r="GKF77" s="204"/>
      <c r="GKG77" s="206"/>
      <c r="GKH77" s="205"/>
      <c r="GKI77" s="205"/>
      <c r="GKJ77" s="204"/>
      <c r="GKK77" s="206"/>
      <c r="GKL77" s="205"/>
      <c r="GKM77" s="205"/>
      <c r="GKN77" s="204"/>
      <c r="GKO77" s="206"/>
      <c r="GKP77" s="205"/>
      <c r="GKQ77" s="205"/>
      <c r="GKR77" s="204"/>
      <c r="GKS77" s="206"/>
      <c r="GKT77" s="205"/>
      <c r="GKU77" s="205"/>
      <c r="GKV77" s="204"/>
      <c r="GKW77" s="206"/>
      <c r="GKX77" s="205"/>
      <c r="GKY77" s="205"/>
      <c r="GKZ77" s="204"/>
      <c r="GLA77" s="206"/>
      <c r="GLB77" s="205"/>
      <c r="GLC77" s="205"/>
      <c r="GLD77" s="204"/>
      <c r="GLE77" s="206"/>
      <c r="GLF77" s="205"/>
      <c r="GLG77" s="205"/>
      <c r="GLH77" s="204"/>
      <c r="GLI77" s="206"/>
      <c r="GLJ77" s="205"/>
      <c r="GLK77" s="205"/>
      <c r="GLL77" s="204"/>
      <c r="GLM77" s="206"/>
      <c r="GLN77" s="205"/>
      <c r="GLO77" s="205"/>
      <c r="GLP77" s="204"/>
      <c r="GLQ77" s="206"/>
      <c r="GLR77" s="205"/>
      <c r="GLS77" s="205"/>
      <c r="GLT77" s="204"/>
      <c r="GLU77" s="206"/>
      <c r="GLV77" s="205"/>
      <c r="GLW77" s="205"/>
      <c r="GLX77" s="204"/>
      <c r="GLY77" s="206"/>
      <c r="GLZ77" s="205"/>
      <c r="GMA77" s="205"/>
      <c r="GMB77" s="204"/>
      <c r="GMC77" s="206"/>
      <c r="GMD77" s="205"/>
      <c r="GME77" s="205"/>
      <c r="GMF77" s="204"/>
      <c r="GMG77" s="206"/>
      <c r="GMH77" s="205"/>
      <c r="GMI77" s="205"/>
      <c r="GMJ77" s="204"/>
      <c r="GMK77" s="206"/>
      <c r="GML77" s="205"/>
      <c r="GMM77" s="205"/>
      <c r="GMN77" s="204"/>
      <c r="GMO77" s="206"/>
      <c r="GMP77" s="205"/>
      <c r="GMQ77" s="205"/>
      <c r="GMR77" s="204"/>
      <c r="GMS77" s="206"/>
      <c r="GMT77" s="205"/>
      <c r="GMU77" s="205"/>
      <c r="GMV77" s="204"/>
      <c r="GMW77" s="206"/>
      <c r="GMX77" s="205"/>
      <c r="GMY77" s="205"/>
      <c r="GMZ77" s="204"/>
      <c r="GNA77" s="206"/>
      <c r="GNB77" s="205"/>
      <c r="GNC77" s="205"/>
      <c r="GND77" s="204"/>
      <c r="GNE77" s="206"/>
      <c r="GNF77" s="205"/>
      <c r="GNG77" s="205"/>
      <c r="GNH77" s="204"/>
      <c r="GNI77" s="206"/>
      <c r="GNJ77" s="205"/>
      <c r="GNK77" s="205"/>
      <c r="GNL77" s="204"/>
      <c r="GNM77" s="206"/>
      <c r="GNN77" s="205"/>
      <c r="GNO77" s="205"/>
      <c r="GNP77" s="204"/>
      <c r="GNQ77" s="206"/>
      <c r="GNR77" s="205"/>
      <c r="GNS77" s="205"/>
      <c r="GNT77" s="204"/>
      <c r="GNU77" s="206"/>
      <c r="GNV77" s="205"/>
      <c r="GNW77" s="205"/>
      <c r="GNX77" s="204"/>
      <c r="GNY77" s="206"/>
      <c r="GNZ77" s="205"/>
      <c r="GOA77" s="205"/>
      <c r="GOB77" s="204"/>
      <c r="GOC77" s="206"/>
      <c r="GOD77" s="205"/>
      <c r="GOE77" s="205"/>
      <c r="GOF77" s="204"/>
      <c r="GOG77" s="206"/>
      <c r="GOH77" s="205"/>
      <c r="GOI77" s="205"/>
      <c r="GOJ77" s="204"/>
      <c r="GOK77" s="206"/>
      <c r="GOL77" s="205"/>
      <c r="GOM77" s="205"/>
      <c r="GON77" s="204"/>
      <c r="GOO77" s="206"/>
      <c r="GOP77" s="205"/>
      <c r="GOQ77" s="205"/>
      <c r="GOR77" s="204"/>
      <c r="GOS77" s="206"/>
      <c r="GOT77" s="205"/>
      <c r="GOU77" s="205"/>
      <c r="GOV77" s="204"/>
      <c r="GOW77" s="206"/>
      <c r="GOX77" s="205"/>
      <c r="GOY77" s="205"/>
      <c r="GOZ77" s="204"/>
      <c r="GPA77" s="206"/>
      <c r="GPB77" s="205"/>
      <c r="GPC77" s="205"/>
      <c r="GPD77" s="204"/>
      <c r="GPE77" s="206"/>
      <c r="GPF77" s="205"/>
      <c r="GPG77" s="205"/>
      <c r="GPH77" s="204"/>
      <c r="GPI77" s="206"/>
      <c r="GPJ77" s="205"/>
      <c r="GPK77" s="205"/>
      <c r="GPL77" s="204"/>
      <c r="GPM77" s="206"/>
      <c r="GPN77" s="205"/>
      <c r="GPO77" s="205"/>
      <c r="GPP77" s="204"/>
      <c r="GPQ77" s="206"/>
      <c r="GPR77" s="205"/>
      <c r="GPS77" s="205"/>
      <c r="GPT77" s="204"/>
      <c r="GPU77" s="206"/>
      <c r="GPV77" s="205"/>
      <c r="GPW77" s="205"/>
      <c r="GPX77" s="204"/>
      <c r="GPY77" s="206"/>
      <c r="GPZ77" s="205"/>
      <c r="GQA77" s="205"/>
      <c r="GQB77" s="204"/>
      <c r="GQC77" s="206"/>
      <c r="GQD77" s="205"/>
      <c r="GQE77" s="205"/>
      <c r="GQF77" s="204"/>
      <c r="GQG77" s="206"/>
      <c r="GQH77" s="205"/>
      <c r="GQI77" s="205"/>
      <c r="GQJ77" s="204"/>
      <c r="GQK77" s="206"/>
      <c r="GQL77" s="205"/>
      <c r="GQM77" s="205"/>
      <c r="GQN77" s="204"/>
      <c r="GQO77" s="206"/>
      <c r="GQP77" s="205"/>
      <c r="GQQ77" s="205"/>
      <c r="GQR77" s="204"/>
      <c r="GQS77" s="206"/>
      <c r="GQT77" s="205"/>
      <c r="GQU77" s="205"/>
      <c r="GQV77" s="204"/>
      <c r="GQW77" s="206"/>
      <c r="GQX77" s="205"/>
      <c r="GQY77" s="205"/>
      <c r="GQZ77" s="204"/>
      <c r="GRA77" s="206"/>
      <c r="GRB77" s="205"/>
      <c r="GRC77" s="205"/>
      <c r="GRD77" s="204"/>
      <c r="GRE77" s="206"/>
      <c r="GRF77" s="205"/>
      <c r="GRG77" s="205"/>
      <c r="GRH77" s="204"/>
      <c r="GRI77" s="206"/>
      <c r="GRJ77" s="205"/>
      <c r="GRK77" s="205"/>
      <c r="GRL77" s="204"/>
      <c r="GRM77" s="206"/>
      <c r="GRN77" s="205"/>
      <c r="GRO77" s="205"/>
      <c r="GRP77" s="204"/>
      <c r="GRQ77" s="206"/>
      <c r="GRR77" s="205"/>
      <c r="GRS77" s="205"/>
      <c r="GRT77" s="204"/>
      <c r="GRU77" s="206"/>
      <c r="GRV77" s="205"/>
      <c r="GRW77" s="205"/>
      <c r="GRX77" s="204"/>
      <c r="GRY77" s="206"/>
      <c r="GRZ77" s="205"/>
      <c r="GSA77" s="205"/>
      <c r="GSB77" s="204"/>
      <c r="GSC77" s="206"/>
      <c r="GSD77" s="205"/>
      <c r="GSE77" s="205"/>
      <c r="GSF77" s="204"/>
      <c r="GSG77" s="206"/>
      <c r="GSH77" s="205"/>
      <c r="GSI77" s="205"/>
      <c r="GSJ77" s="204"/>
      <c r="GSK77" s="206"/>
      <c r="GSL77" s="205"/>
      <c r="GSM77" s="205"/>
      <c r="GSN77" s="204"/>
      <c r="GSO77" s="206"/>
      <c r="GSP77" s="205"/>
      <c r="GSQ77" s="205"/>
      <c r="GSR77" s="204"/>
      <c r="GSS77" s="206"/>
      <c r="GST77" s="205"/>
      <c r="GSU77" s="205"/>
      <c r="GSV77" s="204"/>
      <c r="GSW77" s="206"/>
      <c r="GSX77" s="205"/>
      <c r="GSY77" s="205"/>
      <c r="GSZ77" s="204"/>
      <c r="GTA77" s="206"/>
      <c r="GTB77" s="205"/>
      <c r="GTC77" s="205"/>
      <c r="GTD77" s="204"/>
      <c r="GTE77" s="206"/>
      <c r="GTF77" s="205"/>
      <c r="GTG77" s="205"/>
      <c r="GTH77" s="204"/>
      <c r="GTI77" s="206"/>
      <c r="GTJ77" s="205"/>
      <c r="GTK77" s="205"/>
      <c r="GTL77" s="204"/>
      <c r="GTM77" s="206"/>
      <c r="GTN77" s="205"/>
      <c r="GTO77" s="205"/>
      <c r="GTP77" s="204"/>
      <c r="GTQ77" s="206"/>
      <c r="GTR77" s="205"/>
      <c r="GTS77" s="205"/>
      <c r="GTT77" s="204"/>
      <c r="GTU77" s="206"/>
      <c r="GTV77" s="205"/>
      <c r="GTW77" s="205"/>
      <c r="GTX77" s="204"/>
      <c r="GTY77" s="206"/>
      <c r="GTZ77" s="205"/>
      <c r="GUA77" s="205"/>
      <c r="GUB77" s="204"/>
      <c r="GUC77" s="206"/>
      <c r="GUD77" s="205"/>
      <c r="GUE77" s="205"/>
      <c r="GUF77" s="204"/>
      <c r="GUG77" s="206"/>
      <c r="GUH77" s="205"/>
      <c r="GUI77" s="205"/>
      <c r="GUJ77" s="204"/>
      <c r="GUK77" s="206"/>
      <c r="GUL77" s="205"/>
      <c r="GUM77" s="205"/>
      <c r="GUN77" s="204"/>
      <c r="GUO77" s="206"/>
      <c r="GUP77" s="205"/>
      <c r="GUQ77" s="205"/>
      <c r="GUR77" s="204"/>
      <c r="GUS77" s="206"/>
      <c r="GUT77" s="205"/>
      <c r="GUU77" s="205"/>
      <c r="GUV77" s="204"/>
      <c r="GUW77" s="206"/>
      <c r="GUX77" s="205"/>
      <c r="GUY77" s="205"/>
      <c r="GUZ77" s="204"/>
      <c r="GVA77" s="206"/>
      <c r="GVB77" s="205"/>
      <c r="GVC77" s="205"/>
      <c r="GVD77" s="204"/>
      <c r="GVE77" s="206"/>
      <c r="GVF77" s="205"/>
      <c r="GVG77" s="205"/>
      <c r="GVH77" s="204"/>
      <c r="GVI77" s="206"/>
      <c r="GVJ77" s="205"/>
      <c r="GVK77" s="205"/>
      <c r="GVL77" s="204"/>
      <c r="GVM77" s="206"/>
      <c r="GVN77" s="205"/>
      <c r="GVO77" s="205"/>
      <c r="GVP77" s="204"/>
      <c r="GVQ77" s="206"/>
      <c r="GVR77" s="205"/>
      <c r="GVS77" s="205"/>
      <c r="GVT77" s="204"/>
      <c r="GVU77" s="206"/>
      <c r="GVV77" s="205"/>
      <c r="GVW77" s="205"/>
      <c r="GVX77" s="204"/>
      <c r="GVY77" s="206"/>
      <c r="GVZ77" s="205"/>
      <c r="GWA77" s="205"/>
      <c r="GWB77" s="204"/>
      <c r="GWC77" s="206"/>
      <c r="GWD77" s="205"/>
      <c r="GWE77" s="205"/>
      <c r="GWF77" s="204"/>
      <c r="GWG77" s="206"/>
      <c r="GWH77" s="205"/>
      <c r="GWI77" s="205"/>
      <c r="GWJ77" s="204"/>
      <c r="GWK77" s="206"/>
      <c r="GWL77" s="205"/>
      <c r="GWM77" s="205"/>
      <c r="GWN77" s="204"/>
      <c r="GWO77" s="206"/>
      <c r="GWP77" s="205"/>
      <c r="GWQ77" s="205"/>
      <c r="GWR77" s="204"/>
      <c r="GWS77" s="206"/>
      <c r="GWT77" s="205"/>
      <c r="GWU77" s="205"/>
      <c r="GWV77" s="204"/>
      <c r="GWW77" s="206"/>
      <c r="GWX77" s="205"/>
      <c r="GWY77" s="205"/>
      <c r="GWZ77" s="204"/>
      <c r="GXA77" s="206"/>
      <c r="GXB77" s="205"/>
      <c r="GXC77" s="205"/>
      <c r="GXD77" s="204"/>
      <c r="GXE77" s="206"/>
      <c r="GXF77" s="205"/>
      <c r="GXG77" s="205"/>
      <c r="GXH77" s="204"/>
      <c r="GXI77" s="206"/>
      <c r="GXJ77" s="205"/>
      <c r="GXK77" s="205"/>
      <c r="GXL77" s="204"/>
      <c r="GXM77" s="206"/>
      <c r="GXN77" s="205"/>
      <c r="GXO77" s="205"/>
      <c r="GXP77" s="204"/>
      <c r="GXQ77" s="206"/>
      <c r="GXR77" s="205"/>
      <c r="GXS77" s="205"/>
      <c r="GXT77" s="204"/>
      <c r="GXU77" s="206"/>
      <c r="GXV77" s="205"/>
      <c r="GXW77" s="205"/>
      <c r="GXX77" s="204"/>
      <c r="GXY77" s="206"/>
      <c r="GXZ77" s="205"/>
      <c r="GYA77" s="205"/>
      <c r="GYB77" s="204"/>
      <c r="GYC77" s="206"/>
      <c r="GYD77" s="205"/>
      <c r="GYE77" s="205"/>
      <c r="GYF77" s="204"/>
      <c r="GYG77" s="206"/>
      <c r="GYH77" s="205"/>
      <c r="GYI77" s="205"/>
      <c r="GYJ77" s="204"/>
      <c r="GYK77" s="206"/>
      <c r="GYL77" s="205"/>
      <c r="GYM77" s="205"/>
      <c r="GYN77" s="204"/>
      <c r="GYO77" s="206"/>
      <c r="GYP77" s="205"/>
      <c r="GYQ77" s="205"/>
      <c r="GYR77" s="204"/>
      <c r="GYS77" s="206"/>
      <c r="GYT77" s="205"/>
      <c r="GYU77" s="205"/>
      <c r="GYV77" s="204"/>
      <c r="GYW77" s="206"/>
      <c r="GYX77" s="205"/>
      <c r="GYY77" s="205"/>
      <c r="GYZ77" s="204"/>
      <c r="GZA77" s="206"/>
      <c r="GZB77" s="205"/>
      <c r="GZC77" s="205"/>
      <c r="GZD77" s="204"/>
      <c r="GZE77" s="206"/>
      <c r="GZF77" s="205"/>
      <c r="GZG77" s="205"/>
      <c r="GZH77" s="204"/>
      <c r="GZI77" s="206"/>
      <c r="GZJ77" s="205"/>
      <c r="GZK77" s="205"/>
      <c r="GZL77" s="204"/>
      <c r="GZM77" s="206"/>
      <c r="GZN77" s="205"/>
      <c r="GZO77" s="205"/>
      <c r="GZP77" s="204"/>
      <c r="GZQ77" s="206"/>
      <c r="GZR77" s="205"/>
      <c r="GZS77" s="205"/>
      <c r="GZT77" s="204"/>
      <c r="GZU77" s="206"/>
      <c r="GZV77" s="205"/>
      <c r="GZW77" s="205"/>
      <c r="GZX77" s="204"/>
      <c r="GZY77" s="206"/>
      <c r="GZZ77" s="205"/>
      <c r="HAA77" s="205"/>
      <c r="HAB77" s="204"/>
      <c r="HAC77" s="206"/>
      <c r="HAD77" s="205"/>
      <c r="HAE77" s="205"/>
      <c r="HAF77" s="204"/>
      <c r="HAG77" s="206"/>
      <c r="HAH77" s="205"/>
      <c r="HAI77" s="205"/>
      <c r="HAJ77" s="204"/>
      <c r="HAK77" s="206"/>
      <c r="HAL77" s="205"/>
      <c r="HAM77" s="205"/>
      <c r="HAN77" s="204"/>
      <c r="HAO77" s="206"/>
      <c r="HAP77" s="205"/>
      <c r="HAQ77" s="205"/>
      <c r="HAR77" s="204"/>
      <c r="HAS77" s="206"/>
      <c r="HAT77" s="205"/>
      <c r="HAU77" s="205"/>
      <c r="HAV77" s="204"/>
      <c r="HAW77" s="206"/>
      <c r="HAX77" s="205"/>
      <c r="HAY77" s="205"/>
      <c r="HAZ77" s="204"/>
      <c r="HBA77" s="206"/>
      <c r="HBB77" s="205"/>
      <c r="HBC77" s="205"/>
      <c r="HBD77" s="204"/>
      <c r="HBE77" s="206"/>
      <c r="HBF77" s="205"/>
      <c r="HBG77" s="205"/>
      <c r="HBH77" s="204"/>
      <c r="HBI77" s="206"/>
      <c r="HBJ77" s="205"/>
      <c r="HBK77" s="205"/>
      <c r="HBL77" s="204"/>
      <c r="HBM77" s="206"/>
      <c r="HBN77" s="205"/>
      <c r="HBO77" s="205"/>
      <c r="HBP77" s="204"/>
      <c r="HBQ77" s="206"/>
      <c r="HBR77" s="205"/>
      <c r="HBS77" s="205"/>
      <c r="HBT77" s="204"/>
      <c r="HBU77" s="206"/>
      <c r="HBV77" s="205"/>
      <c r="HBW77" s="205"/>
      <c r="HBX77" s="204"/>
      <c r="HBY77" s="206"/>
      <c r="HBZ77" s="205"/>
      <c r="HCA77" s="205"/>
      <c r="HCB77" s="204"/>
      <c r="HCC77" s="206"/>
      <c r="HCD77" s="205"/>
      <c r="HCE77" s="205"/>
      <c r="HCF77" s="204"/>
      <c r="HCG77" s="206"/>
      <c r="HCH77" s="205"/>
      <c r="HCI77" s="205"/>
      <c r="HCJ77" s="204"/>
      <c r="HCK77" s="206"/>
      <c r="HCL77" s="205"/>
      <c r="HCM77" s="205"/>
      <c r="HCN77" s="204"/>
      <c r="HCO77" s="206"/>
      <c r="HCP77" s="205"/>
      <c r="HCQ77" s="205"/>
      <c r="HCR77" s="204"/>
      <c r="HCS77" s="206"/>
      <c r="HCT77" s="205"/>
      <c r="HCU77" s="205"/>
      <c r="HCV77" s="204"/>
      <c r="HCW77" s="206"/>
      <c r="HCX77" s="205"/>
      <c r="HCY77" s="205"/>
      <c r="HCZ77" s="204"/>
      <c r="HDA77" s="206"/>
      <c r="HDB77" s="205"/>
      <c r="HDC77" s="205"/>
      <c r="HDD77" s="204"/>
      <c r="HDE77" s="206"/>
      <c r="HDF77" s="205"/>
      <c r="HDG77" s="205"/>
      <c r="HDH77" s="204"/>
      <c r="HDI77" s="206"/>
      <c r="HDJ77" s="205"/>
      <c r="HDK77" s="205"/>
      <c r="HDL77" s="204"/>
      <c r="HDM77" s="206"/>
      <c r="HDN77" s="205"/>
      <c r="HDO77" s="205"/>
      <c r="HDP77" s="204"/>
      <c r="HDQ77" s="206"/>
      <c r="HDR77" s="205"/>
      <c r="HDS77" s="205"/>
      <c r="HDT77" s="204"/>
      <c r="HDU77" s="206"/>
      <c r="HDV77" s="205"/>
      <c r="HDW77" s="205"/>
      <c r="HDX77" s="204"/>
      <c r="HDY77" s="206"/>
      <c r="HDZ77" s="205"/>
      <c r="HEA77" s="205"/>
      <c r="HEB77" s="204"/>
      <c r="HEC77" s="206"/>
      <c r="HED77" s="205"/>
      <c r="HEE77" s="205"/>
      <c r="HEF77" s="204"/>
      <c r="HEG77" s="206"/>
      <c r="HEH77" s="205"/>
      <c r="HEI77" s="205"/>
      <c r="HEJ77" s="204"/>
      <c r="HEK77" s="206"/>
      <c r="HEL77" s="205"/>
      <c r="HEM77" s="205"/>
      <c r="HEN77" s="204"/>
      <c r="HEO77" s="206"/>
      <c r="HEP77" s="205"/>
      <c r="HEQ77" s="205"/>
      <c r="HER77" s="204"/>
      <c r="HES77" s="206"/>
      <c r="HET77" s="205"/>
      <c r="HEU77" s="205"/>
      <c r="HEV77" s="204"/>
      <c r="HEW77" s="206"/>
      <c r="HEX77" s="205"/>
      <c r="HEY77" s="205"/>
      <c r="HEZ77" s="204"/>
      <c r="HFA77" s="206"/>
      <c r="HFB77" s="205"/>
      <c r="HFC77" s="205"/>
      <c r="HFD77" s="204"/>
      <c r="HFE77" s="206"/>
      <c r="HFF77" s="205"/>
      <c r="HFG77" s="205"/>
      <c r="HFH77" s="204"/>
      <c r="HFI77" s="206"/>
      <c r="HFJ77" s="205"/>
      <c r="HFK77" s="205"/>
      <c r="HFL77" s="204"/>
      <c r="HFM77" s="206"/>
      <c r="HFN77" s="205"/>
      <c r="HFO77" s="205"/>
      <c r="HFP77" s="204"/>
      <c r="HFQ77" s="206"/>
      <c r="HFR77" s="205"/>
      <c r="HFS77" s="205"/>
      <c r="HFT77" s="204"/>
      <c r="HFU77" s="206"/>
      <c r="HFV77" s="205"/>
      <c r="HFW77" s="205"/>
      <c r="HFX77" s="204"/>
      <c r="HFY77" s="206"/>
      <c r="HFZ77" s="205"/>
      <c r="HGA77" s="205"/>
      <c r="HGB77" s="204"/>
      <c r="HGC77" s="206"/>
      <c r="HGD77" s="205"/>
      <c r="HGE77" s="205"/>
      <c r="HGF77" s="204"/>
      <c r="HGG77" s="206"/>
      <c r="HGH77" s="205"/>
      <c r="HGI77" s="205"/>
      <c r="HGJ77" s="204"/>
      <c r="HGK77" s="206"/>
      <c r="HGL77" s="205"/>
      <c r="HGM77" s="205"/>
      <c r="HGN77" s="204"/>
      <c r="HGO77" s="206"/>
      <c r="HGP77" s="205"/>
      <c r="HGQ77" s="205"/>
      <c r="HGR77" s="204"/>
      <c r="HGS77" s="206"/>
      <c r="HGT77" s="205"/>
      <c r="HGU77" s="205"/>
      <c r="HGV77" s="204"/>
      <c r="HGW77" s="206"/>
      <c r="HGX77" s="205"/>
      <c r="HGY77" s="205"/>
      <c r="HGZ77" s="204"/>
      <c r="HHA77" s="206"/>
      <c r="HHB77" s="205"/>
      <c r="HHC77" s="205"/>
      <c r="HHD77" s="204"/>
      <c r="HHE77" s="206"/>
      <c r="HHF77" s="205"/>
      <c r="HHG77" s="205"/>
      <c r="HHH77" s="204"/>
      <c r="HHI77" s="206"/>
      <c r="HHJ77" s="205"/>
      <c r="HHK77" s="205"/>
      <c r="HHL77" s="204"/>
      <c r="HHM77" s="206"/>
      <c r="HHN77" s="205"/>
      <c r="HHO77" s="205"/>
      <c r="HHP77" s="204"/>
      <c r="HHQ77" s="206"/>
      <c r="HHR77" s="205"/>
      <c r="HHS77" s="205"/>
      <c r="HHT77" s="204"/>
      <c r="HHU77" s="206"/>
      <c r="HHV77" s="205"/>
      <c r="HHW77" s="205"/>
      <c r="HHX77" s="204"/>
      <c r="HHY77" s="206"/>
      <c r="HHZ77" s="205"/>
      <c r="HIA77" s="205"/>
      <c r="HIB77" s="204"/>
      <c r="HIC77" s="206"/>
      <c r="HID77" s="205"/>
      <c r="HIE77" s="205"/>
      <c r="HIF77" s="204"/>
      <c r="HIG77" s="206"/>
      <c r="HIH77" s="205"/>
      <c r="HII77" s="205"/>
      <c r="HIJ77" s="204"/>
      <c r="HIK77" s="206"/>
      <c r="HIL77" s="205"/>
      <c r="HIM77" s="205"/>
      <c r="HIN77" s="204"/>
      <c r="HIO77" s="206"/>
      <c r="HIP77" s="205"/>
      <c r="HIQ77" s="205"/>
      <c r="HIR77" s="204"/>
      <c r="HIS77" s="206"/>
      <c r="HIT77" s="205"/>
      <c r="HIU77" s="205"/>
      <c r="HIV77" s="204"/>
      <c r="HIW77" s="206"/>
      <c r="HIX77" s="205"/>
      <c r="HIY77" s="205"/>
      <c r="HIZ77" s="204"/>
      <c r="HJA77" s="206"/>
      <c r="HJB77" s="205"/>
      <c r="HJC77" s="205"/>
      <c r="HJD77" s="204"/>
      <c r="HJE77" s="206"/>
      <c r="HJF77" s="205"/>
      <c r="HJG77" s="205"/>
      <c r="HJH77" s="204"/>
      <c r="HJI77" s="206"/>
      <c r="HJJ77" s="205"/>
      <c r="HJK77" s="205"/>
      <c r="HJL77" s="204"/>
      <c r="HJM77" s="206"/>
      <c r="HJN77" s="205"/>
      <c r="HJO77" s="205"/>
      <c r="HJP77" s="204"/>
      <c r="HJQ77" s="206"/>
      <c r="HJR77" s="205"/>
      <c r="HJS77" s="205"/>
      <c r="HJT77" s="204"/>
      <c r="HJU77" s="206"/>
      <c r="HJV77" s="205"/>
      <c r="HJW77" s="205"/>
      <c r="HJX77" s="204"/>
      <c r="HJY77" s="206"/>
      <c r="HJZ77" s="205"/>
      <c r="HKA77" s="205"/>
      <c r="HKB77" s="204"/>
      <c r="HKC77" s="206"/>
      <c r="HKD77" s="205"/>
      <c r="HKE77" s="205"/>
      <c r="HKF77" s="204"/>
      <c r="HKG77" s="206"/>
      <c r="HKH77" s="205"/>
      <c r="HKI77" s="205"/>
      <c r="HKJ77" s="204"/>
      <c r="HKK77" s="206"/>
      <c r="HKL77" s="205"/>
      <c r="HKM77" s="205"/>
      <c r="HKN77" s="204"/>
      <c r="HKO77" s="206"/>
      <c r="HKP77" s="205"/>
      <c r="HKQ77" s="205"/>
      <c r="HKR77" s="204"/>
      <c r="HKS77" s="206"/>
      <c r="HKT77" s="205"/>
      <c r="HKU77" s="205"/>
      <c r="HKV77" s="204"/>
      <c r="HKW77" s="206"/>
      <c r="HKX77" s="205"/>
      <c r="HKY77" s="205"/>
      <c r="HKZ77" s="204"/>
      <c r="HLA77" s="206"/>
      <c r="HLB77" s="205"/>
      <c r="HLC77" s="205"/>
      <c r="HLD77" s="204"/>
      <c r="HLE77" s="206"/>
      <c r="HLF77" s="205"/>
      <c r="HLG77" s="205"/>
      <c r="HLH77" s="204"/>
      <c r="HLI77" s="206"/>
      <c r="HLJ77" s="205"/>
      <c r="HLK77" s="205"/>
      <c r="HLL77" s="204"/>
      <c r="HLM77" s="206"/>
      <c r="HLN77" s="205"/>
      <c r="HLO77" s="205"/>
      <c r="HLP77" s="204"/>
      <c r="HLQ77" s="206"/>
      <c r="HLR77" s="205"/>
      <c r="HLS77" s="205"/>
      <c r="HLT77" s="204"/>
      <c r="HLU77" s="206"/>
      <c r="HLV77" s="205"/>
      <c r="HLW77" s="205"/>
      <c r="HLX77" s="204"/>
      <c r="HLY77" s="206"/>
      <c r="HLZ77" s="205"/>
      <c r="HMA77" s="205"/>
      <c r="HMB77" s="204"/>
      <c r="HMC77" s="206"/>
      <c r="HMD77" s="205"/>
      <c r="HME77" s="205"/>
      <c r="HMF77" s="204"/>
      <c r="HMG77" s="206"/>
      <c r="HMH77" s="205"/>
      <c r="HMI77" s="205"/>
      <c r="HMJ77" s="204"/>
      <c r="HMK77" s="206"/>
      <c r="HML77" s="205"/>
      <c r="HMM77" s="205"/>
      <c r="HMN77" s="204"/>
      <c r="HMO77" s="206"/>
      <c r="HMP77" s="205"/>
      <c r="HMQ77" s="205"/>
      <c r="HMR77" s="204"/>
      <c r="HMS77" s="206"/>
      <c r="HMT77" s="205"/>
      <c r="HMU77" s="205"/>
      <c r="HMV77" s="204"/>
      <c r="HMW77" s="206"/>
      <c r="HMX77" s="205"/>
      <c r="HMY77" s="205"/>
      <c r="HMZ77" s="204"/>
      <c r="HNA77" s="206"/>
      <c r="HNB77" s="205"/>
      <c r="HNC77" s="205"/>
      <c r="HND77" s="204"/>
      <c r="HNE77" s="206"/>
      <c r="HNF77" s="205"/>
      <c r="HNG77" s="205"/>
      <c r="HNH77" s="204"/>
      <c r="HNI77" s="206"/>
      <c r="HNJ77" s="205"/>
      <c r="HNK77" s="205"/>
      <c r="HNL77" s="204"/>
      <c r="HNM77" s="206"/>
      <c r="HNN77" s="205"/>
      <c r="HNO77" s="205"/>
      <c r="HNP77" s="204"/>
      <c r="HNQ77" s="206"/>
      <c r="HNR77" s="205"/>
      <c r="HNS77" s="205"/>
      <c r="HNT77" s="204"/>
      <c r="HNU77" s="206"/>
      <c r="HNV77" s="205"/>
      <c r="HNW77" s="205"/>
      <c r="HNX77" s="204"/>
      <c r="HNY77" s="206"/>
      <c r="HNZ77" s="205"/>
      <c r="HOA77" s="205"/>
      <c r="HOB77" s="204"/>
      <c r="HOC77" s="206"/>
      <c r="HOD77" s="205"/>
      <c r="HOE77" s="205"/>
      <c r="HOF77" s="204"/>
      <c r="HOG77" s="206"/>
      <c r="HOH77" s="205"/>
      <c r="HOI77" s="205"/>
      <c r="HOJ77" s="204"/>
      <c r="HOK77" s="206"/>
      <c r="HOL77" s="205"/>
      <c r="HOM77" s="205"/>
      <c r="HON77" s="204"/>
      <c r="HOO77" s="206"/>
      <c r="HOP77" s="205"/>
      <c r="HOQ77" s="205"/>
      <c r="HOR77" s="204"/>
      <c r="HOS77" s="206"/>
      <c r="HOT77" s="205"/>
      <c r="HOU77" s="205"/>
      <c r="HOV77" s="204"/>
      <c r="HOW77" s="206"/>
      <c r="HOX77" s="205"/>
      <c r="HOY77" s="205"/>
      <c r="HOZ77" s="204"/>
      <c r="HPA77" s="206"/>
      <c r="HPB77" s="205"/>
      <c r="HPC77" s="205"/>
      <c r="HPD77" s="204"/>
      <c r="HPE77" s="206"/>
      <c r="HPF77" s="205"/>
      <c r="HPG77" s="205"/>
      <c r="HPH77" s="204"/>
      <c r="HPI77" s="206"/>
      <c r="HPJ77" s="205"/>
      <c r="HPK77" s="205"/>
      <c r="HPL77" s="204"/>
      <c r="HPM77" s="206"/>
      <c r="HPN77" s="205"/>
      <c r="HPO77" s="205"/>
      <c r="HPP77" s="204"/>
      <c r="HPQ77" s="206"/>
      <c r="HPR77" s="205"/>
      <c r="HPS77" s="205"/>
      <c r="HPT77" s="204"/>
      <c r="HPU77" s="206"/>
      <c r="HPV77" s="205"/>
      <c r="HPW77" s="205"/>
      <c r="HPX77" s="204"/>
      <c r="HPY77" s="206"/>
      <c r="HPZ77" s="205"/>
      <c r="HQA77" s="205"/>
      <c r="HQB77" s="204"/>
      <c r="HQC77" s="206"/>
      <c r="HQD77" s="205"/>
      <c r="HQE77" s="205"/>
      <c r="HQF77" s="204"/>
      <c r="HQG77" s="206"/>
      <c r="HQH77" s="205"/>
      <c r="HQI77" s="205"/>
      <c r="HQJ77" s="204"/>
      <c r="HQK77" s="206"/>
      <c r="HQL77" s="205"/>
      <c r="HQM77" s="205"/>
      <c r="HQN77" s="204"/>
      <c r="HQO77" s="206"/>
      <c r="HQP77" s="205"/>
      <c r="HQQ77" s="205"/>
      <c r="HQR77" s="204"/>
      <c r="HQS77" s="206"/>
      <c r="HQT77" s="205"/>
      <c r="HQU77" s="205"/>
      <c r="HQV77" s="204"/>
      <c r="HQW77" s="206"/>
      <c r="HQX77" s="205"/>
      <c r="HQY77" s="205"/>
      <c r="HQZ77" s="204"/>
      <c r="HRA77" s="206"/>
      <c r="HRB77" s="205"/>
      <c r="HRC77" s="205"/>
      <c r="HRD77" s="204"/>
      <c r="HRE77" s="206"/>
      <c r="HRF77" s="205"/>
      <c r="HRG77" s="205"/>
      <c r="HRH77" s="204"/>
      <c r="HRI77" s="206"/>
      <c r="HRJ77" s="205"/>
      <c r="HRK77" s="205"/>
      <c r="HRL77" s="204"/>
      <c r="HRM77" s="206"/>
      <c r="HRN77" s="205"/>
      <c r="HRO77" s="205"/>
      <c r="HRP77" s="204"/>
      <c r="HRQ77" s="206"/>
      <c r="HRR77" s="205"/>
      <c r="HRS77" s="205"/>
      <c r="HRT77" s="204"/>
      <c r="HRU77" s="206"/>
      <c r="HRV77" s="205"/>
      <c r="HRW77" s="205"/>
      <c r="HRX77" s="204"/>
      <c r="HRY77" s="206"/>
      <c r="HRZ77" s="205"/>
      <c r="HSA77" s="205"/>
      <c r="HSB77" s="204"/>
      <c r="HSC77" s="206"/>
      <c r="HSD77" s="205"/>
      <c r="HSE77" s="205"/>
      <c r="HSF77" s="204"/>
      <c r="HSG77" s="206"/>
      <c r="HSH77" s="205"/>
      <c r="HSI77" s="205"/>
      <c r="HSJ77" s="204"/>
      <c r="HSK77" s="206"/>
      <c r="HSL77" s="205"/>
      <c r="HSM77" s="205"/>
      <c r="HSN77" s="204"/>
      <c r="HSO77" s="206"/>
      <c r="HSP77" s="205"/>
      <c r="HSQ77" s="205"/>
      <c r="HSR77" s="204"/>
      <c r="HSS77" s="206"/>
      <c r="HST77" s="205"/>
      <c r="HSU77" s="205"/>
      <c r="HSV77" s="204"/>
      <c r="HSW77" s="206"/>
      <c r="HSX77" s="205"/>
      <c r="HSY77" s="205"/>
      <c r="HSZ77" s="204"/>
      <c r="HTA77" s="206"/>
      <c r="HTB77" s="205"/>
      <c r="HTC77" s="205"/>
      <c r="HTD77" s="204"/>
      <c r="HTE77" s="206"/>
      <c r="HTF77" s="205"/>
      <c r="HTG77" s="205"/>
      <c r="HTH77" s="204"/>
      <c r="HTI77" s="206"/>
      <c r="HTJ77" s="205"/>
      <c r="HTK77" s="205"/>
      <c r="HTL77" s="204"/>
      <c r="HTM77" s="206"/>
      <c r="HTN77" s="205"/>
      <c r="HTO77" s="205"/>
      <c r="HTP77" s="204"/>
      <c r="HTQ77" s="206"/>
      <c r="HTR77" s="205"/>
      <c r="HTS77" s="205"/>
      <c r="HTT77" s="204"/>
      <c r="HTU77" s="206"/>
      <c r="HTV77" s="205"/>
      <c r="HTW77" s="205"/>
      <c r="HTX77" s="204"/>
      <c r="HTY77" s="206"/>
      <c r="HTZ77" s="205"/>
      <c r="HUA77" s="205"/>
      <c r="HUB77" s="204"/>
      <c r="HUC77" s="206"/>
      <c r="HUD77" s="205"/>
      <c r="HUE77" s="205"/>
      <c r="HUF77" s="204"/>
      <c r="HUG77" s="206"/>
      <c r="HUH77" s="205"/>
      <c r="HUI77" s="205"/>
      <c r="HUJ77" s="204"/>
      <c r="HUK77" s="206"/>
      <c r="HUL77" s="205"/>
      <c r="HUM77" s="205"/>
      <c r="HUN77" s="204"/>
      <c r="HUO77" s="206"/>
      <c r="HUP77" s="205"/>
      <c r="HUQ77" s="205"/>
      <c r="HUR77" s="204"/>
      <c r="HUS77" s="206"/>
      <c r="HUT77" s="205"/>
      <c r="HUU77" s="205"/>
      <c r="HUV77" s="204"/>
      <c r="HUW77" s="206"/>
      <c r="HUX77" s="205"/>
      <c r="HUY77" s="205"/>
      <c r="HUZ77" s="204"/>
      <c r="HVA77" s="206"/>
      <c r="HVB77" s="205"/>
      <c r="HVC77" s="205"/>
      <c r="HVD77" s="204"/>
      <c r="HVE77" s="206"/>
      <c r="HVF77" s="205"/>
      <c r="HVG77" s="205"/>
      <c r="HVH77" s="204"/>
      <c r="HVI77" s="206"/>
      <c r="HVJ77" s="205"/>
      <c r="HVK77" s="205"/>
      <c r="HVL77" s="204"/>
      <c r="HVM77" s="206"/>
      <c r="HVN77" s="205"/>
      <c r="HVO77" s="205"/>
      <c r="HVP77" s="204"/>
      <c r="HVQ77" s="206"/>
      <c r="HVR77" s="205"/>
      <c r="HVS77" s="205"/>
      <c r="HVT77" s="204"/>
      <c r="HVU77" s="206"/>
      <c r="HVV77" s="205"/>
      <c r="HVW77" s="205"/>
      <c r="HVX77" s="204"/>
      <c r="HVY77" s="206"/>
      <c r="HVZ77" s="205"/>
      <c r="HWA77" s="205"/>
      <c r="HWB77" s="204"/>
      <c r="HWC77" s="206"/>
      <c r="HWD77" s="205"/>
      <c r="HWE77" s="205"/>
      <c r="HWF77" s="204"/>
      <c r="HWG77" s="206"/>
      <c r="HWH77" s="205"/>
      <c r="HWI77" s="205"/>
      <c r="HWJ77" s="204"/>
      <c r="HWK77" s="206"/>
      <c r="HWL77" s="205"/>
      <c r="HWM77" s="205"/>
      <c r="HWN77" s="204"/>
      <c r="HWO77" s="206"/>
      <c r="HWP77" s="205"/>
      <c r="HWQ77" s="205"/>
      <c r="HWR77" s="204"/>
      <c r="HWS77" s="206"/>
      <c r="HWT77" s="205"/>
      <c r="HWU77" s="205"/>
      <c r="HWV77" s="204"/>
      <c r="HWW77" s="206"/>
      <c r="HWX77" s="205"/>
      <c r="HWY77" s="205"/>
      <c r="HWZ77" s="204"/>
      <c r="HXA77" s="206"/>
      <c r="HXB77" s="205"/>
      <c r="HXC77" s="205"/>
      <c r="HXD77" s="204"/>
      <c r="HXE77" s="206"/>
      <c r="HXF77" s="205"/>
      <c r="HXG77" s="205"/>
      <c r="HXH77" s="204"/>
      <c r="HXI77" s="206"/>
      <c r="HXJ77" s="205"/>
      <c r="HXK77" s="205"/>
      <c r="HXL77" s="204"/>
      <c r="HXM77" s="206"/>
      <c r="HXN77" s="205"/>
      <c r="HXO77" s="205"/>
      <c r="HXP77" s="204"/>
      <c r="HXQ77" s="206"/>
      <c r="HXR77" s="205"/>
      <c r="HXS77" s="205"/>
      <c r="HXT77" s="204"/>
      <c r="HXU77" s="206"/>
      <c r="HXV77" s="205"/>
      <c r="HXW77" s="205"/>
      <c r="HXX77" s="204"/>
      <c r="HXY77" s="206"/>
      <c r="HXZ77" s="205"/>
      <c r="HYA77" s="205"/>
      <c r="HYB77" s="204"/>
      <c r="HYC77" s="206"/>
      <c r="HYD77" s="205"/>
      <c r="HYE77" s="205"/>
      <c r="HYF77" s="204"/>
      <c r="HYG77" s="206"/>
      <c r="HYH77" s="205"/>
      <c r="HYI77" s="205"/>
      <c r="HYJ77" s="204"/>
      <c r="HYK77" s="206"/>
      <c r="HYL77" s="205"/>
      <c r="HYM77" s="205"/>
      <c r="HYN77" s="204"/>
      <c r="HYO77" s="206"/>
      <c r="HYP77" s="205"/>
      <c r="HYQ77" s="205"/>
      <c r="HYR77" s="204"/>
      <c r="HYS77" s="206"/>
      <c r="HYT77" s="205"/>
      <c r="HYU77" s="205"/>
      <c r="HYV77" s="204"/>
      <c r="HYW77" s="206"/>
      <c r="HYX77" s="205"/>
      <c r="HYY77" s="205"/>
      <c r="HYZ77" s="204"/>
      <c r="HZA77" s="206"/>
      <c r="HZB77" s="205"/>
      <c r="HZC77" s="205"/>
      <c r="HZD77" s="204"/>
      <c r="HZE77" s="206"/>
      <c r="HZF77" s="205"/>
      <c r="HZG77" s="205"/>
      <c r="HZH77" s="204"/>
      <c r="HZI77" s="206"/>
      <c r="HZJ77" s="205"/>
      <c r="HZK77" s="205"/>
      <c r="HZL77" s="204"/>
      <c r="HZM77" s="206"/>
      <c r="HZN77" s="205"/>
      <c r="HZO77" s="205"/>
      <c r="HZP77" s="204"/>
      <c r="HZQ77" s="206"/>
      <c r="HZR77" s="205"/>
      <c r="HZS77" s="205"/>
      <c r="HZT77" s="204"/>
      <c r="HZU77" s="206"/>
      <c r="HZV77" s="205"/>
      <c r="HZW77" s="205"/>
      <c r="HZX77" s="204"/>
      <c r="HZY77" s="206"/>
      <c r="HZZ77" s="205"/>
      <c r="IAA77" s="205"/>
      <c r="IAB77" s="204"/>
      <c r="IAC77" s="206"/>
      <c r="IAD77" s="205"/>
      <c r="IAE77" s="205"/>
      <c r="IAF77" s="204"/>
      <c r="IAG77" s="206"/>
      <c r="IAH77" s="205"/>
      <c r="IAI77" s="205"/>
      <c r="IAJ77" s="204"/>
      <c r="IAK77" s="206"/>
      <c r="IAL77" s="205"/>
      <c r="IAM77" s="205"/>
      <c r="IAN77" s="204"/>
      <c r="IAO77" s="206"/>
      <c r="IAP77" s="205"/>
      <c r="IAQ77" s="205"/>
      <c r="IAR77" s="204"/>
      <c r="IAS77" s="206"/>
      <c r="IAT77" s="205"/>
      <c r="IAU77" s="205"/>
      <c r="IAV77" s="204"/>
      <c r="IAW77" s="206"/>
      <c r="IAX77" s="205"/>
      <c r="IAY77" s="205"/>
      <c r="IAZ77" s="204"/>
      <c r="IBA77" s="206"/>
      <c r="IBB77" s="205"/>
      <c r="IBC77" s="205"/>
      <c r="IBD77" s="204"/>
      <c r="IBE77" s="206"/>
      <c r="IBF77" s="205"/>
      <c r="IBG77" s="205"/>
      <c r="IBH77" s="204"/>
      <c r="IBI77" s="206"/>
      <c r="IBJ77" s="205"/>
      <c r="IBK77" s="205"/>
      <c r="IBL77" s="204"/>
      <c r="IBM77" s="206"/>
      <c r="IBN77" s="205"/>
      <c r="IBO77" s="205"/>
      <c r="IBP77" s="204"/>
      <c r="IBQ77" s="206"/>
      <c r="IBR77" s="205"/>
      <c r="IBS77" s="205"/>
      <c r="IBT77" s="204"/>
      <c r="IBU77" s="206"/>
      <c r="IBV77" s="205"/>
      <c r="IBW77" s="205"/>
      <c r="IBX77" s="204"/>
      <c r="IBY77" s="206"/>
      <c r="IBZ77" s="205"/>
      <c r="ICA77" s="205"/>
      <c r="ICB77" s="204"/>
      <c r="ICC77" s="206"/>
      <c r="ICD77" s="205"/>
      <c r="ICE77" s="205"/>
      <c r="ICF77" s="204"/>
      <c r="ICG77" s="206"/>
      <c r="ICH77" s="205"/>
      <c r="ICI77" s="205"/>
      <c r="ICJ77" s="204"/>
      <c r="ICK77" s="206"/>
      <c r="ICL77" s="205"/>
      <c r="ICM77" s="205"/>
      <c r="ICN77" s="204"/>
      <c r="ICO77" s="206"/>
      <c r="ICP77" s="205"/>
      <c r="ICQ77" s="205"/>
      <c r="ICR77" s="204"/>
      <c r="ICS77" s="206"/>
      <c r="ICT77" s="205"/>
      <c r="ICU77" s="205"/>
      <c r="ICV77" s="204"/>
      <c r="ICW77" s="206"/>
      <c r="ICX77" s="205"/>
      <c r="ICY77" s="205"/>
      <c r="ICZ77" s="204"/>
      <c r="IDA77" s="206"/>
      <c r="IDB77" s="205"/>
      <c r="IDC77" s="205"/>
      <c r="IDD77" s="204"/>
      <c r="IDE77" s="206"/>
      <c r="IDF77" s="205"/>
      <c r="IDG77" s="205"/>
      <c r="IDH77" s="204"/>
      <c r="IDI77" s="206"/>
      <c r="IDJ77" s="205"/>
      <c r="IDK77" s="205"/>
      <c r="IDL77" s="204"/>
      <c r="IDM77" s="206"/>
      <c r="IDN77" s="205"/>
      <c r="IDO77" s="205"/>
      <c r="IDP77" s="204"/>
      <c r="IDQ77" s="206"/>
      <c r="IDR77" s="205"/>
      <c r="IDS77" s="205"/>
      <c r="IDT77" s="204"/>
      <c r="IDU77" s="206"/>
      <c r="IDV77" s="205"/>
      <c r="IDW77" s="205"/>
      <c r="IDX77" s="204"/>
      <c r="IDY77" s="206"/>
      <c r="IDZ77" s="205"/>
      <c r="IEA77" s="205"/>
      <c r="IEB77" s="204"/>
      <c r="IEC77" s="206"/>
      <c r="IED77" s="205"/>
      <c r="IEE77" s="205"/>
      <c r="IEF77" s="204"/>
      <c r="IEG77" s="206"/>
      <c r="IEH77" s="205"/>
      <c r="IEI77" s="205"/>
      <c r="IEJ77" s="204"/>
      <c r="IEK77" s="206"/>
      <c r="IEL77" s="205"/>
      <c r="IEM77" s="205"/>
      <c r="IEN77" s="204"/>
      <c r="IEO77" s="206"/>
      <c r="IEP77" s="205"/>
      <c r="IEQ77" s="205"/>
      <c r="IER77" s="204"/>
      <c r="IES77" s="206"/>
      <c r="IET77" s="205"/>
      <c r="IEU77" s="205"/>
      <c r="IEV77" s="204"/>
      <c r="IEW77" s="206"/>
      <c r="IEX77" s="205"/>
      <c r="IEY77" s="205"/>
      <c r="IEZ77" s="204"/>
      <c r="IFA77" s="206"/>
      <c r="IFB77" s="205"/>
      <c r="IFC77" s="205"/>
      <c r="IFD77" s="204"/>
      <c r="IFE77" s="206"/>
      <c r="IFF77" s="205"/>
      <c r="IFG77" s="205"/>
      <c r="IFH77" s="204"/>
      <c r="IFI77" s="206"/>
      <c r="IFJ77" s="205"/>
      <c r="IFK77" s="205"/>
      <c r="IFL77" s="204"/>
      <c r="IFM77" s="206"/>
      <c r="IFN77" s="205"/>
      <c r="IFO77" s="205"/>
      <c r="IFP77" s="204"/>
      <c r="IFQ77" s="206"/>
      <c r="IFR77" s="205"/>
      <c r="IFS77" s="205"/>
      <c r="IFT77" s="204"/>
      <c r="IFU77" s="206"/>
      <c r="IFV77" s="205"/>
      <c r="IFW77" s="205"/>
      <c r="IFX77" s="204"/>
      <c r="IFY77" s="206"/>
      <c r="IFZ77" s="205"/>
      <c r="IGA77" s="205"/>
      <c r="IGB77" s="204"/>
      <c r="IGC77" s="206"/>
      <c r="IGD77" s="205"/>
      <c r="IGE77" s="205"/>
      <c r="IGF77" s="204"/>
      <c r="IGG77" s="206"/>
      <c r="IGH77" s="205"/>
      <c r="IGI77" s="205"/>
      <c r="IGJ77" s="204"/>
      <c r="IGK77" s="206"/>
      <c r="IGL77" s="205"/>
      <c r="IGM77" s="205"/>
      <c r="IGN77" s="204"/>
      <c r="IGO77" s="206"/>
      <c r="IGP77" s="205"/>
      <c r="IGQ77" s="205"/>
      <c r="IGR77" s="204"/>
      <c r="IGS77" s="206"/>
      <c r="IGT77" s="205"/>
      <c r="IGU77" s="205"/>
      <c r="IGV77" s="204"/>
      <c r="IGW77" s="206"/>
      <c r="IGX77" s="205"/>
      <c r="IGY77" s="205"/>
      <c r="IGZ77" s="204"/>
      <c r="IHA77" s="206"/>
      <c r="IHB77" s="205"/>
      <c r="IHC77" s="205"/>
      <c r="IHD77" s="204"/>
      <c r="IHE77" s="206"/>
      <c r="IHF77" s="205"/>
      <c r="IHG77" s="205"/>
      <c r="IHH77" s="204"/>
      <c r="IHI77" s="206"/>
      <c r="IHJ77" s="205"/>
      <c r="IHK77" s="205"/>
      <c r="IHL77" s="204"/>
      <c r="IHM77" s="206"/>
      <c r="IHN77" s="205"/>
      <c r="IHO77" s="205"/>
      <c r="IHP77" s="204"/>
      <c r="IHQ77" s="206"/>
      <c r="IHR77" s="205"/>
      <c r="IHS77" s="205"/>
      <c r="IHT77" s="204"/>
      <c r="IHU77" s="206"/>
      <c r="IHV77" s="205"/>
      <c r="IHW77" s="205"/>
      <c r="IHX77" s="204"/>
      <c r="IHY77" s="206"/>
      <c r="IHZ77" s="205"/>
      <c r="IIA77" s="205"/>
      <c r="IIB77" s="204"/>
      <c r="IIC77" s="206"/>
      <c r="IID77" s="205"/>
      <c r="IIE77" s="205"/>
      <c r="IIF77" s="204"/>
      <c r="IIG77" s="206"/>
      <c r="IIH77" s="205"/>
      <c r="III77" s="205"/>
      <c r="IIJ77" s="204"/>
      <c r="IIK77" s="206"/>
      <c r="IIL77" s="205"/>
      <c r="IIM77" s="205"/>
      <c r="IIN77" s="204"/>
      <c r="IIO77" s="206"/>
      <c r="IIP77" s="205"/>
      <c r="IIQ77" s="205"/>
      <c r="IIR77" s="204"/>
      <c r="IIS77" s="206"/>
      <c r="IIT77" s="205"/>
      <c r="IIU77" s="205"/>
      <c r="IIV77" s="204"/>
      <c r="IIW77" s="206"/>
      <c r="IIX77" s="205"/>
      <c r="IIY77" s="205"/>
      <c r="IIZ77" s="204"/>
      <c r="IJA77" s="206"/>
      <c r="IJB77" s="205"/>
      <c r="IJC77" s="205"/>
      <c r="IJD77" s="204"/>
      <c r="IJE77" s="206"/>
      <c r="IJF77" s="205"/>
      <c r="IJG77" s="205"/>
      <c r="IJH77" s="204"/>
      <c r="IJI77" s="206"/>
      <c r="IJJ77" s="205"/>
      <c r="IJK77" s="205"/>
      <c r="IJL77" s="204"/>
      <c r="IJM77" s="206"/>
      <c r="IJN77" s="205"/>
      <c r="IJO77" s="205"/>
      <c r="IJP77" s="204"/>
      <c r="IJQ77" s="206"/>
      <c r="IJR77" s="205"/>
      <c r="IJS77" s="205"/>
      <c r="IJT77" s="204"/>
      <c r="IJU77" s="206"/>
      <c r="IJV77" s="205"/>
      <c r="IJW77" s="205"/>
      <c r="IJX77" s="204"/>
      <c r="IJY77" s="206"/>
      <c r="IJZ77" s="205"/>
      <c r="IKA77" s="205"/>
      <c r="IKB77" s="204"/>
      <c r="IKC77" s="206"/>
      <c r="IKD77" s="205"/>
      <c r="IKE77" s="205"/>
      <c r="IKF77" s="204"/>
      <c r="IKG77" s="206"/>
      <c r="IKH77" s="205"/>
      <c r="IKI77" s="205"/>
      <c r="IKJ77" s="204"/>
      <c r="IKK77" s="206"/>
      <c r="IKL77" s="205"/>
      <c r="IKM77" s="205"/>
      <c r="IKN77" s="204"/>
      <c r="IKO77" s="206"/>
      <c r="IKP77" s="205"/>
      <c r="IKQ77" s="205"/>
      <c r="IKR77" s="204"/>
      <c r="IKS77" s="206"/>
      <c r="IKT77" s="205"/>
      <c r="IKU77" s="205"/>
      <c r="IKV77" s="204"/>
      <c r="IKW77" s="206"/>
      <c r="IKX77" s="205"/>
      <c r="IKY77" s="205"/>
      <c r="IKZ77" s="204"/>
      <c r="ILA77" s="206"/>
      <c r="ILB77" s="205"/>
      <c r="ILC77" s="205"/>
      <c r="ILD77" s="204"/>
      <c r="ILE77" s="206"/>
      <c r="ILF77" s="205"/>
      <c r="ILG77" s="205"/>
      <c r="ILH77" s="204"/>
      <c r="ILI77" s="206"/>
      <c r="ILJ77" s="205"/>
      <c r="ILK77" s="205"/>
      <c r="ILL77" s="204"/>
      <c r="ILM77" s="206"/>
      <c r="ILN77" s="205"/>
      <c r="ILO77" s="205"/>
      <c r="ILP77" s="204"/>
      <c r="ILQ77" s="206"/>
      <c r="ILR77" s="205"/>
      <c r="ILS77" s="205"/>
      <c r="ILT77" s="204"/>
      <c r="ILU77" s="206"/>
      <c r="ILV77" s="205"/>
      <c r="ILW77" s="205"/>
      <c r="ILX77" s="204"/>
      <c r="ILY77" s="206"/>
      <c r="ILZ77" s="205"/>
      <c r="IMA77" s="205"/>
      <c r="IMB77" s="204"/>
      <c r="IMC77" s="206"/>
      <c r="IMD77" s="205"/>
      <c r="IME77" s="205"/>
      <c r="IMF77" s="204"/>
      <c r="IMG77" s="206"/>
      <c r="IMH77" s="205"/>
      <c r="IMI77" s="205"/>
      <c r="IMJ77" s="204"/>
      <c r="IMK77" s="206"/>
      <c r="IML77" s="205"/>
      <c r="IMM77" s="205"/>
      <c r="IMN77" s="204"/>
      <c r="IMO77" s="206"/>
      <c r="IMP77" s="205"/>
      <c r="IMQ77" s="205"/>
      <c r="IMR77" s="204"/>
      <c r="IMS77" s="206"/>
      <c r="IMT77" s="205"/>
      <c r="IMU77" s="205"/>
      <c r="IMV77" s="204"/>
      <c r="IMW77" s="206"/>
      <c r="IMX77" s="205"/>
      <c r="IMY77" s="205"/>
      <c r="IMZ77" s="204"/>
      <c r="INA77" s="206"/>
      <c r="INB77" s="205"/>
      <c r="INC77" s="205"/>
      <c r="IND77" s="204"/>
      <c r="INE77" s="206"/>
      <c r="INF77" s="205"/>
      <c r="ING77" s="205"/>
      <c r="INH77" s="204"/>
      <c r="INI77" s="206"/>
      <c r="INJ77" s="205"/>
      <c r="INK77" s="205"/>
      <c r="INL77" s="204"/>
      <c r="INM77" s="206"/>
      <c r="INN77" s="205"/>
      <c r="INO77" s="205"/>
      <c r="INP77" s="204"/>
      <c r="INQ77" s="206"/>
      <c r="INR77" s="205"/>
      <c r="INS77" s="205"/>
      <c r="INT77" s="204"/>
      <c r="INU77" s="206"/>
      <c r="INV77" s="205"/>
      <c r="INW77" s="205"/>
      <c r="INX77" s="204"/>
      <c r="INY77" s="206"/>
      <c r="INZ77" s="205"/>
      <c r="IOA77" s="205"/>
      <c r="IOB77" s="204"/>
      <c r="IOC77" s="206"/>
      <c r="IOD77" s="205"/>
      <c r="IOE77" s="205"/>
      <c r="IOF77" s="204"/>
      <c r="IOG77" s="206"/>
      <c r="IOH77" s="205"/>
      <c r="IOI77" s="205"/>
      <c r="IOJ77" s="204"/>
      <c r="IOK77" s="206"/>
      <c r="IOL77" s="205"/>
      <c r="IOM77" s="205"/>
      <c r="ION77" s="204"/>
      <c r="IOO77" s="206"/>
      <c r="IOP77" s="205"/>
      <c r="IOQ77" s="205"/>
      <c r="IOR77" s="204"/>
      <c r="IOS77" s="206"/>
      <c r="IOT77" s="205"/>
      <c r="IOU77" s="205"/>
      <c r="IOV77" s="204"/>
      <c r="IOW77" s="206"/>
      <c r="IOX77" s="205"/>
      <c r="IOY77" s="205"/>
      <c r="IOZ77" s="204"/>
      <c r="IPA77" s="206"/>
      <c r="IPB77" s="205"/>
      <c r="IPC77" s="205"/>
      <c r="IPD77" s="204"/>
      <c r="IPE77" s="206"/>
      <c r="IPF77" s="205"/>
      <c r="IPG77" s="205"/>
      <c r="IPH77" s="204"/>
      <c r="IPI77" s="206"/>
      <c r="IPJ77" s="205"/>
      <c r="IPK77" s="205"/>
      <c r="IPL77" s="204"/>
      <c r="IPM77" s="206"/>
      <c r="IPN77" s="205"/>
      <c r="IPO77" s="205"/>
      <c r="IPP77" s="204"/>
      <c r="IPQ77" s="206"/>
      <c r="IPR77" s="205"/>
      <c r="IPS77" s="205"/>
      <c r="IPT77" s="204"/>
      <c r="IPU77" s="206"/>
      <c r="IPV77" s="205"/>
      <c r="IPW77" s="205"/>
      <c r="IPX77" s="204"/>
      <c r="IPY77" s="206"/>
      <c r="IPZ77" s="205"/>
      <c r="IQA77" s="205"/>
      <c r="IQB77" s="204"/>
      <c r="IQC77" s="206"/>
      <c r="IQD77" s="205"/>
      <c r="IQE77" s="205"/>
      <c r="IQF77" s="204"/>
      <c r="IQG77" s="206"/>
      <c r="IQH77" s="205"/>
      <c r="IQI77" s="205"/>
      <c r="IQJ77" s="204"/>
      <c r="IQK77" s="206"/>
      <c r="IQL77" s="205"/>
      <c r="IQM77" s="205"/>
      <c r="IQN77" s="204"/>
      <c r="IQO77" s="206"/>
      <c r="IQP77" s="205"/>
      <c r="IQQ77" s="205"/>
      <c r="IQR77" s="204"/>
      <c r="IQS77" s="206"/>
      <c r="IQT77" s="205"/>
      <c r="IQU77" s="205"/>
      <c r="IQV77" s="204"/>
      <c r="IQW77" s="206"/>
      <c r="IQX77" s="205"/>
      <c r="IQY77" s="205"/>
      <c r="IQZ77" s="204"/>
      <c r="IRA77" s="206"/>
      <c r="IRB77" s="205"/>
      <c r="IRC77" s="205"/>
      <c r="IRD77" s="204"/>
      <c r="IRE77" s="206"/>
      <c r="IRF77" s="205"/>
      <c r="IRG77" s="205"/>
      <c r="IRH77" s="204"/>
      <c r="IRI77" s="206"/>
      <c r="IRJ77" s="205"/>
      <c r="IRK77" s="205"/>
      <c r="IRL77" s="204"/>
      <c r="IRM77" s="206"/>
      <c r="IRN77" s="205"/>
      <c r="IRO77" s="205"/>
      <c r="IRP77" s="204"/>
      <c r="IRQ77" s="206"/>
      <c r="IRR77" s="205"/>
      <c r="IRS77" s="205"/>
      <c r="IRT77" s="204"/>
      <c r="IRU77" s="206"/>
      <c r="IRV77" s="205"/>
      <c r="IRW77" s="205"/>
      <c r="IRX77" s="204"/>
      <c r="IRY77" s="206"/>
      <c r="IRZ77" s="205"/>
      <c r="ISA77" s="205"/>
      <c r="ISB77" s="204"/>
      <c r="ISC77" s="206"/>
      <c r="ISD77" s="205"/>
      <c r="ISE77" s="205"/>
      <c r="ISF77" s="204"/>
      <c r="ISG77" s="206"/>
      <c r="ISH77" s="205"/>
      <c r="ISI77" s="205"/>
      <c r="ISJ77" s="204"/>
      <c r="ISK77" s="206"/>
      <c r="ISL77" s="205"/>
      <c r="ISM77" s="205"/>
      <c r="ISN77" s="204"/>
      <c r="ISO77" s="206"/>
      <c r="ISP77" s="205"/>
      <c r="ISQ77" s="205"/>
      <c r="ISR77" s="204"/>
      <c r="ISS77" s="206"/>
      <c r="IST77" s="205"/>
      <c r="ISU77" s="205"/>
      <c r="ISV77" s="204"/>
      <c r="ISW77" s="206"/>
      <c r="ISX77" s="205"/>
      <c r="ISY77" s="205"/>
      <c r="ISZ77" s="204"/>
      <c r="ITA77" s="206"/>
      <c r="ITB77" s="205"/>
      <c r="ITC77" s="205"/>
      <c r="ITD77" s="204"/>
      <c r="ITE77" s="206"/>
      <c r="ITF77" s="205"/>
      <c r="ITG77" s="205"/>
      <c r="ITH77" s="204"/>
      <c r="ITI77" s="206"/>
      <c r="ITJ77" s="205"/>
      <c r="ITK77" s="205"/>
      <c r="ITL77" s="204"/>
      <c r="ITM77" s="206"/>
      <c r="ITN77" s="205"/>
      <c r="ITO77" s="205"/>
      <c r="ITP77" s="204"/>
      <c r="ITQ77" s="206"/>
      <c r="ITR77" s="205"/>
      <c r="ITS77" s="205"/>
      <c r="ITT77" s="204"/>
      <c r="ITU77" s="206"/>
      <c r="ITV77" s="205"/>
      <c r="ITW77" s="205"/>
      <c r="ITX77" s="204"/>
      <c r="ITY77" s="206"/>
      <c r="ITZ77" s="205"/>
      <c r="IUA77" s="205"/>
      <c r="IUB77" s="204"/>
      <c r="IUC77" s="206"/>
      <c r="IUD77" s="205"/>
      <c r="IUE77" s="205"/>
      <c r="IUF77" s="204"/>
      <c r="IUG77" s="206"/>
      <c r="IUH77" s="205"/>
      <c r="IUI77" s="205"/>
      <c r="IUJ77" s="204"/>
      <c r="IUK77" s="206"/>
      <c r="IUL77" s="205"/>
      <c r="IUM77" s="205"/>
      <c r="IUN77" s="204"/>
      <c r="IUO77" s="206"/>
      <c r="IUP77" s="205"/>
      <c r="IUQ77" s="205"/>
      <c r="IUR77" s="204"/>
      <c r="IUS77" s="206"/>
      <c r="IUT77" s="205"/>
      <c r="IUU77" s="205"/>
      <c r="IUV77" s="204"/>
      <c r="IUW77" s="206"/>
      <c r="IUX77" s="205"/>
      <c r="IUY77" s="205"/>
      <c r="IUZ77" s="204"/>
      <c r="IVA77" s="206"/>
      <c r="IVB77" s="205"/>
      <c r="IVC77" s="205"/>
      <c r="IVD77" s="204"/>
      <c r="IVE77" s="206"/>
      <c r="IVF77" s="205"/>
      <c r="IVG77" s="205"/>
      <c r="IVH77" s="204"/>
      <c r="IVI77" s="206"/>
      <c r="IVJ77" s="205"/>
      <c r="IVK77" s="205"/>
      <c r="IVL77" s="204"/>
      <c r="IVM77" s="206"/>
      <c r="IVN77" s="205"/>
      <c r="IVO77" s="205"/>
      <c r="IVP77" s="204"/>
      <c r="IVQ77" s="206"/>
      <c r="IVR77" s="205"/>
      <c r="IVS77" s="205"/>
      <c r="IVT77" s="204"/>
      <c r="IVU77" s="206"/>
      <c r="IVV77" s="205"/>
      <c r="IVW77" s="205"/>
      <c r="IVX77" s="204"/>
      <c r="IVY77" s="206"/>
      <c r="IVZ77" s="205"/>
      <c r="IWA77" s="205"/>
      <c r="IWB77" s="204"/>
      <c r="IWC77" s="206"/>
      <c r="IWD77" s="205"/>
      <c r="IWE77" s="205"/>
      <c r="IWF77" s="204"/>
      <c r="IWG77" s="206"/>
      <c r="IWH77" s="205"/>
      <c r="IWI77" s="205"/>
      <c r="IWJ77" s="204"/>
      <c r="IWK77" s="206"/>
      <c r="IWL77" s="205"/>
      <c r="IWM77" s="205"/>
      <c r="IWN77" s="204"/>
      <c r="IWO77" s="206"/>
      <c r="IWP77" s="205"/>
      <c r="IWQ77" s="205"/>
      <c r="IWR77" s="204"/>
      <c r="IWS77" s="206"/>
      <c r="IWT77" s="205"/>
      <c r="IWU77" s="205"/>
      <c r="IWV77" s="204"/>
      <c r="IWW77" s="206"/>
      <c r="IWX77" s="205"/>
      <c r="IWY77" s="205"/>
      <c r="IWZ77" s="204"/>
      <c r="IXA77" s="206"/>
      <c r="IXB77" s="205"/>
      <c r="IXC77" s="205"/>
      <c r="IXD77" s="204"/>
      <c r="IXE77" s="206"/>
      <c r="IXF77" s="205"/>
      <c r="IXG77" s="205"/>
      <c r="IXH77" s="204"/>
      <c r="IXI77" s="206"/>
      <c r="IXJ77" s="205"/>
      <c r="IXK77" s="205"/>
      <c r="IXL77" s="204"/>
      <c r="IXM77" s="206"/>
      <c r="IXN77" s="205"/>
      <c r="IXO77" s="205"/>
      <c r="IXP77" s="204"/>
      <c r="IXQ77" s="206"/>
      <c r="IXR77" s="205"/>
      <c r="IXS77" s="205"/>
      <c r="IXT77" s="204"/>
      <c r="IXU77" s="206"/>
      <c r="IXV77" s="205"/>
      <c r="IXW77" s="205"/>
      <c r="IXX77" s="204"/>
      <c r="IXY77" s="206"/>
      <c r="IXZ77" s="205"/>
      <c r="IYA77" s="205"/>
      <c r="IYB77" s="204"/>
      <c r="IYC77" s="206"/>
      <c r="IYD77" s="205"/>
      <c r="IYE77" s="205"/>
      <c r="IYF77" s="204"/>
      <c r="IYG77" s="206"/>
      <c r="IYH77" s="205"/>
      <c r="IYI77" s="205"/>
      <c r="IYJ77" s="204"/>
      <c r="IYK77" s="206"/>
      <c r="IYL77" s="205"/>
      <c r="IYM77" s="205"/>
      <c r="IYN77" s="204"/>
      <c r="IYO77" s="206"/>
      <c r="IYP77" s="205"/>
      <c r="IYQ77" s="205"/>
      <c r="IYR77" s="204"/>
      <c r="IYS77" s="206"/>
      <c r="IYT77" s="205"/>
      <c r="IYU77" s="205"/>
      <c r="IYV77" s="204"/>
      <c r="IYW77" s="206"/>
      <c r="IYX77" s="205"/>
      <c r="IYY77" s="205"/>
      <c r="IYZ77" s="204"/>
      <c r="IZA77" s="206"/>
      <c r="IZB77" s="205"/>
      <c r="IZC77" s="205"/>
      <c r="IZD77" s="204"/>
      <c r="IZE77" s="206"/>
      <c r="IZF77" s="205"/>
      <c r="IZG77" s="205"/>
      <c r="IZH77" s="204"/>
      <c r="IZI77" s="206"/>
      <c r="IZJ77" s="205"/>
      <c r="IZK77" s="205"/>
      <c r="IZL77" s="204"/>
      <c r="IZM77" s="206"/>
      <c r="IZN77" s="205"/>
      <c r="IZO77" s="205"/>
      <c r="IZP77" s="204"/>
      <c r="IZQ77" s="206"/>
      <c r="IZR77" s="205"/>
      <c r="IZS77" s="205"/>
      <c r="IZT77" s="204"/>
      <c r="IZU77" s="206"/>
      <c r="IZV77" s="205"/>
      <c r="IZW77" s="205"/>
      <c r="IZX77" s="204"/>
      <c r="IZY77" s="206"/>
      <c r="IZZ77" s="205"/>
      <c r="JAA77" s="205"/>
      <c r="JAB77" s="204"/>
      <c r="JAC77" s="206"/>
      <c r="JAD77" s="205"/>
      <c r="JAE77" s="205"/>
      <c r="JAF77" s="204"/>
      <c r="JAG77" s="206"/>
      <c r="JAH77" s="205"/>
      <c r="JAI77" s="205"/>
      <c r="JAJ77" s="204"/>
      <c r="JAK77" s="206"/>
      <c r="JAL77" s="205"/>
      <c r="JAM77" s="205"/>
      <c r="JAN77" s="204"/>
      <c r="JAO77" s="206"/>
      <c r="JAP77" s="205"/>
      <c r="JAQ77" s="205"/>
      <c r="JAR77" s="204"/>
      <c r="JAS77" s="206"/>
      <c r="JAT77" s="205"/>
      <c r="JAU77" s="205"/>
      <c r="JAV77" s="204"/>
      <c r="JAW77" s="206"/>
      <c r="JAX77" s="205"/>
      <c r="JAY77" s="205"/>
      <c r="JAZ77" s="204"/>
      <c r="JBA77" s="206"/>
      <c r="JBB77" s="205"/>
      <c r="JBC77" s="205"/>
      <c r="JBD77" s="204"/>
      <c r="JBE77" s="206"/>
      <c r="JBF77" s="205"/>
      <c r="JBG77" s="205"/>
      <c r="JBH77" s="204"/>
      <c r="JBI77" s="206"/>
      <c r="JBJ77" s="205"/>
      <c r="JBK77" s="205"/>
      <c r="JBL77" s="204"/>
      <c r="JBM77" s="206"/>
      <c r="JBN77" s="205"/>
      <c r="JBO77" s="205"/>
      <c r="JBP77" s="204"/>
      <c r="JBQ77" s="206"/>
      <c r="JBR77" s="205"/>
      <c r="JBS77" s="205"/>
      <c r="JBT77" s="204"/>
      <c r="JBU77" s="206"/>
      <c r="JBV77" s="205"/>
      <c r="JBW77" s="205"/>
      <c r="JBX77" s="204"/>
      <c r="JBY77" s="206"/>
      <c r="JBZ77" s="205"/>
      <c r="JCA77" s="205"/>
      <c r="JCB77" s="204"/>
      <c r="JCC77" s="206"/>
      <c r="JCD77" s="205"/>
      <c r="JCE77" s="205"/>
      <c r="JCF77" s="204"/>
      <c r="JCG77" s="206"/>
      <c r="JCH77" s="205"/>
      <c r="JCI77" s="205"/>
      <c r="JCJ77" s="204"/>
      <c r="JCK77" s="206"/>
      <c r="JCL77" s="205"/>
      <c r="JCM77" s="205"/>
      <c r="JCN77" s="204"/>
      <c r="JCO77" s="206"/>
      <c r="JCP77" s="205"/>
      <c r="JCQ77" s="205"/>
      <c r="JCR77" s="204"/>
      <c r="JCS77" s="206"/>
      <c r="JCT77" s="205"/>
      <c r="JCU77" s="205"/>
      <c r="JCV77" s="204"/>
      <c r="JCW77" s="206"/>
      <c r="JCX77" s="205"/>
      <c r="JCY77" s="205"/>
      <c r="JCZ77" s="204"/>
      <c r="JDA77" s="206"/>
      <c r="JDB77" s="205"/>
      <c r="JDC77" s="205"/>
      <c r="JDD77" s="204"/>
      <c r="JDE77" s="206"/>
      <c r="JDF77" s="205"/>
      <c r="JDG77" s="205"/>
      <c r="JDH77" s="204"/>
      <c r="JDI77" s="206"/>
      <c r="JDJ77" s="205"/>
      <c r="JDK77" s="205"/>
      <c r="JDL77" s="204"/>
      <c r="JDM77" s="206"/>
      <c r="JDN77" s="205"/>
      <c r="JDO77" s="205"/>
      <c r="JDP77" s="204"/>
      <c r="JDQ77" s="206"/>
      <c r="JDR77" s="205"/>
      <c r="JDS77" s="205"/>
      <c r="JDT77" s="204"/>
      <c r="JDU77" s="206"/>
      <c r="JDV77" s="205"/>
      <c r="JDW77" s="205"/>
      <c r="JDX77" s="204"/>
      <c r="JDY77" s="206"/>
      <c r="JDZ77" s="205"/>
      <c r="JEA77" s="205"/>
      <c r="JEB77" s="204"/>
      <c r="JEC77" s="206"/>
      <c r="JED77" s="205"/>
      <c r="JEE77" s="205"/>
      <c r="JEF77" s="204"/>
      <c r="JEG77" s="206"/>
      <c r="JEH77" s="205"/>
      <c r="JEI77" s="205"/>
      <c r="JEJ77" s="204"/>
      <c r="JEK77" s="206"/>
      <c r="JEL77" s="205"/>
      <c r="JEM77" s="205"/>
      <c r="JEN77" s="204"/>
      <c r="JEO77" s="206"/>
      <c r="JEP77" s="205"/>
      <c r="JEQ77" s="205"/>
      <c r="JER77" s="204"/>
      <c r="JES77" s="206"/>
      <c r="JET77" s="205"/>
      <c r="JEU77" s="205"/>
      <c r="JEV77" s="204"/>
      <c r="JEW77" s="206"/>
      <c r="JEX77" s="205"/>
      <c r="JEY77" s="205"/>
      <c r="JEZ77" s="204"/>
      <c r="JFA77" s="206"/>
      <c r="JFB77" s="205"/>
      <c r="JFC77" s="205"/>
      <c r="JFD77" s="204"/>
      <c r="JFE77" s="206"/>
      <c r="JFF77" s="205"/>
      <c r="JFG77" s="205"/>
      <c r="JFH77" s="204"/>
      <c r="JFI77" s="206"/>
      <c r="JFJ77" s="205"/>
      <c r="JFK77" s="205"/>
      <c r="JFL77" s="204"/>
      <c r="JFM77" s="206"/>
      <c r="JFN77" s="205"/>
      <c r="JFO77" s="205"/>
      <c r="JFP77" s="204"/>
      <c r="JFQ77" s="206"/>
      <c r="JFR77" s="205"/>
      <c r="JFS77" s="205"/>
      <c r="JFT77" s="204"/>
      <c r="JFU77" s="206"/>
      <c r="JFV77" s="205"/>
      <c r="JFW77" s="205"/>
      <c r="JFX77" s="204"/>
      <c r="JFY77" s="206"/>
      <c r="JFZ77" s="205"/>
      <c r="JGA77" s="205"/>
      <c r="JGB77" s="204"/>
      <c r="JGC77" s="206"/>
      <c r="JGD77" s="205"/>
      <c r="JGE77" s="205"/>
      <c r="JGF77" s="204"/>
      <c r="JGG77" s="206"/>
      <c r="JGH77" s="205"/>
      <c r="JGI77" s="205"/>
      <c r="JGJ77" s="204"/>
      <c r="JGK77" s="206"/>
      <c r="JGL77" s="205"/>
      <c r="JGM77" s="205"/>
      <c r="JGN77" s="204"/>
      <c r="JGO77" s="206"/>
      <c r="JGP77" s="205"/>
      <c r="JGQ77" s="205"/>
      <c r="JGR77" s="204"/>
      <c r="JGS77" s="206"/>
      <c r="JGT77" s="205"/>
      <c r="JGU77" s="205"/>
      <c r="JGV77" s="204"/>
      <c r="JGW77" s="206"/>
      <c r="JGX77" s="205"/>
      <c r="JGY77" s="205"/>
      <c r="JGZ77" s="204"/>
      <c r="JHA77" s="206"/>
      <c r="JHB77" s="205"/>
      <c r="JHC77" s="205"/>
      <c r="JHD77" s="204"/>
      <c r="JHE77" s="206"/>
      <c r="JHF77" s="205"/>
      <c r="JHG77" s="205"/>
      <c r="JHH77" s="204"/>
      <c r="JHI77" s="206"/>
      <c r="JHJ77" s="205"/>
      <c r="JHK77" s="205"/>
      <c r="JHL77" s="204"/>
      <c r="JHM77" s="206"/>
      <c r="JHN77" s="205"/>
      <c r="JHO77" s="205"/>
      <c r="JHP77" s="204"/>
      <c r="JHQ77" s="206"/>
      <c r="JHR77" s="205"/>
      <c r="JHS77" s="205"/>
      <c r="JHT77" s="204"/>
      <c r="JHU77" s="206"/>
      <c r="JHV77" s="205"/>
      <c r="JHW77" s="205"/>
      <c r="JHX77" s="204"/>
      <c r="JHY77" s="206"/>
      <c r="JHZ77" s="205"/>
      <c r="JIA77" s="205"/>
      <c r="JIB77" s="204"/>
      <c r="JIC77" s="206"/>
      <c r="JID77" s="205"/>
      <c r="JIE77" s="205"/>
      <c r="JIF77" s="204"/>
      <c r="JIG77" s="206"/>
      <c r="JIH77" s="205"/>
      <c r="JII77" s="205"/>
      <c r="JIJ77" s="204"/>
      <c r="JIK77" s="206"/>
      <c r="JIL77" s="205"/>
      <c r="JIM77" s="205"/>
      <c r="JIN77" s="204"/>
      <c r="JIO77" s="206"/>
      <c r="JIP77" s="205"/>
      <c r="JIQ77" s="205"/>
      <c r="JIR77" s="204"/>
      <c r="JIS77" s="206"/>
      <c r="JIT77" s="205"/>
      <c r="JIU77" s="205"/>
      <c r="JIV77" s="204"/>
      <c r="JIW77" s="206"/>
      <c r="JIX77" s="205"/>
      <c r="JIY77" s="205"/>
      <c r="JIZ77" s="204"/>
      <c r="JJA77" s="206"/>
      <c r="JJB77" s="205"/>
      <c r="JJC77" s="205"/>
      <c r="JJD77" s="204"/>
      <c r="JJE77" s="206"/>
      <c r="JJF77" s="205"/>
      <c r="JJG77" s="205"/>
      <c r="JJH77" s="204"/>
      <c r="JJI77" s="206"/>
      <c r="JJJ77" s="205"/>
      <c r="JJK77" s="205"/>
      <c r="JJL77" s="204"/>
      <c r="JJM77" s="206"/>
      <c r="JJN77" s="205"/>
      <c r="JJO77" s="205"/>
      <c r="JJP77" s="204"/>
      <c r="JJQ77" s="206"/>
      <c r="JJR77" s="205"/>
      <c r="JJS77" s="205"/>
      <c r="JJT77" s="204"/>
      <c r="JJU77" s="206"/>
      <c r="JJV77" s="205"/>
      <c r="JJW77" s="205"/>
      <c r="JJX77" s="204"/>
      <c r="JJY77" s="206"/>
      <c r="JJZ77" s="205"/>
      <c r="JKA77" s="205"/>
      <c r="JKB77" s="204"/>
      <c r="JKC77" s="206"/>
      <c r="JKD77" s="205"/>
      <c r="JKE77" s="205"/>
      <c r="JKF77" s="204"/>
      <c r="JKG77" s="206"/>
      <c r="JKH77" s="205"/>
      <c r="JKI77" s="205"/>
      <c r="JKJ77" s="204"/>
      <c r="JKK77" s="206"/>
      <c r="JKL77" s="205"/>
      <c r="JKM77" s="205"/>
      <c r="JKN77" s="204"/>
      <c r="JKO77" s="206"/>
      <c r="JKP77" s="205"/>
      <c r="JKQ77" s="205"/>
      <c r="JKR77" s="204"/>
      <c r="JKS77" s="206"/>
      <c r="JKT77" s="205"/>
      <c r="JKU77" s="205"/>
      <c r="JKV77" s="204"/>
      <c r="JKW77" s="206"/>
      <c r="JKX77" s="205"/>
      <c r="JKY77" s="205"/>
      <c r="JKZ77" s="204"/>
      <c r="JLA77" s="206"/>
      <c r="JLB77" s="205"/>
      <c r="JLC77" s="205"/>
      <c r="JLD77" s="204"/>
      <c r="JLE77" s="206"/>
      <c r="JLF77" s="205"/>
      <c r="JLG77" s="205"/>
      <c r="JLH77" s="204"/>
      <c r="JLI77" s="206"/>
      <c r="JLJ77" s="205"/>
      <c r="JLK77" s="205"/>
      <c r="JLL77" s="204"/>
      <c r="JLM77" s="206"/>
      <c r="JLN77" s="205"/>
      <c r="JLO77" s="205"/>
      <c r="JLP77" s="204"/>
      <c r="JLQ77" s="206"/>
      <c r="JLR77" s="205"/>
      <c r="JLS77" s="205"/>
      <c r="JLT77" s="204"/>
      <c r="JLU77" s="206"/>
      <c r="JLV77" s="205"/>
      <c r="JLW77" s="205"/>
      <c r="JLX77" s="204"/>
      <c r="JLY77" s="206"/>
      <c r="JLZ77" s="205"/>
      <c r="JMA77" s="205"/>
      <c r="JMB77" s="204"/>
      <c r="JMC77" s="206"/>
      <c r="JMD77" s="205"/>
      <c r="JME77" s="205"/>
      <c r="JMF77" s="204"/>
      <c r="JMG77" s="206"/>
      <c r="JMH77" s="205"/>
      <c r="JMI77" s="205"/>
      <c r="JMJ77" s="204"/>
      <c r="JMK77" s="206"/>
      <c r="JML77" s="205"/>
      <c r="JMM77" s="205"/>
      <c r="JMN77" s="204"/>
      <c r="JMO77" s="206"/>
      <c r="JMP77" s="205"/>
      <c r="JMQ77" s="205"/>
      <c r="JMR77" s="204"/>
      <c r="JMS77" s="206"/>
      <c r="JMT77" s="205"/>
      <c r="JMU77" s="205"/>
      <c r="JMV77" s="204"/>
      <c r="JMW77" s="206"/>
      <c r="JMX77" s="205"/>
      <c r="JMY77" s="205"/>
      <c r="JMZ77" s="204"/>
      <c r="JNA77" s="206"/>
      <c r="JNB77" s="205"/>
      <c r="JNC77" s="205"/>
      <c r="JND77" s="204"/>
      <c r="JNE77" s="206"/>
      <c r="JNF77" s="205"/>
      <c r="JNG77" s="205"/>
      <c r="JNH77" s="204"/>
      <c r="JNI77" s="206"/>
      <c r="JNJ77" s="205"/>
      <c r="JNK77" s="205"/>
      <c r="JNL77" s="204"/>
      <c r="JNM77" s="206"/>
      <c r="JNN77" s="205"/>
      <c r="JNO77" s="205"/>
      <c r="JNP77" s="204"/>
      <c r="JNQ77" s="206"/>
      <c r="JNR77" s="205"/>
      <c r="JNS77" s="205"/>
      <c r="JNT77" s="204"/>
      <c r="JNU77" s="206"/>
      <c r="JNV77" s="205"/>
      <c r="JNW77" s="205"/>
      <c r="JNX77" s="204"/>
      <c r="JNY77" s="206"/>
      <c r="JNZ77" s="205"/>
      <c r="JOA77" s="205"/>
      <c r="JOB77" s="204"/>
      <c r="JOC77" s="206"/>
      <c r="JOD77" s="205"/>
      <c r="JOE77" s="205"/>
      <c r="JOF77" s="204"/>
      <c r="JOG77" s="206"/>
      <c r="JOH77" s="205"/>
      <c r="JOI77" s="205"/>
      <c r="JOJ77" s="204"/>
      <c r="JOK77" s="206"/>
      <c r="JOL77" s="205"/>
      <c r="JOM77" s="205"/>
      <c r="JON77" s="204"/>
      <c r="JOO77" s="206"/>
      <c r="JOP77" s="205"/>
      <c r="JOQ77" s="205"/>
      <c r="JOR77" s="204"/>
      <c r="JOS77" s="206"/>
      <c r="JOT77" s="205"/>
      <c r="JOU77" s="205"/>
      <c r="JOV77" s="204"/>
      <c r="JOW77" s="206"/>
      <c r="JOX77" s="205"/>
      <c r="JOY77" s="205"/>
      <c r="JOZ77" s="204"/>
      <c r="JPA77" s="206"/>
      <c r="JPB77" s="205"/>
      <c r="JPC77" s="205"/>
      <c r="JPD77" s="204"/>
      <c r="JPE77" s="206"/>
      <c r="JPF77" s="205"/>
      <c r="JPG77" s="205"/>
      <c r="JPH77" s="204"/>
      <c r="JPI77" s="206"/>
      <c r="JPJ77" s="205"/>
      <c r="JPK77" s="205"/>
      <c r="JPL77" s="204"/>
      <c r="JPM77" s="206"/>
      <c r="JPN77" s="205"/>
      <c r="JPO77" s="205"/>
      <c r="JPP77" s="204"/>
      <c r="JPQ77" s="206"/>
      <c r="JPR77" s="205"/>
      <c r="JPS77" s="205"/>
      <c r="JPT77" s="204"/>
      <c r="JPU77" s="206"/>
      <c r="JPV77" s="205"/>
      <c r="JPW77" s="205"/>
      <c r="JPX77" s="204"/>
      <c r="JPY77" s="206"/>
      <c r="JPZ77" s="205"/>
      <c r="JQA77" s="205"/>
      <c r="JQB77" s="204"/>
      <c r="JQC77" s="206"/>
      <c r="JQD77" s="205"/>
      <c r="JQE77" s="205"/>
      <c r="JQF77" s="204"/>
      <c r="JQG77" s="206"/>
      <c r="JQH77" s="205"/>
      <c r="JQI77" s="205"/>
      <c r="JQJ77" s="204"/>
      <c r="JQK77" s="206"/>
      <c r="JQL77" s="205"/>
      <c r="JQM77" s="205"/>
      <c r="JQN77" s="204"/>
      <c r="JQO77" s="206"/>
      <c r="JQP77" s="205"/>
      <c r="JQQ77" s="205"/>
      <c r="JQR77" s="204"/>
      <c r="JQS77" s="206"/>
      <c r="JQT77" s="205"/>
      <c r="JQU77" s="205"/>
      <c r="JQV77" s="204"/>
      <c r="JQW77" s="206"/>
      <c r="JQX77" s="205"/>
      <c r="JQY77" s="205"/>
      <c r="JQZ77" s="204"/>
      <c r="JRA77" s="206"/>
      <c r="JRB77" s="205"/>
      <c r="JRC77" s="205"/>
      <c r="JRD77" s="204"/>
      <c r="JRE77" s="206"/>
      <c r="JRF77" s="205"/>
      <c r="JRG77" s="205"/>
      <c r="JRH77" s="204"/>
      <c r="JRI77" s="206"/>
      <c r="JRJ77" s="205"/>
      <c r="JRK77" s="205"/>
      <c r="JRL77" s="204"/>
      <c r="JRM77" s="206"/>
      <c r="JRN77" s="205"/>
      <c r="JRO77" s="205"/>
      <c r="JRP77" s="204"/>
      <c r="JRQ77" s="206"/>
      <c r="JRR77" s="205"/>
      <c r="JRS77" s="205"/>
      <c r="JRT77" s="204"/>
      <c r="JRU77" s="206"/>
      <c r="JRV77" s="205"/>
      <c r="JRW77" s="205"/>
      <c r="JRX77" s="204"/>
      <c r="JRY77" s="206"/>
      <c r="JRZ77" s="205"/>
      <c r="JSA77" s="205"/>
      <c r="JSB77" s="204"/>
      <c r="JSC77" s="206"/>
      <c r="JSD77" s="205"/>
      <c r="JSE77" s="205"/>
      <c r="JSF77" s="204"/>
      <c r="JSG77" s="206"/>
      <c r="JSH77" s="205"/>
      <c r="JSI77" s="205"/>
      <c r="JSJ77" s="204"/>
      <c r="JSK77" s="206"/>
      <c r="JSL77" s="205"/>
      <c r="JSM77" s="205"/>
      <c r="JSN77" s="204"/>
      <c r="JSO77" s="206"/>
      <c r="JSP77" s="205"/>
      <c r="JSQ77" s="205"/>
      <c r="JSR77" s="204"/>
      <c r="JSS77" s="206"/>
      <c r="JST77" s="205"/>
      <c r="JSU77" s="205"/>
      <c r="JSV77" s="204"/>
      <c r="JSW77" s="206"/>
      <c r="JSX77" s="205"/>
      <c r="JSY77" s="205"/>
      <c r="JSZ77" s="204"/>
      <c r="JTA77" s="206"/>
      <c r="JTB77" s="205"/>
      <c r="JTC77" s="205"/>
      <c r="JTD77" s="204"/>
      <c r="JTE77" s="206"/>
      <c r="JTF77" s="205"/>
      <c r="JTG77" s="205"/>
      <c r="JTH77" s="204"/>
      <c r="JTI77" s="206"/>
      <c r="JTJ77" s="205"/>
      <c r="JTK77" s="205"/>
      <c r="JTL77" s="204"/>
      <c r="JTM77" s="206"/>
      <c r="JTN77" s="205"/>
      <c r="JTO77" s="205"/>
      <c r="JTP77" s="204"/>
      <c r="JTQ77" s="206"/>
      <c r="JTR77" s="205"/>
      <c r="JTS77" s="205"/>
      <c r="JTT77" s="204"/>
      <c r="JTU77" s="206"/>
      <c r="JTV77" s="205"/>
      <c r="JTW77" s="205"/>
      <c r="JTX77" s="204"/>
      <c r="JTY77" s="206"/>
      <c r="JTZ77" s="205"/>
      <c r="JUA77" s="205"/>
      <c r="JUB77" s="204"/>
      <c r="JUC77" s="206"/>
      <c r="JUD77" s="205"/>
      <c r="JUE77" s="205"/>
      <c r="JUF77" s="204"/>
      <c r="JUG77" s="206"/>
      <c r="JUH77" s="205"/>
      <c r="JUI77" s="205"/>
      <c r="JUJ77" s="204"/>
      <c r="JUK77" s="206"/>
      <c r="JUL77" s="205"/>
      <c r="JUM77" s="205"/>
      <c r="JUN77" s="204"/>
      <c r="JUO77" s="206"/>
      <c r="JUP77" s="205"/>
      <c r="JUQ77" s="205"/>
      <c r="JUR77" s="204"/>
      <c r="JUS77" s="206"/>
      <c r="JUT77" s="205"/>
      <c r="JUU77" s="205"/>
      <c r="JUV77" s="204"/>
      <c r="JUW77" s="206"/>
      <c r="JUX77" s="205"/>
      <c r="JUY77" s="205"/>
      <c r="JUZ77" s="204"/>
      <c r="JVA77" s="206"/>
      <c r="JVB77" s="205"/>
      <c r="JVC77" s="205"/>
      <c r="JVD77" s="204"/>
      <c r="JVE77" s="206"/>
      <c r="JVF77" s="205"/>
      <c r="JVG77" s="205"/>
      <c r="JVH77" s="204"/>
      <c r="JVI77" s="206"/>
      <c r="JVJ77" s="205"/>
      <c r="JVK77" s="205"/>
      <c r="JVL77" s="204"/>
      <c r="JVM77" s="206"/>
      <c r="JVN77" s="205"/>
      <c r="JVO77" s="205"/>
      <c r="JVP77" s="204"/>
      <c r="JVQ77" s="206"/>
      <c r="JVR77" s="205"/>
      <c r="JVS77" s="205"/>
      <c r="JVT77" s="204"/>
      <c r="JVU77" s="206"/>
      <c r="JVV77" s="205"/>
      <c r="JVW77" s="205"/>
      <c r="JVX77" s="204"/>
      <c r="JVY77" s="206"/>
      <c r="JVZ77" s="205"/>
      <c r="JWA77" s="205"/>
      <c r="JWB77" s="204"/>
      <c r="JWC77" s="206"/>
      <c r="JWD77" s="205"/>
      <c r="JWE77" s="205"/>
      <c r="JWF77" s="204"/>
      <c r="JWG77" s="206"/>
      <c r="JWH77" s="205"/>
      <c r="JWI77" s="205"/>
      <c r="JWJ77" s="204"/>
      <c r="JWK77" s="206"/>
      <c r="JWL77" s="205"/>
      <c r="JWM77" s="205"/>
      <c r="JWN77" s="204"/>
      <c r="JWO77" s="206"/>
      <c r="JWP77" s="205"/>
      <c r="JWQ77" s="205"/>
      <c r="JWR77" s="204"/>
      <c r="JWS77" s="206"/>
      <c r="JWT77" s="205"/>
      <c r="JWU77" s="205"/>
      <c r="JWV77" s="204"/>
      <c r="JWW77" s="206"/>
      <c r="JWX77" s="205"/>
      <c r="JWY77" s="205"/>
      <c r="JWZ77" s="204"/>
      <c r="JXA77" s="206"/>
      <c r="JXB77" s="205"/>
      <c r="JXC77" s="205"/>
      <c r="JXD77" s="204"/>
      <c r="JXE77" s="206"/>
      <c r="JXF77" s="205"/>
      <c r="JXG77" s="205"/>
      <c r="JXH77" s="204"/>
      <c r="JXI77" s="206"/>
      <c r="JXJ77" s="205"/>
      <c r="JXK77" s="205"/>
      <c r="JXL77" s="204"/>
      <c r="JXM77" s="206"/>
      <c r="JXN77" s="205"/>
      <c r="JXO77" s="205"/>
      <c r="JXP77" s="204"/>
      <c r="JXQ77" s="206"/>
      <c r="JXR77" s="205"/>
      <c r="JXS77" s="205"/>
      <c r="JXT77" s="204"/>
      <c r="JXU77" s="206"/>
      <c r="JXV77" s="205"/>
      <c r="JXW77" s="205"/>
      <c r="JXX77" s="204"/>
      <c r="JXY77" s="206"/>
      <c r="JXZ77" s="205"/>
      <c r="JYA77" s="205"/>
      <c r="JYB77" s="204"/>
      <c r="JYC77" s="206"/>
      <c r="JYD77" s="205"/>
      <c r="JYE77" s="205"/>
      <c r="JYF77" s="204"/>
      <c r="JYG77" s="206"/>
      <c r="JYH77" s="205"/>
      <c r="JYI77" s="205"/>
      <c r="JYJ77" s="204"/>
      <c r="JYK77" s="206"/>
      <c r="JYL77" s="205"/>
      <c r="JYM77" s="205"/>
      <c r="JYN77" s="204"/>
      <c r="JYO77" s="206"/>
      <c r="JYP77" s="205"/>
      <c r="JYQ77" s="205"/>
      <c r="JYR77" s="204"/>
      <c r="JYS77" s="206"/>
      <c r="JYT77" s="205"/>
      <c r="JYU77" s="205"/>
      <c r="JYV77" s="204"/>
      <c r="JYW77" s="206"/>
      <c r="JYX77" s="205"/>
      <c r="JYY77" s="205"/>
      <c r="JYZ77" s="204"/>
      <c r="JZA77" s="206"/>
      <c r="JZB77" s="205"/>
      <c r="JZC77" s="205"/>
      <c r="JZD77" s="204"/>
      <c r="JZE77" s="206"/>
      <c r="JZF77" s="205"/>
      <c r="JZG77" s="205"/>
      <c r="JZH77" s="204"/>
      <c r="JZI77" s="206"/>
      <c r="JZJ77" s="205"/>
      <c r="JZK77" s="205"/>
      <c r="JZL77" s="204"/>
      <c r="JZM77" s="206"/>
      <c r="JZN77" s="205"/>
      <c r="JZO77" s="205"/>
      <c r="JZP77" s="204"/>
      <c r="JZQ77" s="206"/>
      <c r="JZR77" s="205"/>
      <c r="JZS77" s="205"/>
      <c r="JZT77" s="204"/>
      <c r="JZU77" s="206"/>
      <c r="JZV77" s="205"/>
      <c r="JZW77" s="205"/>
      <c r="JZX77" s="204"/>
      <c r="JZY77" s="206"/>
      <c r="JZZ77" s="205"/>
      <c r="KAA77" s="205"/>
      <c r="KAB77" s="204"/>
      <c r="KAC77" s="206"/>
      <c r="KAD77" s="205"/>
      <c r="KAE77" s="205"/>
      <c r="KAF77" s="204"/>
      <c r="KAG77" s="206"/>
      <c r="KAH77" s="205"/>
      <c r="KAI77" s="205"/>
      <c r="KAJ77" s="204"/>
      <c r="KAK77" s="206"/>
      <c r="KAL77" s="205"/>
      <c r="KAM77" s="205"/>
      <c r="KAN77" s="204"/>
      <c r="KAO77" s="206"/>
      <c r="KAP77" s="205"/>
      <c r="KAQ77" s="205"/>
      <c r="KAR77" s="204"/>
      <c r="KAS77" s="206"/>
      <c r="KAT77" s="205"/>
      <c r="KAU77" s="205"/>
      <c r="KAV77" s="204"/>
      <c r="KAW77" s="206"/>
      <c r="KAX77" s="205"/>
      <c r="KAY77" s="205"/>
      <c r="KAZ77" s="204"/>
      <c r="KBA77" s="206"/>
      <c r="KBB77" s="205"/>
      <c r="KBC77" s="205"/>
      <c r="KBD77" s="204"/>
      <c r="KBE77" s="206"/>
      <c r="KBF77" s="205"/>
      <c r="KBG77" s="205"/>
      <c r="KBH77" s="204"/>
      <c r="KBI77" s="206"/>
      <c r="KBJ77" s="205"/>
      <c r="KBK77" s="205"/>
      <c r="KBL77" s="204"/>
      <c r="KBM77" s="206"/>
      <c r="KBN77" s="205"/>
      <c r="KBO77" s="205"/>
      <c r="KBP77" s="204"/>
      <c r="KBQ77" s="206"/>
      <c r="KBR77" s="205"/>
      <c r="KBS77" s="205"/>
      <c r="KBT77" s="204"/>
      <c r="KBU77" s="206"/>
      <c r="KBV77" s="205"/>
      <c r="KBW77" s="205"/>
      <c r="KBX77" s="204"/>
      <c r="KBY77" s="206"/>
      <c r="KBZ77" s="205"/>
      <c r="KCA77" s="205"/>
      <c r="KCB77" s="204"/>
      <c r="KCC77" s="206"/>
      <c r="KCD77" s="205"/>
      <c r="KCE77" s="205"/>
      <c r="KCF77" s="204"/>
      <c r="KCG77" s="206"/>
      <c r="KCH77" s="205"/>
      <c r="KCI77" s="205"/>
      <c r="KCJ77" s="204"/>
      <c r="KCK77" s="206"/>
      <c r="KCL77" s="205"/>
      <c r="KCM77" s="205"/>
      <c r="KCN77" s="204"/>
      <c r="KCO77" s="206"/>
      <c r="KCP77" s="205"/>
      <c r="KCQ77" s="205"/>
      <c r="KCR77" s="204"/>
      <c r="KCS77" s="206"/>
      <c r="KCT77" s="205"/>
      <c r="KCU77" s="205"/>
      <c r="KCV77" s="204"/>
      <c r="KCW77" s="206"/>
      <c r="KCX77" s="205"/>
      <c r="KCY77" s="205"/>
      <c r="KCZ77" s="204"/>
      <c r="KDA77" s="206"/>
      <c r="KDB77" s="205"/>
      <c r="KDC77" s="205"/>
      <c r="KDD77" s="204"/>
      <c r="KDE77" s="206"/>
      <c r="KDF77" s="205"/>
      <c r="KDG77" s="205"/>
      <c r="KDH77" s="204"/>
      <c r="KDI77" s="206"/>
      <c r="KDJ77" s="205"/>
      <c r="KDK77" s="205"/>
      <c r="KDL77" s="204"/>
      <c r="KDM77" s="206"/>
      <c r="KDN77" s="205"/>
      <c r="KDO77" s="205"/>
      <c r="KDP77" s="204"/>
      <c r="KDQ77" s="206"/>
      <c r="KDR77" s="205"/>
      <c r="KDS77" s="205"/>
      <c r="KDT77" s="204"/>
      <c r="KDU77" s="206"/>
      <c r="KDV77" s="205"/>
      <c r="KDW77" s="205"/>
      <c r="KDX77" s="204"/>
      <c r="KDY77" s="206"/>
      <c r="KDZ77" s="205"/>
      <c r="KEA77" s="205"/>
      <c r="KEB77" s="204"/>
      <c r="KEC77" s="206"/>
      <c r="KED77" s="205"/>
      <c r="KEE77" s="205"/>
      <c r="KEF77" s="204"/>
      <c r="KEG77" s="206"/>
      <c r="KEH77" s="205"/>
      <c r="KEI77" s="205"/>
      <c r="KEJ77" s="204"/>
      <c r="KEK77" s="206"/>
      <c r="KEL77" s="205"/>
      <c r="KEM77" s="205"/>
      <c r="KEN77" s="204"/>
      <c r="KEO77" s="206"/>
      <c r="KEP77" s="205"/>
      <c r="KEQ77" s="205"/>
      <c r="KER77" s="204"/>
      <c r="KES77" s="206"/>
      <c r="KET77" s="205"/>
      <c r="KEU77" s="205"/>
      <c r="KEV77" s="204"/>
      <c r="KEW77" s="206"/>
      <c r="KEX77" s="205"/>
      <c r="KEY77" s="205"/>
      <c r="KEZ77" s="204"/>
      <c r="KFA77" s="206"/>
      <c r="KFB77" s="205"/>
      <c r="KFC77" s="205"/>
      <c r="KFD77" s="204"/>
      <c r="KFE77" s="206"/>
      <c r="KFF77" s="205"/>
      <c r="KFG77" s="205"/>
      <c r="KFH77" s="204"/>
      <c r="KFI77" s="206"/>
      <c r="KFJ77" s="205"/>
      <c r="KFK77" s="205"/>
      <c r="KFL77" s="204"/>
      <c r="KFM77" s="206"/>
      <c r="KFN77" s="205"/>
      <c r="KFO77" s="205"/>
      <c r="KFP77" s="204"/>
      <c r="KFQ77" s="206"/>
      <c r="KFR77" s="205"/>
      <c r="KFS77" s="205"/>
      <c r="KFT77" s="204"/>
      <c r="KFU77" s="206"/>
      <c r="KFV77" s="205"/>
      <c r="KFW77" s="205"/>
      <c r="KFX77" s="204"/>
      <c r="KFY77" s="206"/>
      <c r="KFZ77" s="205"/>
      <c r="KGA77" s="205"/>
      <c r="KGB77" s="204"/>
      <c r="KGC77" s="206"/>
      <c r="KGD77" s="205"/>
      <c r="KGE77" s="205"/>
      <c r="KGF77" s="204"/>
      <c r="KGG77" s="206"/>
      <c r="KGH77" s="205"/>
      <c r="KGI77" s="205"/>
      <c r="KGJ77" s="204"/>
      <c r="KGK77" s="206"/>
      <c r="KGL77" s="205"/>
      <c r="KGM77" s="205"/>
      <c r="KGN77" s="204"/>
      <c r="KGO77" s="206"/>
      <c r="KGP77" s="205"/>
      <c r="KGQ77" s="205"/>
      <c r="KGR77" s="204"/>
      <c r="KGS77" s="206"/>
      <c r="KGT77" s="205"/>
      <c r="KGU77" s="205"/>
      <c r="KGV77" s="204"/>
      <c r="KGW77" s="206"/>
      <c r="KGX77" s="205"/>
      <c r="KGY77" s="205"/>
      <c r="KGZ77" s="204"/>
      <c r="KHA77" s="206"/>
      <c r="KHB77" s="205"/>
      <c r="KHC77" s="205"/>
      <c r="KHD77" s="204"/>
      <c r="KHE77" s="206"/>
      <c r="KHF77" s="205"/>
      <c r="KHG77" s="205"/>
      <c r="KHH77" s="204"/>
      <c r="KHI77" s="206"/>
      <c r="KHJ77" s="205"/>
      <c r="KHK77" s="205"/>
      <c r="KHL77" s="204"/>
      <c r="KHM77" s="206"/>
      <c r="KHN77" s="205"/>
      <c r="KHO77" s="205"/>
      <c r="KHP77" s="204"/>
      <c r="KHQ77" s="206"/>
      <c r="KHR77" s="205"/>
      <c r="KHS77" s="205"/>
      <c r="KHT77" s="204"/>
      <c r="KHU77" s="206"/>
      <c r="KHV77" s="205"/>
      <c r="KHW77" s="205"/>
      <c r="KHX77" s="204"/>
      <c r="KHY77" s="206"/>
      <c r="KHZ77" s="205"/>
      <c r="KIA77" s="205"/>
      <c r="KIB77" s="204"/>
      <c r="KIC77" s="206"/>
      <c r="KID77" s="205"/>
      <c r="KIE77" s="205"/>
      <c r="KIF77" s="204"/>
      <c r="KIG77" s="206"/>
      <c r="KIH77" s="205"/>
      <c r="KII77" s="205"/>
      <c r="KIJ77" s="204"/>
      <c r="KIK77" s="206"/>
      <c r="KIL77" s="205"/>
      <c r="KIM77" s="205"/>
      <c r="KIN77" s="204"/>
      <c r="KIO77" s="206"/>
      <c r="KIP77" s="205"/>
      <c r="KIQ77" s="205"/>
      <c r="KIR77" s="204"/>
      <c r="KIS77" s="206"/>
      <c r="KIT77" s="205"/>
      <c r="KIU77" s="205"/>
      <c r="KIV77" s="204"/>
      <c r="KIW77" s="206"/>
      <c r="KIX77" s="205"/>
      <c r="KIY77" s="205"/>
      <c r="KIZ77" s="204"/>
      <c r="KJA77" s="206"/>
      <c r="KJB77" s="205"/>
      <c r="KJC77" s="205"/>
      <c r="KJD77" s="204"/>
      <c r="KJE77" s="206"/>
      <c r="KJF77" s="205"/>
      <c r="KJG77" s="205"/>
      <c r="KJH77" s="204"/>
      <c r="KJI77" s="206"/>
      <c r="KJJ77" s="205"/>
      <c r="KJK77" s="205"/>
      <c r="KJL77" s="204"/>
      <c r="KJM77" s="206"/>
      <c r="KJN77" s="205"/>
      <c r="KJO77" s="205"/>
      <c r="KJP77" s="204"/>
      <c r="KJQ77" s="206"/>
      <c r="KJR77" s="205"/>
      <c r="KJS77" s="205"/>
      <c r="KJT77" s="204"/>
      <c r="KJU77" s="206"/>
      <c r="KJV77" s="205"/>
      <c r="KJW77" s="205"/>
      <c r="KJX77" s="204"/>
      <c r="KJY77" s="206"/>
      <c r="KJZ77" s="205"/>
      <c r="KKA77" s="205"/>
      <c r="KKB77" s="204"/>
      <c r="KKC77" s="206"/>
      <c r="KKD77" s="205"/>
      <c r="KKE77" s="205"/>
      <c r="KKF77" s="204"/>
      <c r="KKG77" s="206"/>
      <c r="KKH77" s="205"/>
      <c r="KKI77" s="205"/>
      <c r="KKJ77" s="204"/>
      <c r="KKK77" s="206"/>
      <c r="KKL77" s="205"/>
      <c r="KKM77" s="205"/>
      <c r="KKN77" s="204"/>
      <c r="KKO77" s="206"/>
      <c r="KKP77" s="205"/>
      <c r="KKQ77" s="205"/>
      <c r="KKR77" s="204"/>
      <c r="KKS77" s="206"/>
      <c r="KKT77" s="205"/>
      <c r="KKU77" s="205"/>
      <c r="KKV77" s="204"/>
      <c r="KKW77" s="206"/>
      <c r="KKX77" s="205"/>
      <c r="KKY77" s="205"/>
      <c r="KKZ77" s="204"/>
      <c r="KLA77" s="206"/>
      <c r="KLB77" s="205"/>
      <c r="KLC77" s="205"/>
      <c r="KLD77" s="204"/>
      <c r="KLE77" s="206"/>
      <c r="KLF77" s="205"/>
      <c r="KLG77" s="205"/>
      <c r="KLH77" s="204"/>
      <c r="KLI77" s="206"/>
      <c r="KLJ77" s="205"/>
      <c r="KLK77" s="205"/>
      <c r="KLL77" s="204"/>
      <c r="KLM77" s="206"/>
      <c r="KLN77" s="205"/>
      <c r="KLO77" s="205"/>
      <c r="KLP77" s="204"/>
      <c r="KLQ77" s="206"/>
      <c r="KLR77" s="205"/>
      <c r="KLS77" s="205"/>
      <c r="KLT77" s="204"/>
      <c r="KLU77" s="206"/>
      <c r="KLV77" s="205"/>
      <c r="KLW77" s="205"/>
      <c r="KLX77" s="204"/>
      <c r="KLY77" s="206"/>
      <c r="KLZ77" s="205"/>
      <c r="KMA77" s="205"/>
      <c r="KMB77" s="204"/>
      <c r="KMC77" s="206"/>
      <c r="KMD77" s="205"/>
      <c r="KME77" s="205"/>
      <c r="KMF77" s="204"/>
      <c r="KMG77" s="206"/>
      <c r="KMH77" s="205"/>
      <c r="KMI77" s="205"/>
      <c r="KMJ77" s="204"/>
      <c r="KMK77" s="206"/>
      <c r="KML77" s="205"/>
      <c r="KMM77" s="205"/>
      <c r="KMN77" s="204"/>
      <c r="KMO77" s="206"/>
      <c r="KMP77" s="205"/>
      <c r="KMQ77" s="205"/>
      <c r="KMR77" s="204"/>
      <c r="KMS77" s="206"/>
      <c r="KMT77" s="205"/>
      <c r="KMU77" s="205"/>
      <c r="KMV77" s="204"/>
      <c r="KMW77" s="206"/>
      <c r="KMX77" s="205"/>
      <c r="KMY77" s="205"/>
      <c r="KMZ77" s="204"/>
      <c r="KNA77" s="206"/>
      <c r="KNB77" s="205"/>
      <c r="KNC77" s="205"/>
      <c r="KND77" s="204"/>
      <c r="KNE77" s="206"/>
      <c r="KNF77" s="205"/>
      <c r="KNG77" s="205"/>
      <c r="KNH77" s="204"/>
      <c r="KNI77" s="206"/>
      <c r="KNJ77" s="205"/>
      <c r="KNK77" s="205"/>
      <c r="KNL77" s="204"/>
      <c r="KNM77" s="206"/>
      <c r="KNN77" s="205"/>
      <c r="KNO77" s="205"/>
      <c r="KNP77" s="204"/>
      <c r="KNQ77" s="206"/>
      <c r="KNR77" s="205"/>
      <c r="KNS77" s="205"/>
      <c r="KNT77" s="204"/>
      <c r="KNU77" s="206"/>
      <c r="KNV77" s="205"/>
      <c r="KNW77" s="205"/>
      <c r="KNX77" s="204"/>
      <c r="KNY77" s="206"/>
      <c r="KNZ77" s="205"/>
      <c r="KOA77" s="205"/>
      <c r="KOB77" s="204"/>
      <c r="KOC77" s="206"/>
      <c r="KOD77" s="205"/>
      <c r="KOE77" s="205"/>
      <c r="KOF77" s="204"/>
      <c r="KOG77" s="206"/>
      <c r="KOH77" s="205"/>
      <c r="KOI77" s="205"/>
      <c r="KOJ77" s="204"/>
      <c r="KOK77" s="206"/>
      <c r="KOL77" s="205"/>
      <c r="KOM77" s="205"/>
      <c r="KON77" s="204"/>
      <c r="KOO77" s="206"/>
      <c r="KOP77" s="205"/>
      <c r="KOQ77" s="205"/>
      <c r="KOR77" s="204"/>
      <c r="KOS77" s="206"/>
      <c r="KOT77" s="205"/>
      <c r="KOU77" s="205"/>
      <c r="KOV77" s="204"/>
      <c r="KOW77" s="206"/>
      <c r="KOX77" s="205"/>
      <c r="KOY77" s="205"/>
      <c r="KOZ77" s="204"/>
      <c r="KPA77" s="206"/>
      <c r="KPB77" s="205"/>
      <c r="KPC77" s="205"/>
      <c r="KPD77" s="204"/>
      <c r="KPE77" s="206"/>
      <c r="KPF77" s="205"/>
      <c r="KPG77" s="205"/>
      <c r="KPH77" s="204"/>
      <c r="KPI77" s="206"/>
      <c r="KPJ77" s="205"/>
      <c r="KPK77" s="205"/>
      <c r="KPL77" s="204"/>
      <c r="KPM77" s="206"/>
      <c r="KPN77" s="205"/>
      <c r="KPO77" s="205"/>
      <c r="KPP77" s="204"/>
      <c r="KPQ77" s="206"/>
      <c r="KPR77" s="205"/>
      <c r="KPS77" s="205"/>
      <c r="KPT77" s="204"/>
      <c r="KPU77" s="206"/>
      <c r="KPV77" s="205"/>
      <c r="KPW77" s="205"/>
      <c r="KPX77" s="204"/>
      <c r="KPY77" s="206"/>
      <c r="KPZ77" s="205"/>
      <c r="KQA77" s="205"/>
      <c r="KQB77" s="204"/>
      <c r="KQC77" s="206"/>
      <c r="KQD77" s="205"/>
      <c r="KQE77" s="205"/>
      <c r="KQF77" s="204"/>
      <c r="KQG77" s="206"/>
      <c r="KQH77" s="205"/>
      <c r="KQI77" s="205"/>
      <c r="KQJ77" s="204"/>
      <c r="KQK77" s="206"/>
      <c r="KQL77" s="205"/>
      <c r="KQM77" s="205"/>
      <c r="KQN77" s="204"/>
      <c r="KQO77" s="206"/>
      <c r="KQP77" s="205"/>
      <c r="KQQ77" s="205"/>
      <c r="KQR77" s="204"/>
      <c r="KQS77" s="206"/>
      <c r="KQT77" s="205"/>
      <c r="KQU77" s="205"/>
      <c r="KQV77" s="204"/>
      <c r="KQW77" s="206"/>
      <c r="KQX77" s="205"/>
      <c r="KQY77" s="205"/>
      <c r="KQZ77" s="204"/>
      <c r="KRA77" s="206"/>
      <c r="KRB77" s="205"/>
      <c r="KRC77" s="205"/>
      <c r="KRD77" s="204"/>
      <c r="KRE77" s="206"/>
      <c r="KRF77" s="205"/>
      <c r="KRG77" s="205"/>
      <c r="KRH77" s="204"/>
      <c r="KRI77" s="206"/>
      <c r="KRJ77" s="205"/>
      <c r="KRK77" s="205"/>
      <c r="KRL77" s="204"/>
      <c r="KRM77" s="206"/>
      <c r="KRN77" s="205"/>
      <c r="KRO77" s="205"/>
      <c r="KRP77" s="204"/>
      <c r="KRQ77" s="206"/>
      <c r="KRR77" s="205"/>
      <c r="KRS77" s="205"/>
      <c r="KRT77" s="204"/>
      <c r="KRU77" s="206"/>
      <c r="KRV77" s="205"/>
      <c r="KRW77" s="205"/>
      <c r="KRX77" s="204"/>
      <c r="KRY77" s="206"/>
      <c r="KRZ77" s="205"/>
      <c r="KSA77" s="205"/>
      <c r="KSB77" s="204"/>
      <c r="KSC77" s="206"/>
      <c r="KSD77" s="205"/>
      <c r="KSE77" s="205"/>
      <c r="KSF77" s="204"/>
      <c r="KSG77" s="206"/>
      <c r="KSH77" s="205"/>
      <c r="KSI77" s="205"/>
      <c r="KSJ77" s="204"/>
      <c r="KSK77" s="206"/>
      <c r="KSL77" s="205"/>
      <c r="KSM77" s="205"/>
      <c r="KSN77" s="204"/>
      <c r="KSO77" s="206"/>
      <c r="KSP77" s="205"/>
      <c r="KSQ77" s="205"/>
      <c r="KSR77" s="204"/>
      <c r="KSS77" s="206"/>
      <c r="KST77" s="205"/>
      <c r="KSU77" s="205"/>
      <c r="KSV77" s="204"/>
      <c r="KSW77" s="206"/>
      <c r="KSX77" s="205"/>
      <c r="KSY77" s="205"/>
      <c r="KSZ77" s="204"/>
      <c r="KTA77" s="206"/>
      <c r="KTB77" s="205"/>
      <c r="KTC77" s="205"/>
      <c r="KTD77" s="204"/>
      <c r="KTE77" s="206"/>
      <c r="KTF77" s="205"/>
      <c r="KTG77" s="205"/>
      <c r="KTH77" s="204"/>
      <c r="KTI77" s="206"/>
      <c r="KTJ77" s="205"/>
      <c r="KTK77" s="205"/>
      <c r="KTL77" s="204"/>
      <c r="KTM77" s="206"/>
      <c r="KTN77" s="205"/>
      <c r="KTO77" s="205"/>
      <c r="KTP77" s="204"/>
      <c r="KTQ77" s="206"/>
      <c r="KTR77" s="205"/>
      <c r="KTS77" s="205"/>
      <c r="KTT77" s="204"/>
      <c r="KTU77" s="206"/>
      <c r="KTV77" s="205"/>
      <c r="KTW77" s="205"/>
      <c r="KTX77" s="204"/>
      <c r="KTY77" s="206"/>
      <c r="KTZ77" s="205"/>
      <c r="KUA77" s="205"/>
      <c r="KUB77" s="204"/>
      <c r="KUC77" s="206"/>
      <c r="KUD77" s="205"/>
      <c r="KUE77" s="205"/>
      <c r="KUF77" s="204"/>
      <c r="KUG77" s="206"/>
      <c r="KUH77" s="205"/>
      <c r="KUI77" s="205"/>
      <c r="KUJ77" s="204"/>
      <c r="KUK77" s="206"/>
      <c r="KUL77" s="205"/>
      <c r="KUM77" s="205"/>
      <c r="KUN77" s="204"/>
      <c r="KUO77" s="206"/>
      <c r="KUP77" s="205"/>
      <c r="KUQ77" s="205"/>
      <c r="KUR77" s="204"/>
      <c r="KUS77" s="206"/>
      <c r="KUT77" s="205"/>
      <c r="KUU77" s="205"/>
      <c r="KUV77" s="204"/>
      <c r="KUW77" s="206"/>
      <c r="KUX77" s="205"/>
      <c r="KUY77" s="205"/>
      <c r="KUZ77" s="204"/>
      <c r="KVA77" s="206"/>
      <c r="KVB77" s="205"/>
      <c r="KVC77" s="205"/>
      <c r="KVD77" s="204"/>
      <c r="KVE77" s="206"/>
      <c r="KVF77" s="205"/>
      <c r="KVG77" s="205"/>
      <c r="KVH77" s="204"/>
      <c r="KVI77" s="206"/>
      <c r="KVJ77" s="205"/>
      <c r="KVK77" s="205"/>
      <c r="KVL77" s="204"/>
      <c r="KVM77" s="206"/>
      <c r="KVN77" s="205"/>
      <c r="KVO77" s="205"/>
      <c r="KVP77" s="204"/>
      <c r="KVQ77" s="206"/>
      <c r="KVR77" s="205"/>
      <c r="KVS77" s="205"/>
      <c r="KVT77" s="204"/>
      <c r="KVU77" s="206"/>
      <c r="KVV77" s="205"/>
      <c r="KVW77" s="205"/>
      <c r="KVX77" s="204"/>
      <c r="KVY77" s="206"/>
      <c r="KVZ77" s="205"/>
      <c r="KWA77" s="205"/>
      <c r="KWB77" s="204"/>
      <c r="KWC77" s="206"/>
      <c r="KWD77" s="205"/>
      <c r="KWE77" s="205"/>
      <c r="KWF77" s="204"/>
      <c r="KWG77" s="206"/>
      <c r="KWH77" s="205"/>
      <c r="KWI77" s="205"/>
      <c r="KWJ77" s="204"/>
      <c r="KWK77" s="206"/>
      <c r="KWL77" s="205"/>
      <c r="KWM77" s="205"/>
      <c r="KWN77" s="204"/>
      <c r="KWO77" s="206"/>
      <c r="KWP77" s="205"/>
      <c r="KWQ77" s="205"/>
      <c r="KWR77" s="204"/>
      <c r="KWS77" s="206"/>
      <c r="KWT77" s="205"/>
      <c r="KWU77" s="205"/>
      <c r="KWV77" s="204"/>
      <c r="KWW77" s="206"/>
      <c r="KWX77" s="205"/>
      <c r="KWY77" s="205"/>
      <c r="KWZ77" s="204"/>
      <c r="KXA77" s="206"/>
      <c r="KXB77" s="205"/>
      <c r="KXC77" s="205"/>
      <c r="KXD77" s="204"/>
      <c r="KXE77" s="206"/>
      <c r="KXF77" s="205"/>
      <c r="KXG77" s="205"/>
      <c r="KXH77" s="204"/>
      <c r="KXI77" s="206"/>
      <c r="KXJ77" s="205"/>
      <c r="KXK77" s="205"/>
      <c r="KXL77" s="204"/>
      <c r="KXM77" s="206"/>
      <c r="KXN77" s="205"/>
      <c r="KXO77" s="205"/>
      <c r="KXP77" s="204"/>
      <c r="KXQ77" s="206"/>
      <c r="KXR77" s="205"/>
      <c r="KXS77" s="205"/>
      <c r="KXT77" s="204"/>
      <c r="KXU77" s="206"/>
      <c r="KXV77" s="205"/>
      <c r="KXW77" s="205"/>
      <c r="KXX77" s="204"/>
      <c r="KXY77" s="206"/>
      <c r="KXZ77" s="205"/>
      <c r="KYA77" s="205"/>
      <c r="KYB77" s="204"/>
      <c r="KYC77" s="206"/>
      <c r="KYD77" s="205"/>
      <c r="KYE77" s="205"/>
      <c r="KYF77" s="204"/>
      <c r="KYG77" s="206"/>
      <c r="KYH77" s="205"/>
      <c r="KYI77" s="205"/>
      <c r="KYJ77" s="204"/>
      <c r="KYK77" s="206"/>
      <c r="KYL77" s="205"/>
      <c r="KYM77" s="205"/>
      <c r="KYN77" s="204"/>
      <c r="KYO77" s="206"/>
      <c r="KYP77" s="205"/>
      <c r="KYQ77" s="205"/>
      <c r="KYR77" s="204"/>
      <c r="KYS77" s="206"/>
      <c r="KYT77" s="205"/>
      <c r="KYU77" s="205"/>
      <c r="KYV77" s="204"/>
      <c r="KYW77" s="206"/>
      <c r="KYX77" s="205"/>
      <c r="KYY77" s="205"/>
      <c r="KYZ77" s="204"/>
      <c r="KZA77" s="206"/>
      <c r="KZB77" s="205"/>
      <c r="KZC77" s="205"/>
      <c r="KZD77" s="204"/>
      <c r="KZE77" s="206"/>
      <c r="KZF77" s="205"/>
      <c r="KZG77" s="205"/>
      <c r="KZH77" s="204"/>
      <c r="KZI77" s="206"/>
      <c r="KZJ77" s="205"/>
      <c r="KZK77" s="205"/>
      <c r="KZL77" s="204"/>
      <c r="KZM77" s="206"/>
      <c r="KZN77" s="205"/>
      <c r="KZO77" s="205"/>
      <c r="KZP77" s="204"/>
      <c r="KZQ77" s="206"/>
      <c r="KZR77" s="205"/>
      <c r="KZS77" s="205"/>
      <c r="KZT77" s="204"/>
      <c r="KZU77" s="206"/>
      <c r="KZV77" s="205"/>
      <c r="KZW77" s="205"/>
      <c r="KZX77" s="204"/>
      <c r="KZY77" s="206"/>
      <c r="KZZ77" s="205"/>
      <c r="LAA77" s="205"/>
      <c r="LAB77" s="204"/>
      <c r="LAC77" s="206"/>
      <c r="LAD77" s="205"/>
      <c r="LAE77" s="205"/>
      <c r="LAF77" s="204"/>
      <c r="LAG77" s="206"/>
      <c r="LAH77" s="205"/>
      <c r="LAI77" s="205"/>
      <c r="LAJ77" s="204"/>
      <c r="LAK77" s="206"/>
      <c r="LAL77" s="205"/>
      <c r="LAM77" s="205"/>
      <c r="LAN77" s="204"/>
      <c r="LAO77" s="206"/>
      <c r="LAP77" s="205"/>
      <c r="LAQ77" s="205"/>
      <c r="LAR77" s="204"/>
      <c r="LAS77" s="206"/>
      <c r="LAT77" s="205"/>
      <c r="LAU77" s="205"/>
      <c r="LAV77" s="204"/>
      <c r="LAW77" s="206"/>
      <c r="LAX77" s="205"/>
      <c r="LAY77" s="205"/>
      <c r="LAZ77" s="204"/>
      <c r="LBA77" s="206"/>
      <c r="LBB77" s="205"/>
      <c r="LBC77" s="205"/>
      <c r="LBD77" s="204"/>
      <c r="LBE77" s="206"/>
      <c r="LBF77" s="205"/>
      <c r="LBG77" s="205"/>
      <c r="LBH77" s="204"/>
      <c r="LBI77" s="206"/>
      <c r="LBJ77" s="205"/>
      <c r="LBK77" s="205"/>
      <c r="LBL77" s="204"/>
      <c r="LBM77" s="206"/>
      <c r="LBN77" s="205"/>
      <c r="LBO77" s="205"/>
      <c r="LBP77" s="204"/>
      <c r="LBQ77" s="206"/>
      <c r="LBR77" s="205"/>
      <c r="LBS77" s="205"/>
      <c r="LBT77" s="204"/>
      <c r="LBU77" s="206"/>
      <c r="LBV77" s="205"/>
      <c r="LBW77" s="205"/>
      <c r="LBX77" s="204"/>
      <c r="LBY77" s="206"/>
      <c r="LBZ77" s="205"/>
      <c r="LCA77" s="205"/>
      <c r="LCB77" s="204"/>
      <c r="LCC77" s="206"/>
      <c r="LCD77" s="205"/>
      <c r="LCE77" s="205"/>
      <c r="LCF77" s="204"/>
      <c r="LCG77" s="206"/>
      <c r="LCH77" s="205"/>
      <c r="LCI77" s="205"/>
      <c r="LCJ77" s="204"/>
      <c r="LCK77" s="206"/>
      <c r="LCL77" s="205"/>
      <c r="LCM77" s="205"/>
      <c r="LCN77" s="204"/>
      <c r="LCO77" s="206"/>
      <c r="LCP77" s="205"/>
      <c r="LCQ77" s="205"/>
      <c r="LCR77" s="204"/>
      <c r="LCS77" s="206"/>
      <c r="LCT77" s="205"/>
      <c r="LCU77" s="205"/>
      <c r="LCV77" s="204"/>
      <c r="LCW77" s="206"/>
      <c r="LCX77" s="205"/>
      <c r="LCY77" s="205"/>
      <c r="LCZ77" s="204"/>
      <c r="LDA77" s="206"/>
      <c r="LDB77" s="205"/>
      <c r="LDC77" s="205"/>
      <c r="LDD77" s="204"/>
      <c r="LDE77" s="206"/>
      <c r="LDF77" s="205"/>
      <c r="LDG77" s="205"/>
      <c r="LDH77" s="204"/>
      <c r="LDI77" s="206"/>
      <c r="LDJ77" s="205"/>
      <c r="LDK77" s="205"/>
      <c r="LDL77" s="204"/>
      <c r="LDM77" s="206"/>
      <c r="LDN77" s="205"/>
      <c r="LDO77" s="205"/>
      <c r="LDP77" s="204"/>
      <c r="LDQ77" s="206"/>
      <c r="LDR77" s="205"/>
      <c r="LDS77" s="205"/>
      <c r="LDT77" s="204"/>
      <c r="LDU77" s="206"/>
      <c r="LDV77" s="205"/>
      <c r="LDW77" s="205"/>
      <c r="LDX77" s="204"/>
      <c r="LDY77" s="206"/>
      <c r="LDZ77" s="205"/>
      <c r="LEA77" s="205"/>
      <c r="LEB77" s="204"/>
      <c r="LEC77" s="206"/>
      <c r="LED77" s="205"/>
      <c r="LEE77" s="205"/>
      <c r="LEF77" s="204"/>
      <c r="LEG77" s="206"/>
      <c r="LEH77" s="205"/>
      <c r="LEI77" s="205"/>
      <c r="LEJ77" s="204"/>
      <c r="LEK77" s="206"/>
      <c r="LEL77" s="205"/>
      <c r="LEM77" s="205"/>
      <c r="LEN77" s="204"/>
      <c r="LEO77" s="206"/>
      <c r="LEP77" s="205"/>
      <c r="LEQ77" s="205"/>
      <c r="LER77" s="204"/>
      <c r="LES77" s="206"/>
      <c r="LET77" s="205"/>
      <c r="LEU77" s="205"/>
      <c r="LEV77" s="204"/>
      <c r="LEW77" s="206"/>
      <c r="LEX77" s="205"/>
      <c r="LEY77" s="205"/>
      <c r="LEZ77" s="204"/>
      <c r="LFA77" s="206"/>
      <c r="LFB77" s="205"/>
      <c r="LFC77" s="205"/>
      <c r="LFD77" s="204"/>
      <c r="LFE77" s="206"/>
      <c r="LFF77" s="205"/>
      <c r="LFG77" s="205"/>
      <c r="LFH77" s="204"/>
      <c r="LFI77" s="206"/>
      <c r="LFJ77" s="205"/>
      <c r="LFK77" s="205"/>
      <c r="LFL77" s="204"/>
      <c r="LFM77" s="206"/>
      <c r="LFN77" s="205"/>
      <c r="LFO77" s="205"/>
      <c r="LFP77" s="204"/>
      <c r="LFQ77" s="206"/>
      <c r="LFR77" s="205"/>
      <c r="LFS77" s="205"/>
      <c r="LFT77" s="204"/>
      <c r="LFU77" s="206"/>
      <c r="LFV77" s="205"/>
      <c r="LFW77" s="205"/>
      <c r="LFX77" s="204"/>
      <c r="LFY77" s="206"/>
      <c r="LFZ77" s="205"/>
      <c r="LGA77" s="205"/>
      <c r="LGB77" s="204"/>
      <c r="LGC77" s="206"/>
      <c r="LGD77" s="205"/>
      <c r="LGE77" s="205"/>
      <c r="LGF77" s="204"/>
      <c r="LGG77" s="206"/>
      <c r="LGH77" s="205"/>
      <c r="LGI77" s="205"/>
      <c r="LGJ77" s="204"/>
      <c r="LGK77" s="206"/>
      <c r="LGL77" s="205"/>
      <c r="LGM77" s="205"/>
      <c r="LGN77" s="204"/>
      <c r="LGO77" s="206"/>
      <c r="LGP77" s="205"/>
      <c r="LGQ77" s="205"/>
      <c r="LGR77" s="204"/>
      <c r="LGS77" s="206"/>
      <c r="LGT77" s="205"/>
      <c r="LGU77" s="205"/>
      <c r="LGV77" s="204"/>
      <c r="LGW77" s="206"/>
      <c r="LGX77" s="205"/>
      <c r="LGY77" s="205"/>
      <c r="LGZ77" s="204"/>
      <c r="LHA77" s="206"/>
      <c r="LHB77" s="205"/>
      <c r="LHC77" s="205"/>
      <c r="LHD77" s="204"/>
      <c r="LHE77" s="206"/>
      <c r="LHF77" s="205"/>
      <c r="LHG77" s="205"/>
      <c r="LHH77" s="204"/>
      <c r="LHI77" s="206"/>
      <c r="LHJ77" s="205"/>
      <c r="LHK77" s="205"/>
      <c r="LHL77" s="204"/>
      <c r="LHM77" s="206"/>
      <c r="LHN77" s="205"/>
      <c r="LHO77" s="205"/>
      <c r="LHP77" s="204"/>
      <c r="LHQ77" s="206"/>
      <c r="LHR77" s="205"/>
      <c r="LHS77" s="205"/>
      <c r="LHT77" s="204"/>
      <c r="LHU77" s="206"/>
      <c r="LHV77" s="205"/>
      <c r="LHW77" s="205"/>
      <c r="LHX77" s="204"/>
      <c r="LHY77" s="206"/>
      <c r="LHZ77" s="205"/>
      <c r="LIA77" s="205"/>
      <c r="LIB77" s="204"/>
      <c r="LIC77" s="206"/>
      <c r="LID77" s="205"/>
      <c r="LIE77" s="205"/>
      <c r="LIF77" s="204"/>
      <c r="LIG77" s="206"/>
      <c r="LIH77" s="205"/>
      <c r="LII77" s="205"/>
      <c r="LIJ77" s="204"/>
      <c r="LIK77" s="206"/>
      <c r="LIL77" s="205"/>
      <c r="LIM77" s="205"/>
      <c r="LIN77" s="204"/>
      <c r="LIO77" s="206"/>
      <c r="LIP77" s="205"/>
      <c r="LIQ77" s="205"/>
      <c r="LIR77" s="204"/>
      <c r="LIS77" s="206"/>
      <c r="LIT77" s="205"/>
      <c r="LIU77" s="205"/>
      <c r="LIV77" s="204"/>
      <c r="LIW77" s="206"/>
      <c r="LIX77" s="205"/>
      <c r="LIY77" s="205"/>
      <c r="LIZ77" s="204"/>
      <c r="LJA77" s="206"/>
      <c r="LJB77" s="205"/>
      <c r="LJC77" s="205"/>
      <c r="LJD77" s="204"/>
      <c r="LJE77" s="206"/>
      <c r="LJF77" s="205"/>
      <c r="LJG77" s="205"/>
      <c r="LJH77" s="204"/>
      <c r="LJI77" s="206"/>
      <c r="LJJ77" s="205"/>
      <c r="LJK77" s="205"/>
      <c r="LJL77" s="204"/>
      <c r="LJM77" s="206"/>
      <c r="LJN77" s="205"/>
      <c r="LJO77" s="205"/>
      <c r="LJP77" s="204"/>
      <c r="LJQ77" s="206"/>
      <c r="LJR77" s="205"/>
      <c r="LJS77" s="205"/>
      <c r="LJT77" s="204"/>
      <c r="LJU77" s="206"/>
      <c r="LJV77" s="205"/>
      <c r="LJW77" s="205"/>
      <c r="LJX77" s="204"/>
      <c r="LJY77" s="206"/>
      <c r="LJZ77" s="205"/>
      <c r="LKA77" s="205"/>
      <c r="LKB77" s="204"/>
      <c r="LKC77" s="206"/>
      <c r="LKD77" s="205"/>
      <c r="LKE77" s="205"/>
      <c r="LKF77" s="204"/>
      <c r="LKG77" s="206"/>
      <c r="LKH77" s="205"/>
      <c r="LKI77" s="205"/>
      <c r="LKJ77" s="204"/>
      <c r="LKK77" s="206"/>
      <c r="LKL77" s="205"/>
      <c r="LKM77" s="205"/>
      <c r="LKN77" s="204"/>
      <c r="LKO77" s="206"/>
      <c r="LKP77" s="205"/>
      <c r="LKQ77" s="205"/>
      <c r="LKR77" s="204"/>
      <c r="LKS77" s="206"/>
      <c r="LKT77" s="205"/>
      <c r="LKU77" s="205"/>
      <c r="LKV77" s="204"/>
      <c r="LKW77" s="206"/>
      <c r="LKX77" s="205"/>
      <c r="LKY77" s="205"/>
      <c r="LKZ77" s="204"/>
      <c r="LLA77" s="206"/>
      <c r="LLB77" s="205"/>
      <c r="LLC77" s="205"/>
      <c r="LLD77" s="204"/>
      <c r="LLE77" s="206"/>
      <c r="LLF77" s="205"/>
      <c r="LLG77" s="205"/>
      <c r="LLH77" s="204"/>
      <c r="LLI77" s="206"/>
      <c r="LLJ77" s="205"/>
      <c r="LLK77" s="205"/>
      <c r="LLL77" s="204"/>
      <c r="LLM77" s="206"/>
      <c r="LLN77" s="205"/>
      <c r="LLO77" s="205"/>
      <c r="LLP77" s="204"/>
      <c r="LLQ77" s="206"/>
      <c r="LLR77" s="205"/>
      <c r="LLS77" s="205"/>
      <c r="LLT77" s="204"/>
      <c r="LLU77" s="206"/>
      <c r="LLV77" s="205"/>
      <c r="LLW77" s="205"/>
      <c r="LLX77" s="204"/>
      <c r="LLY77" s="206"/>
      <c r="LLZ77" s="205"/>
      <c r="LMA77" s="205"/>
      <c r="LMB77" s="204"/>
      <c r="LMC77" s="206"/>
      <c r="LMD77" s="205"/>
      <c r="LME77" s="205"/>
      <c r="LMF77" s="204"/>
      <c r="LMG77" s="206"/>
      <c r="LMH77" s="205"/>
      <c r="LMI77" s="205"/>
      <c r="LMJ77" s="204"/>
      <c r="LMK77" s="206"/>
      <c r="LML77" s="205"/>
      <c r="LMM77" s="205"/>
      <c r="LMN77" s="204"/>
      <c r="LMO77" s="206"/>
      <c r="LMP77" s="205"/>
      <c r="LMQ77" s="205"/>
      <c r="LMR77" s="204"/>
      <c r="LMS77" s="206"/>
      <c r="LMT77" s="205"/>
      <c r="LMU77" s="205"/>
      <c r="LMV77" s="204"/>
      <c r="LMW77" s="206"/>
      <c r="LMX77" s="205"/>
      <c r="LMY77" s="205"/>
      <c r="LMZ77" s="204"/>
      <c r="LNA77" s="206"/>
      <c r="LNB77" s="205"/>
      <c r="LNC77" s="205"/>
      <c r="LND77" s="204"/>
      <c r="LNE77" s="206"/>
      <c r="LNF77" s="205"/>
      <c r="LNG77" s="205"/>
      <c r="LNH77" s="204"/>
      <c r="LNI77" s="206"/>
      <c r="LNJ77" s="205"/>
      <c r="LNK77" s="205"/>
      <c r="LNL77" s="204"/>
      <c r="LNM77" s="206"/>
      <c r="LNN77" s="205"/>
      <c r="LNO77" s="205"/>
      <c r="LNP77" s="204"/>
      <c r="LNQ77" s="206"/>
      <c r="LNR77" s="205"/>
      <c r="LNS77" s="205"/>
      <c r="LNT77" s="204"/>
      <c r="LNU77" s="206"/>
      <c r="LNV77" s="205"/>
      <c r="LNW77" s="205"/>
      <c r="LNX77" s="204"/>
      <c r="LNY77" s="206"/>
      <c r="LNZ77" s="205"/>
      <c r="LOA77" s="205"/>
      <c r="LOB77" s="204"/>
      <c r="LOC77" s="206"/>
      <c r="LOD77" s="205"/>
      <c r="LOE77" s="205"/>
      <c r="LOF77" s="204"/>
      <c r="LOG77" s="206"/>
      <c r="LOH77" s="205"/>
      <c r="LOI77" s="205"/>
      <c r="LOJ77" s="204"/>
      <c r="LOK77" s="206"/>
      <c r="LOL77" s="205"/>
      <c r="LOM77" s="205"/>
      <c r="LON77" s="204"/>
      <c r="LOO77" s="206"/>
      <c r="LOP77" s="205"/>
      <c r="LOQ77" s="205"/>
      <c r="LOR77" s="204"/>
      <c r="LOS77" s="206"/>
      <c r="LOT77" s="205"/>
      <c r="LOU77" s="205"/>
      <c r="LOV77" s="204"/>
      <c r="LOW77" s="206"/>
      <c r="LOX77" s="205"/>
      <c r="LOY77" s="205"/>
      <c r="LOZ77" s="204"/>
      <c r="LPA77" s="206"/>
      <c r="LPB77" s="205"/>
      <c r="LPC77" s="205"/>
      <c r="LPD77" s="204"/>
      <c r="LPE77" s="206"/>
      <c r="LPF77" s="205"/>
      <c r="LPG77" s="205"/>
      <c r="LPH77" s="204"/>
      <c r="LPI77" s="206"/>
      <c r="LPJ77" s="205"/>
      <c r="LPK77" s="205"/>
      <c r="LPL77" s="204"/>
      <c r="LPM77" s="206"/>
      <c r="LPN77" s="205"/>
      <c r="LPO77" s="205"/>
      <c r="LPP77" s="204"/>
      <c r="LPQ77" s="206"/>
      <c r="LPR77" s="205"/>
      <c r="LPS77" s="205"/>
      <c r="LPT77" s="204"/>
      <c r="LPU77" s="206"/>
      <c r="LPV77" s="205"/>
      <c r="LPW77" s="205"/>
      <c r="LPX77" s="204"/>
      <c r="LPY77" s="206"/>
      <c r="LPZ77" s="205"/>
      <c r="LQA77" s="205"/>
      <c r="LQB77" s="204"/>
      <c r="LQC77" s="206"/>
      <c r="LQD77" s="205"/>
      <c r="LQE77" s="205"/>
      <c r="LQF77" s="204"/>
      <c r="LQG77" s="206"/>
      <c r="LQH77" s="205"/>
      <c r="LQI77" s="205"/>
      <c r="LQJ77" s="204"/>
      <c r="LQK77" s="206"/>
      <c r="LQL77" s="205"/>
      <c r="LQM77" s="205"/>
      <c r="LQN77" s="204"/>
      <c r="LQO77" s="206"/>
      <c r="LQP77" s="205"/>
      <c r="LQQ77" s="205"/>
      <c r="LQR77" s="204"/>
      <c r="LQS77" s="206"/>
      <c r="LQT77" s="205"/>
      <c r="LQU77" s="205"/>
      <c r="LQV77" s="204"/>
      <c r="LQW77" s="206"/>
      <c r="LQX77" s="205"/>
      <c r="LQY77" s="205"/>
      <c r="LQZ77" s="204"/>
      <c r="LRA77" s="206"/>
      <c r="LRB77" s="205"/>
      <c r="LRC77" s="205"/>
      <c r="LRD77" s="204"/>
      <c r="LRE77" s="206"/>
      <c r="LRF77" s="205"/>
      <c r="LRG77" s="205"/>
      <c r="LRH77" s="204"/>
      <c r="LRI77" s="206"/>
      <c r="LRJ77" s="205"/>
      <c r="LRK77" s="205"/>
      <c r="LRL77" s="204"/>
      <c r="LRM77" s="206"/>
      <c r="LRN77" s="205"/>
      <c r="LRO77" s="205"/>
      <c r="LRP77" s="204"/>
      <c r="LRQ77" s="206"/>
      <c r="LRR77" s="205"/>
      <c r="LRS77" s="205"/>
      <c r="LRT77" s="204"/>
      <c r="LRU77" s="206"/>
      <c r="LRV77" s="205"/>
      <c r="LRW77" s="205"/>
      <c r="LRX77" s="204"/>
      <c r="LRY77" s="206"/>
      <c r="LRZ77" s="205"/>
      <c r="LSA77" s="205"/>
      <c r="LSB77" s="204"/>
      <c r="LSC77" s="206"/>
      <c r="LSD77" s="205"/>
      <c r="LSE77" s="205"/>
      <c r="LSF77" s="204"/>
      <c r="LSG77" s="206"/>
      <c r="LSH77" s="205"/>
      <c r="LSI77" s="205"/>
      <c r="LSJ77" s="204"/>
      <c r="LSK77" s="206"/>
      <c r="LSL77" s="205"/>
      <c r="LSM77" s="205"/>
      <c r="LSN77" s="204"/>
      <c r="LSO77" s="206"/>
      <c r="LSP77" s="205"/>
      <c r="LSQ77" s="205"/>
      <c r="LSR77" s="204"/>
      <c r="LSS77" s="206"/>
      <c r="LST77" s="205"/>
      <c r="LSU77" s="205"/>
      <c r="LSV77" s="204"/>
      <c r="LSW77" s="206"/>
      <c r="LSX77" s="205"/>
      <c r="LSY77" s="205"/>
      <c r="LSZ77" s="204"/>
      <c r="LTA77" s="206"/>
      <c r="LTB77" s="205"/>
      <c r="LTC77" s="205"/>
      <c r="LTD77" s="204"/>
      <c r="LTE77" s="206"/>
      <c r="LTF77" s="205"/>
      <c r="LTG77" s="205"/>
      <c r="LTH77" s="204"/>
      <c r="LTI77" s="206"/>
      <c r="LTJ77" s="205"/>
      <c r="LTK77" s="205"/>
      <c r="LTL77" s="204"/>
      <c r="LTM77" s="206"/>
      <c r="LTN77" s="205"/>
      <c r="LTO77" s="205"/>
      <c r="LTP77" s="204"/>
      <c r="LTQ77" s="206"/>
      <c r="LTR77" s="205"/>
      <c r="LTS77" s="205"/>
      <c r="LTT77" s="204"/>
      <c r="LTU77" s="206"/>
      <c r="LTV77" s="205"/>
      <c r="LTW77" s="205"/>
      <c r="LTX77" s="204"/>
      <c r="LTY77" s="206"/>
      <c r="LTZ77" s="205"/>
      <c r="LUA77" s="205"/>
      <c r="LUB77" s="204"/>
      <c r="LUC77" s="206"/>
      <c r="LUD77" s="205"/>
      <c r="LUE77" s="205"/>
      <c r="LUF77" s="204"/>
      <c r="LUG77" s="206"/>
      <c r="LUH77" s="205"/>
      <c r="LUI77" s="205"/>
      <c r="LUJ77" s="204"/>
      <c r="LUK77" s="206"/>
      <c r="LUL77" s="205"/>
      <c r="LUM77" s="205"/>
      <c r="LUN77" s="204"/>
      <c r="LUO77" s="206"/>
      <c r="LUP77" s="205"/>
      <c r="LUQ77" s="205"/>
      <c r="LUR77" s="204"/>
      <c r="LUS77" s="206"/>
      <c r="LUT77" s="205"/>
      <c r="LUU77" s="205"/>
      <c r="LUV77" s="204"/>
      <c r="LUW77" s="206"/>
      <c r="LUX77" s="205"/>
      <c r="LUY77" s="205"/>
      <c r="LUZ77" s="204"/>
      <c r="LVA77" s="206"/>
      <c r="LVB77" s="205"/>
      <c r="LVC77" s="205"/>
      <c r="LVD77" s="204"/>
      <c r="LVE77" s="206"/>
      <c r="LVF77" s="205"/>
      <c r="LVG77" s="205"/>
      <c r="LVH77" s="204"/>
      <c r="LVI77" s="206"/>
      <c r="LVJ77" s="205"/>
      <c r="LVK77" s="205"/>
      <c r="LVL77" s="204"/>
      <c r="LVM77" s="206"/>
      <c r="LVN77" s="205"/>
      <c r="LVO77" s="205"/>
      <c r="LVP77" s="204"/>
      <c r="LVQ77" s="206"/>
      <c r="LVR77" s="205"/>
      <c r="LVS77" s="205"/>
      <c r="LVT77" s="204"/>
      <c r="LVU77" s="206"/>
      <c r="LVV77" s="205"/>
      <c r="LVW77" s="205"/>
      <c r="LVX77" s="204"/>
      <c r="LVY77" s="206"/>
      <c r="LVZ77" s="205"/>
      <c r="LWA77" s="205"/>
      <c r="LWB77" s="204"/>
      <c r="LWC77" s="206"/>
      <c r="LWD77" s="205"/>
      <c r="LWE77" s="205"/>
      <c r="LWF77" s="204"/>
      <c r="LWG77" s="206"/>
      <c r="LWH77" s="205"/>
      <c r="LWI77" s="205"/>
      <c r="LWJ77" s="204"/>
      <c r="LWK77" s="206"/>
      <c r="LWL77" s="205"/>
      <c r="LWM77" s="205"/>
      <c r="LWN77" s="204"/>
      <c r="LWO77" s="206"/>
      <c r="LWP77" s="205"/>
      <c r="LWQ77" s="205"/>
      <c r="LWR77" s="204"/>
      <c r="LWS77" s="206"/>
      <c r="LWT77" s="205"/>
      <c r="LWU77" s="205"/>
      <c r="LWV77" s="204"/>
      <c r="LWW77" s="206"/>
      <c r="LWX77" s="205"/>
      <c r="LWY77" s="205"/>
      <c r="LWZ77" s="204"/>
      <c r="LXA77" s="206"/>
      <c r="LXB77" s="205"/>
      <c r="LXC77" s="205"/>
      <c r="LXD77" s="204"/>
      <c r="LXE77" s="206"/>
      <c r="LXF77" s="205"/>
      <c r="LXG77" s="205"/>
      <c r="LXH77" s="204"/>
      <c r="LXI77" s="206"/>
      <c r="LXJ77" s="205"/>
      <c r="LXK77" s="205"/>
      <c r="LXL77" s="204"/>
      <c r="LXM77" s="206"/>
      <c r="LXN77" s="205"/>
      <c r="LXO77" s="205"/>
      <c r="LXP77" s="204"/>
      <c r="LXQ77" s="206"/>
      <c r="LXR77" s="205"/>
      <c r="LXS77" s="205"/>
      <c r="LXT77" s="204"/>
      <c r="LXU77" s="206"/>
      <c r="LXV77" s="205"/>
      <c r="LXW77" s="205"/>
      <c r="LXX77" s="204"/>
      <c r="LXY77" s="206"/>
      <c r="LXZ77" s="205"/>
      <c r="LYA77" s="205"/>
      <c r="LYB77" s="204"/>
      <c r="LYC77" s="206"/>
      <c r="LYD77" s="205"/>
      <c r="LYE77" s="205"/>
      <c r="LYF77" s="204"/>
      <c r="LYG77" s="206"/>
      <c r="LYH77" s="205"/>
      <c r="LYI77" s="205"/>
      <c r="LYJ77" s="204"/>
      <c r="LYK77" s="206"/>
      <c r="LYL77" s="205"/>
      <c r="LYM77" s="205"/>
      <c r="LYN77" s="204"/>
      <c r="LYO77" s="206"/>
      <c r="LYP77" s="205"/>
      <c r="LYQ77" s="205"/>
      <c r="LYR77" s="204"/>
      <c r="LYS77" s="206"/>
      <c r="LYT77" s="205"/>
      <c r="LYU77" s="205"/>
      <c r="LYV77" s="204"/>
      <c r="LYW77" s="206"/>
      <c r="LYX77" s="205"/>
      <c r="LYY77" s="205"/>
      <c r="LYZ77" s="204"/>
      <c r="LZA77" s="206"/>
      <c r="LZB77" s="205"/>
      <c r="LZC77" s="205"/>
      <c r="LZD77" s="204"/>
      <c r="LZE77" s="206"/>
      <c r="LZF77" s="205"/>
      <c r="LZG77" s="205"/>
      <c r="LZH77" s="204"/>
      <c r="LZI77" s="206"/>
      <c r="LZJ77" s="205"/>
      <c r="LZK77" s="205"/>
      <c r="LZL77" s="204"/>
      <c r="LZM77" s="206"/>
      <c r="LZN77" s="205"/>
      <c r="LZO77" s="205"/>
      <c r="LZP77" s="204"/>
      <c r="LZQ77" s="206"/>
      <c r="LZR77" s="205"/>
      <c r="LZS77" s="205"/>
      <c r="LZT77" s="204"/>
      <c r="LZU77" s="206"/>
      <c r="LZV77" s="205"/>
      <c r="LZW77" s="205"/>
      <c r="LZX77" s="204"/>
      <c r="LZY77" s="206"/>
      <c r="LZZ77" s="205"/>
      <c r="MAA77" s="205"/>
      <c r="MAB77" s="204"/>
      <c r="MAC77" s="206"/>
      <c r="MAD77" s="205"/>
      <c r="MAE77" s="205"/>
      <c r="MAF77" s="204"/>
      <c r="MAG77" s="206"/>
      <c r="MAH77" s="205"/>
      <c r="MAI77" s="205"/>
      <c r="MAJ77" s="204"/>
      <c r="MAK77" s="206"/>
      <c r="MAL77" s="205"/>
      <c r="MAM77" s="205"/>
      <c r="MAN77" s="204"/>
      <c r="MAO77" s="206"/>
      <c r="MAP77" s="205"/>
      <c r="MAQ77" s="205"/>
      <c r="MAR77" s="204"/>
      <c r="MAS77" s="206"/>
      <c r="MAT77" s="205"/>
      <c r="MAU77" s="205"/>
      <c r="MAV77" s="204"/>
      <c r="MAW77" s="206"/>
      <c r="MAX77" s="205"/>
      <c r="MAY77" s="205"/>
      <c r="MAZ77" s="204"/>
      <c r="MBA77" s="206"/>
      <c r="MBB77" s="205"/>
      <c r="MBC77" s="205"/>
      <c r="MBD77" s="204"/>
      <c r="MBE77" s="206"/>
      <c r="MBF77" s="205"/>
      <c r="MBG77" s="205"/>
      <c r="MBH77" s="204"/>
      <c r="MBI77" s="206"/>
      <c r="MBJ77" s="205"/>
      <c r="MBK77" s="205"/>
      <c r="MBL77" s="204"/>
      <c r="MBM77" s="206"/>
      <c r="MBN77" s="205"/>
      <c r="MBO77" s="205"/>
      <c r="MBP77" s="204"/>
      <c r="MBQ77" s="206"/>
      <c r="MBR77" s="205"/>
      <c r="MBS77" s="205"/>
      <c r="MBT77" s="204"/>
      <c r="MBU77" s="206"/>
      <c r="MBV77" s="205"/>
      <c r="MBW77" s="205"/>
      <c r="MBX77" s="204"/>
      <c r="MBY77" s="206"/>
      <c r="MBZ77" s="205"/>
      <c r="MCA77" s="205"/>
      <c r="MCB77" s="204"/>
      <c r="MCC77" s="206"/>
      <c r="MCD77" s="205"/>
      <c r="MCE77" s="205"/>
      <c r="MCF77" s="204"/>
      <c r="MCG77" s="206"/>
      <c r="MCH77" s="205"/>
      <c r="MCI77" s="205"/>
      <c r="MCJ77" s="204"/>
      <c r="MCK77" s="206"/>
      <c r="MCL77" s="205"/>
      <c r="MCM77" s="205"/>
      <c r="MCN77" s="204"/>
      <c r="MCO77" s="206"/>
      <c r="MCP77" s="205"/>
      <c r="MCQ77" s="205"/>
      <c r="MCR77" s="204"/>
      <c r="MCS77" s="206"/>
      <c r="MCT77" s="205"/>
      <c r="MCU77" s="205"/>
      <c r="MCV77" s="204"/>
      <c r="MCW77" s="206"/>
      <c r="MCX77" s="205"/>
      <c r="MCY77" s="205"/>
      <c r="MCZ77" s="204"/>
      <c r="MDA77" s="206"/>
      <c r="MDB77" s="205"/>
      <c r="MDC77" s="205"/>
      <c r="MDD77" s="204"/>
      <c r="MDE77" s="206"/>
      <c r="MDF77" s="205"/>
      <c r="MDG77" s="205"/>
      <c r="MDH77" s="204"/>
      <c r="MDI77" s="206"/>
      <c r="MDJ77" s="205"/>
      <c r="MDK77" s="205"/>
      <c r="MDL77" s="204"/>
      <c r="MDM77" s="206"/>
      <c r="MDN77" s="205"/>
      <c r="MDO77" s="205"/>
      <c r="MDP77" s="204"/>
      <c r="MDQ77" s="206"/>
      <c r="MDR77" s="205"/>
      <c r="MDS77" s="205"/>
      <c r="MDT77" s="204"/>
      <c r="MDU77" s="206"/>
      <c r="MDV77" s="205"/>
      <c r="MDW77" s="205"/>
      <c r="MDX77" s="204"/>
      <c r="MDY77" s="206"/>
      <c r="MDZ77" s="205"/>
      <c r="MEA77" s="205"/>
      <c r="MEB77" s="204"/>
      <c r="MEC77" s="206"/>
      <c r="MED77" s="205"/>
      <c r="MEE77" s="205"/>
      <c r="MEF77" s="204"/>
      <c r="MEG77" s="206"/>
      <c r="MEH77" s="205"/>
      <c r="MEI77" s="205"/>
      <c r="MEJ77" s="204"/>
      <c r="MEK77" s="206"/>
      <c r="MEL77" s="205"/>
      <c r="MEM77" s="205"/>
      <c r="MEN77" s="204"/>
      <c r="MEO77" s="206"/>
      <c r="MEP77" s="205"/>
      <c r="MEQ77" s="205"/>
      <c r="MER77" s="204"/>
      <c r="MES77" s="206"/>
      <c r="MET77" s="205"/>
      <c r="MEU77" s="205"/>
      <c r="MEV77" s="204"/>
      <c r="MEW77" s="206"/>
      <c r="MEX77" s="205"/>
      <c r="MEY77" s="205"/>
      <c r="MEZ77" s="204"/>
      <c r="MFA77" s="206"/>
      <c r="MFB77" s="205"/>
      <c r="MFC77" s="205"/>
      <c r="MFD77" s="204"/>
      <c r="MFE77" s="206"/>
      <c r="MFF77" s="205"/>
      <c r="MFG77" s="205"/>
      <c r="MFH77" s="204"/>
      <c r="MFI77" s="206"/>
      <c r="MFJ77" s="205"/>
      <c r="MFK77" s="205"/>
      <c r="MFL77" s="204"/>
      <c r="MFM77" s="206"/>
      <c r="MFN77" s="205"/>
      <c r="MFO77" s="205"/>
      <c r="MFP77" s="204"/>
      <c r="MFQ77" s="206"/>
      <c r="MFR77" s="205"/>
      <c r="MFS77" s="205"/>
      <c r="MFT77" s="204"/>
      <c r="MFU77" s="206"/>
      <c r="MFV77" s="205"/>
      <c r="MFW77" s="205"/>
      <c r="MFX77" s="204"/>
      <c r="MFY77" s="206"/>
      <c r="MFZ77" s="205"/>
      <c r="MGA77" s="205"/>
      <c r="MGB77" s="204"/>
      <c r="MGC77" s="206"/>
      <c r="MGD77" s="205"/>
      <c r="MGE77" s="205"/>
      <c r="MGF77" s="204"/>
      <c r="MGG77" s="206"/>
      <c r="MGH77" s="205"/>
      <c r="MGI77" s="205"/>
      <c r="MGJ77" s="204"/>
      <c r="MGK77" s="206"/>
      <c r="MGL77" s="205"/>
      <c r="MGM77" s="205"/>
      <c r="MGN77" s="204"/>
      <c r="MGO77" s="206"/>
      <c r="MGP77" s="205"/>
      <c r="MGQ77" s="205"/>
      <c r="MGR77" s="204"/>
      <c r="MGS77" s="206"/>
      <c r="MGT77" s="205"/>
      <c r="MGU77" s="205"/>
      <c r="MGV77" s="204"/>
      <c r="MGW77" s="206"/>
      <c r="MGX77" s="205"/>
      <c r="MGY77" s="205"/>
      <c r="MGZ77" s="204"/>
      <c r="MHA77" s="206"/>
      <c r="MHB77" s="205"/>
      <c r="MHC77" s="205"/>
      <c r="MHD77" s="204"/>
      <c r="MHE77" s="206"/>
      <c r="MHF77" s="205"/>
      <c r="MHG77" s="205"/>
      <c r="MHH77" s="204"/>
      <c r="MHI77" s="206"/>
      <c r="MHJ77" s="205"/>
      <c r="MHK77" s="205"/>
      <c r="MHL77" s="204"/>
      <c r="MHM77" s="206"/>
      <c r="MHN77" s="205"/>
      <c r="MHO77" s="205"/>
      <c r="MHP77" s="204"/>
      <c r="MHQ77" s="206"/>
      <c r="MHR77" s="205"/>
      <c r="MHS77" s="205"/>
      <c r="MHT77" s="204"/>
      <c r="MHU77" s="206"/>
      <c r="MHV77" s="205"/>
      <c r="MHW77" s="205"/>
      <c r="MHX77" s="204"/>
      <c r="MHY77" s="206"/>
      <c r="MHZ77" s="205"/>
      <c r="MIA77" s="205"/>
      <c r="MIB77" s="204"/>
      <c r="MIC77" s="206"/>
      <c r="MID77" s="205"/>
      <c r="MIE77" s="205"/>
      <c r="MIF77" s="204"/>
      <c r="MIG77" s="206"/>
      <c r="MIH77" s="205"/>
      <c r="MII77" s="205"/>
      <c r="MIJ77" s="204"/>
      <c r="MIK77" s="206"/>
      <c r="MIL77" s="205"/>
      <c r="MIM77" s="205"/>
      <c r="MIN77" s="204"/>
      <c r="MIO77" s="206"/>
      <c r="MIP77" s="205"/>
      <c r="MIQ77" s="205"/>
      <c r="MIR77" s="204"/>
      <c r="MIS77" s="206"/>
      <c r="MIT77" s="205"/>
      <c r="MIU77" s="205"/>
      <c r="MIV77" s="204"/>
      <c r="MIW77" s="206"/>
      <c r="MIX77" s="205"/>
      <c r="MIY77" s="205"/>
      <c r="MIZ77" s="204"/>
      <c r="MJA77" s="206"/>
      <c r="MJB77" s="205"/>
      <c r="MJC77" s="205"/>
      <c r="MJD77" s="204"/>
      <c r="MJE77" s="206"/>
      <c r="MJF77" s="205"/>
      <c r="MJG77" s="205"/>
      <c r="MJH77" s="204"/>
      <c r="MJI77" s="206"/>
      <c r="MJJ77" s="205"/>
      <c r="MJK77" s="205"/>
      <c r="MJL77" s="204"/>
      <c r="MJM77" s="206"/>
      <c r="MJN77" s="205"/>
      <c r="MJO77" s="205"/>
      <c r="MJP77" s="204"/>
      <c r="MJQ77" s="206"/>
      <c r="MJR77" s="205"/>
      <c r="MJS77" s="205"/>
      <c r="MJT77" s="204"/>
      <c r="MJU77" s="206"/>
      <c r="MJV77" s="205"/>
      <c r="MJW77" s="205"/>
      <c r="MJX77" s="204"/>
      <c r="MJY77" s="206"/>
      <c r="MJZ77" s="205"/>
      <c r="MKA77" s="205"/>
      <c r="MKB77" s="204"/>
      <c r="MKC77" s="206"/>
      <c r="MKD77" s="205"/>
      <c r="MKE77" s="205"/>
      <c r="MKF77" s="204"/>
      <c r="MKG77" s="206"/>
      <c r="MKH77" s="205"/>
      <c r="MKI77" s="205"/>
      <c r="MKJ77" s="204"/>
      <c r="MKK77" s="206"/>
      <c r="MKL77" s="205"/>
      <c r="MKM77" s="205"/>
      <c r="MKN77" s="204"/>
      <c r="MKO77" s="206"/>
      <c r="MKP77" s="205"/>
      <c r="MKQ77" s="205"/>
      <c r="MKR77" s="204"/>
      <c r="MKS77" s="206"/>
      <c r="MKT77" s="205"/>
      <c r="MKU77" s="205"/>
      <c r="MKV77" s="204"/>
      <c r="MKW77" s="206"/>
      <c r="MKX77" s="205"/>
      <c r="MKY77" s="205"/>
      <c r="MKZ77" s="204"/>
      <c r="MLA77" s="206"/>
      <c r="MLB77" s="205"/>
      <c r="MLC77" s="205"/>
      <c r="MLD77" s="204"/>
      <c r="MLE77" s="206"/>
      <c r="MLF77" s="205"/>
      <c r="MLG77" s="205"/>
      <c r="MLH77" s="204"/>
      <c r="MLI77" s="206"/>
      <c r="MLJ77" s="205"/>
      <c r="MLK77" s="205"/>
      <c r="MLL77" s="204"/>
      <c r="MLM77" s="206"/>
      <c r="MLN77" s="205"/>
      <c r="MLO77" s="205"/>
      <c r="MLP77" s="204"/>
      <c r="MLQ77" s="206"/>
      <c r="MLR77" s="205"/>
      <c r="MLS77" s="205"/>
      <c r="MLT77" s="204"/>
      <c r="MLU77" s="206"/>
      <c r="MLV77" s="205"/>
      <c r="MLW77" s="205"/>
      <c r="MLX77" s="204"/>
      <c r="MLY77" s="206"/>
      <c r="MLZ77" s="205"/>
      <c r="MMA77" s="205"/>
      <c r="MMB77" s="204"/>
      <c r="MMC77" s="206"/>
      <c r="MMD77" s="205"/>
      <c r="MME77" s="205"/>
      <c r="MMF77" s="204"/>
      <c r="MMG77" s="206"/>
      <c r="MMH77" s="205"/>
      <c r="MMI77" s="205"/>
      <c r="MMJ77" s="204"/>
      <c r="MMK77" s="206"/>
      <c r="MML77" s="205"/>
      <c r="MMM77" s="205"/>
      <c r="MMN77" s="204"/>
      <c r="MMO77" s="206"/>
      <c r="MMP77" s="205"/>
      <c r="MMQ77" s="205"/>
      <c r="MMR77" s="204"/>
      <c r="MMS77" s="206"/>
      <c r="MMT77" s="205"/>
      <c r="MMU77" s="205"/>
      <c r="MMV77" s="204"/>
      <c r="MMW77" s="206"/>
      <c r="MMX77" s="205"/>
      <c r="MMY77" s="205"/>
      <c r="MMZ77" s="204"/>
      <c r="MNA77" s="206"/>
      <c r="MNB77" s="205"/>
      <c r="MNC77" s="205"/>
      <c r="MND77" s="204"/>
      <c r="MNE77" s="206"/>
      <c r="MNF77" s="205"/>
      <c r="MNG77" s="205"/>
      <c r="MNH77" s="204"/>
      <c r="MNI77" s="206"/>
      <c r="MNJ77" s="205"/>
      <c r="MNK77" s="205"/>
      <c r="MNL77" s="204"/>
      <c r="MNM77" s="206"/>
      <c r="MNN77" s="205"/>
      <c r="MNO77" s="205"/>
      <c r="MNP77" s="204"/>
      <c r="MNQ77" s="206"/>
      <c r="MNR77" s="205"/>
      <c r="MNS77" s="205"/>
      <c r="MNT77" s="204"/>
      <c r="MNU77" s="206"/>
      <c r="MNV77" s="205"/>
      <c r="MNW77" s="205"/>
      <c r="MNX77" s="204"/>
      <c r="MNY77" s="206"/>
      <c r="MNZ77" s="205"/>
      <c r="MOA77" s="205"/>
      <c r="MOB77" s="204"/>
      <c r="MOC77" s="206"/>
      <c r="MOD77" s="205"/>
      <c r="MOE77" s="205"/>
      <c r="MOF77" s="204"/>
      <c r="MOG77" s="206"/>
      <c r="MOH77" s="205"/>
      <c r="MOI77" s="205"/>
      <c r="MOJ77" s="204"/>
      <c r="MOK77" s="206"/>
      <c r="MOL77" s="205"/>
      <c r="MOM77" s="205"/>
      <c r="MON77" s="204"/>
      <c r="MOO77" s="206"/>
      <c r="MOP77" s="205"/>
      <c r="MOQ77" s="205"/>
      <c r="MOR77" s="204"/>
      <c r="MOS77" s="206"/>
      <c r="MOT77" s="205"/>
      <c r="MOU77" s="205"/>
      <c r="MOV77" s="204"/>
      <c r="MOW77" s="206"/>
      <c r="MOX77" s="205"/>
      <c r="MOY77" s="205"/>
      <c r="MOZ77" s="204"/>
      <c r="MPA77" s="206"/>
      <c r="MPB77" s="205"/>
      <c r="MPC77" s="205"/>
      <c r="MPD77" s="204"/>
      <c r="MPE77" s="206"/>
      <c r="MPF77" s="205"/>
      <c r="MPG77" s="205"/>
      <c r="MPH77" s="204"/>
      <c r="MPI77" s="206"/>
      <c r="MPJ77" s="205"/>
      <c r="MPK77" s="205"/>
      <c r="MPL77" s="204"/>
      <c r="MPM77" s="206"/>
      <c r="MPN77" s="205"/>
      <c r="MPO77" s="205"/>
      <c r="MPP77" s="204"/>
      <c r="MPQ77" s="206"/>
      <c r="MPR77" s="205"/>
      <c r="MPS77" s="205"/>
      <c r="MPT77" s="204"/>
      <c r="MPU77" s="206"/>
      <c r="MPV77" s="205"/>
      <c r="MPW77" s="205"/>
      <c r="MPX77" s="204"/>
      <c r="MPY77" s="206"/>
      <c r="MPZ77" s="205"/>
      <c r="MQA77" s="205"/>
      <c r="MQB77" s="204"/>
      <c r="MQC77" s="206"/>
      <c r="MQD77" s="205"/>
      <c r="MQE77" s="205"/>
      <c r="MQF77" s="204"/>
      <c r="MQG77" s="206"/>
      <c r="MQH77" s="205"/>
      <c r="MQI77" s="205"/>
      <c r="MQJ77" s="204"/>
      <c r="MQK77" s="206"/>
      <c r="MQL77" s="205"/>
      <c r="MQM77" s="205"/>
      <c r="MQN77" s="204"/>
      <c r="MQO77" s="206"/>
      <c r="MQP77" s="205"/>
      <c r="MQQ77" s="205"/>
      <c r="MQR77" s="204"/>
      <c r="MQS77" s="206"/>
      <c r="MQT77" s="205"/>
      <c r="MQU77" s="205"/>
      <c r="MQV77" s="204"/>
      <c r="MQW77" s="206"/>
      <c r="MQX77" s="205"/>
      <c r="MQY77" s="205"/>
      <c r="MQZ77" s="204"/>
      <c r="MRA77" s="206"/>
      <c r="MRB77" s="205"/>
      <c r="MRC77" s="205"/>
      <c r="MRD77" s="204"/>
      <c r="MRE77" s="206"/>
      <c r="MRF77" s="205"/>
      <c r="MRG77" s="205"/>
      <c r="MRH77" s="204"/>
      <c r="MRI77" s="206"/>
      <c r="MRJ77" s="205"/>
      <c r="MRK77" s="205"/>
      <c r="MRL77" s="204"/>
      <c r="MRM77" s="206"/>
      <c r="MRN77" s="205"/>
      <c r="MRO77" s="205"/>
      <c r="MRP77" s="204"/>
      <c r="MRQ77" s="206"/>
      <c r="MRR77" s="205"/>
      <c r="MRS77" s="205"/>
      <c r="MRT77" s="204"/>
      <c r="MRU77" s="206"/>
      <c r="MRV77" s="205"/>
      <c r="MRW77" s="205"/>
      <c r="MRX77" s="204"/>
      <c r="MRY77" s="206"/>
      <c r="MRZ77" s="205"/>
      <c r="MSA77" s="205"/>
      <c r="MSB77" s="204"/>
      <c r="MSC77" s="206"/>
      <c r="MSD77" s="205"/>
      <c r="MSE77" s="205"/>
      <c r="MSF77" s="204"/>
      <c r="MSG77" s="206"/>
      <c r="MSH77" s="205"/>
      <c r="MSI77" s="205"/>
      <c r="MSJ77" s="204"/>
      <c r="MSK77" s="206"/>
      <c r="MSL77" s="205"/>
      <c r="MSM77" s="205"/>
      <c r="MSN77" s="204"/>
      <c r="MSO77" s="206"/>
      <c r="MSP77" s="205"/>
      <c r="MSQ77" s="205"/>
      <c r="MSR77" s="204"/>
      <c r="MSS77" s="206"/>
      <c r="MST77" s="205"/>
      <c r="MSU77" s="205"/>
      <c r="MSV77" s="204"/>
      <c r="MSW77" s="206"/>
      <c r="MSX77" s="205"/>
      <c r="MSY77" s="205"/>
      <c r="MSZ77" s="204"/>
      <c r="MTA77" s="206"/>
      <c r="MTB77" s="205"/>
      <c r="MTC77" s="205"/>
      <c r="MTD77" s="204"/>
      <c r="MTE77" s="206"/>
      <c r="MTF77" s="205"/>
      <c r="MTG77" s="205"/>
      <c r="MTH77" s="204"/>
      <c r="MTI77" s="206"/>
      <c r="MTJ77" s="205"/>
      <c r="MTK77" s="205"/>
      <c r="MTL77" s="204"/>
      <c r="MTM77" s="206"/>
      <c r="MTN77" s="205"/>
      <c r="MTO77" s="205"/>
      <c r="MTP77" s="204"/>
      <c r="MTQ77" s="206"/>
      <c r="MTR77" s="205"/>
      <c r="MTS77" s="205"/>
      <c r="MTT77" s="204"/>
      <c r="MTU77" s="206"/>
      <c r="MTV77" s="205"/>
      <c r="MTW77" s="205"/>
      <c r="MTX77" s="204"/>
      <c r="MTY77" s="206"/>
      <c r="MTZ77" s="205"/>
      <c r="MUA77" s="205"/>
      <c r="MUB77" s="204"/>
      <c r="MUC77" s="206"/>
      <c r="MUD77" s="205"/>
      <c r="MUE77" s="205"/>
      <c r="MUF77" s="204"/>
      <c r="MUG77" s="206"/>
      <c r="MUH77" s="205"/>
      <c r="MUI77" s="205"/>
      <c r="MUJ77" s="204"/>
      <c r="MUK77" s="206"/>
      <c r="MUL77" s="205"/>
      <c r="MUM77" s="205"/>
      <c r="MUN77" s="204"/>
      <c r="MUO77" s="206"/>
      <c r="MUP77" s="205"/>
      <c r="MUQ77" s="205"/>
      <c r="MUR77" s="204"/>
      <c r="MUS77" s="206"/>
      <c r="MUT77" s="205"/>
      <c r="MUU77" s="205"/>
      <c r="MUV77" s="204"/>
      <c r="MUW77" s="206"/>
      <c r="MUX77" s="205"/>
      <c r="MUY77" s="205"/>
      <c r="MUZ77" s="204"/>
      <c r="MVA77" s="206"/>
      <c r="MVB77" s="205"/>
      <c r="MVC77" s="205"/>
      <c r="MVD77" s="204"/>
      <c r="MVE77" s="206"/>
      <c r="MVF77" s="205"/>
      <c r="MVG77" s="205"/>
      <c r="MVH77" s="204"/>
      <c r="MVI77" s="206"/>
      <c r="MVJ77" s="205"/>
      <c r="MVK77" s="205"/>
      <c r="MVL77" s="204"/>
      <c r="MVM77" s="206"/>
      <c r="MVN77" s="205"/>
      <c r="MVO77" s="205"/>
      <c r="MVP77" s="204"/>
      <c r="MVQ77" s="206"/>
      <c r="MVR77" s="205"/>
      <c r="MVS77" s="205"/>
      <c r="MVT77" s="204"/>
      <c r="MVU77" s="206"/>
      <c r="MVV77" s="205"/>
      <c r="MVW77" s="205"/>
      <c r="MVX77" s="204"/>
      <c r="MVY77" s="206"/>
      <c r="MVZ77" s="205"/>
      <c r="MWA77" s="205"/>
      <c r="MWB77" s="204"/>
      <c r="MWC77" s="206"/>
      <c r="MWD77" s="205"/>
      <c r="MWE77" s="205"/>
      <c r="MWF77" s="204"/>
      <c r="MWG77" s="206"/>
      <c r="MWH77" s="205"/>
      <c r="MWI77" s="205"/>
      <c r="MWJ77" s="204"/>
      <c r="MWK77" s="206"/>
      <c r="MWL77" s="205"/>
      <c r="MWM77" s="205"/>
      <c r="MWN77" s="204"/>
      <c r="MWO77" s="206"/>
      <c r="MWP77" s="205"/>
      <c r="MWQ77" s="205"/>
      <c r="MWR77" s="204"/>
      <c r="MWS77" s="206"/>
      <c r="MWT77" s="205"/>
      <c r="MWU77" s="205"/>
      <c r="MWV77" s="204"/>
      <c r="MWW77" s="206"/>
      <c r="MWX77" s="205"/>
      <c r="MWY77" s="205"/>
      <c r="MWZ77" s="204"/>
      <c r="MXA77" s="206"/>
      <c r="MXB77" s="205"/>
      <c r="MXC77" s="205"/>
      <c r="MXD77" s="204"/>
      <c r="MXE77" s="206"/>
      <c r="MXF77" s="205"/>
      <c r="MXG77" s="205"/>
      <c r="MXH77" s="204"/>
      <c r="MXI77" s="206"/>
      <c r="MXJ77" s="205"/>
      <c r="MXK77" s="205"/>
      <c r="MXL77" s="204"/>
      <c r="MXM77" s="206"/>
      <c r="MXN77" s="205"/>
      <c r="MXO77" s="205"/>
      <c r="MXP77" s="204"/>
      <c r="MXQ77" s="206"/>
      <c r="MXR77" s="205"/>
      <c r="MXS77" s="205"/>
      <c r="MXT77" s="204"/>
      <c r="MXU77" s="206"/>
      <c r="MXV77" s="205"/>
      <c r="MXW77" s="205"/>
      <c r="MXX77" s="204"/>
      <c r="MXY77" s="206"/>
      <c r="MXZ77" s="205"/>
      <c r="MYA77" s="205"/>
      <c r="MYB77" s="204"/>
      <c r="MYC77" s="206"/>
      <c r="MYD77" s="205"/>
      <c r="MYE77" s="205"/>
      <c r="MYF77" s="204"/>
      <c r="MYG77" s="206"/>
      <c r="MYH77" s="205"/>
      <c r="MYI77" s="205"/>
      <c r="MYJ77" s="204"/>
      <c r="MYK77" s="206"/>
      <c r="MYL77" s="205"/>
      <c r="MYM77" s="205"/>
      <c r="MYN77" s="204"/>
      <c r="MYO77" s="206"/>
      <c r="MYP77" s="205"/>
      <c r="MYQ77" s="205"/>
      <c r="MYR77" s="204"/>
      <c r="MYS77" s="206"/>
      <c r="MYT77" s="205"/>
      <c r="MYU77" s="205"/>
      <c r="MYV77" s="204"/>
      <c r="MYW77" s="206"/>
      <c r="MYX77" s="205"/>
      <c r="MYY77" s="205"/>
      <c r="MYZ77" s="204"/>
      <c r="MZA77" s="206"/>
      <c r="MZB77" s="205"/>
      <c r="MZC77" s="205"/>
      <c r="MZD77" s="204"/>
      <c r="MZE77" s="206"/>
      <c r="MZF77" s="205"/>
      <c r="MZG77" s="205"/>
      <c r="MZH77" s="204"/>
      <c r="MZI77" s="206"/>
      <c r="MZJ77" s="205"/>
      <c r="MZK77" s="205"/>
      <c r="MZL77" s="204"/>
      <c r="MZM77" s="206"/>
      <c r="MZN77" s="205"/>
      <c r="MZO77" s="205"/>
      <c r="MZP77" s="204"/>
      <c r="MZQ77" s="206"/>
      <c r="MZR77" s="205"/>
      <c r="MZS77" s="205"/>
      <c r="MZT77" s="204"/>
      <c r="MZU77" s="206"/>
      <c r="MZV77" s="205"/>
      <c r="MZW77" s="205"/>
      <c r="MZX77" s="204"/>
      <c r="MZY77" s="206"/>
      <c r="MZZ77" s="205"/>
      <c r="NAA77" s="205"/>
      <c r="NAB77" s="204"/>
      <c r="NAC77" s="206"/>
      <c r="NAD77" s="205"/>
      <c r="NAE77" s="205"/>
      <c r="NAF77" s="204"/>
      <c r="NAG77" s="206"/>
      <c r="NAH77" s="205"/>
      <c r="NAI77" s="205"/>
      <c r="NAJ77" s="204"/>
      <c r="NAK77" s="206"/>
      <c r="NAL77" s="205"/>
      <c r="NAM77" s="205"/>
      <c r="NAN77" s="204"/>
      <c r="NAO77" s="206"/>
      <c r="NAP77" s="205"/>
      <c r="NAQ77" s="205"/>
      <c r="NAR77" s="204"/>
      <c r="NAS77" s="206"/>
      <c r="NAT77" s="205"/>
      <c r="NAU77" s="205"/>
      <c r="NAV77" s="204"/>
      <c r="NAW77" s="206"/>
      <c r="NAX77" s="205"/>
      <c r="NAY77" s="205"/>
      <c r="NAZ77" s="204"/>
      <c r="NBA77" s="206"/>
      <c r="NBB77" s="205"/>
      <c r="NBC77" s="205"/>
      <c r="NBD77" s="204"/>
      <c r="NBE77" s="206"/>
      <c r="NBF77" s="205"/>
      <c r="NBG77" s="205"/>
      <c r="NBH77" s="204"/>
      <c r="NBI77" s="206"/>
      <c r="NBJ77" s="205"/>
      <c r="NBK77" s="205"/>
      <c r="NBL77" s="204"/>
      <c r="NBM77" s="206"/>
      <c r="NBN77" s="205"/>
      <c r="NBO77" s="205"/>
      <c r="NBP77" s="204"/>
      <c r="NBQ77" s="206"/>
      <c r="NBR77" s="205"/>
      <c r="NBS77" s="205"/>
      <c r="NBT77" s="204"/>
      <c r="NBU77" s="206"/>
      <c r="NBV77" s="205"/>
      <c r="NBW77" s="205"/>
      <c r="NBX77" s="204"/>
      <c r="NBY77" s="206"/>
      <c r="NBZ77" s="205"/>
      <c r="NCA77" s="205"/>
      <c r="NCB77" s="204"/>
      <c r="NCC77" s="206"/>
      <c r="NCD77" s="205"/>
      <c r="NCE77" s="205"/>
      <c r="NCF77" s="204"/>
      <c r="NCG77" s="206"/>
      <c r="NCH77" s="205"/>
      <c r="NCI77" s="205"/>
      <c r="NCJ77" s="204"/>
      <c r="NCK77" s="206"/>
      <c r="NCL77" s="205"/>
      <c r="NCM77" s="205"/>
      <c r="NCN77" s="204"/>
      <c r="NCO77" s="206"/>
      <c r="NCP77" s="205"/>
      <c r="NCQ77" s="205"/>
      <c r="NCR77" s="204"/>
      <c r="NCS77" s="206"/>
      <c r="NCT77" s="205"/>
      <c r="NCU77" s="205"/>
      <c r="NCV77" s="204"/>
      <c r="NCW77" s="206"/>
      <c r="NCX77" s="205"/>
      <c r="NCY77" s="205"/>
      <c r="NCZ77" s="204"/>
      <c r="NDA77" s="206"/>
      <c r="NDB77" s="205"/>
      <c r="NDC77" s="205"/>
      <c r="NDD77" s="204"/>
      <c r="NDE77" s="206"/>
      <c r="NDF77" s="205"/>
      <c r="NDG77" s="205"/>
      <c r="NDH77" s="204"/>
      <c r="NDI77" s="206"/>
      <c r="NDJ77" s="205"/>
      <c r="NDK77" s="205"/>
      <c r="NDL77" s="204"/>
      <c r="NDM77" s="206"/>
      <c r="NDN77" s="205"/>
      <c r="NDO77" s="205"/>
      <c r="NDP77" s="204"/>
      <c r="NDQ77" s="206"/>
      <c r="NDR77" s="205"/>
      <c r="NDS77" s="205"/>
      <c r="NDT77" s="204"/>
      <c r="NDU77" s="206"/>
      <c r="NDV77" s="205"/>
      <c r="NDW77" s="205"/>
      <c r="NDX77" s="204"/>
      <c r="NDY77" s="206"/>
      <c r="NDZ77" s="205"/>
      <c r="NEA77" s="205"/>
      <c r="NEB77" s="204"/>
      <c r="NEC77" s="206"/>
      <c r="NED77" s="205"/>
      <c r="NEE77" s="205"/>
      <c r="NEF77" s="204"/>
      <c r="NEG77" s="206"/>
      <c r="NEH77" s="205"/>
      <c r="NEI77" s="205"/>
      <c r="NEJ77" s="204"/>
      <c r="NEK77" s="206"/>
      <c r="NEL77" s="205"/>
      <c r="NEM77" s="205"/>
      <c r="NEN77" s="204"/>
      <c r="NEO77" s="206"/>
      <c r="NEP77" s="205"/>
      <c r="NEQ77" s="205"/>
      <c r="NER77" s="204"/>
      <c r="NES77" s="206"/>
      <c r="NET77" s="205"/>
      <c r="NEU77" s="205"/>
      <c r="NEV77" s="204"/>
      <c r="NEW77" s="206"/>
      <c r="NEX77" s="205"/>
      <c r="NEY77" s="205"/>
      <c r="NEZ77" s="204"/>
      <c r="NFA77" s="206"/>
      <c r="NFB77" s="205"/>
      <c r="NFC77" s="205"/>
      <c r="NFD77" s="204"/>
      <c r="NFE77" s="206"/>
      <c r="NFF77" s="205"/>
      <c r="NFG77" s="205"/>
      <c r="NFH77" s="204"/>
      <c r="NFI77" s="206"/>
      <c r="NFJ77" s="205"/>
      <c r="NFK77" s="205"/>
      <c r="NFL77" s="204"/>
      <c r="NFM77" s="206"/>
      <c r="NFN77" s="205"/>
      <c r="NFO77" s="205"/>
      <c r="NFP77" s="204"/>
      <c r="NFQ77" s="206"/>
      <c r="NFR77" s="205"/>
      <c r="NFS77" s="205"/>
      <c r="NFT77" s="204"/>
      <c r="NFU77" s="206"/>
      <c r="NFV77" s="205"/>
      <c r="NFW77" s="205"/>
      <c r="NFX77" s="204"/>
      <c r="NFY77" s="206"/>
      <c r="NFZ77" s="205"/>
      <c r="NGA77" s="205"/>
      <c r="NGB77" s="204"/>
      <c r="NGC77" s="206"/>
      <c r="NGD77" s="205"/>
      <c r="NGE77" s="205"/>
      <c r="NGF77" s="204"/>
      <c r="NGG77" s="206"/>
      <c r="NGH77" s="205"/>
      <c r="NGI77" s="205"/>
      <c r="NGJ77" s="204"/>
      <c r="NGK77" s="206"/>
      <c r="NGL77" s="205"/>
      <c r="NGM77" s="205"/>
      <c r="NGN77" s="204"/>
      <c r="NGO77" s="206"/>
      <c r="NGP77" s="205"/>
      <c r="NGQ77" s="205"/>
      <c r="NGR77" s="204"/>
      <c r="NGS77" s="206"/>
      <c r="NGT77" s="205"/>
      <c r="NGU77" s="205"/>
      <c r="NGV77" s="204"/>
      <c r="NGW77" s="206"/>
      <c r="NGX77" s="205"/>
      <c r="NGY77" s="205"/>
      <c r="NGZ77" s="204"/>
      <c r="NHA77" s="206"/>
      <c r="NHB77" s="205"/>
      <c r="NHC77" s="205"/>
      <c r="NHD77" s="204"/>
      <c r="NHE77" s="206"/>
      <c r="NHF77" s="205"/>
      <c r="NHG77" s="205"/>
      <c r="NHH77" s="204"/>
      <c r="NHI77" s="206"/>
      <c r="NHJ77" s="205"/>
      <c r="NHK77" s="205"/>
      <c r="NHL77" s="204"/>
      <c r="NHM77" s="206"/>
      <c r="NHN77" s="205"/>
      <c r="NHO77" s="205"/>
      <c r="NHP77" s="204"/>
      <c r="NHQ77" s="206"/>
      <c r="NHR77" s="205"/>
      <c r="NHS77" s="205"/>
      <c r="NHT77" s="204"/>
      <c r="NHU77" s="206"/>
      <c r="NHV77" s="205"/>
      <c r="NHW77" s="205"/>
      <c r="NHX77" s="204"/>
      <c r="NHY77" s="206"/>
      <c r="NHZ77" s="205"/>
      <c r="NIA77" s="205"/>
      <c r="NIB77" s="204"/>
      <c r="NIC77" s="206"/>
      <c r="NID77" s="205"/>
      <c r="NIE77" s="205"/>
      <c r="NIF77" s="204"/>
      <c r="NIG77" s="206"/>
      <c r="NIH77" s="205"/>
      <c r="NII77" s="205"/>
      <c r="NIJ77" s="204"/>
      <c r="NIK77" s="206"/>
      <c r="NIL77" s="205"/>
      <c r="NIM77" s="205"/>
      <c r="NIN77" s="204"/>
      <c r="NIO77" s="206"/>
      <c r="NIP77" s="205"/>
      <c r="NIQ77" s="205"/>
      <c r="NIR77" s="204"/>
      <c r="NIS77" s="206"/>
      <c r="NIT77" s="205"/>
      <c r="NIU77" s="205"/>
      <c r="NIV77" s="204"/>
      <c r="NIW77" s="206"/>
      <c r="NIX77" s="205"/>
      <c r="NIY77" s="205"/>
      <c r="NIZ77" s="204"/>
      <c r="NJA77" s="206"/>
      <c r="NJB77" s="205"/>
      <c r="NJC77" s="205"/>
      <c r="NJD77" s="204"/>
      <c r="NJE77" s="206"/>
      <c r="NJF77" s="205"/>
      <c r="NJG77" s="205"/>
      <c r="NJH77" s="204"/>
      <c r="NJI77" s="206"/>
      <c r="NJJ77" s="205"/>
      <c r="NJK77" s="205"/>
      <c r="NJL77" s="204"/>
      <c r="NJM77" s="206"/>
      <c r="NJN77" s="205"/>
      <c r="NJO77" s="205"/>
      <c r="NJP77" s="204"/>
      <c r="NJQ77" s="206"/>
      <c r="NJR77" s="205"/>
      <c r="NJS77" s="205"/>
      <c r="NJT77" s="204"/>
      <c r="NJU77" s="206"/>
      <c r="NJV77" s="205"/>
      <c r="NJW77" s="205"/>
      <c r="NJX77" s="204"/>
      <c r="NJY77" s="206"/>
      <c r="NJZ77" s="205"/>
      <c r="NKA77" s="205"/>
      <c r="NKB77" s="204"/>
      <c r="NKC77" s="206"/>
      <c r="NKD77" s="205"/>
      <c r="NKE77" s="205"/>
      <c r="NKF77" s="204"/>
      <c r="NKG77" s="206"/>
      <c r="NKH77" s="205"/>
      <c r="NKI77" s="205"/>
      <c r="NKJ77" s="204"/>
      <c r="NKK77" s="206"/>
      <c r="NKL77" s="205"/>
      <c r="NKM77" s="205"/>
      <c r="NKN77" s="204"/>
      <c r="NKO77" s="206"/>
      <c r="NKP77" s="205"/>
      <c r="NKQ77" s="205"/>
      <c r="NKR77" s="204"/>
      <c r="NKS77" s="206"/>
      <c r="NKT77" s="205"/>
      <c r="NKU77" s="205"/>
      <c r="NKV77" s="204"/>
      <c r="NKW77" s="206"/>
      <c r="NKX77" s="205"/>
      <c r="NKY77" s="205"/>
      <c r="NKZ77" s="204"/>
      <c r="NLA77" s="206"/>
      <c r="NLB77" s="205"/>
      <c r="NLC77" s="205"/>
      <c r="NLD77" s="204"/>
      <c r="NLE77" s="206"/>
      <c r="NLF77" s="205"/>
      <c r="NLG77" s="205"/>
      <c r="NLH77" s="204"/>
      <c r="NLI77" s="206"/>
      <c r="NLJ77" s="205"/>
      <c r="NLK77" s="205"/>
      <c r="NLL77" s="204"/>
      <c r="NLM77" s="206"/>
      <c r="NLN77" s="205"/>
      <c r="NLO77" s="205"/>
      <c r="NLP77" s="204"/>
      <c r="NLQ77" s="206"/>
      <c r="NLR77" s="205"/>
      <c r="NLS77" s="205"/>
      <c r="NLT77" s="204"/>
      <c r="NLU77" s="206"/>
      <c r="NLV77" s="205"/>
      <c r="NLW77" s="205"/>
      <c r="NLX77" s="204"/>
      <c r="NLY77" s="206"/>
      <c r="NLZ77" s="205"/>
      <c r="NMA77" s="205"/>
      <c r="NMB77" s="204"/>
      <c r="NMC77" s="206"/>
      <c r="NMD77" s="205"/>
      <c r="NME77" s="205"/>
      <c r="NMF77" s="204"/>
      <c r="NMG77" s="206"/>
      <c r="NMH77" s="205"/>
      <c r="NMI77" s="205"/>
      <c r="NMJ77" s="204"/>
      <c r="NMK77" s="206"/>
      <c r="NML77" s="205"/>
      <c r="NMM77" s="205"/>
      <c r="NMN77" s="204"/>
      <c r="NMO77" s="206"/>
      <c r="NMP77" s="205"/>
      <c r="NMQ77" s="205"/>
      <c r="NMR77" s="204"/>
      <c r="NMS77" s="206"/>
      <c r="NMT77" s="205"/>
      <c r="NMU77" s="205"/>
      <c r="NMV77" s="204"/>
      <c r="NMW77" s="206"/>
      <c r="NMX77" s="205"/>
      <c r="NMY77" s="205"/>
      <c r="NMZ77" s="204"/>
      <c r="NNA77" s="206"/>
      <c r="NNB77" s="205"/>
      <c r="NNC77" s="205"/>
      <c r="NND77" s="204"/>
      <c r="NNE77" s="206"/>
      <c r="NNF77" s="205"/>
      <c r="NNG77" s="205"/>
      <c r="NNH77" s="204"/>
      <c r="NNI77" s="206"/>
      <c r="NNJ77" s="205"/>
      <c r="NNK77" s="205"/>
      <c r="NNL77" s="204"/>
      <c r="NNM77" s="206"/>
      <c r="NNN77" s="205"/>
      <c r="NNO77" s="205"/>
      <c r="NNP77" s="204"/>
      <c r="NNQ77" s="206"/>
      <c r="NNR77" s="205"/>
      <c r="NNS77" s="205"/>
      <c r="NNT77" s="204"/>
      <c r="NNU77" s="206"/>
      <c r="NNV77" s="205"/>
      <c r="NNW77" s="205"/>
      <c r="NNX77" s="204"/>
      <c r="NNY77" s="206"/>
      <c r="NNZ77" s="205"/>
      <c r="NOA77" s="205"/>
      <c r="NOB77" s="204"/>
      <c r="NOC77" s="206"/>
      <c r="NOD77" s="205"/>
      <c r="NOE77" s="205"/>
      <c r="NOF77" s="204"/>
      <c r="NOG77" s="206"/>
      <c r="NOH77" s="205"/>
      <c r="NOI77" s="205"/>
      <c r="NOJ77" s="204"/>
      <c r="NOK77" s="206"/>
      <c r="NOL77" s="205"/>
      <c r="NOM77" s="205"/>
      <c r="NON77" s="204"/>
      <c r="NOO77" s="206"/>
      <c r="NOP77" s="205"/>
      <c r="NOQ77" s="205"/>
      <c r="NOR77" s="204"/>
      <c r="NOS77" s="206"/>
      <c r="NOT77" s="205"/>
      <c r="NOU77" s="205"/>
      <c r="NOV77" s="204"/>
      <c r="NOW77" s="206"/>
      <c r="NOX77" s="205"/>
      <c r="NOY77" s="205"/>
      <c r="NOZ77" s="204"/>
      <c r="NPA77" s="206"/>
      <c r="NPB77" s="205"/>
      <c r="NPC77" s="205"/>
      <c r="NPD77" s="204"/>
      <c r="NPE77" s="206"/>
      <c r="NPF77" s="205"/>
      <c r="NPG77" s="205"/>
      <c r="NPH77" s="204"/>
      <c r="NPI77" s="206"/>
      <c r="NPJ77" s="205"/>
      <c r="NPK77" s="205"/>
      <c r="NPL77" s="204"/>
      <c r="NPM77" s="206"/>
      <c r="NPN77" s="205"/>
      <c r="NPO77" s="205"/>
      <c r="NPP77" s="204"/>
      <c r="NPQ77" s="206"/>
      <c r="NPR77" s="205"/>
      <c r="NPS77" s="205"/>
      <c r="NPT77" s="204"/>
      <c r="NPU77" s="206"/>
      <c r="NPV77" s="205"/>
      <c r="NPW77" s="205"/>
      <c r="NPX77" s="204"/>
      <c r="NPY77" s="206"/>
      <c r="NPZ77" s="205"/>
      <c r="NQA77" s="205"/>
      <c r="NQB77" s="204"/>
      <c r="NQC77" s="206"/>
      <c r="NQD77" s="205"/>
      <c r="NQE77" s="205"/>
      <c r="NQF77" s="204"/>
      <c r="NQG77" s="206"/>
      <c r="NQH77" s="205"/>
      <c r="NQI77" s="205"/>
      <c r="NQJ77" s="204"/>
      <c r="NQK77" s="206"/>
      <c r="NQL77" s="205"/>
      <c r="NQM77" s="205"/>
      <c r="NQN77" s="204"/>
      <c r="NQO77" s="206"/>
      <c r="NQP77" s="205"/>
      <c r="NQQ77" s="205"/>
      <c r="NQR77" s="204"/>
      <c r="NQS77" s="206"/>
      <c r="NQT77" s="205"/>
      <c r="NQU77" s="205"/>
      <c r="NQV77" s="204"/>
      <c r="NQW77" s="206"/>
      <c r="NQX77" s="205"/>
      <c r="NQY77" s="205"/>
      <c r="NQZ77" s="204"/>
      <c r="NRA77" s="206"/>
      <c r="NRB77" s="205"/>
      <c r="NRC77" s="205"/>
      <c r="NRD77" s="204"/>
      <c r="NRE77" s="206"/>
      <c r="NRF77" s="205"/>
      <c r="NRG77" s="205"/>
      <c r="NRH77" s="204"/>
      <c r="NRI77" s="206"/>
      <c r="NRJ77" s="205"/>
      <c r="NRK77" s="205"/>
      <c r="NRL77" s="204"/>
      <c r="NRM77" s="206"/>
      <c r="NRN77" s="205"/>
      <c r="NRO77" s="205"/>
      <c r="NRP77" s="204"/>
      <c r="NRQ77" s="206"/>
      <c r="NRR77" s="205"/>
      <c r="NRS77" s="205"/>
      <c r="NRT77" s="204"/>
      <c r="NRU77" s="206"/>
      <c r="NRV77" s="205"/>
      <c r="NRW77" s="205"/>
      <c r="NRX77" s="204"/>
      <c r="NRY77" s="206"/>
      <c r="NRZ77" s="205"/>
      <c r="NSA77" s="205"/>
      <c r="NSB77" s="204"/>
      <c r="NSC77" s="206"/>
      <c r="NSD77" s="205"/>
      <c r="NSE77" s="205"/>
      <c r="NSF77" s="204"/>
      <c r="NSG77" s="206"/>
      <c r="NSH77" s="205"/>
      <c r="NSI77" s="205"/>
      <c r="NSJ77" s="204"/>
      <c r="NSK77" s="206"/>
      <c r="NSL77" s="205"/>
      <c r="NSM77" s="205"/>
      <c r="NSN77" s="204"/>
      <c r="NSO77" s="206"/>
      <c r="NSP77" s="205"/>
      <c r="NSQ77" s="205"/>
      <c r="NSR77" s="204"/>
      <c r="NSS77" s="206"/>
      <c r="NST77" s="205"/>
      <c r="NSU77" s="205"/>
      <c r="NSV77" s="204"/>
      <c r="NSW77" s="206"/>
      <c r="NSX77" s="205"/>
      <c r="NSY77" s="205"/>
      <c r="NSZ77" s="204"/>
      <c r="NTA77" s="206"/>
      <c r="NTB77" s="205"/>
      <c r="NTC77" s="205"/>
      <c r="NTD77" s="204"/>
      <c r="NTE77" s="206"/>
      <c r="NTF77" s="205"/>
      <c r="NTG77" s="205"/>
      <c r="NTH77" s="204"/>
      <c r="NTI77" s="206"/>
      <c r="NTJ77" s="205"/>
      <c r="NTK77" s="205"/>
      <c r="NTL77" s="204"/>
      <c r="NTM77" s="206"/>
      <c r="NTN77" s="205"/>
      <c r="NTO77" s="205"/>
      <c r="NTP77" s="204"/>
      <c r="NTQ77" s="206"/>
      <c r="NTR77" s="205"/>
      <c r="NTS77" s="205"/>
      <c r="NTT77" s="204"/>
      <c r="NTU77" s="206"/>
      <c r="NTV77" s="205"/>
      <c r="NTW77" s="205"/>
      <c r="NTX77" s="204"/>
      <c r="NTY77" s="206"/>
      <c r="NTZ77" s="205"/>
      <c r="NUA77" s="205"/>
      <c r="NUB77" s="204"/>
      <c r="NUC77" s="206"/>
      <c r="NUD77" s="205"/>
      <c r="NUE77" s="205"/>
      <c r="NUF77" s="204"/>
      <c r="NUG77" s="206"/>
      <c r="NUH77" s="205"/>
      <c r="NUI77" s="205"/>
      <c r="NUJ77" s="204"/>
      <c r="NUK77" s="206"/>
      <c r="NUL77" s="205"/>
      <c r="NUM77" s="205"/>
      <c r="NUN77" s="204"/>
      <c r="NUO77" s="206"/>
      <c r="NUP77" s="205"/>
      <c r="NUQ77" s="205"/>
      <c r="NUR77" s="204"/>
      <c r="NUS77" s="206"/>
      <c r="NUT77" s="205"/>
      <c r="NUU77" s="205"/>
      <c r="NUV77" s="204"/>
      <c r="NUW77" s="206"/>
      <c r="NUX77" s="205"/>
      <c r="NUY77" s="205"/>
      <c r="NUZ77" s="204"/>
      <c r="NVA77" s="206"/>
      <c r="NVB77" s="205"/>
      <c r="NVC77" s="205"/>
      <c r="NVD77" s="204"/>
      <c r="NVE77" s="206"/>
      <c r="NVF77" s="205"/>
      <c r="NVG77" s="205"/>
      <c r="NVH77" s="204"/>
      <c r="NVI77" s="206"/>
      <c r="NVJ77" s="205"/>
      <c r="NVK77" s="205"/>
      <c r="NVL77" s="204"/>
      <c r="NVM77" s="206"/>
      <c r="NVN77" s="205"/>
      <c r="NVO77" s="205"/>
      <c r="NVP77" s="204"/>
      <c r="NVQ77" s="206"/>
      <c r="NVR77" s="205"/>
      <c r="NVS77" s="205"/>
      <c r="NVT77" s="204"/>
      <c r="NVU77" s="206"/>
      <c r="NVV77" s="205"/>
      <c r="NVW77" s="205"/>
      <c r="NVX77" s="204"/>
      <c r="NVY77" s="206"/>
      <c r="NVZ77" s="205"/>
      <c r="NWA77" s="205"/>
      <c r="NWB77" s="204"/>
      <c r="NWC77" s="206"/>
      <c r="NWD77" s="205"/>
      <c r="NWE77" s="205"/>
      <c r="NWF77" s="204"/>
      <c r="NWG77" s="206"/>
      <c r="NWH77" s="205"/>
      <c r="NWI77" s="205"/>
      <c r="NWJ77" s="204"/>
      <c r="NWK77" s="206"/>
      <c r="NWL77" s="205"/>
      <c r="NWM77" s="205"/>
      <c r="NWN77" s="204"/>
      <c r="NWO77" s="206"/>
      <c r="NWP77" s="205"/>
      <c r="NWQ77" s="205"/>
      <c r="NWR77" s="204"/>
      <c r="NWS77" s="206"/>
      <c r="NWT77" s="205"/>
      <c r="NWU77" s="205"/>
      <c r="NWV77" s="204"/>
      <c r="NWW77" s="206"/>
      <c r="NWX77" s="205"/>
      <c r="NWY77" s="205"/>
      <c r="NWZ77" s="204"/>
      <c r="NXA77" s="206"/>
      <c r="NXB77" s="205"/>
      <c r="NXC77" s="205"/>
      <c r="NXD77" s="204"/>
      <c r="NXE77" s="206"/>
      <c r="NXF77" s="205"/>
      <c r="NXG77" s="205"/>
      <c r="NXH77" s="204"/>
      <c r="NXI77" s="206"/>
      <c r="NXJ77" s="205"/>
      <c r="NXK77" s="205"/>
      <c r="NXL77" s="204"/>
      <c r="NXM77" s="206"/>
      <c r="NXN77" s="205"/>
      <c r="NXO77" s="205"/>
      <c r="NXP77" s="204"/>
      <c r="NXQ77" s="206"/>
      <c r="NXR77" s="205"/>
      <c r="NXS77" s="205"/>
      <c r="NXT77" s="204"/>
      <c r="NXU77" s="206"/>
      <c r="NXV77" s="205"/>
      <c r="NXW77" s="205"/>
      <c r="NXX77" s="204"/>
      <c r="NXY77" s="206"/>
      <c r="NXZ77" s="205"/>
      <c r="NYA77" s="205"/>
      <c r="NYB77" s="204"/>
      <c r="NYC77" s="206"/>
      <c r="NYD77" s="205"/>
      <c r="NYE77" s="205"/>
      <c r="NYF77" s="204"/>
      <c r="NYG77" s="206"/>
      <c r="NYH77" s="205"/>
      <c r="NYI77" s="205"/>
      <c r="NYJ77" s="204"/>
      <c r="NYK77" s="206"/>
      <c r="NYL77" s="205"/>
      <c r="NYM77" s="205"/>
      <c r="NYN77" s="204"/>
      <c r="NYO77" s="206"/>
      <c r="NYP77" s="205"/>
      <c r="NYQ77" s="205"/>
      <c r="NYR77" s="204"/>
      <c r="NYS77" s="206"/>
      <c r="NYT77" s="205"/>
      <c r="NYU77" s="205"/>
      <c r="NYV77" s="204"/>
      <c r="NYW77" s="206"/>
      <c r="NYX77" s="205"/>
      <c r="NYY77" s="205"/>
      <c r="NYZ77" s="204"/>
      <c r="NZA77" s="206"/>
      <c r="NZB77" s="205"/>
      <c r="NZC77" s="205"/>
      <c r="NZD77" s="204"/>
      <c r="NZE77" s="206"/>
      <c r="NZF77" s="205"/>
      <c r="NZG77" s="205"/>
      <c r="NZH77" s="204"/>
      <c r="NZI77" s="206"/>
      <c r="NZJ77" s="205"/>
      <c r="NZK77" s="205"/>
      <c r="NZL77" s="204"/>
      <c r="NZM77" s="206"/>
      <c r="NZN77" s="205"/>
      <c r="NZO77" s="205"/>
      <c r="NZP77" s="204"/>
      <c r="NZQ77" s="206"/>
      <c r="NZR77" s="205"/>
      <c r="NZS77" s="205"/>
      <c r="NZT77" s="204"/>
      <c r="NZU77" s="206"/>
      <c r="NZV77" s="205"/>
      <c r="NZW77" s="205"/>
      <c r="NZX77" s="204"/>
      <c r="NZY77" s="206"/>
      <c r="NZZ77" s="205"/>
      <c r="OAA77" s="205"/>
      <c r="OAB77" s="204"/>
      <c r="OAC77" s="206"/>
      <c r="OAD77" s="205"/>
      <c r="OAE77" s="205"/>
      <c r="OAF77" s="204"/>
      <c r="OAG77" s="206"/>
      <c r="OAH77" s="205"/>
      <c r="OAI77" s="205"/>
      <c r="OAJ77" s="204"/>
      <c r="OAK77" s="206"/>
      <c r="OAL77" s="205"/>
      <c r="OAM77" s="205"/>
      <c r="OAN77" s="204"/>
      <c r="OAO77" s="206"/>
      <c r="OAP77" s="205"/>
      <c r="OAQ77" s="205"/>
      <c r="OAR77" s="204"/>
      <c r="OAS77" s="206"/>
      <c r="OAT77" s="205"/>
      <c r="OAU77" s="205"/>
      <c r="OAV77" s="204"/>
      <c r="OAW77" s="206"/>
      <c r="OAX77" s="205"/>
      <c r="OAY77" s="205"/>
      <c r="OAZ77" s="204"/>
      <c r="OBA77" s="206"/>
      <c r="OBB77" s="205"/>
      <c r="OBC77" s="205"/>
      <c r="OBD77" s="204"/>
      <c r="OBE77" s="206"/>
      <c r="OBF77" s="205"/>
      <c r="OBG77" s="205"/>
      <c r="OBH77" s="204"/>
      <c r="OBI77" s="206"/>
      <c r="OBJ77" s="205"/>
      <c r="OBK77" s="205"/>
      <c r="OBL77" s="204"/>
      <c r="OBM77" s="206"/>
      <c r="OBN77" s="205"/>
      <c r="OBO77" s="205"/>
      <c r="OBP77" s="204"/>
      <c r="OBQ77" s="206"/>
      <c r="OBR77" s="205"/>
      <c r="OBS77" s="205"/>
      <c r="OBT77" s="204"/>
      <c r="OBU77" s="206"/>
      <c r="OBV77" s="205"/>
      <c r="OBW77" s="205"/>
      <c r="OBX77" s="204"/>
      <c r="OBY77" s="206"/>
      <c r="OBZ77" s="205"/>
      <c r="OCA77" s="205"/>
      <c r="OCB77" s="204"/>
      <c r="OCC77" s="206"/>
      <c r="OCD77" s="205"/>
      <c r="OCE77" s="205"/>
      <c r="OCF77" s="204"/>
      <c r="OCG77" s="206"/>
      <c r="OCH77" s="205"/>
      <c r="OCI77" s="205"/>
      <c r="OCJ77" s="204"/>
      <c r="OCK77" s="206"/>
      <c r="OCL77" s="205"/>
      <c r="OCM77" s="205"/>
      <c r="OCN77" s="204"/>
      <c r="OCO77" s="206"/>
      <c r="OCP77" s="205"/>
      <c r="OCQ77" s="205"/>
      <c r="OCR77" s="204"/>
      <c r="OCS77" s="206"/>
      <c r="OCT77" s="205"/>
      <c r="OCU77" s="205"/>
      <c r="OCV77" s="204"/>
      <c r="OCW77" s="206"/>
      <c r="OCX77" s="205"/>
      <c r="OCY77" s="205"/>
      <c r="OCZ77" s="204"/>
      <c r="ODA77" s="206"/>
      <c r="ODB77" s="205"/>
      <c r="ODC77" s="205"/>
      <c r="ODD77" s="204"/>
      <c r="ODE77" s="206"/>
      <c r="ODF77" s="205"/>
      <c r="ODG77" s="205"/>
      <c r="ODH77" s="204"/>
      <c r="ODI77" s="206"/>
      <c r="ODJ77" s="205"/>
      <c r="ODK77" s="205"/>
      <c r="ODL77" s="204"/>
      <c r="ODM77" s="206"/>
      <c r="ODN77" s="205"/>
      <c r="ODO77" s="205"/>
      <c r="ODP77" s="204"/>
      <c r="ODQ77" s="206"/>
      <c r="ODR77" s="205"/>
      <c r="ODS77" s="205"/>
      <c r="ODT77" s="204"/>
      <c r="ODU77" s="206"/>
      <c r="ODV77" s="205"/>
      <c r="ODW77" s="205"/>
      <c r="ODX77" s="204"/>
      <c r="ODY77" s="206"/>
      <c r="ODZ77" s="205"/>
      <c r="OEA77" s="205"/>
      <c r="OEB77" s="204"/>
      <c r="OEC77" s="206"/>
      <c r="OED77" s="205"/>
      <c r="OEE77" s="205"/>
      <c r="OEF77" s="204"/>
      <c r="OEG77" s="206"/>
      <c r="OEH77" s="205"/>
      <c r="OEI77" s="205"/>
      <c r="OEJ77" s="204"/>
      <c r="OEK77" s="206"/>
      <c r="OEL77" s="205"/>
      <c r="OEM77" s="205"/>
      <c r="OEN77" s="204"/>
      <c r="OEO77" s="206"/>
      <c r="OEP77" s="205"/>
      <c r="OEQ77" s="205"/>
      <c r="OER77" s="204"/>
      <c r="OES77" s="206"/>
      <c r="OET77" s="205"/>
      <c r="OEU77" s="205"/>
      <c r="OEV77" s="204"/>
      <c r="OEW77" s="206"/>
      <c r="OEX77" s="205"/>
      <c r="OEY77" s="205"/>
      <c r="OEZ77" s="204"/>
      <c r="OFA77" s="206"/>
      <c r="OFB77" s="205"/>
      <c r="OFC77" s="205"/>
      <c r="OFD77" s="204"/>
      <c r="OFE77" s="206"/>
      <c r="OFF77" s="205"/>
      <c r="OFG77" s="205"/>
      <c r="OFH77" s="204"/>
      <c r="OFI77" s="206"/>
      <c r="OFJ77" s="205"/>
      <c r="OFK77" s="205"/>
      <c r="OFL77" s="204"/>
      <c r="OFM77" s="206"/>
      <c r="OFN77" s="205"/>
      <c r="OFO77" s="205"/>
      <c r="OFP77" s="204"/>
      <c r="OFQ77" s="206"/>
      <c r="OFR77" s="205"/>
      <c r="OFS77" s="205"/>
      <c r="OFT77" s="204"/>
      <c r="OFU77" s="206"/>
      <c r="OFV77" s="205"/>
      <c r="OFW77" s="205"/>
      <c r="OFX77" s="204"/>
      <c r="OFY77" s="206"/>
      <c r="OFZ77" s="205"/>
      <c r="OGA77" s="205"/>
      <c r="OGB77" s="204"/>
      <c r="OGC77" s="206"/>
      <c r="OGD77" s="205"/>
      <c r="OGE77" s="205"/>
      <c r="OGF77" s="204"/>
      <c r="OGG77" s="206"/>
      <c r="OGH77" s="205"/>
      <c r="OGI77" s="205"/>
      <c r="OGJ77" s="204"/>
      <c r="OGK77" s="206"/>
      <c r="OGL77" s="205"/>
      <c r="OGM77" s="205"/>
      <c r="OGN77" s="204"/>
      <c r="OGO77" s="206"/>
      <c r="OGP77" s="205"/>
      <c r="OGQ77" s="205"/>
      <c r="OGR77" s="204"/>
      <c r="OGS77" s="206"/>
      <c r="OGT77" s="205"/>
      <c r="OGU77" s="205"/>
      <c r="OGV77" s="204"/>
      <c r="OGW77" s="206"/>
      <c r="OGX77" s="205"/>
      <c r="OGY77" s="205"/>
      <c r="OGZ77" s="204"/>
      <c r="OHA77" s="206"/>
      <c r="OHB77" s="205"/>
      <c r="OHC77" s="205"/>
      <c r="OHD77" s="204"/>
      <c r="OHE77" s="206"/>
      <c r="OHF77" s="205"/>
      <c r="OHG77" s="205"/>
      <c r="OHH77" s="204"/>
      <c r="OHI77" s="206"/>
      <c r="OHJ77" s="205"/>
      <c r="OHK77" s="205"/>
      <c r="OHL77" s="204"/>
      <c r="OHM77" s="206"/>
      <c r="OHN77" s="205"/>
      <c r="OHO77" s="205"/>
      <c r="OHP77" s="204"/>
      <c r="OHQ77" s="206"/>
      <c r="OHR77" s="205"/>
      <c r="OHS77" s="205"/>
      <c r="OHT77" s="204"/>
      <c r="OHU77" s="206"/>
      <c r="OHV77" s="205"/>
      <c r="OHW77" s="205"/>
      <c r="OHX77" s="204"/>
      <c r="OHY77" s="206"/>
      <c r="OHZ77" s="205"/>
      <c r="OIA77" s="205"/>
      <c r="OIB77" s="204"/>
      <c r="OIC77" s="206"/>
      <c r="OID77" s="205"/>
      <c r="OIE77" s="205"/>
      <c r="OIF77" s="204"/>
      <c r="OIG77" s="206"/>
      <c r="OIH77" s="205"/>
      <c r="OII77" s="205"/>
      <c r="OIJ77" s="204"/>
      <c r="OIK77" s="206"/>
      <c r="OIL77" s="205"/>
      <c r="OIM77" s="205"/>
      <c r="OIN77" s="204"/>
      <c r="OIO77" s="206"/>
      <c r="OIP77" s="205"/>
      <c r="OIQ77" s="205"/>
      <c r="OIR77" s="204"/>
      <c r="OIS77" s="206"/>
      <c r="OIT77" s="205"/>
      <c r="OIU77" s="205"/>
      <c r="OIV77" s="204"/>
      <c r="OIW77" s="206"/>
      <c r="OIX77" s="205"/>
      <c r="OIY77" s="205"/>
      <c r="OIZ77" s="204"/>
      <c r="OJA77" s="206"/>
      <c r="OJB77" s="205"/>
      <c r="OJC77" s="205"/>
      <c r="OJD77" s="204"/>
      <c r="OJE77" s="206"/>
      <c r="OJF77" s="205"/>
      <c r="OJG77" s="205"/>
      <c r="OJH77" s="204"/>
      <c r="OJI77" s="206"/>
      <c r="OJJ77" s="205"/>
      <c r="OJK77" s="205"/>
      <c r="OJL77" s="204"/>
      <c r="OJM77" s="206"/>
      <c r="OJN77" s="205"/>
      <c r="OJO77" s="205"/>
      <c r="OJP77" s="204"/>
      <c r="OJQ77" s="206"/>
      <c r="OJR77" s="205"/>
      <c r="OJS77" s="205"/>
      <c r="OJT77" s="204"/>
      <c r="OJU77" s="206"/>
      <c r="OJV77" s="205"/>
      <c r="OJW77" s="205"/>
      <c r="OJX77" s="204"/>
      <c r="OJY77" s="206"/>
      <c r="OJZ77" s="205"/>
      <c r="OKA77" s="205"/>
      <c r="OKB77" s="204"/>
      <c r="OKC77" s="206"/>
      <c r="OKD77" s="205"/>
      <c r="OKE77" s="205"/>
      <c r="OKF77" s="204"/>
      <c r="OKG77" s="206"/>
      <c r="OKH77" s="205"/>
      <c r="OKI77" s="205"/>
      <c r="OKJ77" s="204"/>
      <c r="OKK77" s="206"/>
      <c r="OKL77" s="205"/>
      <c r="OKM77" s="205"/>
      <c r="OKN77" s="204"/>
      <c r="OKO77" s="206"/>
      <c r="OKP77" s="205"/>
      <c r="OKQ77" s="205"/>
      <c r="OKR77" s="204"/>
      <c r="OKS77" s="206"/>
      <c r="OKT77" s="205"/>
      <c r="OKU77" s="205"/>
      <c r="OKV77" s="204"/>
      <c r="OKW77" s="206"/>
      <c r="OKX77" s="205"/>
      <c r="OKY77" s="205"/>
      <c r="OKZ77" s="204"/>
      <c r="OLA77" s="206"/>
      <c r="OLB77" s="205"/>
      <c r="OLC77" s="205"/>
      <c r="OLD77" s="204"/>
      <c r="OLE77" s="206"/>
      <c r="OLF77" s="205"/>
      <c r="OLG77" s="205"/>
      <c r="OLH77" s="204"/>
      <c r="OLI77" s="206"/>
      <c r="OLJ77" s="205"/>
      <c r="OLK77" s="205"/>
      <c r="OLL77" s="204"/>
      <c r="OLM77" s="206"/>
      <c r="OLN77" s="205"/>
      <c r="OLO77" s="205"/>
      <c r="OLP77" s="204"/>
      <c r="OLQ77" s="206"/>
      <c r="OLR77" s="205"/>
      <c r="OLS77" s="205"/>
      <c r="OLT77" s="204"/>
      <c r="OLU77" s="206"/>
      <c r="OLV77" s="205"/>
      <c r="OLW77" s="205"/>
      <c r="OLX77" s="204"/>
      <c r="OLY77" s="206"/>
      <c r="OLZ77" s="205"/>
      <c r="OMA77" s="205"/>
      <c r="OMB77" s="204"/>
      <c r="OMC77" s="206"/>
      <c r="OMD77" s="205"/>
      <c r="OME77" s="205"/>
      <c r="OMF77" s="204"/>
      <c r="OMG77" s="206"/>
      <c r="OMH77" s="205"/>
      <c r="OMI77" s="205"/>
      <c r="OMJ77" s="204"/>
      <c r="OMK77" s="206"/>
      <c r="OML77" s="205"/>
      <c r="OMM77" s="205"/>
      <c r="OMN77" s="204"/>
      <c r="OMO77" s="206"/>
      <c r="OMP77" s="205"/>
      <c r="OMQ77" s="205"/>
      <c r="OMR77" s="204"/>
      <c r="OMS77" s="206"/>
      <c r="OMT77" s="205"/>
      <c r="OMU77" s="205"/>
      <c r="OMV77" s="204"/>
      <c r="OMW77" s="206"/>
      <c r="OMX77" s="205"/>
      <c r="OMY77" s="205"/>
      <c r="OMZ77" s="204"/>
      <c r="ONA77" s="206"/>
      <c r="ONB77" s="205"/>
      <c r="ONC77" s="205"/>
      <c r="OND77" s="204"/>
      <c r="ONE77" s="206"/>
      <c r="ONF77" s="205"/>
      <c r="ONG77" s="205"/>
      <c r="ONH77" s="204"/>
      <c r="ONI77" s="206"/>
      <c r="ONJ77" s="205"/>
      <c r="ONK77" s="205"/>
      <c r="ONL77" s="204"/>
      <c r="ONM77" s="206"/>
      <c r="ONN77" s="205"/>
      <c r="ONO77" s="205"/>
      <c r="ONP77" s="204"/>
      <c r="ONQ77" s="206"/>
      <c r="ONR77" s="205"/>
      <c r="ONS77" s="205"/>
      <c r="ONT77" s="204"/>
      <c r="ONU77" s="206"/>
      <c r="ONV77" s="205"/>
      <c r="ONW77" s="205"/>
      <c r="ONX77" s="204"/>
      <c r="ONY77" s="206"/>
      <c r="ONZ77" s="205"/>
      <c r="OOA77" s="205"/>
      <c r="OOB77" s="204"/>
      <c r="OOC77" s="206"/>
      <c r="OOD77" s="205"/>
      <c r="OOE77" s="205"/>
      <c r="OOF77" s="204"/>
      <c r="OOG77" s="206"/>
      <c r="OOH77" s="205"/>
      <c r="OOI77" s="205"/>
      <c r="OOJ77" s="204"/>
      <c r="OOK77" s="206"/>
      <c r="OOL77" s="205"/>
      <c r="OOM77" s="205"/>
      <c r="OON77" s="204"/>
      <c r="OOO77" s="206"/>
      <c r="OOP77" s="205"/>
      <c r="OOQ77" s="205"/>
      <c r="OOR77" s="204"/>
      <c r="OOS77" s="206"/>
      <c r="OOT77" s="205"/>
      <c r="OOU77" s="205"/>
      <c r="OOV77" s="204"/>
      <c r="OOW77" s="206"/>
      <c r="OOX77" s="205"/>
      <c r="OOY77" s="205"/>
      <c r="OOZ77" s="204"/>
      <c r="OPA77" s="206"/>
      <c r="OPB77" s="205"/>
      <c r="OPC77" s="205"/>
      <c r="OPD77" s="204"/>
      <c r="OPE77" s="206"/>
      <c r="OPF77" s="205"/>
      <c r="OPG77" s="205"/>
      <c r="OPH77" s="204"/>
      <c r="OPI77" s="206"/>
      <c r="OPJ77" s="205"/>
      <c r="OPK77" s="205"/>
      <c r="OPL77" s="204"/>
      <c r="OPM77" s="206"/>
      <c r="OPN77" s="205"/>
      <c r="OPO77" s="205"/>
      <c r="OPP77" s="204"/>
      <c r="OPQ77" s="206"/>
      <c r="OPR77" s="205"/>
      <c r="OPS77" s="205"/>
      <c r="OPT77" s="204"/>
      <c r="OPU77" s="206"/>
      <c r="OPV77" s="205"/>
      <c r="OPW77" s="205"/>
      <c r="OPX77" s="204"/>
      <c r="OPY77" s="206"/>
      <c r="OPZ77" s="205"/>
      <c r="OQA77" s="205"/>
      <c r="OQB77" s="204"/>
      <c r="OQC77" s="206"/>
      <c r="OQD77" s="205"/>
      <c r="OQE77" s="205"/>
      <c r="OQF77" s="204"/>
      <c r="OQG77" s="206"/>
      <c r="OQH77" s="205"/>
      <c r="OQI77" s="205"/>
      <c r="OQJ77" s="204"/>
      <c r="OQK77" s="206"/>
      <c r="OQL77" s="205"/>
      <c r="OQM77" s="205"/>
      <c r="OQN77" s="204"/>
      <c r="OQO77" s="206"/>
      <c r="OQP77" s="205"/>
      <c r="OQQ77" s="205"/>
      <c r="OQR77" s="204"/>
      <c r="OQS77" s="206"/>
      <c r="OQT77" s="205"/>
      <c r="OQU77" s="205"/>
      <c r="OQV77" s="204"/>
      <c r="OQW77" s="206"/>
      <c r="OQX77" s="205"/>
      <c r="OQY77" s="205"/>
      <c r="OQZ77" s="204"/>
      <c r="ORA77" s="206"/>
      <c r="ORB77" s="205"/>
      <c r="ORC77" s="205"/>
      <c r="ORD77" s="204"/>
      <c r="ORE77" s="206"/>
      <c r="ORF77" s="205"/>
      <c r="ORG77" s="205"/>
      <c r="ORH77" s="204"/>
      <c r="ORI77" s="206"/>
      <c r="ORJ77" s="205"/>
      <c r="ORK77" s="205"/>
      <c r="ORL77" s="204"/>
      <c r="ORM77" s="206"/>
      <c r="ORN77" s="205"/>
      <c r="ORO77" s="205"/>
      <c r="ORP77" s="204"/>
      <c r="ORQ77" s="206"/>
      <c r="ORR77" s="205"/>
      <c r="ORS77" s="205"/>
      <c r="ORT77" s="204"/>
      <c r="ORU77" s="206"/>
      <c r="ORV77" s="205"/>
      <c r="ORW77" s="205"/>
      <c r="ORX77" s="204"/>
      <c r="ORY77" s="206"/>
      <c r="ORZ77" s="205"/>
      <c r="OSA77" s="205"/>
      <c r="OSB77" s="204"/>
      <c r="OSC77" s="206"/>
      <c r="OSD77" s="205"/>
      <c r="OSE77" s="205"/>
      <c r="OSF77" s="204"/>
      <c r="OSG77" s="206"/>
      <c r="OSH77" s="205"/>
      <c r="OSI77" s="205"/>
      <c r="OSJ77" s="204"/>
      <c r="OSK77" s="206"/>
      <c r="OSL77" s="205"/>
      <c r="OSM77" s="205"/>
      <c r="OSN77" s="204"/>
      <c r="OSO77" s="206"/>
      <c r="OSP77" s="205"/>
      <c r="OSQ77" s="205"/>
      <c r="OSR77" s="204"/>
      <c r="OSS77" s="206"/>
      <c r="OST77" s="205"/>
      <c r="OSU77" s="205"/>
      <c r="OSV77" s="204"/>
      <c r="OSW77" s="206"/>
      <c r="OSX77" s="205"/>
      <c r="OSY77" s="205"/>
      <c r="OSZ77" s="204"/>
      <c r="OTA77" s="206"/>
      <c r="OTB77" s="205"/>
      <c r="OTC77" s="205"/>
      <c r="OTD77" s="204"/>
      <c r="OTE77" s="206"/>
      <c r="OTF77" s="205"/>
      <c r="OTG77" s="205"/>
      <c r="OTH77" s="204"/>
      <c r="OTI77" s="206"/>
      <c r="OTJ77" s="205"/>
      <c r="OTK77" s="205"/>
      <c r="OTL77" s="204"/>
      <c r="OTM77" s="206"/>
      <c r="OTN77" s="205"/>
      <c r="OTO77" s="205"/>
      <c r="OTP77" s="204"/>
      <c r="OTQ77" s="206"/>
      <c r="OTR77" s="205"/>
      <c r="OTS77" s="205"/>
      <c r="OTT77" s="204"/>
      <c r="OTU77" s="206"/>
      <c r="OTV77" s="205"/>
      <c r="OTW77" s="205"/>
      <c r="OTX77" s="204"/>
      <c r="OTY77" s="206"/>
      <c r="OTZ77" s="205"/>
      <c r="OUA77" s="205"/>
      <c r="OUB77" s="204"/>
      <c r="OUC77" s="206"/>
      <c r="OUD77" s="205"/>
      <c r="OUE77" s="205"/>
      <c r="OUF77" s="204"/>
      <c r="OUG77" s="206"/>
      <c r="OUH77" s="205"/>
      <c r="OUI77" s="205"/>
      <c r="OUJ77" s="204"/>
      <c r="OUK77" s="206"/>
      <c r="OUL77" s="205"/>
      <c r="OUM77" s="205"/>
      <c r="OUN77" s="204"/>
      <c r="OUO77" s="206"/>
      <c r="OUP77" s="205"/>
      <c r="OUQ77" s="205"/>
      <c r="OUR77" s="204"/>
      <c r="OUS77" s="206"/>
      <c r="OUT77" s="205"/>
      <c r="OUU77" s="205"/>
      <c r="OUV77" s="204"/>
      <c r="OUW77" s="206"/>
      <c r="OUX77" s="205"/>
      <c r="OUY77" s="205"/>
      <c r="OUZ77" s="204"/>
      <c r="OVA77" s="206"/>
      <c r="OVB77" s="205"/>
      <c r="OVC77" s="205"/>
      <c r="OVD77" s="204"/>
      <c r="OVE77" s="206"/>
      <c r="OVF77" s="205"/>
      <c r="OVG77" s="205"/>
      <c r="OVH77" s="204"/>
      <c r="OVI77" s="206"/>
      <c r="OVJ77" s="205"/>
      <c r="OVK77" s="205"/>
      <c r="OVL77" s="204"/>
      <c r="OVM77" s="206"/>
      <c r="OVN77" s="205"/>
      <c r="OVO77" s="205"/>
      <c r="OVP77" s="204"/>
      <c r="OVQ77" s="206"/>
      <c r="OVR77" s="205"/>
      <c r="OVS77" s="205"/>
      <c r="OVT77" s="204"/>
      <c r="OVU77" s="206"/>
      <c r="OVV77" s="205"/>
      <c r="OVW77" s="205"/>
      <c r="OVX77" s="204"/>
      <c r="OVY77" s="206"/>
      <c r="OVZ77" s="205"/>
      <c r="OWA77" s="205"/>
      <c r="OWB77" s="204"/>
      <c r="OWC77" s="206"/>
      <c r="OWD77" s="205"/>
      <c r="OWE77" s="205"/>
      <c r="OWF77" s="204"/>
      <c r="OWG77" s="206"/>
      <c r="OWH77" s="205"/>
      <c r="OWI77" s="205"/>
      <c r="OWJ77" s="204"/>
      <c r="OWK77" s="206"/>
      <c r="OWL77" s="205"/>
      <c r="OWM77" s="205"/>
      <c r="OWN77" s="204"/>
      <c r="OWO77" s="206"/>
      <c r="OWP77" s="205"/>
      <c r="OWQ77" s="205"/>
      <c r="OWR77" s="204"/>
      <c r="OWS77" s="206"/>
      <c r="OWT77" s="205"/>
      <c r="OWU77" s="205"/>
      <c r="OWV77" s="204"/>
      <c r="OWW77" s="206"/>
      <c r="OWX77" s="205"/>
      <c r="OWY77" s="205"/>
      <c r="OWZ77" s="204"/>
      <c r="OXA77" s="206"/>
      <c r="OXB77" s="205"/>
      <c r="OXC77" s="205"/>
      <c r="OXD77" s="204"/>
      <c r="OXE77" s="206"/>
      <c r="OXF77" s="205"/>
      <c r="OXG77" s="205"/>
      <c r="OXH77" s="204"/>
      <c r="OXI77" s="206"/>
      <c r="OXJ77" s="205"/>
      <c r="OXK77" s="205"/>
      <c r="OXL77" s="204"/>
      <c r="OXM77" s="206"/>
      <c r="OXN77" s="205"/>
      <c r="OXO77" s="205"/>
      <c r="OXP77" s="204"/>
      <c r="OXQ77" s="206"/>
      <c r="OXR77" s="205"/>
      <c r="OXS77" s="205"/>
      <c r="OXT77" s="204"/>
      <c r="OXU77" s="206"/>
      <c r="OXV77" s="205"/>
      <c r="OXW77" s="205"/>
      <c r="OXX77" s="204"/>
      <c r="OXY77" s="206"/>
      <c r="OXZ77" s="205"/>
      <c r="OYA77" s="205"/>
      <c r="OYB77" s="204"/>
      <c r="OYC77" s="206"/>
      <c r="OYD77" s="205"/>
      <c r="OYE77" s="205"/>
      <c r="OYF77" s="204"/>
      <c r="OYG77" s="206"/>
      <c r="OYH77" s="205"/>
      <c r="OYI77" s="205"/>
      <c r="OYJ77" s="204"/>
      <c r="OYK77" s="206"/>
      <c r="OYL77" s="205"/>
      <c r="OYM77" s="205"/>
      <c r="OYN77" s="204"/>
      <c r="OYO77" s="206"/>
      <c r="OYP77" s="205"/>
      <c r="OYQ77" s="205"/>
      <c r="OYR77" s="204"/>
      <c r="OYS77" s="206"/>
      <c r="OYT77" s="205"/>
      <c r="OYU77" s="205"/>
      <c r="OYV77" s="204"/>
      <c r="OYW77" s="206"/>
      <c r="OYX77" s="205"/>
      <c r="OYY77" s="205"/>
      <c r="OYZ77" s="204"/>
      <c r="OZA77" s="206"/>
      <c r="OZB77" s="205"/>
      <c r="OZC77" s="205"/>
      <c r="OZD77" s="204"/>
      <c r="OZE77" s="206"/>
      <c r="OZF77" s="205"/>
      <c r="OZG77" s="205"/>
      <c r="OZH77" s="204"/>
      <c r="OZI77" s="206"/>
      <c r="OZJ77" s="205"/>
      <c r="OZK77" s="205"/>
      <c r="OZL77" s="204"/>
      <c r="OZM77" s="206"/>
      <c r="OZN77" s="205"/>
      <c r="OZO77" s="205"/>
      <c r="OZP77" s="204"/>
      <c r="OZQ77" s="206"/>
      <c r="OZR77" s="205"/>
      <c r="OZS77" s="205"/>
      <c r="OZT77" s="204"/>
      <c r="OZU77" s="206"/>
      <c r="OZV77" s="205"/>
      <c r="OZW77" s="205"/>
      <c r="OZX77" s="204"/>
      <c r="OZY77" s="206"/>
      <c r="OZZ77" s="205"/>
      <c r="PAA77" s="205"/>
      <c r="PAB77" s="204"/>
      <c r="PAC77" s="206"/>
      <c r="PAD77" s="205"/>
      <c r="PAE77" s="205"/>
      <c r="PAF77" s="204"/>
      <c r="PAG77" s="206"/>
      <c r="PAH77" s="205"/>
      <c r="PAI77" s="205"/>
      <c r="PAJ77" s="204"/>
      <c r="PAK77" s="206"/>
      <c r="PAL77" s="205"/>
      <c r="PAM77" s="205"/>
      <c r="PAN77" s="204"/>
      <c r="PAO77" s="206"/>
      <c r="PAP77" s="205"/>
      <c r="PAQ77" s="205"/>
      <c r="PAR77" s="204"/>
      <c r="PAS77" s="206"/>
      <c r="PAT77" s="205"/>
      <c r="PAU77" s="205"/>
      <c r="PAV77" s="204"/>
      <c r="PAW77" s="206"/>
      <c r="PAX77" s="205"/>
      <c r="PAY77" s="205"/>
      <c r="PAZ77" s="204"/>
      <c r="PBA77" s="206"/>
      <c r="PBB77" s="205"/>
      <c r="PBC77" s="205"/>
      <c r="PBD77" s="204"/>
      <c r="PBE77" s="206"/>
      <c r="PBF77" s="205"/>
      <c r="PBG77" s="205"/>
      <c r="PBH77" s="204"/>
      <c r="PBI77" s="206"/>
      <c r="PBJ77" s="205"/>
      <c r="PBK77" s="205"/>
      <c r="PBL77" s="204"/>
      <c r="PBM77" s="206"/>
      <c r="PBN77" s="205"/>
      <c r="PBO77" s="205"/>
      <c r="PBP77" s="204"/>
      <c r="PBQ77" s="206"/>
      <c r="PBR77" s="205"/>
      <c r="PBS77" s="205"/>
      <c r="PBT77" s="204"/>
      <c r="PBU77" s="206"/>
      <c r="PBV77" s="205"/>
      <c r="PBW77" s="205"/>
      <c r="PBX77" s="204"/>
      <c r="PBY77" s="206"/>
      <c r="PBZ77" s="205"/>
      <c r="PCA77" s="205"/>
      <c r="PCB77" s="204"/>
      <c r="PCC77" s="206"/>
      <c r="PCD77" s="205"/>
      <c r="PCE77" s="205"/>
      <c r="PCF77" s="204"/>
      <c r="PCG77" s="206"/>
      <c r="PCH77" s="205"/>
      <c r="PCI77" s="205"/>
      <c r="PCJ77" s="204"/>
      <c r="PCK77" s="206"/>
      <c r="PCL77" s="205"/>
      <c r="PCM77" s="205"/>
      <c r="PCN77" s="204"/>
      <c r="PCO77" s="206"/>
      <c r="PCP77" s="205"/>
      <c r="PCQ77" s="205"/>
      <c r="PCR77" s="204"/>
      <c r="PCS77" s="206"/>
      <c r="PCT77" s="205"/>
      <c r="PCU77" s="205"/>
      <c r="PCV77" s="204"/>
      <c r="PCW77" s="206"/>
      <c r="PCX77" s="205"/>
      <c r="PCY77" s="205"/>
      <c r="PCZ77" s="204"/>
      <c r="PDA77" s="206"/>
      <c r="PDB77" s="205"/>
      <c r="PDC77" s="205"/>
      <c r="PDD77" s="204"/>
      <c r="PDE77" s="206"/>
      <c r="PDF77" s="205"/>
      <c r="PDG77" s="205"/>
      <c r="PDH77" s="204"/>
      <c r="PDI77" s="206"/>
      <c r="PDJ77" s="205"/>
      <c r="PDK77" s="205"/>
      <c r="PDL77" s="204"/>
      <c r="PDM77" s="206"/>
      <c r="PDN77" s="205"/>
      <c r="PDO77" s="205"/>
      <c r="PDP77" s="204"/>
      <c r="PDQ77" s="206"/>
      <c r="PDR77" s="205"/>
      <c r="PDS77" s="205"/>
      <c r="PDT77" s="204"/>
      <c r="PDU77" s="206"/>
      <c r="PDV77" s="205"/>
      <c r="PDW77" s="205"/>
      <c r="PDX77" s="204"/>
      <c r="PDY77" s="206"/>
      <c r="PDZ77" s="205"/>
      <c r="PEA77" s="205"/>
      <c r="PEB77" s="204"/>
      <c r="PEC77" s="206"/>
      <c r="PED77" s="205"/>
      <c r="PEE77" s="205"/>
      <c r="PEF77" s="204"/>
      <c r="PEG77" s="206"/>
      <c r="PEH77" s="205"/>
      <c r="PEI77" s="205"/>
      <c r="PEJ77" s="204"/>
      <c r="PEK77" s="206"/>
      <c r="PEL77" s="205"/>
      <c r="PEM77" s="205"/>
      <c r="PEN77" s="204"/>
      <c r="PEO77" s="206"/>
      <c r="PEP77" s="205"/>
      <c r="PEQ77" s="205"/>
      <c r="PER77" s="204"/>
      <c r="PES77" s="206"/>
      <c r="PET77" s="205"/>
      <c r="PEU77" s="205"/>
      <c r="PEV77" s="204"/>
      <c r="PEW77" s="206"/>
      <c r="PEX77" s="205"/>
      <c r="PEY77" s="205"/>
      <c r="PEZ77" s="204"/>
      <c r="PFA77" s="206"/>
      <c r="PFB77" s="205"/>
      <c r="PFC77" s="205"/>
      <c r="PFD77" s="204"/>
      <c r="PFE77" s="206"/>
      <c r="PFF77" s="205"/>
      <c r="PFG77" s="205"/>
      <c r="PFH77" s="204"/>
      <c r="PFI77" s="206"/>
      <c r="PFJ77" s="205"/>
      <c r="PFK77" s="205"/>
      <c r="PFL77" s="204"/>
      <c r="PFM77" s="206"/>
      <c r="PFN77" s="205"/>
      <c r="PFO77" s="205"/>
      <c r="PFP77" s="204"/>
      <c r="PFQ77" s="206"/>
      <c r="PFR77" s="205"/>
      <c r="PFS77" s="205"/>
      <c r="PFT77" s="204"/>
      <c r="PFU77" s="206"/>
      <c r="PFV77" s="205"/>
      <c r="PFW77" s="205"/>
      <c r="PFX77" s="204"/>
      <c r="PFY77" s="206"/>
      <c r="PFZ77" s="205"/>
      <c r="PGA77" s="205"/>
      <c r="PGB77" s="204"/>
      <c r="PGC77" s="206"/>
      <c r="PGD77" s="205"/>
      <c r="PGE77" s="205"/>
      <c r="PGF77" s="204"/>
      <c r="PGG77" s="206"/>
      <c r="PGH77" s="205"/>
      <c r="PGI77" s="205"/>
      <c r="PGJ77" s="204"/>
      <c r="PGK77" s="206"/>
      <c r="PGL77" s="205"/>
      <c r="PGM77" s="205"/>
      <c r="PGN77" s="204"/>
      <c r="PGO77" s="206"/>
      <c r="PGP77" s="205"/>
      <c r="PGQ77" s="205"/>
      <c r="PGR77" s="204"/>
      <c r="PGS77" s="206"/>
      <c r="PGT77" s="205"/>
      <c r="PGU77" s="205"/>
      <c r="PGV77" s="204"/>
      <c r="PGW77" s="206"/>
      <c r="PGX77" s="205"/>
      <c r="PGY77" s="205"/>
      <c r="PGZ77" s="204"/>
      <c r="PHA77" s="206"/>
      <c r="PHB77" s="205"/>
      <c r="PHC77" s="205"/>
      <c r="PHD77" s="204"/>
      <c r="PHE77" s="206"/>
      <c r="PHF77" s="205"/>
      <c r="PHG77" s="205"/>
      <c r="PHH77" s="204"/>
      <c r="PHI77" s="206"/>
      <c r="PHJ77" s="205"/>
      <c r="PHK77" s="205"/>
      <c r="PHL77" s="204"/>
      <c r="PHM77" s="206"/>
      <c r="PHN77" s="205"/>
      <c r="PHO77" s="205"/>
      <c r="PHP77" s="204"/>
      <c r="PHQ77" s="206"/>
      <c r="PHR77" s="205"/>
      <c r="PHS77" s="205"/>
      <c r="PHT77" s="204"/>
      <c r="PHU77" s="206"/>
      <c r="PHV77" s="205"/>
      <c r="PHW77" s="205"/>
      <c r="PHX77" s="204"/>
      <c r="PHY77" s="206"/>
      <c r="PHZ77" s="205"/>
      <c r="PIA77" s="205"/>
      <c r="PIB77" s="204"/>
      <c r="PIC77" s="206"/>
      <c r="PID77" s="205"/>
      <c r="PIE77" s="205"/>
      <c r="PIF77" s="204"/>
      <c r="PIG77" s="206"/>
      <c r="PIH77" s="205"/>
      <c r="PII77" s="205"/>
      <c r="PIJ77" s="204"/>
      <c r="PIK77" s="206"/>
      <c r="PIL77" s="205"/>
      <c r="PIM77" s="205"/>
      <c r="PIN77" s="204"/>
      <c r="PIO77" s="206"/>
      <c r="PIP77" s="205"/>
      <c r="PIQ77" s="205"/>
      <c r="PIR77" s="204"/>
      <c r="PIS77" s="206"/>
      <c r="PIT77" s="205"/>
      <c r="PIU77" s="205"/>
      <c r="PIV77" s="204"/>
      <c r="PIW77" s="206"/>
      <c r="PIX77" s="205"/>
      <c r="PIY77" s="205"/>
      <c r="PIZ77" s="204"/>
      <c r="PJA77" s="206"/>
      <c r="PJB77" s="205"/>
      <c r="PJC77" s="205"/>
      <c r="PJD77" s="204"/>
      <c r="PJE77" s="206"/>
      <c r="PJF77" s="205"/>
      <c r="PJG77" s="205"/>
      <c r="PJH77" s="204"/>
      <c r="PJI77" s="206"/>
      <c r="PJJ77" s="205"/>
      <c r="PJK77" s="205"/>
      <c r="PJL77" s="204"/>
      <c r="PJM77" s="206"/>
      <c r="PJN77" s="205"/>
      <c r="PJO77" s="205"/>
      <c r="PJP77" s="204"/>
      <c r="PJQ77" s="206"/>
      <c r="PJR77" s="205"/>
      <c r="PJS77" s="205"/>
      <c r="PJT77" s="204"/>
      <c r="PJU77" s="206"/>
      <c r="PJV77" s="205"/>
      <c r="PJW77" s="205"/>
      <c r="PJX77" s="204"/>
      <c r="PJY77" s="206"/>
      <c r="PJZ77" s="205"/>
      <c r="PKA77" s="205"/>
      <c r="PKB77" s="204"/>
      <c r="PKC77" s="206"/>
      <c r="PKD77" s="205"/>
      <c r="PKE77" s="205"/>
      <c r="PKF77" s="204"/>
      <c r="PKG77" s="206"/>
      <c r="PKH77" s="205"/>
      <c r="PKI77" s="205"/>
      <c r="PKJ77" s="204"/>
      <c r="PKK77" s="206"/>
      <c r="PKL77" s="205"/>
      <c r="PKM77" s="205"/>
      <c r="PKN77" s="204"/>
      <c r="PKO77" s="206"/>
      <c r="PKP77" s="205"/>
      <c r="PKQ77" s="205"/>
      <c r="PKR77" s="204"/>
      <c r="PKS77" s="206"/>
      <c r="PKT77" s="205"/>
      <c r="PKU77" s="205"/>
      <c r="PKV77" s="204"/>
      <c r="PKW77" s="206"/>
      <c r="PKX77" s="205"/>
      <c r="PKY77" s="205"/>
      <c r="PKZ77" s="204"/>
      <c r="PLA77" s="206"/>
      <c r="PLB77" s="205"/>
      <c r="PLC77" s="205"/>
      <c r="PLD77" s="204"/>
      <c r="PLE77" s="206"/>
      <c r="PLF77" s="205"/>
      <c r="PLG77" s="205"/>
      <c r="PLH77" s="204"/>
      <c r="PLI77" s="206"/>
      <c r="PLJ77" s="205"/>
      <c r="PLK77" s="205"/>
      <c r="PLL77" s="204"/>
      <c r="PLM77" s="206"/>
      <c r="PLN77" s="205"/>
      <c r="PLO77" s="205"/>
      <c r="PLP77" s="204"/>
      <c r="PLQ77" s="206"/>
      <c r="PLR77" s="205"/>
      <c r="PLS77" s="205"/>
      <c r="PLT77" s="204"/>
      <c r="PLU77" s="206"/>
      <c r="PLV77" s="205"/>
      <c r="PLW77" s="205"/>
      <c r="PLX77" s="204"/>
      <c r="PLY77" s="206"/>
      <c r="PLZ77" s="205"/>
      <c r="PMA77" s="205"/>
      <c r="PMB77" s="204"/>
      <c r="PMC77" s="206"/>
      <c r="PMD77" s="205"/>
      <c r="PME77" s="205"/>
      <c r="PMF77" s="204"/>
      <c r="PMG77" s="206"/>
      <c r="PMH77" s="205"/>
      <c r="PMI77" s="205"/>
      <c r="PMJ77" s="204"/>
      <c r="PMK77" s="206"/>
      <c r="PML77" s="205"/>
      <c r="PMM77" s="205"/>
      <c r="PMN77" s="204"/>
      <c r="PMO77" s="206"/>
      <c r="PMP77" s="205"/>
      <c r="PMQ77" s="205"/>
      <c r="PMR77" s="204"/>
      <c r="PMS77" s="206"/>
      <c r="PMT77" s="205"/>
      <c r="PMU77" s="205"/>
      <c r="PMV77" s="204"/>
      <c r="PMW77" s="206"/>
      <c r="PMX77" s="205"/>
      <c r="PMY77" s="205"/>
      <c r="PMZ77" s="204"/>
      <c r="PNA77" s="206"/>
      <c r="PNB77" s="205"/>
      <c r="PNC77" s="205"/>
      <c r="PND77" s="204"/>
      <c r="PNE77" s="206"/>
      <c r="PNF77" s="205"/>
      <c r="PNG77" s="205"/>
      <c r="PNH77" s="204"/>
      <c r="PNI77" s="206"/>
      <c r="PNJ77" s="205"/>
      <c r="PNK77" s="205"/>
      <c r="PNL77" s="204"/>
      <c r="PNM77" s="206"/>
      <c r="PNN77" s="205"/>
      <c r="PNO77" s="205"/>
      <c r="PNP77" s="204"/>
      <c r="PNQ77" s="206"/>
      <c r="PNR77" s="205"/>
      <c r="PNS77" s="205"/>
      <c r="PNT77" s="204"/>
      <c r="PNU77" s="206"/>
      <c r="PNV77" s="205"/>
      <c r="PNW77" s="205"/>
      <c r="PNX77" s="204"/>
      <c r="PNY77" s="206"/>
      <c r="PNZ77" s="205"/>
      <c r="POA77" s="205"/>
      <c r="POB77" s="204"/>
      <c r="POC77" s="206"/>
      <c r="POD77" s="205"/>
      <c r="POE77" s="205"/>
      <c r="POF77" s="204"/>
      <c r="POG77" s="206"/>
      <c r="POH77" s="205"/>
      <c r="POI77" s="205"/>
      <c r="POJ77" s="204"/>
      <c r="POK77" s="206"/>
      <c r="POL77" s="205"/>
      <c r="POM77" s="205"/>
      <c r="PON77" s="204"/>
      <c r="POO77" s="206"/>
      <c r="POP77" s="205"/>
      <c r="POQ77" s="205"/>
      <c r="POR77" s="204"/>
      <c r="POS77" s="206"/>
      <c r="POT77" s="205"/>
      <c r="POU77" s="205"/>
      <c r="POV77" s="204"/>
      <c r="POW77" s="206"/>
      <c r="POX77" s="205"/>
      <c r="POY77" s="205"/>
      <c r="POZ77" s="204"/>
      <c r="PPA77" s="206"/>
      <c r="PPB77" s="205"/>
      <c r="PPC77" s="205"/>
      <c r="PPD77" s="204"/>
      <c r="PPE77" s="206"/>
      <c r="PPF77" s="205"/>
      <c r="PPG77" s="205"/>
      <c r="PPH77" s="204"/>
      <c r="PPI77" s="206"/>
      <c r="PPJ77" s="205"/>
      <c r="PPK77" s="205"/>
      <c r="PPL77" s="204"/>
      <c r="PPM77" s="206"/>
      <c r="PPN77" s="205"/>
      <c r="PPO77" s="205"/>
      <c r="PPP77" s="204"/>
      <c r="PPQ77" s="206"/>
      <c r="PPR77" s="205"/>
      <c r="PPS77" s="205"/>
      <c r="PPT77" s="204"/>
      <c r="PPU77" s="206"/>
      <c r="PPV77" s="205"/>
      <c r="PPW77" s="205"/>
      <c r="PPX77" s="204"/>
      <c r="PPY77" s="206"/>
      <c r="PPZ77" s="205"/>
      <c r="PQA77" s="205"/>
      <c r="PQB77" s="204"/>
      <c r="PQC77" s="206"/>
      <c r="PQD77" s="205"/>
      <c r="PQE77" s="205"/>
      <c r="PQF77" s="204"/>
      <c r="PQG77" s="206"/>
      <c r="PQH77" s="205"/>
      <c r="PQI77" s="205"/>
      <c r="PQJ77" s="204"/>
      <c r="PQK77" s="206"/>
      <c r="PQL77" s="205"/>
      <c r="PQM77" s="205"/>
      <c r="PQN77" s="204"/>
      <c r="PQO77" s="206"/>
      <c r="PQP77" s="205"/>
      <c r="PQQ77" s="205"/>
      <c r="PQR77" s="204"/>
      <c r="PQS77" s="206"/>
      <c r="PQT77" s="205"/>
      <c r="PQU77" s="205"/>
      <c r="PQV77" s="204"/>
      <c r="PQW77" s="206"/>
      <c r="PQX77" s="205"/>
      <c r="PQY77" s="205"/>
      <c r="PQZ77" s="204"/>
      <c r="PRA77" s="206"/>
      <c r="PRB77" s="205"/>
      <c r="PRC77" s="205"/>
      <c r="PRD77" s="204"/>
      <c r="PRE77" s="206"/>
      <c r="PRF77" s="205"/>
      <c r="PRG77" s="205"/>
      <c r="PRH77" s="204"/>
      <c r="PRI77" s="206"/>
      <c r="PRJ77" s="205"/>
      <c r="PRK77" s="205"/>
      <c r="PRL77" s="204"/>
      <c r="PRM77" s="206"/>
      <c r="PRN77" s="205"/>
      <c r="PRO77" s="205"/>
      <c r="PRP77" s="204"/>
      <c r="PRQ77" s="206"/>
      <c r="PRR77" s="205"/>
      <c r="PRS77" s="205"/>
      <c r="PRT77" s="204"/>
      <c r="PRU77" s="206"/>
      <c r="PRV77" s="205"/>
      <c r="PRW77" s="205"/>
      <c r="PRX77" s="204"/>
      <c r="PRY77" s="206"/>
      <c r="PRZ77" s="205"/>
      <c r="PSA77" s="205"/>
      <c r="PSB77" s="204"/>
      <c r="PSC77" s="206"/>
      <c r="PSD77" s="205"/>
      <c r="PSE77" s="205"/>
      <c r="PSF77" s="204"/>
      <c r="PSG77" s="206"/>
      <c r="PSH77" s="205"/>
      <c r="PSI77" s="205"/>
      <c r="PSJ77" s="204"/>
      <c r="PSK77" s="206"/>
      <c r="PSL77" s="205"/>
      <c r="PSM77" s="205"/>
      <c r="PSN77" s="204"/>
      <c r="PSO77" s="206"/>
      <c r="PSP77" s="205"/>
      <c r="PSQ77" s="205"/>
      <c r="PSR77" s="204"/>
      <c r="PSS77" s="206"/>
      <c r="PST77" s="205"/>
      <c r="PSU77" s="205"/>
      <c r="PSV77" s="204"/>
      <c r="PSW77" s="206"/>
      <c r="PSX77" s="205"/>
      <c r="PSY77" s="205"/>
      <c r="PSZ77" s="204"/>
      <c r="PTA77" s="206"/>
      <c r="PTB77" s="205"/>
      <c r="PTC77" s="205"/>
      <c r="PTD77" s="204"/>
      <c r="PTE77" s="206"/>
      <c r="PTF77" s="205"/>
      <c r="PTG77" s="205"/>
      <c r="PTH77" s="204"/>
      <c r="PTI77" s="206"/>
      <c r="PTJ77" s="205"/>
      <c r="PTK77" s="205"/>
      <c r="PTL77" s="204"/>
      <c r="PTM77" s="206"/>
      <c r="PTN77" s="205"/>
      <c r="PTO77" s="205"/>
      <c r="PTP77" s="204"/>
      <c r="PTQ77" s="206"/>
      <c r="PTR77" s="205"/>
      <c r="PTS77" s="205"/>
      <c r="PTT77" s="204"/>
      <c r="PTU77" s="206"/>
      <c r="PTV77" s="205"/>
      <c r="PTW77" s="205"/>
      <c r="PTX77" s="204"/>
      <c r="PTY77" s="206"/>
      <c r="PTZ77" s="205"/>
      <c r="PUA77" s="205"/>
      <c r="PUB77" s="204"/>
      <c r="PUC77" s="206"/>
      <c r="PUD77" s="205"/>
      <c r="PUE77" s="205"/>
      <c r="PUF77" s="204"/>
      <c r="PUG77" s="206"/>
      <c r="PUH77" s="205"/>
      <c r="PUI77" s="205"/>
      <c r="PUJ77" s="204"/>
      <c r="PUK77" s="206"/>
      <c r="PUL77" s="205"/>
      <c r="PUM77" s="205"/>
      <c r="PUN77" s="204"/>
      <c r="PUO77" s="206"/>
      <c r="PUP77" s="205"/>
      <c r="PUQ77" s="205"/>
      <c r="PUR77" s="204"/>
      <c r="PUS77" s="206"/>
      <c r="PUT77" s="205"/>
      <c r="PUU77" s="205"/>
      <c r="PUV77" s="204"/>
      <c r="PUW77" s="206"/>
      <c r="PUX77" s="205"/>
      <c r="PUY77" s="205"/>
      <c r="PUZ77" s="204"/>
      <c r="PVA77" s="206"/>
      <c r="PVB77" s="205"/>
      <c r="PVC77" s="205"/>
      <c r="PVD77" s="204"/>
      <c r="PVE77" s="206"/>
      <c r="PVF77" s="205"/>
      <c r="PVG77" s="205"/>
      <c r="PVH77" s="204"/>
      <c r="PVI77" s="206"/>
      <c r="PVJ77" s="205"/>
      <c r="PVK77" s="205"/>
      <c r="PVL77" s="204"/>
      <c r="PVM77" s="206"/>
      <c r="PVN77" s="205"/>
      <c r="PVO77" s="205"/>
      <c r="PVP77" s="204"/>
      <c r="PVQ77" s="206"/>
      <c r="PVR77" s="205"/>
      <c r="PVS77" s="205"/>
      <c r="PVT77" s="204"/>
      <c r="PVU77" s="206"/>
      <c r="PVV77" s="205"/>
      <c r="PVW77" s="205"/>
      <c r="PVX77" s="204"/>
      <c r="PVY77" s="206"/>
      <c r="PVZ77" s="205"/>
      <c r="PWA77" s="205"/>
      <c r="PWB77" s="204"/>
      <c r="PWC77" s="206"/>
      <c r="PWD77" s="205"/>
      <c r="PWE77" s="205"/>
      <c r="PWF77" s="204"/>
      <c r="PWG77" s="206"/>
      <c r="PWH77" s="205"/>
      <c r="PWI77" s="205"/>
      <c r="PWJ77" s="204"/>
      <c r="PWK77" s="206"/>
      <c r="PWL77" s="205"/>
      <c r="PWM77" s="205"/>
      <c r="PWN77" s="204"/>
      <c r="PWO77" s="206"/>
      <c r="PWP77" s="205"/>
      <c r="PWQ77" s="205"/>
      <c r="PWR77" s="204"/>
      <c r="PWS77" s="206"/>
      <c r="PWT77" s="205"/>
      <c r="PWU77" s="205"/>
      <c r="PWV77" s="204"/>
      <c r="PWW77" s="206"/>
      <c r="PWX77" s="205"/>
      <c r="PWY77" s="205"/>
      <c r="PWZ77" s="204"/>
      <c r="PXA77" s="206"/>
      <c r="PXB77" s="205"/>
      <c r="PXC77" s="205"/>
      <c r="PXD77" s="204"/>
      <c r="PXE77" s="206"/>
      <c r="PXF77" s="205"/>
      <c r="PXG77" s="205"/>
      <c r="PXH77" s="204"/>
      <c r="PXI77" s="206"/>
      <c r="PXJ77" s="205"/>
      <c r="PXK77" s="205"/>
      <c r="PXL77" s="204"/>
      <c r="PXM77" s="206"/>
      <c r="PXN77" s="205"/>
      <c r="PXO77" s="205"/>
      <c r="PXP77" s="204"/>
      <c r="PXQ77" s="206"/>
      <c r="PXR77" s="205"/>
      <c r="PXS77" s="205"/>
      <c r="PXT77" s="204"/>
      <c r="PXU77" s="206"/>
      <c r="PXV77" s="205"/>
      <c r="PXW77" s="205"/>
      <c r="PXX77" s="204"/>
      <c r="PXY77" s="206"/>
      <c r="PXZ77" s="205"/>
      <c r="PYA77" s="205"/>
      <c r="PYB77" s="204"/>
      <c r="PYC77" s="206"/>
      <c r="PYD77" s="205"/>
      <c r="PYE77" s="205"/>
      <c r="PYF77" s="204"/>
      <c r="PYG77" s="206"/>
      <c r="PYH77" s="205"/>
      <c r="PYI77" s="205"/>
      <c r="PYJ77" s="204"/>
      <c r="PYK77" s="206"/>
      <c r="PYL77" s="205"/>
      <c r="PYM77" s="205"/>
      <c r="PYN77" s="204"/>
      <c r="PYO77" s="206"/>
      <c r="PYP77" s="205"/>
      <c r="PYQ77" s="205"/>
      <c r="PYR77" s="204"/>
      <c r="PYS77" s="206"/>
      <c r="PYT77" s="205"/>
      <c r="PYU77" s="205"/>
      <c r="PYV77" s="204"/>
      <c r="PYW77" s="206"/>
      <c r="PYX77" s="205"/>
      <c r="PYY77" s="205"/>
      <c r="PYZ77" s="204"/>
      <c r="PZA77" s="206"/>
      <c r="PZB77" s="205"/>
      <c r="PZC77" s="205"/>
      <c r="PZD77" s="204"/>
      <c r="PZE77" s="206"/>
      <c r="PZF77" s="205"/>
      <c r="PZG77" s="205"/>
      <c r="PZH77" s="204"/>
      <c r="PZI77" s="206"/>
      <c r="PZJ77" s="205"/>
      <c r="PZK77" s="205"/>
      <c r="PZL77" s="204"/>
      <c r="PZM77" s="206"/>
      <c r="PZN77" s="205"/>
      <c r="PZO77" s="205"/>
      <c r="PZP77" s="204"/>
      <c r="PZQ77" s="206"/>
      <c r="PZR77" s="205"/>
      <c r="PZS77" s="205"/>
      <c r="PZT77" s="204"/>
      <c r="PZU77" s="206"/>
      <c r="PZV77" s="205"/>
      <c r="PZW77" s="205"/>
      <c r="PZX77" s="204"/>
      <c r="PZY77" s="206"/>
      <c r="PZZ77" s="205"/>
      <c r="QAA77" s="205"/>
      <c r="QAB77" s="204"/>
      <c r="QAC77" s="206"/>
      <c r="QAD77" s="205"/>
      <c r="QAE77" s="205"/>
      <c r="QAF77" s="204"/>
      <c r="QAG77" s="206"/>
      <c r="QAH77" s="205"/>
      <c r="QAI77" s="205"/>
      <c r="QAJ77" s="204"/>
      <c r="QAK77" s="206"/>
      <c r="QAL77" s="205"/>
      <c r="QAM77" s="205"/>
      <c r="QAN77" s="204"/>
      <c r="QAO77" s="206"/>
      <c r="QAP77" s="205"/>
      <c r="QAQ77" s="205"/>
      <c r="QAR77" s="204"/>
      <c r="QAS77" s="206"/>
      <c r="QAT77" s="205"/>
      <c r="QAU77" s="205"/>
      <c r="QAV77" s="204"/>
      <c r="QAW77" s="206"/>
      <c r="QAX77" s="205"/>
      <c r="QAY77" s="205"/>
      <c r="QAZ77" s="204"/>
      <c r="QBA77" s="206"/>
      <c r="QBB77" s="205"/>
      <c r="QBC77" s="205"/>
      <c r="QBD77" s="204"/>
      <c r="QBE77" s="206"/>
      <c r="QBF77" s="205"/>
      <c r="QBG77" s="205"/>
      <c r="QBH77" s="204"/>
      <c r="QBI77" s="206"/>
      <c r="QBJ77" s="205"/>
      <c r="QBK77" s="205"/>
      <c r="QBL77" s="204"/>
      <c r="QBM77" s="206"/>
      <c r="QBN77" s="205"/>
      <c r="QBO77" s="205"/>
      <c r="QBP77" s="204"/>
      <c r="QBQ77" s="206"/>
      <c r="QBR77" s="205"/>
      <c r="QBS77" s="205"/>
      <c r="QBT77" s="204"/>
      <c r="QBU77" s="206"/>
      <c r="QBV77" s="205"/>
      <c r="QBW77" s="205"/>
      <c r="QBX77" s="204"/>
      <c r="QBY77" s="206"/>
      <c r="QBZ77" s="205"/>
      <c r="QCA77" s="205"/>
      <c r="QCB77" s="204"/>
      <c r="QCC77" s="206"/>
      <c r="QCD77" s="205"/>
      <c r="QCE77" s="205"/>
      <c r="QCF77" s="204"/>
      <c r="QCG77" s="206"/>
      <c r="QCH77" s="205"/>
      <c r="QCI77" s="205"/>
      <c r="QCJ77" s="204"/>
      <c r="QCK77" s="206"/>
      <c r="QCL77" s="205"/>
      <c r="QCM77" s="205"/>
      <c r="QCN77" s="204"/>
      <c r="QCO77" s="206"/>
      <c r="QCP77" s="205"/>
      <c r="QCQ77" s="205"/>
      <c r="QCR77" s="204"/>
      <c r="QCS77" s="206"/>
      <c r="QCT77" s="205"/>
      <c r="QCU77" s="205"/>
      <c r="QCV77" s="204"/>
      <c r="QCW77" s="206"/>
      <c r="QCX77" s="205"/>
      <c r="QCY77" s="205"/>
      <c r="QCZ77" s="204"/>
      <c r="QDA77" s="206"/>
      <c r="QDB77" s="205"/>
      <c r="QDC77" s="205"/>
      <c r="QDD77" s="204"/>
      <c r="QDE77" s="206"/>
      <c r="QDF77" s="205"/>
      <c r="QDG77" s="205"/>
      <c r="QDH77" s="204"/>
      <c r="QDI77" s="206"/>
      <c r="QDJ77" s="205"/>
      <c r="QDK77" s="205"/>
      <c r="QDL77" s="204"/>
      <c r="QDM77" s="206"/>
      <c r="QDN77" s="205"/>
      <c r="QDO77" s="205"/>
      <c r="QDP77" s="204"/>
      <c r="QDQ77" s="206"/>
      <c r="QDR77" s="205"/>
      <c r="QDS77" s="205"/>
      <c r="QDT77" s="204"/>
      <c r="QDU77" s="206"/>
      <c r="QDV77" s="205"/>
      <c r="QDW77" s="205"/>
      <c r="QDX77" s="204"/>
      <c r="QDY77" s="206"/>
      <c r="QDZ77" s="205"/>
      <c r="QEA77" s="205"/>
      <c r="QEB77" s="204"/>
      <c r="QEC77" s="206"/>
      <c r="QED77" s="205"/>
      <c r="QEE77" s="205"/>
      <c r="QEF77" s="204"/>
      <c r="QEG77" s="206"/>
      <c r="QEH77" s="205"/>
      <c r="QEI77" s="205"/>
      <c r="QEJ77" s="204"/>
      <c r="QEK77" s="206"/>
      <c r="QEL77" s="205"/>
      <c r="QEM77" s="205"/>
      <c r="QEN77" s="204"/>
      <c r="QEO77" s="206"/>
      <c r="QEP77" s="205"/>
      <c r="QEQ77" s="205"/>
      <c r="QER77" s="204"/>
      <c r="QES77" s="206"/>
      <c r="QET77" s="205"/>
      <c r="QEU77" s="205"/>
      <c r="QEV77" s="204"/>
      <c r="QEW77" s="206"/>
      <c r="QEX77" s="205"/>
      <c r="QEY77" s="205"/>
      <c r="QEZ77" s="204"/>
      <c r="QFA77" s="206"/>
      <c r="QFB77" s="205"/>
      <c r="QFC77" s="205"/>
      <c r="QFD77" s="204"/>
      <c r="QFE77" s="206"/>
      <c r="QFF77" s="205"/>
      <c r="QFG77" s="205"/>
      <c r="QFH77" s="204"/>
      <c r="QFI77" s="206"/>
      <c r="QFJ77" s="205"/>
      <c r="QFK77" s="205"/>
      <c r="QFL77" s="204"/>
      <c r="QFM77" s="206"/>
      <c r="QFN77" s="205"/>
      <c r="QFO77" s="205"/>
      <c r="QFP77" s="204"/>
      <c r="QFQ77" s="206"/>
      <c r="QFR77" s="205"/>
      <c r="QFS77" s="205"/>
      <c r="QFT77" s="204"/>
      <c r="QFU77" s="206"/>
      <c r="QFV77" s="205"/>
      <c r="QFW77" s="205"/>
      <c r="QFX77" s="204"/>
      <c r="QFY77" s="206"/>
      <c r="QFZ77" s="205"/>
      <c r="QGA77" s="205"/>
      <c r="QGB77" s="204"/>
      <c r="QGC77" s="206"/>
      <c r="QGD77" s="205"/>
      <c r="QGE77" s="205"/>
      <c r="QGF77" s="204"/>
      <c r="QGG77" s="206"/>
      <c r="QGH77" s="205"/>
      <c r="QGI77" s="205"/>
      <c r="QGJ77" s="204"/>
      <c r="QGK77" s="206"/>
      <c r="QGL77" s="205"/>
      <c r="QGM77" s="205"/>
      <c r="QGN77" s="204"/>
      <c r="QGO77" s="206"/>
      <c r="QGP77" s="205"/>
      <c r="QGQ77" s="205"/>
      <c r="QGR77" s="204"/>
      <c r="QGS77" s="206"/>
      <c r="QGT77" s="205"/>
      <c r="QGU77" s="205"/>
      <c r="QGV77" s="204"/>
      <c r="QGW77" s="206"/>
      <c r="QGX77" s="205"/>
      <c r="QGY77" s="205"/>
      <c r="QGZ77" s="204"/>
      <c r="QHA77" s="206"/>
      <c r="QHB77" s="205"/>
      <c r="QHC77" s="205"/>
      <c r="QHD77" s="204"/>
      <c r="QHE77" s="206"/>
      <c r="QHF77" s="205"/>
      <c r="QHG77" s="205"/>
      <c r="QHH77" s="204"/>
      <c r="QHI77" s="206"/>
      <c r="QHJ77" s="205"/>
      <c r="QHK77" s="205"/>
      <c r="QHL77" s="204"/>
      <c r="QHM77" s="206"/>
      <c r="QHN77" s="205"/>
      <c r="QHO77" s="205"/>
      <c r="QHP77" s="204"/>
      <c r="QHQ77" s="206"/>
      <c r="QHR77" s="205"/>
      <c r="QHS77" s="205"/>
      <c r="QHT77" s="204"/>
      <c r="QHU77" s="206"/>
      <c r="QHV77" s="205"/>
      <c r="QHW77" s="205"/>
      <c r="QHX77" s="204"/>
      <c r="QHY77" s="206"/>
      <c r="QHZ77" s="205"/>
      <c r="QIA77" s="205"/>
      <c r="QIB77" s="204"/>
      <c r="QIC77" s="206"/>
      <c r="QID77" s="205"/>
      <c r="QIE77" s="205"/>
      <c r="QIF77" s="204"/>
      <c r="QIG77" s="206"/>
      <c r="QIH77" s="205"/>
      <c r="QII77" s="205"/>
      <c r="QIJ77" s="204"/>
      <c r="QIK77" s="206"/>
      <c r="QIL77" s="205"/>
      <c r="QIM77" s="205"/>
      <c r="QIN77" s="204"/>
      <c r="QIO77" s="206"/>
      <c r="QIP77" s="205"/>
      <c r="QIQ77" s="205"/>
      <c r="QIR77" s="204"/>
      <c r="QIS77" s="206"/>
      <c r="QIT77" s="205"/>
      <c r="QIU77" s="205"/>
      <c r="QIV77" s="204"/>
      <c r="QIW77" s="206"/>
      <c r="QIX77" s="205"/>
      <c r="QIY77" s="205"/>
      <c r="QIZ77" s="204"/>
      <c r="QJA77" s="206"/>
      <c r="QJB77" s="205"/>
      <c r="QJC77" s="205"/>
      <c r="QJD77" s="204"/>
      <c r="QJE77" s="206"/>
      <c r="QJF77" s="205"/>
      <c r="QJG77" s="205"/>
      <c r="QJH77" s="204"/>
      <c r="QJI77" s="206"/>
      <c r="QJJ77" s="205"/>
      <c r="QJK77" s="205"/>
      <c r="QJL77" s="204"/>
      <c r="QJM77" s="206"/>
      <c r="QJN77" s="205"/>
      <c r="QJO77" s="205"/>
      <c r="QJP77" s="204"/>
      <c r="QJQ77" s="206"/>
      <c r="QJR77" s="205"/>
      <c r="QJS77" s="205"/>
      <c r="QJT77" s="204"/>
      <c r="QJU77" s="206"/>
      <c r="QJV77" s="205"/>
      <c r="QJW77" s="205"/>
      <c r="QJX77" s="204"/>
      <c r="QJY77" s="206"/>
      <c r="QJZ77" s="205"/>
      <c r="QKA77" s="205"/>
      <c r="QKB77" s="204"/>
      <c r="QKC77" s="206"/>
      <c r="QKD77" s="205"/>
      <c r="QKE77" s="205"/>
      <c r="QKF77" s="204"/>
      <c r="QKG77" s="206"/>
      <c r="QKH77" s="205"/>
      <c r="QKI77" s="205"/>
      <c r="QKJ77" s="204"/>
      <c r="QKK77" s="206"/>
      <c r="QKL77" s="205"/>
      <c r="QKM77" s="205"/>
      <c r="QKN77" s="204"/>
      <c r="QKO77" s="206"/>
      <c r="QKP77" s="205"/>
      <c r="QKQ77" s="205"/>
      <c r="QKR77" s="204"/>
      <c r="QKS77" s="206"/>
      <c r="QKT77" s="205"/>
      <c r="QKU77" s="205"/>
      <c r="QKV77" s="204"/>
      <c r="QKW77" s="206"/>
      <c r="QKX77" s="205"/>
      <c r="QKY77" s="205"/>
      <c r="QKZ77" s="204"/>
      <c r="QLA77" s="206"/>
      <c r="QLB77" s="205"/>
      <c r="QLC77" s="205"/>
      <c r="QLD77" s="204"/>
      <c r="QLE77" s="206"/>
      <c r="QLF77" s="205"/>
      <c r="QLG77" s="205"/>
      <c r="QLH77" s="204"/>
      <c r="QLI77" s="206"/>
      <c r="QLJ77" s="205"/>
      <c r="QLK77" s="205"/>
      <c r="QLL77" s="204"/>
      <c r="QLM77" s="206"/>
      <c r="QLN77" s="205"/>
      <c r="QLO77" s="205"/>
      <c r="QLP77" s="204"/>
      <c r="QLQ77" s="206"/>
      <c r="QLR77" s="205"/>
      <c r="QLS77" s="205"/>
      <c r="QLT77" s="204"/>
      <c r="QLU77" s="206"/>
      <c r="QLV77" s="205"/>
      <c r="QLW77" s="205"/>
      <c r="QLX77" s="204"/>
      <c r="QLY77" s="206"/>
      <c r="QLZ77" s="205"/>
      <c r="QMA77" s="205"/>
      <c r="QMB77" s="204"/>
      <c r="QMC77" s="206"/>
      <c r="QMD77" s="205"/>
      <c r="QME77" s="205"/>
      <c r="QMF77" s="204"/>
      <c r="QMG77" s="206"/>
      <c r="QMH77" s="205"/>
      <c r="QMI77" s="205"/>
      <c r="QMJ77" s="204"/>
      <c r="QMK77" s="206"/>
      <c r="QML77" s="205"/>
      <c r="QMM77" s="205"/>
      <c r="QMN77" s="204"/>
      <c r="QMO77" s="206"/>
      <c r="QMP77" s="205"/>
      <c r="QMQ77" s="205"/>
      <c r="QMR77" s="204"/>
      <c r="QMS77" s="206"/>
      <c r="QMT77" s="205"/>
      <c r="QMU77" s="205"/>
      <c r="QMV77" s="204"/>
      <c r="QMW77" s="206"/>
      <c r="QMX77" s="205"/>
      <c r="QMY77" s="205"/>
      <c r="QMZ77" s="204"/>
      <c r="QNA77" s="206"/>
      <c r="QNB77" s="205"/>
      <c r="QNC77" s="205"/>
      <c r="QND77" s="204"/>
      <c r="QNE77" s="206"/>
      <c r="QNF77" s="205"/>
      <c r="QNG77" s="205"/>
      <c r="QNH77" s="204"/>
      <c r="QNI77" s="206"/>
      <c r="QNJ77" s="205"/>
      <c r="QNK77" s="205"/>
      <c r="QNL77" s="204"/>
      <c r="QNM77" s="206"/>
      <c r="QNN77" s="205"/>
      <c r="QNO77" s="205"/>
      <c r="QNP77" s="204"/>
      <c r="QNQ77" s="206"/>
      <c r="QNR77" s="205"/>
      <c r="QNS77" s="205"/>
      <c r="QNT77" s="204"/>
      <c r="QNU77" s="206"/>
      <c r="QNV77" s="205"/>
      <c r="QNW77" s="205"/>
      <c r="QNX77" s="204"/>
      <c r="QNY77" s="206"/>
      <c r="QNZ77" s="205"/>
      <c r="QOA77" s="205"/>
      <c r="QOB77" s="204"/>
      <c r="QOC77" s="206"/>
      <c r="QOD77" s="205"/>
      <c r="QOE77" s="205"/>
      <c r="QOF77" s="204"/>
      <c r="QOG77" s="206"/>
      <c r="QOH77" s="205"/>
      <c r="QOI77" s="205"/>
      <c r="QOJ77" s="204"/>
      <c r="QOK77" s="206"/>
      <c r="QOL77" s="205"/>
      <c r="QOM77" s="205"/>
      <c r="QON77" s="204"/>
      <c r="QOO77" s="206"/>
      <c r="QOP77" s="205"/>
      <c r="QOQ77" s="205"/>
      <c r="QOR77" s="204"/>
      <c r="QOS77" s="206"/>
      <c r="QOT77" s="205"/>
      <c r="QOU77" s="205"/>
      <c r="QOV77" s="204"/>
      <c r="QOW77" s="206"/>
      <c r="QOX77" s="205"/>
      <c r="QOY77" s="205"/>
      <c r="QOZ77" s="204"/>
      <c r="QPA77" s="206"/>
      <c r="QPB77" s="205"/>
      <c r="QPC77" s="205"/>
      <c r="QPD77" s="204"/>
      <c r="QPE77" s="206"/>
      <c r="QPF77" s="205"/>
      <c r="QPG77" s="205"/>
      <c r="QPH77" s="204"/>
      <c r="QPI77" s="206"/>
      <c r="QPJ77" s="205"/>
      <c r="QPK77" s="205"/>
      <c r="QPL77" s="204"/>
      <c r="QPM77" s="206"/>
      <c r="QPN77" s="205"/>
      <c r="QPO77" s="205"/>
      <c r="QPP77" s="204"/>
      <c r="QPQ77" s="206"/>
      <c r="QPR77" s="205"/>
      <c r="QPS77" s="205"/>
      <c r="QPT77" s="204"/>
      <c r="QPU77" s="206"/>
      <c r="QPV77" s="205"/>
      <c r="QPW77" s="205"/>
      <c r="QPX77" s="204"/>
      <c r="QPY77" s="206"/>
      <c r="QPZ77" s="205"/>
      <c r="QQA77" s="205"/>
      <c r="QQB77" s="204"/>
      <c r="QQC77" s="206"/>
      <c r="QQD77" s="205"/>
      <c r="QQE77" s="205"/>
      <c r="QQF77" s="204"/>
      <c r="QQG77" s="206"/>
      <c r="QQH77" s="205"/>
      <c r="QQI77" s="205"/>
      <c r="QQJ77" s="204"/>
      <c r="QQK77" s="206"/>
      <c r="QQL77" s="205"/>
      <c r="QQM77" s="205"/>
      <c r="QQN77" s="204"/>
      <c r="QQO77" s="206"/>
      <c r="QQP77" s="205"/>
      <c r="QQQ77" s="205"/>
      <c r="QQR77" s="204"/>
      <c r="QQS77" s="206"/>
      <c r="QQT77" s="205"/>
      <c r="QQU77" s="205"/>
      <c r="QQV77" s="204"/>
      <c r="QQW77" s="206"/>
      <c r="QQX77" s="205"/>
      <c r="QQY77" s="205"/>
      <c r="QQZ77" s="204"/>
      <c r="QRA77" s="206"/>
      <c r="QRB77" s="205"/>
      <c r="QRC77" s="205"/>
      <c r="QRD77" s="204"/>
      <c r="QRE77" s="206"/>
      <c r="QRF77" s="205"/>
      <c r="QRG77" s="205"/>
      <c r="QRH77" s="204"/>
      <c r="QRI77" s="206"/>
      <c r="QRJ77" s="205"/>
      <c r="QRK77" s="205"/>
      <c r="QRL77" s="204"/>
      <c r="QRM77" s="206"/>
      <c r="QRN77" s="205"/>
      <c r="QRO77" s="205"/>
      <c r="QRP77" s="204"/>
      <c r="QRQ77" s="206"/>
      <c r="QRR77" s="205"/>
      <c r="QRS77" s="205"/>
      <c r="QRT77" s="204"/>
      <c r="QRU77" s="206"/>
      <c r="QRV77" s="205"/>
      <c r="QRW77" s="205"/>
      <c r="QRX77" s="204"/>
      <c r="QRY77" s="206"/>
      <c r="QRZ77" s="205"/>
      <c r="QSA77" s="205"/>
      <c r="QSB77" s="204"/>
      <c r="QSC77" s="206"/>
      <c r="QSD77" s="205"/>
      <c r="QSE77" s="205"/>
      <c r="QSF77" s="204"/>
      <c r="QSG77" s="206"/>
      <c r="QSH77" s="205"/>
      <c r="QSI77" s="205"/>
      <c r="QSJ77" s="204"/>
      <c r="QSK77" s="206"/>
      <c r="QSL77" s="205"/>
      <c r="QSM77" s="205"/>
      <c r="QSN77" s="204"/>
      <c r="QSO77" s="206"/>
      <c r="QSP77" s="205"/>
      <c r="QSQ77" s="205"/>
      <c r="QSR77" s="204"/>
      <c r="QSS77" s="206"/>
      <c r="QST77" s="205"/>
      <c r="QSU77" s="205"/>
      <c r="QSV77" s="204"/>
      <c r="QSW77" s="206"/>
      <c r="QSX77" s="205"/>
      <c r="QSY77" s="205"/>
      <c r="QSZ77" s="204"/>
      <c r="QTA77" s="206"/>
      <c r="QTB77" s="205"/>
      <c r="QTC77" s="205"/>
      <c r="QTD77" s="204"/>
      <c r="QTE77" s="206"/>
      <c r="QTF77" s="205"/>
      <c r="QTG77" s="205"/>
      <c r="QTH77" s="204"/>
      <c r="QTI77" s="206"/>
      <c r="QTJ77" s="205"/>
      <c r="QTK77" s="205"/>
      <c r="QTL77" s="204"/>
      <c r="QTM77" s="206"/>
      <c r="QTN77" s="205"/>
      <c r="QTO77" s="205"/>
      <c r="QTP77" s="204"/>
      <c r="QTQ77" s="206"/>
      <c r="QTR77" s="205"/>
      <c r="QTS77" s="205"/>
      <c r="QTT77" s="204"/>
      <c r="QTU77" s="206"/>
      <c r="QTV77" s="205"/>
      <c r="QTW77" s="205"/>
      <c r="QTX77" s="204"/>
      <c r="QTY77" s="206"/>
      <c r="QTZ77" s="205"/>
      <c r="QUA77" s="205"/>
      <c r="QUB77" s="204"/>
      <c r="QUC77" s="206"/>
      <c r="QUD77" s="205"/>
      <c r="QUE77" s="205"/>
      <c r="QUF77" s="204"/>
      <c r="QUG77" s="206"/>
      <c r="QUH77" s="205"/>
      <c r="QUI77" s="205"/>
      <c r="QUJ77" s="204"/>
      <c r="QUK77" s="206"/>
      <c r="QUL77" s="205"/>
      <c r="QUM77" s="205"/>
      <c r="QUN77" s="204"/>
      <c r="QUO77" s="206"/>
      <c r="QUP77" s="205"/>
      <c r="QUQ77" s="205"/>
      <c r="QUR77" s="204"/>
      <c r="QUS77" s="206"/>
      <c r="QUT77" s="205"/>
      <c r="QUU77" s="205"/>
      <c r="QUV77" s="204"/>
      <c r="QUW77" s="206"/>
      <c r="QUX77" s="205"/>
      <c r="QUY77" s="205"/>
      <c r="QUZ77" s="204"/>
      <c r="QVA77" s="206"/>
      <c r="QVB77" s="205"/>
      <c r="QVC77" s="205"/>
      <c r="QVD77" s="204"/>
      <c r="QVE77" s="206"/>
      <c r="QVF77" s="205"/>
      <c r="QVG77" s="205"/>
      <c r="QVH77" s="204"/>
      <c r="QVI77" s="206"/>
      <c r="QVJ77" s="205"/>
      <c r="QVK77" s="205"/>
      <c r="QVL77" s="204"/>
      <c r="QVM77" s="206"/>
      <c r="QVN77" s="205"/>
      <c r="QVO77" s="205"/>
      <c r="QVP77" s="204"/>
      <c r="QVQ77" s="206"/>
      <c r="QVR77" s="205"/>
      <c r="QVS77" s="205"/>
      <c r="QVT77" s="204"/>
      <c r="QVU77" s="206"/>
      <c r="QVV77" s="205"/>
      <c r="QVW77" s="205"/>
      <c r="QVX77" s="204"/>
      <c r="QVY77" s="206"/>
      <c r="QVZ77" s="205"/>
      <c r="QWA77" s="205"/>
      <c r="QWB77" s="204"/>
      <c r="QWC77" s="206"/>
      <c r="QWD77" s="205"/>
      <c r="QWE77" s="205"/>
      <c r="QWF77" s="204"/>
      <c r="QWG77" s="206"/>
      <c r="QWH77" s="205"/>
      <c r="QWI77" s="205"/>
      <c r="QWJ77" s="204"/>
      <c r="QWK77" s="206"/>
      <c r="QWL77" s="205"/>
      <c r="QWM77" s="205"/>
      <c r="QWN77" s="204"/>
      <c r="QWO77" s="206"/>
      <c r="QWP77" s="205"/>
      <c r="QWQ77" s="205"/>
      <c r="QWR77" s="204"/>
      <c r="QWS77" s="206"/>
      <c r="QWT77" s="205"/>
      <c r="QWU77" s="205"/>
      <c r="QWV77" s="204"/>
      <c r="QWW77" s="206"/>
      <c r="QWX77" s="205"/>
      <c r="QWY77" s="205"/>
      <c r="QWZ77" s="204"/>
      <c r="QXA77" s="206"/>
      <c r="QXB77" s="205"/>
      <c r="QXC77" s="205"/>
      <c r="QXD77" s="204"/>
      <c r="QXE77" s="206"/>
      <c r="QXF77" s="205"/>
      <c r="QXG77" s="205"/>
      <c r="QXH77" s="204"/>
      <c r="QXI77" s="206"/>
      <c r="QXJ77" s="205"/>
      <c r="QXK77" s="205"/>
      <c r="QXL77" s="204"/>
      <c r="QXM77" s="206"/>
      <c r="QXN77" s="205"/>
      <c r="QXO77" s="205"/>
      <c r="QXP77" s="204"/>
      <c r="QXQ77" s="206"/>
      <c r="QXR77" s="205"/>
      <c r="QXS77" s="205"/>
      <c r="QXT77" s="204"/>
      <c r="QXU77" s="206"/>
      <c r="QXV77" s="205"/>
      <c r="QXW77" s="205"/>
      <c r="QXX77" s="204"/>
      <c r="QXY77" s="206"/>
      <c r="QXZ77" s="205"/>
      <c r="QYA77" s="205"/>
      <c r="QYB77" s="204"/>
      <c r="QYC77" s="206"/>
      <c r="QYD77" s="205"/>
      <c r="QYE77" s="205"/>
      <c r="QYF77" s="204"/>
      <c r="QYG77" s="206"/>
      <c r="QYH77" s="205"/>
      <c r="QYI77" s="205"/>
      <c r="QYJ77" s="204"/>
      <c r="QYK77" s="206"/>
      <c r="QYL77" s="205"/>
      <c r="QYM77" s="205"/>
      <c r="QYN77" s="204"/>
      <c r="QYO77" s="206"/>
      <c r="QYP77" s="205"/>
      <c r="QYQ77" s="205"/>
      <c r="QYR77" s="204"/>
      <c r="QYS77" s="206"/>
      <c r="QYT77" s="205"/>
      <c r="QYU77" s="205"/>
      <c r="QYV77" s="204"/>
      <c r="QYW77" s="206"/>
      <c r="QYX77" s="205"/>
      <c r="QYY77" s="205"/>
      <c r="QYZ77" s="204"/>
      <c r="QZA77" s="206"/>
      <c r="QZB77" s="205"/>
      <c r="QZC77" s="205"/>
      <c r="QZD77" s="204"/>
      <c r="QZE77" s="206"/>
      <c r="QZF77" s="205"/>
      <c r="QZG77" s="205"/>
      <c r="QZH77" s="204"/>
      <c r="QZI77" s="206"/>
      <c r="QZJ77" s="205"/>
      <c r="QZK77" s="205"/>
      <c r="QZL77" s="204"/>
      <c r="QZM77" s="206"/>
      <c r="QZN77" s="205"/>
      <c r="QZO77" s="205"/>
      <c r="QZP77" s="204"/>
      <c r="QZQ77" s="206"/>
      <c r="QZR77" s="205"/>
      <c r="QZS77" s="205"/>
      <c r="QZT77" s="204"/>
      <c r="QZU77" s="206"/>
      <c r="QZV77" s="205"/>
      <c r="QZW77" s="205"/>
      <c r="QZX77" s="204"/>
      <c r="QZY77" s="206"/>
      <c r="QZZ77" s="205"/>
      <c r="RAA77" s="205"/>
      <c r="RAB77" s="204"/>
      <c r="RAC77" s="206"/>
      <c r="RAD77" s="205"/>
      <c r="RAE77" s="205"/>
      <c r="RAF77" s="204"/>
      <c r="RAG77" s="206"/>
      <c r="RAH77" s="205"/>
      <c r="RAI77" s="205"/>
      <c r="RAJ77" s="204"/>
      <c r="RAK77" s="206"/>
      <c r="RAL77" s="205"/>
      <c r="RAM77" s="205"/>
      <c r="RAN77" s="204"/>
      <c r="RAO77" s="206"/>
      <c r="RAP77" s="205"/>
      <c r="RAQ77" s="205"/>
      <c r="RAR77" s="204"/>
      <c r="RAS77" s="206"/>
      <c r="RAT77" s="205"/>
      <c r="RAU77" s="205"/>
      <c r="RAV77" s="204"/>
      <c r="RAW77" s="206"/>
      <c r="RAX77" s="205"/>
      <c r="RAY77" s="205"/>
      <c r="RAZ77" s="204"/>
      <c r="RBA77" s="206"/>
      <c r="RBB77" s="205"/>
      <c r="RBC77" s="205"/>
      <c r="RBD77" s="204"/>
      <c r="RBE77" s="206"/>
      <c r="RBF77" s="205"/>
      <c r="RBG77" s="205"/>
      <c r="RBH77" s="204"/>
      <c r="RBI77" s="206"/>
      <c r="RBJ77" s="205"/>
      <c r="RBK77" s="205"/>
      <c r="RBL77" s="204"/>
      <c r="RBM77" s="206"/>
      <c r="RBN77" s="205"/>
      <c r="RBO77" s="205"/>
      <c r="RBP77" s="204"/>
      <c r="RBQ77" s="206"/>
      <c r="RBR77" s="205"/>
      <c r="RBS77" s="205"/>
      <c r="RBT77" s="204"/>
      <c r="RBU77" s="206"/>
      <c r="RBV77" s="205"/>
      <c r="RBW77" s="205"/>
      <c r="RBX77" s="204"/>
      <c r="RBY77" s="206"/>
      <c r="RBZ77" s="205"/>
      <c r="RCA77" s="205"/>
      <c r="RCB77" s="204"/>
      <c r="RCC77" s="206"/>
      <c r="RCD77" s="205"/>
      <c r="RCE77" s="205"/>
      <c r="RCF77" s="204"/>
      <c r="RCG77" s="206"/>
      <c r="RCH77" s="205"/>
      <c r="RCI77" s="205"/>
      <c r="RCJ77" s="204"/>
      <c r="RCK77" s="206"/>
      <c r="RCL77" s="205"/>
      <c r="RCM77" s="205"/>
      <c r="RCN77" s="204"/>
      <c r="RCO77" s="206"/>
      <c r="RCP77" s="205"/>
      <c r="RCQ77" s="205"/>
      <c r="RCR77" s="204"/>
      <c r="RCS77" s="206"/>
      <c r="RCT77" s="205"/>
      <c r="RCU77" s="205"/>
      <c r="RCV77" s="204"/>
      <c r="RCW77" s="206"/>
      <c r="RCX77" s="205"/>
      <c r="RCY77" s="205"/>
      <c r="RCZ77" s="204"/>
      <c r="RDA77" s="206"/>
      <c r="RDB77" s="205"/>
      <c r="RDC77" s="205"/>
      <c r="RDD77" s="204"/>
      <c r="RDE77" s="206"/>
      <c r="RDF77" s="205"/>
      <c r="RDG77" s="205"/>
      <c r="RDH77" s="204"/>
      <c r="RDI77" s="206"/>
      <c r="RDJ77" s="205"/>
      <c r="RDK77" s="205"/>
      <c r="RDL77" s="204"/>
      <c r="RDM77" s="206"/>
      <c r="RDN77" s="205"/>
      <c r="RDO77" s="205"/>
      <c r="RDP77" s="204"/>
      <c r="RDQ77" s="206"/>
      <c r="RDR77" s="205"/>
      <c r="RDS77" s="205"/>
      <c r="RDT77" s="204"/>
      <c r="RDU77" s="206"/>
      <c r="RDV77" s="205"/>
      <c r="RDW77" s="205"/>
      <c r="RDX77" s="204"/>
      <c r="RDY77" s="206"/>
      <c r="RDZ77" s="205"/>
      <c r="REA77" s="205"/>
      <c r="REB77" s="204"/>
      <c r="REC77" s="206"/>
      <c r="RED77" s="205"/>
      <c r="REE77" s="205"/>
      <c r="REF77" s="204"/>
      <c r="REG77" s="206"/>
      <c r="REH77" s="205"/>
      <c r="REI77" s="205"/>
      <c r="REJ77" s="204"/>
      <c r="REK77" s="206"/>
      <c r="REL77" s="205"/>
      <c r="REM77" s="205"/>
      <c r="REN77" s="204"/>
      <c r="REO77" s="206"/>
      <c r="REP77" s="205"/>
      <c r="REQ77" s="205"/>
      <c r="RER77" s="204"/>
      <c r="RES77" s="206"/>
      <c r="RET77" s="205"/>
      <c r="REU77" s="205"/>
      <c r="REV77" s="204"/>
      <c r="REW77" s="206"/>
      <c r="REX77" s="205"/>
      <c r="REY77" s="205"/>
      <c r="REZ77" s="204"/>
      <c r="RFA77" s="206"/>
      <c r="RFB77" s="205"/>
      <c r="RFC77" s="205"/>
      <c r="RFD77" s="204"/>
      <c r="RFE77" s="206"/>
      <c r="RFF77" s="205"/>
      <c r="RFG77" s="205"/>
      <c r="RFH77" s="204"/>
      <c r="RFI77" s="206"/>
      <c r="RFJ77" s="205"/>
      <c r="RFK77" s="205"/>
      <c r="RFL77" s="204"/>
      <c r="RFM77" s="206"/>
      <c r="RFN77" s="205"/>
      <c r="RFO77" s="205"/>
      <c r="RFP77" s="204"/>
      <c r="RFQ77" s="206"/>
      <c r="RFR77" s="205"/>
      <c r="RFS77" s="205"/>
      <c r="RFT77" s="204"/>
      <c r="RFU77" s="206"/>
      <c r="RFV77" s="205"/>
      <c r="RFW77" s="205"/>
      <c r="RFX77" s="204"/>
      <c r="RFY77" s="206"/>
      <c r="RFZ77" s="205"/>
      <c r="RGA77" s="205"/>
      <c r="RGB77" s="204"/>
      <c r="RGC77" s="206"/>
      <c r="RGD77" s="205"/>
      <c r="RGE77" s="205"/>
      <c r="RGF77" s="204"/>
      <c r="RGG77" s="206"/>
      <c r="RGH77" s="205"/>
      <c r="RGI77" s="205"/>
      <c r="RGJ77" s="204"/>
      <c r="RGK77" s="206"/>
      <c r="RGL77" s="205"/>
      <c r="RGM77" s="205"/>
      <c r="RGN77" s="204"/>
      <c r="RGO77" s="206"/>
      <c r="RGP77" s="205"/>
      <c r="RGQ77" s="205"/>
      <c r="RGR77" s="204"/>
      <c r="RGS77" s="206"/>
      <c r="RGT77" s="205"/>
      <c r="RGU77" s="205"/>
      <c r="RGV77" s="204"/>
      <c r="RGW77" s="206"/>
      <c r="RGX77" s="205"/>
      <c r="RGY77" s="205"/>
      <c r="RGZ77" s="204"/>
      <c r="RHA77" s="206"/>
      <c r="RHB77" s="205"/>
      <c r="RHC77" s="205"/>
      <c r="RHD77" s="204"/>
      <c r="RHE77" s="206"/>
      <c r="RHF77" s="205"/>
      <c r="RHG77" s="205"/>
      <c r="RHH77" s="204"/>
      <c r="RHI77" s="206"/>
      <c r="RHJ77" s="205"/>
      <c r="RHK77" s="205"/>
      <c r="RHL77" s="204"/>
      <c r="RHM77" s="206"/>
      <c r="RHN77" s="205"/>
      <c r="RHO77" s="205"/>
      <c r="RHP77" s="204"/>
      <c r="RHQ77" s="206"/>
      <c r="RHR77" s="205"/>
      <c r="RHS77" s="205"/>
      <c r="RHT77" s="204"/>
      <c r="RHU77" s="206"/>
      <c r="RHV77" s="205"/>
      <c r="RHW77" s="205"/>
      <c r="RHX77" s="204"/>
      <c r="RHY77" s="206"/>
      <c r="RHZ77" s="205"/>
      <c r="RIA77" s="205"/>
      <c r="RIB77" s="204"/>
      <c r="RIC77" s="206"/>
      <c r="RID77" s="205"/>
      <c r="RIE77" s="205"/>
      <c r="RIF77" s="204"/>
      <c r="RIG77" s="206"/>
      <c r="RIH77" s="205"/>
      <c r="RII77" s="205"/>
      <c r="RIJ77" s="204"/>
      <c r="RIK77" s="206"/>
      <c r="RIL77" s="205"/>
      <c r="RIM77" s="205"/>
      <c r="RIN77" s="204"/>
      <c r="RIO77" s="206"/>
      <c r="RIP77" s="205"/>
      <c r="RIQ77" s="205"/>
      <c r="RIR77" s="204"/>
      <c r="RIS77" s="206"/>
      <c r="RIT77" s="205"/>
      <c r="RIU77" s="205"/>
      <c r="RIV77" s="204"/>
      <c r="RIW77" s="206"/>
      <c r="RIX77" s="205"/>
      <c r="RIY77" s="205"/>
      <c r="RIZ77" s="204"/>
      <c r="RJA77" s="206"/>
      <c r="RJB77" s="205"/>
      <c r="RJC77" s="205"/>
      <c r="RJD77" s="204"/>
      <c r="RJE77" s="206"/>
      <c r="RJF77" s="205"/>
      <c r="RJG77" s="205"/>
      <c r="RJH77" s="204"/>
      <c r="RJI77" s="206"/>
      <c r="RJJ77" s="205"/>
      <c r="RJK77" s="205"/>
      <c r="RJL77" s="204"/>
      <c r="RJM77" s="206"/>
      <c r="RJN77" s="205"/>
      <c r="RJO77" s="205"/>
      <c r="RJP77" s="204"/>
      <c r="RJQ77" s="206"/>
      <c r="RJR77" s="205"/>
      <c r="RJS77" s="205"/>
      <c r="RJT77" s="204"/>
      <c r="RJU77" s="206"/>
      <c r="RJV77" s="205"/>
      <c r="RJW77" s="205"/>
      <c r="RJX77" s="204"/>
      <c r="RJY77" s="206"/>
      <c r="RJZ77" s="205"/>
      <c r="RKA77" s="205"/>
      <c r="RKB77" s="204"/>
      <c r="RKC77" s="206"/>
      <c r="RKD77" s="205"/>
      <c r="RKE77" s="205"/>
      <c r="RKF77" s="204"/>
      <c r="RKG77" s="206"/>
      <c r="RKH77" s="205"/>
      <c r="RKI77" s="205"/>
      <c r="RKJ77" s="204"/>
      <c r="RKK77" s="206"/>
      <c r="RKL77" s="205"/>
      <c r="RKM77" s="205"/>
      <c r="RKN77" s="204"/>
      <c r="RKO77" s="206"/>
      <c r="RKP77" s="205"/>
      <c r="RKQ77" s="205"/>
      <c r="RKR77" s="204"/>
      <c r="RKS77" s="206"/>
      <c r="RKT77" s="205"/>
      <c r="RKU77" s="205"/>
      <c r="RKV77" s="204"/>
      <c r="RKW77" s="206"/>
      <c r="RKX77" s="205"/>
      <c r="RKY77" s="205"/>
      <c r="RKZ77" s="204"/>
      <c r="RLA77" s="206"/>
      <c r="RLB77" s="205"/>
      <c r="RLC77" s="205"/>
      <c r="RLD77" s="204"/>
      <c r="RLE77" s="206"/>
      <c r="RLF77" s="205"/>
      <c r="RLG77" s="205"/>
      <c r="RLH77" s="204"/>
      <c r="RLI77" s="206"/>
      <c r="RLJ77" s="205"/>
      <c r="RLK77" s="205"/>
      <c r="RLL77" s="204"/>
      <c r="RLM77" s="206"/>
      <c r="RLN77" s="205"/>
      <c r="RLO77" s="205"/>
      <c r="RLP77" s="204"/>
      <c r="RLQ77" s="206"/>
      <c r="RLR77" s="205"/>
      <c r="RLS77" s="205"/>
      <c r="RLT77" s="204"/>
      <c r="RLU77" s="206"/>
      <c r="RLV77" s="205"/>
      <c r="RLW77" s="205"/>
      <c r="RLX77" s="204"/>
      <c r="RLY77" s="206"/>
      <c r="RLZ77" s="205"/>
      <c r="RMA77" s="205"/>
      <c r="RMB77" s="204"/>
      <c r="RMC77" s="206"/>
      <c r="RMD77" s="205"/>
      <c r="RME77" s="205"/>
      <c r="RMF77" s="204"/>
      <c r="RMG77" s="206"/>
      <c r="RMH77" s="205"/>
      <c r="RMI77" s="205"/>
      <c r="RMJ77" s="204"/>
      <c r="RMK77" s="206"/>
      <c r="RML77" s="205"/>
      <c r="RMM77" s="205"/>
      <c r="RMN77" s="204"/>
      <c r="RMO77" s="206"/>
      <c r="RMP77" s="205"/>
      <c r="RMQ77" s="205"/>
      <c r="RMR77" s="204"/>
      <c r="RMS77" s="206"/>
      <c r="RMT77" s="205"/>
      <c r="RMU77" s="205"/>
      <c r="RMV77" s="204"/>
      <c r="RMW77" s="206"/>
      <c r="RMX77" s="205"/>
      <c r="RMY77" s="205"/>
      <c r="RMZ77" s="204"/>
      <c r="RNA77" s="206"/>
      <c r="RNB77" s="205"/>
      <c r="RNC77" s="205"/>
      <c r="RND77" s="204"/>
      <c r="RNE77" s="206"/>
      <c r="RNF77" s="205"/>
      <c r="RNG77" s="205"/>
      <c r="RNH77" s="204"/>
      <c r="RNI77" s="206"/>
      <c r="RNJ77" s="205"/>
      <c r="RNK77" s="205"/>
      <c r="RNL77" s="204"/>
      <c r="RNM77" s="206"/>
      <c r="RNN77" s="205"/>
      <c r="RNO77" s="205"/>
      <c r="RNP77" s="204"/>
      <c r="RNQ77" s="206"/>
      <c r="RNR77" s="205"/>
      <c r="RNS77" s="205"/>
      <c r="RNT77" s="204"/>
      <c r="RNU77" s="206"/>
      <c r="RNV77" s="205"/>
      <c r="RNW77" s="205"/>
      <c r="RNX77" s="204"/>
      <c r="RNY77" s="206"/>
      <c r="RNZ77" s="205"/>
      <c r="ROA77" s="205"/>
      <c r="ROB77" s="204"/>
      <c r="ROC77" s="206"/>
      <c r="ROD77" s="205"/>
      <c r="ROE77" s="205"/>
      <c r="ROF77" s="204"/>
      <c r="ROG77" s="206"/>
      <c r="ROH77" s="205"/>
      <c r="ROI77" s="205"/>
      <c r="ROJ77" s="204"/>
      <c r="ROK77" s="206"/>
      <c r="ROL77" s="205"/>
      <c r="ROM77" s="205"/>
      <c r="RON77" s="204"/>
      <c r="ROO77" s="206"/>
      <c r="ROP77" s="205"/>
      <c r="ROQ77" s="205"/>
      <c r="ROR77" s="204"/>
      <c r="ROS77" s="206"/>
      <c r="ROT77" s="205"/>
      <c r="ROU77" s="205"/>
      <c r="ROV77" s="204"/>
      <c r="ROW77" s="206"/>
      <c r="ROX77" s="205"/>
      <c r="ROY77" s="205"/>
      <c r="ROZ77" s="204"/>
      <c r="RPA77" s="206"/>
      <c r="RPB77" s="205"/>
      <c r="RPC77" s="205"/>
      <c r="RPD77" s="204"/>
      <c r="RPE77" s="206"/>
      <c r="RPF77" s="205"/>
      <c r="RPG77" s="205"/>
      <c r="RPH77" s="204"/>
      <c r="RPI77" s="206"/>
      <c r="RPJ77" s="205"/>
      <c r="RPK77" s="205"/>
      <c r="RPL77" s="204"/>
      <c r="RPM77" s="206"/>
      <c r="RPN77" s="205"/>
      <c r="RPO77" s="205"/>
      <c r="RPP77" s="204"/>
      <c r="RPQ77" s="206"/>
      <c r="RPR77" s="205"/>
      <c r="RPS77" s="205"/>
      <c r="RPT77" s="204"/>
      <c r="RPU77" s="206"/>
      <c r="RPV77" s="205"/>
      <c r="RPW77" s="205"/>
      <c r="RPX77" s="204"/>
      <c r="RPY77" s="206"/>
      <c r="RPZ77" s="205"/>
      <c r="RQA77" s="205"/>
      <c r="RQB77" s="204"/>
      <c r="RQC77" s="206"/>
      <c r="RQD77" s="205"/>
      <c r="RQE77" s="205"/>
      <c r="RQF77" s="204"/>
      <c r="RQG77" s="206"/>
      <c r="RQH77" s="205"/>
      <c r="RQI77" s="205"/>
      <c r="RQJ77" s="204"/>
      <c r="RQK77" s="206"/>
      <c r="RQL77" s="205"/>
      <c r="RQM77" s="205"/>
      <c r="RQN77" s="204"/>
      <c r="RQO77" s="206"/>
      <c r="RQP77" s="205"/>
      <c r="RQQ77" s="205"/>
      <c r="RQR77" s="204"/>
      <c r="RQS77" s="206"/>
      <c r="RQT77" s="205"/>
      <c r="RQU77" s="205"/>
      <c r="RQV77" s="204"/>
      <c r="RQW77" s="206"/>
      <c r="RQX77" s="205"/>
      <c r="RQY77" s="205"/>
      <c r="RQZ77" s="204"/>
      <c r="RRA77" s="206"/>
      <c r="RRB77" s="205"/>
      <c r="RRC77" s="205"/>
      <c r="RRD77" s="204"/>
      <c r="RRE77" s="206"/>
      <c r="RRF77" s="205"/>
      <c r="RRG77" s="205"/>
      <c r="RRH77" s="204"/>
      <c r="RRI77" s="206"/>
      <c r="RRJ77" s="205"/>
      <c r="RRK77" s="205"/>
      <c r="RRL77" s="204"/>
      <c r="RRM77" s="206"/>
      <c r="RRN77" s="205"/>
      <c r="RRO77" s="205"/>
      <c r="RRP77" s="204"/>
      <c r="RRQ77" s="206"/>
      <c r="RRR77" s="205"/>
      <c r="RRS77" s="205"/>
      <c r="RRT77" s="204"/>
      <c r="RRU77" s="206"/>
      <c r="RRV77" s="205"/>
      <c r="RRW77" s="205"/>
      <c r="RRX77" s="204"/>
      <c r="RRY77" s="206"/>
      <c r="RRZ77" s="205"/>
      <c r="RSA77" s="205"/>
      <c r="RSB77" s="204"/>
      <c r="RSC77" s="206"/>
      <c r="RSD77" s="205"/>
      <c r="RSE77" s="205"/>
      <c r="RSF77" s="204"/>
      <c r="RSG77" s="206"/>
      <c r="RSH77" s="205"/>
      <c r="RSI77" s="205"/>
      <c r="RSJ77" s="204"/>
      <c r="RSK77" s="206"/>
      <c r="RSL77" s="205"/>
      <c r="RSM77" s="205"/>
      <c r="RSN77" s="204"/>
      <c r="RSO77" s="206"/>
      <c r="RSP77" s="205"/>
      <c r="RSQ77" s="205"/>
      <c r="RSR77" s="204"/>
      <c r="RSS77" s="206"/>
      <c r="RST77" s="205"/>
      <c r="RSU77" s="205"/>
      <c r="RSV77" s="204"/>
      <c r="RSW77" s="206"/>
      <c r="RSX77" s="205"/>
      <c r="RSY77" s="205"/>
      <c r="RSZ77" s="204"/>
      <c r="RTA77" s="206"/>
      <c r="RTB77" s="205"/>
      <c r="RTC77" s="205"/>
      <c r="RTD77" s="204"/>
      <c r="RTE77" s="206"/>
      <c r="RTF77" s="205"/>
      <c r="RTG77" s="205"/>
      <c r="RTH77" s="204"/>
      <c r="RTI77" s="206"/>
      <c r="RTJ77" s="205"/>
      <c r="RTK77" s="205"/>
      <c r="RTL77" s="204"/>
      <c r="RTM77" s="206"/>
      <c r="RTN77" s="205"/>
      <c r="RTO77" s="205"/>
      <c r="RTP77" s="204"/>
      <c r="RTQ77" s="206"/>
      <c r="RTR77" s="205"/>
      <c r="RTS77" s="205"/>
      <c r="RTT77" s="204"/>
      <c r="RTU77" s="206"/>
      <c r="RTV77" s="205"/>
      <c r="RTW77" s="205"/>
      <c r="RTX77" s="204"/>
      <c r="RTY77" s="206"/>
      <c r="RTZ77" s="205"/>
      <c r="RUA77" s="205"/>
      <c r="RUB77" s="204"/>
      <c r="RUC77" s="206"/>
      <c r="RUD77" s="205"/>
      <c r="RUE77" s="205"/>
      <c r="RUF77" s="204"/>
      <c r="RUG77" s="206"/>
      <c r="RUH77" s="205"/>
      <c r="RUI77" s="205"/>
      <c r="RUJ77" s="204"/>
      <c r="RUK77" s="206"/>
      <c r="RUL77" s="205"/>
      <c r="RUM77" s="205"/>
      <c r="RUN77" s="204"/>
      <c r="RUO77" s="206"/>
      <c r="RUP77" s="205"/>
      <c r="RUQ77" s="205"/>
      <c r="RUR77" s="204"/>
      <c r="RUS77" s="206"/>
      <c r="RUT77" s="205"/>
      <c r="RUU77" s="205"/>
      <c r="RUV77" s="204"/>
      <c r="RUW77" s="206"/>
      <c r="RUX77" s="205"/>
      <c r="RUY77" s="205"/>
      <c r="RUZ77" s="204"/>
      <c r="RVA77" s="206"/>
      <c r="RVB77" s="205"/>
      <c r="RVC77" s="205"/>
      <c r="RVD77" s="204"/>
      <c r="RVE77" s="206"/>
      <c r="RVF77" s="205"/>
      <c r="RVG77" s="205"/>
      <c r="RVH77" s="204"/>
      <c r="RVI77" s="206"/>
      <c r="RVJ77" s="205"/>
      <c r="RVK77" s="205"/>
      <c r="RVL77" s="204"/>
      <c r="RVM77" s="206"/>
      <c r="RVN77" s="205"/>
      <c r="RVO77" s="205"/>
      <c r="RVP77" s="204"/>
      <c r="RVQ77" s="206"/>
      <c r="RVR77" s="205"/>
      <c r="RVS77" s="205"/>
      <c r="RVT77" s="204"/>
      <c r="RVU77" s="206"/>
      <c r="RVV77" s="205"/>
      <c r="RVW77" s="205"/>
      <c r="RVX77" s="204"/>
      <c r="RVY77" s="206"/>
      <c r="RVZ77" s="205"/>
      <c r="RWA77" s="205"/>
      <c r="RWB77" s="204"/>
      <c r="RWC77" s="206"/>
      <c r="RWD77" s="205"/>
      <c r="RWE77" s="205"/>
      <c r="RWF77" s="204"/>
      <c r="RWG77" s="206"/>
      <c r="RWH77" s="205"/>
      <c r="RWI77" s="205"/>
      <c r="RWJ77" s="204"/>
      <c r="RWK77" s="206"/>
      <c r="RWL77" s="205"/>
      <c r="RWM77" s="205"/>
      <c r="RWN77" s="204"/>
      <c r="RWO77" s="206"/>
      <c r="RWP77" s="205"/>
      <c r="RWQ77" s="205"/>
      <c r="RWR77" s="204"/>
      <c r="RWS77" s="206"/>
      <c r="RWT77" s="205"/>
      <c r="RWU77" s="205"/>
      <c r="RWV77" s="204"/>
      <c r="RWW77" s="206"/>
      <c r="RWX77" s="205"/>
      <c r="RWY77" s="205"/>
      <c r="RWZ77" s="204"/>
      <c r="RXA77" s="206"/>
      <c r="RXB77" s="205"/>
      <c r="RXC77" s="205"/>
      <c r="RXD77" s="204"/>
      <c r="RXE77" s="206"/>
      <c r="RXF77" s="205"/>
      <c r="RXG77" s="205"/>
      <c r="RXH77" s="204"/>
      <c r="RXI77" s="206"/>
      <c r="RXJ77" s="205"/>
      <c r="RXK77" s="205"/>
      <c r="RXL77" s="204"/>
      <c r="RXM77" s="206"/>
      <c r="RXN77" s="205"/>
      <c r="RXO77" s="205"/>
      <c r="RXP77" s="204"/>
      <c r="RXQ77" s="206"/>
      <c r="RXR77" s="205"/>
      <c r="RXS77" s="205"/>
      <c r="RXT77" s="204"/>
      <c r="RXU77" s="206"/>
      <c r="RXV77" s="205"/>
      <c r="RXW77" s="205"/>
      <c r="RXX77" s="204"/>
      <c r="RXY77" s="206"/>
      <c r="RXZ77" s="205"/>
      <c r="RYA77" s="205"/>
      <c r="RYB77" s="204"/>
      <c r="RYC77" s="206"/>
      <c r="RYD77" s="205"/>
      <c r="RYE77" s="205"/>
      <c r="RYF77" s="204"/>
      <c r="RYG77" s="206"/>
      <c r="RYH77" s="205"/>
      <c r="RYI77" s="205"/>
      <c r="RYJ77" s="204"/>
      <c r="RYK77" s="206"/>
      <c r="RYL77" s="205"/>
      <c r="RYM77" s="205"/>
      <c r="RYN77" s="204"/>
      <c r="RYO77" s="206"/>
      <c r="RYP77" s="205"/>
      <c r="RYQ77" s="205"/>
      <c r="RYR77" s="204"/>
      <c r="RYS77" s="206"/>
      <c r="RYT77" s="205"/>
      <c r="RYU77" s="205"/>
      <c r="RYV77" s="204"/>
      <c r="RYW77" s="206"/>
      <c r="RYX77" s="205"/>
      <c r="RYY77" s="205"/>
      <c r="RYZ77" s="204"/>
      <c r="RZA77" s="206"/>
      <c r="RZB77" s="205"/>
      <c r="RZC77" s="205"/>
      <c r="RZD77" s="204"/>
      <c r="RZE77" s="206"/>
      <c r="RZF77" s="205"/>
      <c r="RZG77" s="205"/>
      <c r="RZH77" s="204"/>
      <c r="RZI77" s="206"/>
      <c r="RZJ77" s="205"/>
      <c r="RZK77" s="205"/>
      <c r="RZL77" s="204"/>
      <c r="RZM77" s="206"/>
      <c r="RZN77" s="205"/>
      <c r="RZO77" s="205"/>
      <c r="RZP77" s="204"/>
      <c r="RZQ77" s="206"/>
      <c r="RZR77" s="205"/>
      <c r="RZS77" s="205"/>
      <c r="RZT77" s="204"/>
      <c r="RZU77" s="206"/>
      <c r="RZV77" s="205"/>
      <c r="RZW77" s="205"/>
      <c r="RZX77" s="204"/>
      <c r="RZY77" s="206"/>
      <c r="RZZ77" s="205"/>
      <c r="SAA77" s="205"/>
      <c r="SAB77" s="204"/>
      <c r="SAC77" s="206"/>
      <c r="SAD77" s="205"/>
      <c r="SAE77" s="205"/>
      <c r="SAF77" s="204"/>
      <c r="SAG77" s="206"/>
      <c r="SAH77" s="205"/>
      <c r="SAI77" s="205"/>
      <c r="SAJ77" s="204"/>
      <c r="SAK77" s="206"/>
      <c r="SAL77" s="205"/>
      <c r="SAM77" s="205"/>
      <c r="SAN77" s="204"/>
      <c r="SAO77" s="206"/>
      <c r="SAP77" s="205"/>
      <c r="SAQ77" s="205"/>
      <c r="SAR77" s="204"/>
      <c r="SAS77" s="206"/>
      <c r="SAT77" s="205"/>
      <c r="SAU77" s="205"/>
      <c r="SAV77" s="204"/>
      <c r="SAW77" s="206"/>
      <c r="SAX77" s="205"/>
      <c r="SAY77" s="205"/>
      <c r="SAZ77" s="204"/>
      <c r="SBA77" s="206"/>
      <c r="SBB77" s="205"/>
      <c r="SBC77" s="205"/>
      <c r="SBD77" s="204"/>
      <c r="SBE77" s="206"/>
      <c r="SBF77" s="205"/>
      <c r="SBG77" s="205"/>
      <c r="SBH77" s="204"/>
      <c r="SBI77" s="206"/>
      <c r="SBJ77" s="205"/>
      <c r="SBK77" s="205"/>
      <c r="SBL77" s="204"/>
      <c r="SBM77" s="206"/>
      <c r="SBN77" s="205"/>
      <c r="SBO77" s="205"/>
      <c r="SBP77" s="204"/>
      <c r="SBQ77" s="206"/>
      <c r="SBR77" s="205"/>
      <c r="SBS77" s="205"/>
      <c r="SBT77" s="204"/>
      <c r="SBU77" s="206"/>
      <c r="SBV77" s="205"/>
      <c r="SBW77" s="205"/>
      <c r="SBX77" s="204"/>
      <c r="SBY77" s="206"/>
      <c r="SBZ77" s="205"/>
      <c r="SCA77" s="205"/>
      <c r="SCB77" s="204"/>
      <c r="SCC77" s="206"/>
      <c r="SCD77" s="205"/>
      <c r="SCE77" s="205"/>
      <c r="SCF77" s="204"/>
      <c r="SCG77" s="206"/>
      <c r="SCH77" s="205"/>
      <c r="SCI77" s="205"/>
      <c r="SCJ77" s="204"/>
      <c r="SCK77" s="206"/>
      <c r="SCL77" s="205"/>
      <c r="SCM77" s="205"/>
      <c r="SCN77" s="204"/>
      <c r="SCO77" s="206"/>
      <c r="SCP77" s="205"/>
      <c r="SCQ77" s="205"/>
      <c r="SCR77" s="204"/>
      <c r="SCS77" s="206"/>
      <c r="SCT77" s="205"/>
      <c r="SCU77" s="205"/>
      <c r="SCV77" s="204"/>
      <c r="SCW77" s="206"/>
      <c r="SCX77" s="205"/>
      <c r="SCY77" s="205"/>
      <c r="SCZ77" s="204"/>
      <c r="SDA77" s="206"/>
      <c r="SDB77" s="205"/>
      <c r="SDC77" s="205"/>
      <c r="SDD77" s="204"/>
      <c r="SDE77" s="206"/>
      <c r="SDF77" s="205"/>
      <c r="SDG77" s="205"/>
      <c r="SDH77" s="204"/>
      <c r="SDI77" s="206"/>
      <c r="SDJ77" s="205"/>
      <c r="SDK77" s="205"/>
      <c r="SDL77" s="204"/>
      <c r="SDM77" s="206"/>
      <c r="SDN77" s="205"/>
      <c r="SDO77" s="205"/>
      <c r="SDP77" s="204"/>
      <c r="SDQ77" s="206"/>
      <c r="SDR77" s="205"/>
      <c r="SDS77" s="205"/>
      <c r="SDT77" s="204"/>
      <c r="SDU77" s="206"/>
      <c r="SDV77" s="205"/>
      <c r="SDW77" s="205"/>
      <c r="SDX77" s="204"/>
      <c r="SDY77" s="206"/>
      <c r="SDZ77" s="205"/>
      <c r="SEA77" s="205"/>
      <c r="SEB77" s="204"/>
      <c r="SEC77" s="206"/>
      <c r="SED77" s="205"/>
      <c r="SEE77" s="205"/>
      <c r="SEF77" s="204"/>
      <c r="SEG77" s="206"/>
      <c r="SEH77" s="205"/>
      <c r="SEI77" s="205"/>
      <c r="SEJ77" s="204"/>
      <c r="SEK77" s="206"/>
      <c r="SEL77" s="205"/>
      <c r="SEM77" s="205"/>
      <c r="SEN77" s="204"/>
      <c r="SEO77" s="206"/>
      <c r="SEP77" s="205"/>
      <c r="SEQ77" s="205"/>
      <c r="SER77" s="204"/>
      <c r="SES77" s="206"/>
      <c r="SET77" s="205"/>
      <c r="SEU77" s="205"/>
      <c r="SEV77" s="204"/>
      <c r="SEW77" s="206"/>
      <c r="SEX77" s="205"/>
      <c r="SEY77" s="205"/>
      <c r="SEZ77" s="204"/>
      <c r="SFA77" s="206"/>
      <c r="SFB77" s="205"/>
      <c r="SFC77" s="205"/>
      <c r="SFD77" s="204"/>
      <c r="SFE77" s="206"/>
      <c r="SFF77" s="205"/>
      <c r="SFG77" s="205"/>
      <c r="SFH77" s="204"/>
      <c r="SFI77" s="206"/>
      <c r="SFJ77" s="205"/>
      <c r="SFK77" s="205"/>
      <c r="SFL77" s="204"/>
      <c r="SFM77" s="206"/>
      <c r="SFN77" s="205"/>
      <c r="SFO77" s="205"/>
      <c r="SFP77" s="204"/>
      <c r="SFQ77" s="206"/>
      <c r="SFR77" s="205"/>
      <c r="SFS77" s="205"/>
      <c r="SFT77" s="204"/>
      <c r="SFU77" s="206"/>
      <c r="SFV77" s="205"/>
      <c r="SFW77" s="205"/>
      <c r="SFX77" s="204"/>
      <c r="SFY77" s="206"/>
      <c r="SFZ77" s="205"/>
      <c r="SGA77" s="205"/>
      <c r="SGB77" s="204"/>
      <c r="SGC77" s="206"/>
      <c r="SGD77" s="205"/>
      <c r="SGE77" s="205"/>
      <c r="SGF77" s="204"/>
      <c r="SGG77" s="206"/>
      <c r="SGH77" s="205"/>
      <c r="SGI77" s="205"/>
      <c r="SGJ77" s="204"/>
      <c r="SGK77" s="206"/>
      <c r="SGL77" s="205"/>
      <c r="SGM77" s="205"/>
      <c r="SGN77" s="204"/>
      <c r="SGO77" s="206"/>
      <c r="SGP77" s="205"/>
      <c r="SGQ77" s="205"/>
      <c r="SGR77" s="204"/>
      <c r="SGS77" s="206"/>
      <c r="SGT77" s="205"/>
      <c r="SGU77" s="205"/>
      <c r="SGV77" s="204"/>
      <c r="SGW77" s="206"/>
      <c r="SGX77" s="205"/>
      <c r="SGY77" s="205"/>
      <c r="SGZ77" s="204"/>
      <c r="SHA77" s="206"/>
      <c r="SHB77" s="205"/>
      <c r="SHC77" s="205"/>
      <c r="SHD77" s="204"/>
      <c r="SHE77" s="206"/>
      <c r="SHF77" s="205"/>
      <c r="SHG77" s="205"/>
      <c r="SHH77" s="204"/>
      <c r="SHI77" s="206"/>
      <c r="SHJ77" s="205"/>
      <c r="SHK77" s="205"/>
      <c r="SHL77" s="204"/>
      <c r="SHM77" s="206"/>
      <c r="SHN77" s="205"/>
      <c r="SHO77" s="205"/>
      <c r="SHP77" s="204"/>
      <c r="SHQ77" s="206"/>
      <c r="SHR77" s="205"/>
      <c r="SHS77" s="205"/>
      <c r="SHT77" s="204"/>
      <c r="SHU77" s="206"/>
      <c r="SHV77" s="205"/>
      <c r="SHW77" s="205"/>
      <c r="SHX77" s="204"/>
      <c r="SHY77" s="206"/>
      <c r="SHZ77" s="205"/>
      <c r="SIA77" s="205"/>
      <c r="SIB77" s="204"/>
      <c r="SIC77" s="206"/>
      <c r="SID77" s="205"/>
      <c r="SIE77" s="205"/>
      <c r="SIF77" s="204"/>
      <c r="SIG77" s="206"/>
      <c r="SIH77" s="205"/>
      <c r="SII77" s="205"/>
      <c r="SIJ77" s="204"/>
      <c r="SIK77" s="206"/>
      <c r="SIL77" s="205"/>
      <c r="SIM77" s="205"/>
      <c r="SIN77" s="204"/>
      <c r="SIO77" s="206"/>
      <c r="SIP77" s="205"/>
      <c r="SIQ77" s="205"/>
      <c r="SIR77" s="204"/>
      <c r="SIS77" s="206"/>
      <c r="SIT77" s="205"/>
      <c r="SIU77" s="205"/>
      <c r="SIV77" s="204"/>
      <c r="SIW77" s="206"/>
      <c r="SIX77" s="205"/>
      <c r="SIY77" s="205"/>
      <c r="SIZ77" s="204"/>
      <c r="SJA77" s="206"/>
      <c r="SJB77" s="205"/>
      <c r="SJC77" s="205"/>
      <c r="SJD77" s="204"/>
      <c r="SJE77" s="206"/>
      <c r="SJF77" s="205"/>
      <c r="SJG77" s="205"/>
      <c r="SJH77" s="204"/>
      <c r="SJI77" s="206"/>
      <c r="SJJ77" s="205"/>
      <c r="SJK77" s="205"/>
      <c r="SJL77" s="204"/>
      <c r="SJM77" s="206"/>
      <c r="SJN77" s="205"/>
      <c r="SJO77" s="205"/>
      <c r="SJP77" s="204"/>
      <c r="SJQ77" s="206"/>
      <c r="SJR77" s="205"/>
      <c r="SJS77" s="205"/>
      <c r="SJT77" s="204"/>
      <c r="SJU77" s="206"/>
      <c r="SJV77" s="205"/>
      <c r="SJW77" s="205"/>
      <c r="SJX77" s="204"/>
      <c r="SJY77" s="206"/>
      <c r="SJZ77" s="205"/>
      <c r="SKA77" s="205"/>
      <c r="SKB77" s="204"/>
      <c r="SKC77" s="206"/>
      <c r="SKD77" s="205"/>
      <c r="SKE77" s="205"/>
      <c r="SKF77" s="204"/>
      <c r="SKG77" s="206"/>
      <c r="SKH77" s="205"/>
      <c r="SKI77" s="205"/>
      <c r="SKJ77" s="204"/>
      <c r="SKK77" s="206"/>
      <c r="SKL77" s="205"/>
      <c r="SKM77" s="205"/>
      <c r="SKN77" s="204"/>
      <c r="SKO77" s="206"/>
      <c r="SKP77" s="205"/>
      <c r="SKQ77" s="205"/>
      <c r="SKR77" s="204"/>
      <c r="SKS77" s="206"/>
      <c r="SKT77" s="205"/>
      <c r="SKU77" s="205"/>
      <c r="SKV77" s="204"/>
      <c r="SKW77" s="206"/>
      <c r="SKX77" s="205"/>
      <c r="SKY77" s="205"/>
      <c r="SKZ77" s="204"/>
      <c r="SLA77" s="206"/>
      <c r="SLB77" s="205"/>
      <c r="SLC77" s="205"/>
      <c r="SLD77" s="204"/>
      <c r="SLE77" s="206"/>
      <c r="SLF77" s="205"/>
      <c r="SLG77" s="205"/>
      <c r="SLH77" s="204"/>
      <c r="SLI77" s="206"/>
      <c r="SLJ77" s="205"/>
      <c r="SLK77" s="205"/>
      <c r="SLL77" s="204"/>
      <c r="SLM77" s="206"/>
      <c r="SLN77" s="205"/>
      <c r="SLO77" s="205"/>
      <c r="SLP77" s="204"/>
      <c r="SLQ77" s="206"/>
      <c r="SLR77" s="205"/>
      <c r="SLS77" s="205"/>
      <c r="SLT77" s="204"/>
      <c r="SLU77" s="206"/>
      <c r="SLV77" s="205"/>
      <c r="SLW77" s="205"/>
      <c r="SLX77" s="204"/>
      <c r="SLY77" s="206"/>
      <c r="SLZ77" s="205"/>
      <c r="SMA77" s="205"/>
      <c r="SMB77" s="204"/>
      <c r="SMC77" s="206"/>
      <c r="SMD77" s="205"/>
      <c r="SME77" s="205"/>
      <c r="SMF77" s="204"/>
      <c r="SMG77" s="206"/>
      <c r="SMH77" s="205"/>
      <c r="SMI77" s="205"/>
      <c r="SMJ77" s="204"/>
      <c r="SMK77" s="206"/>
      <c r="SML77" s="205"/>
      <c r="SMM77" s="205"/>
      <c r="SMN77" s="204"/>
      <c r="SMO77" s="206"/>
      <c r="SMP77" s="205"/>
      <c r="SMQ77" s="205"/>
      <c r="SMR77" s="204"/>
      <c r="SMS77" s="206"/>
      <c r="SMT77" s="205"/>
      <c r="SMU77" s="205"/>
      <c r="SMV77" s="204"/>
      <c r="SMW77" s="206"/>
      <c r="SMX77" s="205"/>
      <c r="SMY77" s="205"/>
      <c r="SMZ77" s="204"/>
      <c r="SNA77" s="206"/>
      <c r="SNB77" s="205"/>
      <c r="SNC77" s="205"/>
      <c r="SND77" s="204"/>
      <c r="SNE77" s="206"/>
      <c r="SNF77" s="205"/>
      <c r="SNG77" s="205"/>
      <c r="SNH77" s="204"/>
      <c r="SNI77" s="206"/>
      <c r="SNJ77" s="205"/>
      <c r="SNK77" s="205"/>
      <c r="SNL77" s="204"/>
      <c r="SNM77" s="206"/>
      <c r="SNN77" s="205"/>
      <c r="SNO77" s="205"/>
      <c r="SNP77" s="204"/>
      <c r="SNQ77" s="206"/>
      <c r="SNR77" s="205"/>
      <c r="SNS77" s="205"/>
      <c r="SNT77" s="204"/>
      <c r="SNU77" s="206"/>
      <c r="SNV77" s="205"/>
      <c r="SNW77" s="205"/>
      <c r="SNX77" s="204"/>
      <c r="SNY77" s="206"/>
      <c r="SNZ77" s="205"/>
      <c r="SOA77" s="205"/>
      <c r="SOB77" s="204"/>
      <c r="SOC77" s="206"/>
      <c r="SOD77" s="205"/>
      <c r="SOE77" s="205"/>
      <c r="SOF77" s="204"/>
      <c r="SOG77" s="206"/>
      <c r="SOH77" s="205"/>
      <c r="SOI77" s="205"/>
      <c r="SOJ77" s="204"/>
      <c r="SOK77" s="206"/>
      <c r="SOL77" s="205"/>
      <c r="SOM77" s="205"/>
      <c r="SON77" s="204"/>
      <c r="SOO77" s="206"/>
      <c r="SOP77" s="205"/>
      <c r="SOQ77" s="205"/>
      <c r="SOR77" s="204"/>
      <c r="SOS77" s="206"/>
      <c r="SOT77" s="205"/>
      <c r="SOU77" s="205"/>
      <c r="SOV77" s="204"/>
      <c r="SOW77" s="206"/>
      <c r="SOX77" s="205"/>
      <c r="SOY77" s="205"/>
      <c r="SOZ77" s="204"/>
      <c r="SPA77" s="206"/>
      <c r="SPB77" s="205"/>
      <c r="SPC77" s="205"/>
      <c r="SPD77" s="204"/>
      <c r="SPE77" s="206"/>
      <c r="SPF77" s="205"/>
      <c r="SPG77" s="205"/>
      <c r="SPH77" s="204"/>
      <c r="SPI77" s="206"/>
      <c r="SPJ77" s="205"/>
      <c r="SPK77" s="205"/>
      <c r="SPL77" s="204"/>
      <c r="SPM77" s="206"/>
      <c r="SPN77" s="205"/>
      <c r="SPO77" s="205"/>
      <c r="SPP77" s="204"/>
      <c r="SPQ77" s="206"/>
      <c r="SPR77" s="205"/>
      <c r="SPS77" s="205"/>
      <c r="SPT77" s="204"/>
      <c r="SPU77" s="206"/>
      <c r="SPV77" s="205"/>
      <c r="SPW77" s="205"/>
      <c r="SPX77" s="204"/>
      <c r="SPY77" s="206"/>
      <c r="SPZ77" s="205"/>
      <c r="SQA77" s="205"/>
      <c r="SQB77" s="204"/>
      <c r="SQC77" s="206"/>
      <c r="SQD77" s="205"/>
      <c r="SQE77" s="205"/>
      <c r="SQF77" s="204"/>
      <c r="SQG77" s="206"/>
      <c r="SQH77" s="205"/>
      <c r="SQI77" s="205"/>
      <c r="SQJ77" s="204"/>
      <c r="SQK77" s="206"/>
      <c r="SQL77" s="205"/>
      <c r="SQM77" s="205"/>
      <c r="SQN77" s="204"/>
      <c r="SQO77" s="206"/>
      <c r="SQP77" s="205"/>
      <c r="SQQ77" s="205"/>
      <c r="SQR77" s="204"/>
      <c r="SQS77" s="206"/>
      <c r="SQT77" s="205"/>
      <c r="SQU77" s="205"/>
      <c r="SQV77" s="204"/>
      <c r="SQW77" s="206"/>
      <c r="SQX77" s="205"/>
      <c r="SQY77" s="205"/>
      <c r="SQZ77" s="204"/>
      <c r="SRA77" s="206"/>
      <c r="SRB77" s="205"/>
      <c r="SRC77" s="205"/>
      <c r="SRD77" s="204"/>
      <c r="SRE77" s="206"/>
      <c r="SRF77" s="205"/>
      <c r="SRG77" s="205"/>
      <c r="SRH77" s="204"/>
      <c r="SRI77" s="206"/>
      <c r="SRJ77" s="205"/>
      <c r="SRK77" s="205"/>
      <c r="SRL77" s="204"/>
      <c r="SRM77" s="206"/>
      <c r="SRN77" s="205"/>
      <c r="SRO77" s="205"/>
      <c r="SRP77" s="204"/>
      <c r="SRQ77" s="206"/>
      <c r="SRR77" s="205"/>
      <c r="SRS77" s="205"/>
      <c r="SRT77" s="204"/>
      <c r="SRU77" s="206"/>
      <c r="SRV77" s="205"/>
      <c r="SRW77" s="205"/>
      <c r="SRX77" s="204"/>
      <c r="SRY77" s="206"/>
      <c r="SRZ77" s="205"/>
      <c r="SSA77" s="205"/>
      <c r="SSB77" s="204"/>
      <c r="SSC77" s="206"/>
      <c r="SSD77" s="205"/>
      <c r="SSE77" s="205"/>
      <c r="SSF77" s="204"/>
      <c r="SSG77" s="206"/>
      <c r="SSH77" s="205"/>
      <c r="SSI77" s="205"/>
      <c r="SSJ77" s="204"/>
      <c r="SSK77" s="206"/>
      <c r="SSL77" s="205"/>
      <c r="SSM77" s="205"/>
      <c r="SSN77" s="204"/>
      <c r="SSO77" s="206"/>
      <c r="SSP77" s="205"/>
      <c r="SSQ77" s="205"/>
      <c r="SSR77" s="204"/>
      <c r="SSS77" s="206"/>
      <c r="SST77" s="205"/>
      <c r="SSU77" s="205"/>
      <c r="SSV77" s="204"/>
      <c r="SSW77" s="206"/>
      <c r="SSX77" s="205"/>
      <c r="SSY77" s="205"/>
      <c r="SSZ77" s="204"/>
      <c r="STA77" s="206"/>
      <c r="STB77" s="205"/>
      <c r="STC77" s="205"/>
      <c r="STD77" s="204"/>
      <c r="STE77" s="206"/>
      <c r="STF77" s="205"/>
      <c r="STG77" s="205"/>
      <c r="STH77" s="204"/>
      <c r="STI77" s="206"/>
      <c r="STJ77" s="205"/>
      <c r="STK77" s="205"/>
      <c r="STL77" s="204"/>
      <c r="STM77" s="206"/>
      <c r="STN77" s="205"/>
      <c r="STO77" s="205"/>
      <c r="STP77" s="204"/>
      <c r="STQ77" s="206"/>
      <c r="STR77" s="205"/>
      <c r="STS77" s="205"/>
      <c r="STT77" s="204"/>
      <c r="STU77" s="206"/>
      <c r="STV77" s="205"/>
      <c r="STW77" s="205"/>
      <c r="STX77" s="204"/>
      <c r="STY77" s="206"/>
      <c r="STZ77" s="205"/>
      <c r="SUA77" s="205"/>
      <c r="SUB77" s="204"/>
      <c r="SUC77" s="206"/>
      <c r="SUD77" s="205"/>
      <c r="SUE77" s="205"/>
      <c r="SUF77" s="204"/>
      <c r="SUG77" s="206"/>
      <c r="SUH77" s="205"/>
      <c r="SUI77" s="205"/>
      <c r="SUJ77" s="204"/>
      <c r="SUK77" s="206"/>
      <c r="SUL77" s="205"/>
      <c r="SUM77" s="205"/>
      <c r="SUN77" s="204"/>
      <c r="SUO77" s="206"/>
      <c r="SUP77" s="205"/>
      <c r="SUQ77" s="205"/>
      <c r="SUR77" s="204"/>
      <c r="SUS77" s="206"/>
      <c r="SUT77" s="205"/>
      <c r="SUU77" s="205"/>
      <c r="SUV77" s="204"/>
      <c r="SUW77" s="206"/>
      <c r="SUX77" s="205"/>
      <c r="SUY77" s="205"/>
      <c r="SUZ77" s="204"/>
      <c r="SVA77" s="206"/>
      <c r="SVB77" s="205"/>
      <c r="SVC77" s="205"/>
      <c r="SVD77" s="204"/>
      <c r="SVE77" s="206"/>
      <c r="SVF77" s="205"/>
      <c r="SVG77" s="205"/>
      <c r="SVH77" s="204"/>
      <c r="SVI77" s="206"/>
      <c r="SVJ77" s="205"/>
      <c r="SVK77" s="205"/>
      <c r="SVL77" s="204"/>
      <c r="SVM77" s="206"/>
      <c r="SVN77" s="205"/>
      <c r="SVO77" s="205"/>
      <c r="SVP77" s="204"/>
      <c r="SVQ77" s="206"/>
      <c r="SVR77" s="205"/>
      <c r="SVS77" s="205"/>
      <c r="SVT77" s="204"/>
      <c r="SVU77" s="206"/>
      <c r="SVV77" s="205"/>
      <c r="SVW77" s="205"/>
      <c r="SVX77" s="204"/>
      <c r="SVY77" s="206"/>
      <c r="SVZ77" s="205"/>
      <c r="SWA77" s="205"/>
      <c r="SWB77" s="204"/>
      <c r="SWC77" s="206"/>
      <c r="SWD77" s="205"/>
      <c r="SWE77" s="205"/>
      <c r="SWF77" s="204"/>
      <c r="SWG77" s="206"/>
      <c r="SWH77" s="205"/>
      <c r="SWI77" s="205"/>
      <c r="SWJ77" s="204"/>
      <c r="SWK77" s="206"/>
      <c r="SWL77" s="205"/>
      <c r="SWM77" s="205"/>
      <c r="SWN77" s="204"/>
      <c r="SWO77" s="206"/>
      <c r="SWP77" s="205"/>
      <c r="SWQ77" s="205"/>
      <c r="SWR77" s="204"/>
      <c r="SWS77" s="206"/>
      <c r="SWT77" s="205"/>
      <c r="SWU77" s="205"/>
      <c r="SWV77" s="204"/>
      <c r="SWW77" s="206"/>
      <c r="SWX77" s="205"/>
      <c r="SWY77" s="205"/>
      <c r="SWZ77" s="204"/>
      <c r="SXA77" s="206"/>
      <c r="SXB77" s="205"/>
      <c r="SXC77" s="205"/>
      <c r="SXD77" s="204"/>
      <c r="SXE77" s="206"/>
      <c r="SXF77" s="205"/>
      <c r="SXG77" s="205"/>
      <c r="SXH77" s="204"/>
      <c r="SXI77" s="206"/>
      <c r="SXJ77" s="205"/>
      <c r="SXK77" s="205"/>
      <c r="SXL77" s="204"/>
      <c r="SXM77" s="206"/>
      <c r="SXN77" s="205"/>
      <c r="SXO77" s="205"/>
      <c r="SXP77" s="204"/>
      <c r="SXQ77" s="206"/>
      <c r="SXR77" s="205"/>
      <c r="SXS77" s="205"/>
      <c r="SXT77" s="204"/>
      <c r="SXU77" s="206"/>
      <c r="SXV77" s="205"/>
      <c r="SXW77" s="205"/>
      <c r="SXX77" s="204"/>
      <c r="SXY77" s="206"/>
      <c r="SXZ77" s="205"/>
      <c r="SYA77" s="205"/>
      <c r="SYB77" s="204"/>
      <c r="SYC77" s="206"/>
      <c r="SYD77" s="205"/>
      <c r="SYE77" s="205"/>
      <c r="SYF77" s="204"/>
      <c r="SYG77" s="206"/>
      <c r="SYH77" s="205"/>
      <c r="SYI77" s="205"/>
      <c r="SYJ77" s="204"/>
      <c r="SYK77" s="206"/>
      <c r="SYL77" s="205"/>
      <c r="SYM77" s="205"/>
      <c r="SYN77" s="204"/>
      <c r="SYO77" s="206"/>
      <c r="SYP77" s="205"/>
      <c r="SYQ77" s="205"/>
      <c r="SYR77" s="204"/>
      <c r="SYS77" s="206"/>
      <c r="SYT77" s="205"/>
      <c r="SYU77" s="205"/>
      <c r="SYV77" s="204"/>
      <c r="SYW77" s="206"/>
      <c r="SYX77" s="205"/>
      <c r="SYY77" s="205"/>
      <c r="SYZ77" s="204"/>
      <c r="SZA77" s="206"/>
      <c r="SZB77" s="205"/>
      <c r="SZC77" s="205"/>
      <c r="SZD77" s="204"/>
      <c r="SZE77" s="206"/>
      <c r="SZF77" s="205"/>
      <c r="SZG77" s="205"/>
      <c r="SZH77" s="204"/>
      <c r="SZI77" s="206"/>
      <c r="SZJ77" s="205"/>
      <c r="SZK77" s="205"/>
      <c r="SZL77" s="204"/>
      <c r="SZM77" s="206"/>
      <c r="SZN77" s="205"/>
      <c r="SZO77" s="205"/>
      <c r="SZP77" s="204"/>
      <c r="SZQ77" s="206"/>
      <c r="SZR77" s="205"/>
      <c r="SZS77" s="205"/>
      <c r="SZT77" s="204"/>
      <c r="SZU77" s="206"/>
      <c r="SZV77" s="205"/>
      <c r="SZW77" s="205"/>
      <c r="SZX77" s="204"/>
      <c r="SZY77" s="206"/>
      <c r="SZZ77" s="205"/>
      <c r="TAA77" s="205"/>
      <c r="TAB77" s="204"/>
      <c r="TAC77" s="206"/>
      <c r="TAD77" s="205"/>
      <c r="TAE77" s="205"/>
      <c r="TAF77" s="204"/>
      <c r="TAG77" s="206"/>
      <c r="TAH77" s="205"/>
      <c r="TAI77" s="205"/>
      <c r="TAJ77" s="204"/>
      <c r="TAK77" s="206"/>
      <c r="TAL77" s="205"/>
      <c r="TAM77" s="205"/>
      <c r="TAN77" s="204"/>
      <c r="TAO77" s="206"/>
      <c r="TAP77" s="205"/>
      <c r="TAQ77" s="205"/>
      <c r="TAR77" s="204"/>
      <c r="TAS77" s="206"/>
      <c r="TAT77" s="205"/>
      <c r="TAU77" s="205"/>
      <c r="TAV77" s="204"/>
      <c r="TAW77" s="206"/>
      <c r="TAX77" s="205"/>
      <c r="TAY77" s="205"/>
      <c r="TAZ77" s="204"/>
      <c r="TBA77" s="206"/>
      <c r="TBB77" s="205"/>
      <c r="TBC77" s="205"/>
      <c r="TBD77" s="204"/>
      <c r="TBE77" s="206"/>
      <c r="TBF77" s="205"/>
      <c r="TBG77" s="205"/>
      <c r="TBH77" s="204"/>
      <c r="TBI77" s="206"/>
      <c r="TBJ77" s="205"/>
      <c r="TBK77" s="205"/>
      <c r="TBL77" s="204"/>
      <c r="TBM77" s="206"/>
      <c r="TBN77" s="205"/>
      <c r="TBO77" s="205"/>
      <c r="TBP77" s="204"/>
      <c r="TBQ77" s="206"/>
      <c r="TBR77" s="205"/>
      <c r="TBS77" s="205"/>
      <c r="TBT77" s="204"/>
      <c r="TBU77" s="206"/>
      <c r="TBV77" s="205"/>
      <c r="TBW77" s="205"/>
      <c r="TBX77" s="204"/>
      <c r="TBY77" s="206"/>
      <c r="TBZ77" s="205"/>
      <c r="TCA77" s="205"/>
      <c r="TCB77" s="204"/>
      <c r="TCC77" s="206"/>
      <c r="TCD77" s="205"/>
      <c r="TCE77" s="205"/>
      <c r="TCF77" s="204"/>
      <c r="TCG77" s="206"/>
      <c r="TCH77" s="205"/>
      <c r="TCI77" s="205"/>
      <c r="TCJ77" s="204"/>
      <c r="TCK77" s="206"/>
      <c r="TCL77" s="205"/>
      <c r="TCM77" s="205"/>
      <c r="TCN77" s="204"/>
      <c r="TCO77" s="206"/>
      <c r="TCP77" s="205"/>
      <c r="TCQ77" s="205"/>
      <c r="TCR77" s="204"/>
      <c r="TCS77" s="206"/>
      <c r="TCT77" s="205"/>
      <c r="TCU77" s="205"/>
      <c r="TCV77" s="204"/>
      <c r="TCW77" s="206"/>
      <c r="TCX77" s="205"/>
      <c r="TCY77" s="205"/>
      <c r="TCZ77" s="204"/>
      <c r="TDA77" s="206"/>
      <c r="TDB77" s="205"/>
      <c r="TDC77" s="205"/>
      <c r="TDD77" s="204"/>
      <c r="TDE77" s="206"/>
      <c r="TDF77" s="205"/>
      <c r="TDG77" s="205"/>
      <c r="TDH77" s="204"/>
      <c r="TDI77" s="206"/>
      <c r="TDJ77" s="205"/>
      <c r="TDK77" s="205"/>
      <c r="TDL77" s="204"/>
      <c r="TDM77" s="206"/>
      <c r="TDN77" s="205"/>
      <c r="TDO77" s="205"/>
      <c r="TDP77" s="204"/>
      <c r="TDQ77" s="206"/>
      <c r="TDR77" s="205"/>
      <c r="TDS77" s="205"/>
      <c r="TDT77" s="204"/>
      <c r="TDU77" s="206"/>
      <c r="TDV77" s="205"/>
      <c r="TDW77" s="205"/>
      <c r="TDX77" s="204"/>
      <c r="TDY77" s="206"/>
      <c r="TDZ77" s="205"/>
      <c r="TEA77" s="205"/>
      <c r="TEB77" s="204"/>
      <c r="TEC77" s="206"/>
      <c r="TED77" s="205"/>
      <c r="TEE77" s="205"/>
      <c r="TEF77" s="204"/>
      <c r="TEG77" s="206"/>
      <c r="TEH77" s="205"/>
      <c r="TEI77" s="205"/>
      <c r="TEJ77" s="204"/>
      <c r="TEK77" s="206"/>
      <c r="TEL77" s="205"/>
      <c r="TEM77" s="205"/>
      <c r="TEN77" s="204"/>
      <c r="TEO77" s="206"/>
      <c r="TEP77" s="205"/>
      <c r="TEQ77" s="205"/>
      <c r="TER77" s="204"/>
      <c r="TES77" s="206"/>
      <c r="TET77" s="205"/>
      <c r="TEU77" s="205"/>
      <c r="TEV77" s="204"/>
      <c r="TEW77" s="206"/>
      <c r="TEX77" s="205"/>
      <c r="TEY77" s="205"/>
      <c r="TEZ77" s="204"/>
      <c r="TFA77" s="206"/>
      <c r="TFB77" s="205"/>
      <c r="TFC77" s="205"/>
      <c r="TFD77" s="204"/>
      <c r="TFE77" s="206"/>
      <c r="TFF77" s="205"/>
      <c r="TFG77" s="205"/>
      <c r="TFH77" s="204"/>
      <c r="TFI77" s="206"/>
      <c r="TFJ77" s="205"/>
      <c r="TFK77" s="205"/>
      <c r="TFL77" s="204"/>
      <c r="TFM77" s="206"/>
      <c r="TFN77" s="205"/>
      <c r="TFO77" s="205"/>
      <c r="TFP77" s="204"/>
      <c r="TFQ77" s="206"/>
      <c r="TFR77" s="205"/>
      <c r="TFS77" s="205"/>
      <c r="TFT77" s="204"/>
      <c r="TFU77" s="206"/>
      <c r="TFV77" s="205"/>
      <c r="TFW77" s="205"/>
      <c r="TFX77" s="204"/>
      <c r="TFY77" s="206"/>
      <c r="TFZ77" s="205"/>
      <c r="TGA77" s="205"/>
      <c r="TGB77" s="204"/>
      <c r="TGC77" s="206"/>
      <c r="TGD77" s="205"/>
      <c r="TGE77" s="205"/>
      <c r="TGF77" s="204"/>
      <c r="TGG77" s="206"/>
      <c r="TGH77" s="205"/>
      <c r="TGI77" s="205"/>
      <c r="TGJ77" s="204"/>
      <c r="TGK77" s="206"/>
      <c r="TGL77" s="205"/>
      <c r="TGM77" s="205"/>
      <c r="TGN77" s="204"/>
      <c r="TGO77" s="206"/>
      <c r="TGP77" s="205"/>
      <c r="TGQ77" s="205"/>
      <c r="TGR77" s="204"/>
      <c r="TGS77" s="206"/>
      <c r="TGT77" s="205"/>
      <c r="TGU77" s="205"/>
      <c r="TGV77" s="204"/>
      <c r="TGW77" s="206"/>
      <c r="TGX77" s="205"/>
      <c r="TGY77" s="205"/>
      <c r="TGZ77" s="204"/>
      <c r="THA77" s="206"/>
      <c r="THB77" s="205"/>
      <c r="THC77" s="205"/>
      <c r="THD77" s="204"/>
      <c r="THE77" s="206"/>
      <c r="THF77" s="205"/>
      <c r="THG77" s="205"/>
      <c r="THH77" s="204"/>
      <c r="THI77" s="206"/>
      <c r="THJ77" s="205"/>
      <c r="THK77" s="205"/>
      <c r="THL77" s="204"/>
      <c r="THM77" s="206"/>
      <c r="THN77" s="205"/>
      <c r="THO77" s="205"/>
      <c r="THP77" s="204"/>
      <c r="THQ77" s="206"/>
      <c r="THR77" s="205"/>
      <c r="THS77" s="205"/>
      <c r="THT77" s="204"/>
      <c r="THU77" s="206"/>
      <c r="THV77" s="205"/>
      <c r="THW77" s="205"/>
      <c r="THX77" s="204"/>
      <c r="THY77" s="206"/>
      <c r="THZ77" s="205"/>
      <c r="TIA77" s="205"/>
      <c r="TIB77" s="204"/>
      <c r="TIC77" s="206"/>
      <c r="TID77" s="205"/>
      <c r="TIE77" s="205"/>
      <c r="TIF77" s="204"/>
      <c r="TIG77" s="206"/>
      <c r="TIH77" s="205"/>
      <c r="TII77" s="205"/>
      <c r="TIJ77" s="204"/>
      <c r="TIK77" s="206"/>
      <c r="TIL77" s="205"/>
      <c r="TIM77" s="205"/>
      <c r="TIN77" s="204"/>
      <c r="TIO77" s="206"/>
      <c r="TIP77" s="205"/>
      <c r="TIQ77" s="205"/>
      <c r="TIR77" s="204"/>
      <c r="TIS77" s="206"/>
      <c r="TIT77" s="205"/>
      <c r="TIU77" s="205"/>
      <c r="TIV77" s="204"/>
      <c r="TIW77" s="206"/>
      <c r="TIX77" s="205"/>
      <c r="TIY77" s="205"/>
      <c r="TIZ77" s="204"/>
      <c r="TJA77" s="206"/>
      <c r="TJB77" s="205"/>
      <c r="TJC77" s="205"/>
      <c r="TJD77" s="204"/>
      <c r="TJE77" s="206"/>
      <c r="TJF77" s="205"/>
      <c r="TJG77" s="205"/>
      <c r="TJH77" s="204"/>
      <c r="TJI77" s="206"/>
      <c r="TJJ77" s="205"/>
      <c r="TJK77" s="205"/>
      <c r="TJL77" s="204"/>
      <c r="TJM77" s="206"/>
      <c r="TJN77" s="205"/>
      <c r="TJO77" s="205"/>
      <c r="TJP77" s="204"/>
      <c r="TJQ77" s="206"/>
      <c r="TJR77" s="205"/>
      <c r="TJS77" s="205"/>
      <c r="TJT77" s="204"/>
      <c r="TJU77" s="206"/>
      <c r="TJV77" s="205"/>
      <c r="TJW77" s="205"/>
      <c r="TJX77" s="204"/>
      <c r="TJY77" s="206"/>
      <c r="TJZ77" s="205"/>
      <c r="TKA77" s="205"/>
      <c r="TKB77" s="204"/>
      <c r="TKC77" s="206"/>
      <c r="TKD77" s="205"/>
      <c r="TKE77" s="205"/>
      <c r="TKF77" s="204"/>
      <c r="TKG77" s="206"/>
      <c r="TKH77" s="205"/>
      <c r="TKI77" s="205"/>
      <c r="TKJ77" s="204"/>
      <c r="TKK77" s="206"/>
      <c r="TKL77" s="205"/>
      <c r="TKM77" s="205"/>
      <c r="TKN77" s="204"/>
      <c r="TKO77" s="206"/>
      <c r="TKP77" s="205"/>
      <c r="TKQ77" s="205"/>
      <c r="TKR77" s="204"/>
      <c r="TKS77" s="206"/>
      <c r="TKT77" s="205"/>
      <c r="TKU77" s="205"/>
      <c r="TKV77" s="204"/>
      <c r="TKW77" s="206"/>
      <c r="TKX77" s="205"/>
      <c r="TKY77" s="205"/>
      <c r="TKZ77" s="204"/>
      <c r="TLA77" s="206"/>
      <c r="TLB77" s="205"/>
      <c r="TLC77" s="205"/>
      <c r="TLD77" s="204"/>
      <c r="TLE77" s="206"/>
      <c r="TLF77" s="205"/>
      <c r="TLG77" s="205"/>
      <c r="TLH77" s="204"/>
      <c r="TLI77" s="206"/>
      <c r="TLJ77" s="205"/>
      <c r="TLK77" s="205"/>
      <c r="TLL77" s="204"/>
      <c r="TLM77" s="206"/>
      <c r="TLN77" s="205"/>
      <c r="TLO77" s="205"/>
      <c r="TLP77" s="204"/>
      <c r="TLQ77" s="206"/>
      <c r="TLR77" s="205"/>
      <c r="TLS77" s="205"/>
      <c r="TLT77" s="204"/>
      <c r="TLU77" s="206"/>
      <c r="TLV77" s="205"/>
      <c r="TLW77" s="205"/>
      <c r="TLX77" s="204"/>
      <c r="TLY77" s="206"/>
      <c r="TLZ77" s="205"/>
      <c r="TMA77" s="205"/>
      <c r="TMB77" s="204"/>
      <c r="TMC77" s="206"/>
      <c r="TMD77" s="205"/>
      <c r="TME77" s="205"/>
      <c r="TMF77" s="204"/>
      <c r="TMG77" s="206"/>
      <c r="TMH77" s="205"/>
      <c r="TMI77" s="205"/>
      <c r="TMJ77" s="204"/>
      <c r="TMK77" s="206"/>
      <c r="TML77" s="205"/>
      <c r="TMM77" s="205"/>
      <c r="TMN77" s="204"/>
      <c r="TMO77" s="206"/>
      <c r="TMP77" s="205"/>
      <c r="TMQ77" s="205"/>
      <c r="TMR77" s="204"/>
      <c r="TMS77" s="206"/>
      <c r="TMT77" s="205"/>
      <c r="TMU77" s="205"/>
      <c r="TMV77" s="204"/>
      <c r="TMW77" s="206"/>
      <c r="TMX77" s="205"/>
      <c r="TMY77" s="205"/>
      <c r="TMZ77" s="204"/>
      <c r="TNA77" s="206"/>
      <c r="TNB77" s="205"/>
      <c r="TNC77" s="205"/>
      <c r="TND77" s="204"/>
      <c r="TNE77" s="206"/>
      <c r="TNF77" s="205"/>
      <c r="TNG77" s="205"/>
      <c r="TNH77" s="204"/>
      <c r="TNI77" s="206"/>
      <c r="TNJ77" s="205"/>
      <c r="TNK77" s="205"/>
      <c r="TNL77" s="204"/>
      <c r="TNM77" s="206"/>
      <c r="TNN77" s="205"/>
      <c r="TNO77" s="205"/>
      <c r="TNP77" s="204"/>
      <c r="TNQ77" s="206"/>
      <c r="TNR77" s="205"/>
      <c r="TNS77" s="205"/>
      <c r="TNT77" s="204"/>
      <c r="TNU77" s="206"/>
      <c r="TNV77" s="205"/>
      <c r="TNW77" s="205"/>
      <c r="TNX77" s="204"/>
      <c r="TNY77" s="206"/>
      <c r="TNZ77" s="205"/>
      <c r="TOA77" s="205"/>
      <c r="TOB77" s="204"/>
      <c r="TOC77" s="206"/>
      <c r="TOD77" s="205"/>
      <c r="TOE77" s="205"/>
      <c r="TOF77" s="204"/>
      <c r="TOG77" s="206"/>
      <c r="TOH77" s="205"/>
      <c r="TOI77" s="205"/>
      <c r="TOJ77" s="204"/>
      <c r="TOK77" s="206"/>
      <c r="TOL77" s="205"/>
      <c r="TOM77" s="205"/>
      <c r="TON77" s="204"/>
      <c r="TOO77" s="206"/>
      <c r="TOP77" s="205"/>
      <c r="TOQ77" s="205"/>
      <c r="TOR77" s="204"/>
      <c r="TOS77" s="206"/>
      <c r="TOT77" s="205"/>
      <c r="TOU77" s="205"/>
      <c r="TOV77" s="204"/>
      <c r="TOW77" s="206"/>
      <c r="TOX77" s="205"/>
      <c r="TOY77" s="205"/>
      <c r="TOZ77" s="204"/>
      <c r="TPA77" s="206"/>
      <c r="TPB77" s="205"/>
      <c r="TPC77" s="205"/>
      <c r="TPD77" s="204"/>
      <c r="TPE77" s="206"/>
      <c r="TPF77" s="205"/>
      <c r="TPG77" s="205"/>
      <c r="TPH77" s="204"/>
      <c r="TPI77" s="206"/>
      <c r="TPJ77" s="205"/>
      <c r="TPK77" s="205"/>
      <c r="TPL77" s="204"/>
      <c r="TPM77" s="206"/>
      <c r="TPN77" s="205"/>
      <c r="TPO77" s="205"/>
      <c r="TPP77" s="204"/>
      <c r="TPQ77" s="206"/>
      <c r="TPR77" s="205"/>
      <c r="TPS77" s="205"/>
      <c r="TPT77" s="204"/>
      <c r="TPU77" s="206"/>
      <c r="TPV77" s="205"/>
      <c r="TPW77" s="205"/>
      <c r="TPX77" s="204"/>
      <c r="TPY77" s="206"/>
      <c r="TPZ77" s="205"/>
      <c r="TQA77" s="205"/>
      <c r="TQB77" s="204"/>
      <c r="TQC77" s="206"/>
      <c r="TQD77" s="205"/>
      <c r="TQE77" s="205"/>
      <c r="TQF77" s="204"/>
      <c r="TQG77" s="206"/>
      <c r="TQH77" s="205"/>
      <c r="TQI77" s="205"/>
      <c r="TQJ77" s="204"/>
      <c r="TQK77" s="206"/>
      <c r="TQL77" s="205"/>
      <c r="TQM77" s="205"/>
      <c r="TQN77" s="204"/>
      <c r="TQO77" s="206"/>
      <c r="TQP77" s="205"/>
      <c r="TQQ77" s="205"/>
      <c r="TQR77" s="204"/>
      <c r="TQS77" s="206"/>
      <c r="TQT77" s="205"/>
      <c r="TQU77" s="205"/>
      <c r="TQV77" s="204"/>
      <c r="TQW77" s="206"/>
      <c r="TQX77" s="205"/>
      <c r="TQY77" s="205"/>
      <c r="TQZ77" s="204"/>
      <c r="TRA77" s="206"/>
      <c r="TRB77" s="205"/>
      <c r="TRC77" s="205"/>
      <c r="TRD77" s="204"/>
      <c r="TRE77" s="206"/>
      <c r="TRF77" s="205"/>
      <c r="TRG77" s="205"/>
      <c r="TRH77" s="204"/>
      <c r="TRI77" s="206"/>
      <c r="TRJ77" s="205"/>
      <c r="TRK77" s="205"/>
      <c r="TRL77" s="204"/>
      <c r="TRM77" s="206"/>
      <c r="TRN77" s="205"/>
      <c r="TRO77" s="205"/>
      <c r="TRP77" s="204"/>
      <c r="TRQ77" s="206"/>
      <c r="TRR77" s="205"/>
      <c r="TRS77" s="205"/>
      <c r="TRT77" s="204"/>
      <c r="TRU77" s="206"/>
      <c r="TRV77" s="205"/>
      <c r="TRW77" s="205"/>
      <c r="TRX77" s="204"/>
      <c r="TRY77" s="206"/>
      <c r="TRZ77" s="205"/>
      <c r="TSA77" s="205"/>
      <c r="TSB77" s="204"/>
      <c r="TSC77" s="206"/>
      <c r="TSD77" s="205"/>
      <c r="TSE77" s="205"/>
      <c r="TSF77" s="204"/>
      <c r="TSG77" s="206"/>
      <c r="TSH77" s="205"/>
      <c r="TSI77" s="205"/>
      <c r="TSJ77" s="204"/>
      <c r="TSK77" s="206"/>
      <c r="TSL77" s="205"/>
      <c r="TSM77" s="205"/>
      <c r="TSN77" s="204"/>
      <c r="TSO77" s="206"/>
      <c r="TSP77" s="205"/>
      <c r="TSQ77" s="205"/>
      <c r="TSR77" s="204"/>
      <c r="TSS77" s="206"/>
      <c r="TST77" s="205"/>
      <c r="TSU77" s="205"/>
      <c r="TSV77" s="204"/>
      <c r="TSW77" s="206"/>
      <c r="TSX77" s="205"/>
      <c r="TSY77" s="205"/>
      <c r="TSZ77" s="204"/>
      <c r="TTA77" s="206"/>
      <c r="TTB77" s="205"/>
      <c r="TTC77" s="205"/>
      <c r="TTD77" s="204"/>
      <c r="TTE77" s="206"/>
      <c r="TTF77" s="205"/>
      <c r="TTG77" s="205"/>
      <c r="TTH77" s="204"/>
      <c r="TTI77" s="206"/>
      <c r="TTJ77" s="205"/>
      <c r="TTK77" s="205"/>
      <c r="TTL77" s="204"/>
      <c r="TTM77" s="206"/>
      <c r="TTN77" s="205"/>
      <c r="TTO77" s="205"/>
      <c r="TTP77" s="204"/>
      <c r="TTQ77" s="206"/>
      <c r="TTR77" s="205"/>
      <c r="TTS77" s="205"/>
      <c r="TTT77" s="204"/>
      <c r="TTU77" s="206"/>
      <c r="TTV77" s="205"/>
      <c r="TTW77" s="205"/>
      <c r="TTX77" s="204"/>
      <c r="TTY77" s="206"/>
      <c r="TTZ77" s="205"/>
      <c r="TUA77" s="205"/>
      <c r="TUB77" s="204"/>
      <c r="TUC77" s="206"/>
      <c r="TUD77" s="205"/>
      <c r="TUE77" s="205"/>
      <c r="TUF77" s="204"/>
      <c r="TUG77" s="206"/>
      <c r="TUH77" s="205"/>
      <c r="TUI77" s="205"/>
      <c r="TUJ77" s="204"/>
      <c r="TUK77" s="206"/>
      <c r="TUL77" s="205"/>
      <c r="TUM77" s="205"/>
      <c r="TUN77" s="204"/>
      <c r="TUO77" s="206"/>
      <c r="TUP77" s="205"/>
      <c r="TUQ77" s="205"/>
      <c r="TUR77" s="204"/>
      <c r="TUS77" s="206"/>
      <c r="TUT77" s="205"/>
      <c r="TUU77" s="205"/>
      <c r="TUV77" s="204"/>
      <c r="TUW77" s="206"/>
      <c r="TUX77" s="205"/>
      <c r="TUY77" s="205"/>
      <c r="TUZ77" s="204"/>
      <c r="TVA77" s="206"/>
      <c r="TVB77" s="205"/>
      <c r="TVC77" s="205"/>
      <c r="TVD77" s="204"/>
      <c r="TVE77" s="206"/>
      <c r="TVF77" s="205"/>
      <c r="TVG77" s="205"/>
      <c r="TVH77" s="204"/>
      <c r="TVI77" s="206"/>
      <c r="TVJ77" s="205"/>
      <c r="TVK77" s="205"/>
      <c r="TVL77" s="204"/>
      <c r="TVM77" s="206"/>
      <c r="TVN77" s="205"/>
      <c r="TVO77" s="205"/>
      <c r="TVP77" s="204"/>
      <c r="TVQ77" s="206"/>
      <c r="TVR77" s="205"/>
      <c r="TVS77" s="205"/>
      <c r="TVT77" s="204"/>
      <c r="TVU77" s="206"/>
      <c r="TVV77" s="205"/>
      <c r="TVW77" s="205"/>
      <c r="TVX77" s="204"/>
      <c r="TVY77" s="206"/>
      <c r="TVZ77" s="205"/>
      <c r="TWA77" s="205"/>
      <c r="TWB77" s="204"/>
      <c r="TWC77" s="206"/>
      <c r="TWD77" s="205"/>
      <c r="TWE77" s="205"/>
      <c r="TWF77" s="204"/>
      <c r="TWG77" s="206"/>
      <c r="TWH77" s="205"/>
      <c r="TWI77" s="205"/>
      <c r="TWJ77" s="204"/>
      <c r="TWK77" s="206"/>
      <c r="TWL77" s="205"/>
      <c r="TWM77" s="205"/>
      <c r="TWN77" s="204"/>
      <c r="TWO77" s="206"/>
      <c r="TWP77" s="205"/>
      <c r="TWQ77" s="205"/>
      <c r="TWR77" s="204"/>
      <c r="TWS77" s="206"/>
      <c r="TWT77" s="205"/>
      <c r="TWU77" s="205"/>
      <c r="TWV77" s="204"/>
      <c r="TWW77" s="206"/>
      <c r="TWX77" s="205"/>
      <c r="TWY77" s="205"/>
      <c r="TWZ77" s="204"/>
      <c r="TXA77" s="206"/>
      <c r="TXB77" s="205"/>
      <c r="TXC77" s="205"/>
      <c r="TXD77" s="204"/>
      <c r="TXE77" s="206"/>
      <c r="TXF77" s="205"/>
      <c r="TXG77" s="205"/>
      <c r="TXH77" s="204"/>
      <c r="TXI77" s="206"/>
      <c r="TXJ77" s="205"/>
      <c r="TXK77" s="205"/>
      <c r="TXL77" s="204"/>
      <c r="TXM77" s="206"/>
      <c r="TXN77" s="205"/>
      <c r="TXO77" s="205"/>
      <c r="TXP77" s="204"/>
      <c r="TXQ77" s="206"/>
      <c r="TXR77" s="205"/>
      <c r="TXS77" s="205"/>
      <c r="TXT77" s="204"/>
      <c r="TXU77" s="206"/>
      <c r="TXV77" s="205"/>
      <c r="TXW77" s="205"/>
      <c r="TXX77" s="204"/>
      <c r="TXY77" s="206"/>
      <c r="TXZ77" s="205"/>
      <c r="TYA77" s="205"/>
      <c r="TYB77" s="204"/>
      <c r="TYC77" s="206"/>
      <c r="TYD77" s="205"/>
      <c r="TYE77" s="205"/>
      <c r="TYF77" s="204"/>
      <c r="TYG77" s="206"/>
      <c r="TYH77" s="205"/>
      <c r="TYI77" s="205"/>
      <c r="TYJ77" s="204"/>
      <c r="TYK77" s="206"/>
      <c r="TYL77" s="205"/>
      <c r="TYM77" s="205"/>
      <c r="TYN77" s="204"/>
      <c r="TYO77" s="206"/>
      <c r="TYP77" s="205"/>
      <c r="TYQ77" s="205"/>
      <c r="TYR77" s="204"/>
      <c r="TYS77" s="206"/>
      <c r="TYT77" s="205"/>
      <c r="TYU77" s="205"/>
      <c r="TYV77" s="204"/>
      <c r="TYW77" s="206"/>
      <c r="TYX77" s="205"/>
      <c r="TYY77" s="205"/>
      <c r="TYZ77" s="204"/>
      <c r="TZA77" s="206"/>
      <c r="TZB77" s="205"/>
      <c r="TZC77" s="205"/>
      <c r="TZD77" s="204"/>
      <c r="TZE77" s="206"/>
      <c r="TZF77" s="205"/>
      <c r="TZG77" s="205"/>
      <c r="TZH77" s="204"/>
      <c r="TZI77" s="206"/>
      <c r="TZJ77" s="205"/>
      <c r="TZK77" s="205"/>
      <c r="TZL77" s="204"/>
      <c r="TZM77" s="206"/>
      <c r="TZN77" s="205"/>
      <c r="TZO77" s="205"/>
      <c r="TZP77" s="204"/>
      <c r="TZQ77" s="206"/>
      <c r="TZR77" s="205"/>
      <c r="TZS77" s="205"/>
      <c r="TZT77" s="204"/>
      <c r="TZU77" s="206"/>
      <c r="TZV77" s="205"/>
      <c r="TZW77" s="205"/>
      <c r="TZX77" s="204"/>
      <c r="TZY77" s="206"/>
      <c r="TZZ77" s="205"/>
      <c r="UAA77" s="205"/>
      <c r="UAB77" s="204"/>
      <c r="UAC77" s="206"/>
      <c r="UAD77" s="205"/>
      <c r="UAE77" s="205"/>
      <c r="UAF77" s="204"/>
      <c r="UAG77" s="206"/>
      <c r="UAH77" s="205"/>
      <c r="UAI77" s="205"/>
      <c r="UAJ77" s="204"/>
      <c r="UAK77" s="206"/>
      <c r="UAL77" s="205"/>
      <c r="UAM77" s="205"/>
      <c r="UAN77" s="204"/>
      <c r="UAO77" s="206"/>
      <c r="UAP77" s="205"/>
      <c r="UAQ77" s="205"/>
      <c r="UAR77" s="204"/>
      <c r="UAS77" s="206"/>
      <c r="UAT77" s="205"/>
      <c r="UAU77" s="205"/>
      <c r="UAV77" s="204"/>
      <c r="UAW77" s="206"/>
      <c r="UAX77" s="205"/>
      <c r="UAY77" s="205"/>
      <c r="UAZ77" s="204"/>
      <c r="UBA77" s="206"/>
      <c r="UBB77" s="205"/>
      <c r="UBC77" s="205"/>
      <c r="UBD77" s="204"/>
      <c r="UBE77" s="206"/>
      <c r="UBF77" s="205"/>
      <c r="UBG77" s="205"/>
      <c r="UBH77" s="204"/>
      <c r="UBI77" s="206"/>
      <c r="UBJ77" s="205"/>
      <c r="UBK77" s="205"/>
      <c r="UBL77" s="204"/>
      <c r="UBM77" s="206"/>
      <c r="UBN77" s="205"/>
      <c r="UBO77" s="205"/>
      <c r="UBP77" s="204"/>
      <c r="UBQ77" s="206"/>
      <c r="UBR77" s="205"/>
      <c r="UBS77" s="205"/>
      <c r="UBT77" s="204"/>
      <c r="UBU77" s="206"/>
      <c r="UBV77" s="205"/>
      <c r="UBW77" s="205"/>
      <c r="UBX77" s="204"/>
      <c r="UBY77" s="206"/>
      <c r="UBZ77" s="205"/>
      <c r="UCA77" s="205"/>
      <c r="UCB77" s="204"/>
      <c r="UCC77" s="206"/>
      <c r="UCD77" s="205"/>
      <c r="UCE77" s="205"/>
      <c r="UCF77" s="204"/>
      <c r="UCG77" s="206"/>
      <c r="UCH77" s="205"/>
      <c r="UCI77" s="205"/>
      <c r="UCJ77" s="204"/>
      <c r="UCK77" s="206"/>
      <c r="UCL77" s="205"/>
      <c r="UCM77" s="205"/>
      <c r="UCN77" s="204"/>
      <c r="UCO77" s="206"/>
      <c r="UCP77" s="205"/>
      <c r="UCQ77" s="205"/>
      <c r="UCR77" s="204"/>
      <c r="UCS77" s="206"/>
      <c r="UCT77" s="205"/>
      <c r="UCU77" s="205"/>
      <c r="UCV77" s="204"/>
      <c r="UCW77" s="206"/>
      <c r="UCX77" s="205"/>
      <c r="UCY77" s="205"/>
      <c r="UCZ77" s="204"/>
      <c r="UDA77" s="206"/>
      <c r="UDB77" s="205"/>
      <c r="UDC77" s="205"/>
      <c r="UDD77" s="204"/>
      <c r="UDE77" s="206"/>
      <c r="UDF77" s="205"/>
      <c r="UDG77" s="205"/>
      <c r="UDH77" s="204"/>
      <c r="UDI77" s="206"/>
      <c r="UDJ77" s="205"/>
      <c r="UDK77" s="205"/>
      <c r="UDL77" s="204"/>
      <c r="UDM77" s="206"/>
      <c r="UDN77" s="205"/>
      <c r="UDO77" s="205"/>
      <c r="UDP77" s="204"/>
      <c r="UDQ77" s="206"/>
      <c r="UDR77" s="205"/>
      <c r="UDS77" s="205"/>
      <c r="UDT77" s="204"/>
      <c r="UDU77" s="206"/>
      <c r="UDV77" s="205"/>
      <c r="UDW77" s="205"/>
      <c r="UDX77" s="204"/>
      <c r="UDY77" s="206"/>
      <c r="UDZ77" s="205"/>
      <c r="UEA77" s="205"/>
      <c r="UEB77" s="204"/>
      <c r="UEC77" s="206"/>
      <c r="UED77" s="205"/>
      <c r="UEE77" s="205"/>
      <c r="UEF77" s="204"/>
      <c r="UEG77" s="206"/>
      <c r="UEH77" s="205"/>
      <c r="UEI77" s="205"/>
      <c r="UEJ77" s="204"/>
      <c r="UEK77" s="206"/>
      <c r="UEL77" s="205"/>
      <c r="UEM77" s="205"/>
      <c r="UEN77" s="204"/>
      <c r="UEO77" s="206"/>
      <c r="UEP77" s="205"/>
      <c r="UEQ77" s="205"/>
      <c r="UER77" s="204"/>
      <c r="UES77" s="206"/>
      <c r="UET77" s="205"/>
      <c r="UEU77" s="205"/>
      <c r="UEV77" s="204"/>
      <c r="UEW77" s="206"/>
      <c r="UEX77" s="205"/>
      <c r="UEY77" s="205"/>
      <c r="UEZ77" s="204"/>
      <c r="UFA77" s="206"/>
      <c r="UFB77" s="205"/>
      <c r="UFC77" s="205"/>
      <c r="UFD77" s="204"/>
      <c r="UFE77" s="206"/>
      <c r="UFF77" s="205"/>
      <c r="UFG77" s="205"/>
      <c r="UFH77" s="204"/>
      <c r="UFI77" s="206"/>
      <c r="UFJ77" s="205"/>
      <c r="UFK77" s="205"/>
      <c r="UFL77" s="204"/>
      <c r="UFM77" s="206"/>
      <c r="UFN77" s="205"/>
      <c r="UFO77" s="205"/>
      <c r="UFP77" s="204"/>
      <c r="UFQ77" s="206"/>
      <c r="UFR77" s="205"/>
      <c r="UFS77" s="205"/>
      <c r="UFT77" s="204"/>
      <c r="UFU77" s="206"/>
      <c r="UFV77" s="205"/>
      <c r="UFW77" s="205"/>
      <c r="UFX77" s="204"/>
      <c r="UFY77" s="206"/>
      <c r="UFZ77" s="205"/>
      <c r="UGA77" s="205"/>
      <c r="UGB77" s="204"/>
      <c r="UGC77" s="206"/>
      <c r="UGD77" s="205"/>
      <c r="UGE77" s="205"/>
      <c r="UGF77" s="204"/>
      <c r="UGG77" s="206"/>
      <c r="UGH77" s="205"/>
      <c r="UGI77" s="205"/>
      <c r="UGJ77" s="204"/>
      <c r="UGK77" s="206"/>
      <c r="UGL77" s="205"/>
      <c r="UGM77" s="205"/>
      <c r="UGN77" s="204"/>
      <c r="UGO77" s="206"/>
      <c r="UGP77" s="205"/>
      <c r="UGQ77" s="205"/>
      <c r="UGR77" s="204"/>
      <c r="UGS77" s="206"/>
      <c r="UGT77" s="205"/>
      <c r="UGU77" s="205"/>
      <c r="UGV77" s="204"/>
      <c r="UGW77" s="206"/>
      <c r="UGX77" s="205"/>
      <c r="UGY77" s="205"/>
      <c r="UGZ77" s="204"/>
      <c r="UHA77" s="206"/>
      <c r="UHB77" s="205"/>
      <c r="UHC77" s="205"/>
      <c r="UHD77" s="204"/>
      <c r="UHE77" s="206"/>
      <c r="UHF77" s="205"/>
      <c r="UHG77" s="205"/>
      <c r="UHH77" s="204"/>
      <c r="UHI77" s="206"/>
      <c r="UHJ77" s="205"/>
      <c r="UHK77" s="205"/>
      <c r="UHL77" s="204"/>
      <c r="UHM77" s="206"/>
      <c r="UHN77" s="205"/>
      <c r="UHO77" s="205"/>
      <c r="UHP77" s="204"/>
      <c r="UHQ77" s="206"/>
      <c r="UHR77" s="205"/>
      <c r="UHS77" s="205"/>
      <c r="UHT77" s="204"/>
      <c r="UHU77" s="206"/>
      <c r="UHV77" s="205"/>
      <c r="UHW77" s="205"/>
      <c r="UHX77" s="204"/>
      <c r="UHY77" s="206"/>
      <c r="UHZ77" s="205"/>
      <c r="UIA77" s="205"/>
      <c r="UIB77" s="204"/>
      <c r="UIC77" s="206"/>
      <c r="UID77" s="205"/>
      <c r="UIE77" s="205"/>
      <c r="UIF77" s="204"/>
      <c r="UIG77" s="206"/>
      <c r="UIH77" s="205"/>
      <c r="UII77" s="205"/>
      <c r="UIJ77" s="204"/>
      <c r="UIK77" s="206"/>
      <c r="UIL77" s="205"/>
      <c r="UIM77" s="205"/>
      <c r="UIN77" s="204"/>
      <c r="UIO77" s="206"/>
      <c r="UIP77" s="205"/>
      <c r="UIQ77" s="205"/>
      <c r="UIR77" s="204"/>
      <c r="UIS77" s="206"/>
      <c r="UIT77" s="205"/>
      <c r="UIU77" s="205"/>
      <c r="UIV77" s="204"/>
      <c r="UIW77" s="206"/>
      <c r="UIX77" s="205"/>
      <c r="UIY77" s="205"/>
      <c r="UIZ77" s="204"/>
      <c r="UJA77" s="206"/>
      <c r="UJB77" s="205"/>
      <c r="UJC77" s="205"/>
      <c r="UJD77" s="204"/>
      <c r="UJE77" s="206"/>
      <c r="UJF77" s="205"/>
      <c r="UJG77" s="205"/>
      <c r="UJH77" s="204"/>
      <c r="UJI77" s="206"/>
      <c r="UJJ77" s="205"/>
      <c r="UJK77" s="205"/>
      <c r="UJL77" s="204"/>
      <c r="UJM77" s="206"/>
      <c r="UJN77" s="205"/>
      <c r="UJO77" s="205"/>
      <c r="UJP77" s="204"/>
      <c r="UJQ77" s="206"/>
      <c r="UJR77" s="205"/>
      <c r="UJS77" s="205"/>
      <c r="UJT77" s="204"/>
      <c r="UJU77" s="206"/>
      <c r="UJV77" s="205"/>
      <c r="UJW77" s="205"/>
      <c r="UJX77" s="204"/>
      <c r="UJY77" s="206"/>
      <c r="UJZ77" s="205"/>
      <c r="UKA77" s="205"/>
      <c r="UKB77" s="204"/>
      <c r="UKC77" s="206"/>
      <c r="UKD77" s="205"/>
      <c r="UKE77" s="205"/>
      <c r="UKF77" s="204"/>
      <c r="UKG77" s="206"/>
      <c r="UKH77" s="205"/>
      <c r="UKI77" s="205"/>
      <c r="UKJ77" s="204"/>
      <c r="UKK77" s="206"/>
      <c r="UKL77" s="205"/>
      <c r="UKM77" s="205"/>
      <c r="UKN77" s="204"/>
      <c r="UKO77" s="206"/>
      <c r="UKP77" s="205"/>
      <c r="UKQ77" s="205"/>
      <c r="UKR77" s="204"/>
      <c r="UKS77" s="206"/>
      <c r="UKT77" s="205"/>
      <c r="UKU77" s="205"/>
      <c r="UKV77" s="204"/>
      <c r="UKW77" s="206"/>
      <c r="UKX77" s="205"/>
      <c r="UKY77" s="205"/>
      <c r="UKZ77" s="204"/>
      <c r="ULA77" s="206"/>
      <c r="ULB77" s="205"/>
      <c r="ULC77" s="205"/>
      <c r="ULD77" s="204"/>
      <c r="ULE77" s="206"/>
      <c r="ULF77" s="205"/>
      <c r="ULG77" s="205"/>
      <c r="ULH77" s="204"/>
      <c r="ULI77" s="206"/>
      <c r="ULJ77" s="205"/>
      <c r="ULK77" s="205"/>
      <c r="ULL77" s="204"/>
      <c r="ULM77" s="206"/>
      <c r="ULN77" s="205"/>
      <c r="ULO77" s="205"/>
      <c r="ULP77" s="204"/>
      <c r="ULQ77" s="206"/>
      <c r="ULR77" s="205"/>
      <c r="ULS77" s="205"/>
      <c r="ULT77" s="204"/>
      <c r="ULU77" s="206"/>
      <c r="ULV77" s="205"/>
      <c r="ULW77" s="205"/>
      <c r="ULX77" s="204"/>
      <c r="ULY77" s="206"/>
      <c r="ULZ77" s="205"/>
      <c r="UMA77" s="205"/>
      <c r="UMB77" s="204"/>
      <c r="UMC77" s="206"/>
      <c r="UMD77" s="205"/>
      <c r="UME77" s="205"/>
      <c r="UMF77" s="204"/>
      <c r="UMG77" s="206"/>
      <c r="UMH77" s="205"/>
      <c r="UMI77" s="205"/>
      <c r="UMJ77" s="204"/>
      <c r="UMK77" s="206"/>
      <c r="UML77" s="205"/>
      <c r="UMM77" s="205"/>
      <c r="UMN77" s="204"/>
      <c r="UMO77" s="206"/>
      <c r="UMP77" s="205"/>
      <c r="UMQ77" s="205"/>
      <c r="UMR77" s="204"/>
      <c r="UMS77" s="206"/>
      <c r="UMT77" s="205"/>
      <c r="UMU77" s="205"/>
      <c r="UMV77" s="204"/>
      <c r="UMW77" s="206"/>
      <c r="UMX77" s="205"/>
      <c r="UMY77" s="205"/>
      <c r="UMZ77" s="204"/>
      <c r="UNA77" s="206"/>
      <c r="UNB77" s="205"/>
      <c r="UNC77" s="205"/>
      <c r="UND77" s="204"/>
      <c r="UNE77" s="206"/>
      <c r="UNF77" s="205"/>
      <c r="UNG77" s="205"/>
      <c r="UNH77" s="204"/>
      <c r="UNI77" s="206"/>
      <c r="UNJ77" s="205"/>
      <c r="UNK77" s="205"/>
      <c r="UNL77" s="204"/>
      <c r="UNM77" s="206"/>
      <c r="UNN77" s="205"/>
      <c r="UNO77" s="205"/>
      <c r="UNP77" s="204"/>
      <c r="UNQ77" s="206"/>
      <c r="UNR77" s="205"/>
      <c r="UNS77" s="205"/>
      <c r="UNT77" s="204"/>
      <c r="UNU77" s="206"/>
      <c r="UNV77" s="205"/>
      <c r="UNW77" s="205"/>
      <c r="UNX77" s="204"/>
      <c r="UNY77" s="206"/>
      <c r="UNZ77" s="205"/>
      <c r="UOA77" s="205"/>
      <c r="UOB77" s="204"/>
      <c r="UOC77" s="206"/>
      <c r="UOD77" s="205"/>
      <c r="UOE77" s="205"/>
      <c r="UOF77" s="204"/>
      <c r="UOG77" s="206"/>
      <c r="UOH77" s="205"/>
      <c r="UOI77" s="205"/>
      <c r="UOJ77" s="204"/>
      <c r="UOK77" s="206"/>
      <c r="UOL77" s="205"/>
      <c r="UOM77" s="205"/>
      <c r="UON77" s="204"/>
      <c r="UOO77" s="206"/>
      <c r="UOP77" s="205"/>
      <c r="UOQ77" s="205"/>
      <c r="UOR77" s="204"/>
      <c r="UOS77" s="206"/>
      <c r="UOT77" s="205"/>
      <c r="UOU77" s="205"/>
      <c r="UOV77" s="204"/>
      <c r="UOW77" s="206"/>
      <c r="UOX77" s="205"/>
      <c r="UOY77" s="205"/>
      <c r="UOZ77" s="204"/>
      <c r="UPA77" s="206"/>
      <c r="UPB77" s="205"/>
      <c r="UPC77" s="205"/>
      <c r="UPD77" s="204"/>
      <c r="UPE77" s="206"/>
      <c r="UPF77" s="205"/>
      <c r="UPG77" s="205"/>
      <c r="UPH77" s="204"/>
      <c r="UPI77" s="206"/>
      <c r="UPJ77" s="205"/>
      <c r="UPK77" s="205"/>
      <c r="UPL77" s="204"/>
      <c r="UPM77" s="206"/>
      <c r="UPN77" s="205"/>
      <c r="UPO77" s="205"/>
      <c r="UPP77" s="204"/>
      <c r="UPQ77" s="206"/>
      <c r="UPR77" s="205"/>
      <c r="UPS77" s="205"/>
      <c r="UPT77" s="204"/>
      <c r="UPU77" s="206"/>
      <c r="UPV77" s="205"/>
      <c r="UPW77" s="205"/>
      <c r="UPX77" s="204"/>
      <c r="UPY77" s="206"/>
      <c r="UPZ77" s="205"/>
      <c r="UQA77" s="205"/>
      <c r="UQB77" s="204"/>
      <c r="UQC77" s="206"/>
      <c r="UQD77" s="205"/>
      <c r="UQE77" s="205"/>
      <c r="UQF77" s="204"/>
      <c r="UQG77" s="206"/>
      <c r="UQH77" s="205"/>
      <c r="UQI77" s="205"/>
      <c r="UQJ77" s="204"/>
      <c r="UQK77" s="206"/>
      <c r="UQL77" s="205"/>
      <c r="UQM77" s="205"/>
      <c r="UQN77" s="204"/>
      <c r="UQO77" s="206"/>
      <c r="UQP77" s="205"/>
      <c r="UQQ77" s="205"/>
      <c r="UQR77" s="204"/>
      <c r="UQS77" s="206"/>
      <c r="UQT77" s="205"/>
      <c r="UQU77" s="205"/>
      <c r="UQV77" s="204"/>
      <c r="UQW77" s="206"/>
      <c r="UQX77" s="205"/>
      <c r="UQY77" s="205"/>
      <c r="UQZ77" s="204"/>
      <c r="URA77" s="206"/>
      <c r="URB77" s="205"/>
      <c r="URC77" s="205"/>
      <c r="URD77" s="204"/>
      <c r="URE77" s="206"/>
      <c r="URF77" s="205"/>
      <c r="URG77" s="205"/>
      <c r="URH77" s="204"/>
      <c r="URI77" s="206"/>
      <c r="URJ77" s="205"/>
      <c r="URK77" s="205"/>
      <c r="URL77" s="204"/>
      <c r="URM77" s="206"/>
      <c r="URN77" s="205"/>
      <c r="URO77" s="205"/>
      <c r="URP77" s="204"/>
      <c r="URQ77" s="206"/>
      <c r="URR77" s="205"/>
      <c r="URS77" s="205"/>
      <c r="URT77" s="204"/>
      <c r="URU77" s="206"/>
      <c r="URV77" s="205"/>
      <c r="URW77" s="205"/>
      <c r="URX77" s="204"/>
      <c r="URY77" s="206"/>
      <c r="URZ77" s="205"/>
      <c r="USA77" s="205"/>
      <c r="USB77" s="204"/>
      <c r="USC77" s="206"/>
      <c r="USD77" s="205"/>
      <c r="USE77" s="205"/>
      <c r="USF77" s="204"/>
      <c r="USG77" s="206"/>
      <c r="USH77" s="205"/>
      <c r="USI77" s="205"/>
      <c r="USJ77" s="204"/>
      <c r="USK77" s="206"/>
      <c r="USL77" s="205"/>
      <c r="USM77" s="205"/>
      <c r="USN77" s="204"/>
      <c r="USO77" s="206"/>
      <c r="USP77" s="205"/>
      <c r="USQ77" s="205"/>
      <c r="USR77" s="204"/>
      <c r="USS77" s="206"/>
      <c r="UST77" s="205"/>
      <c r="USU77" s="205"/>
      <c r="USV77" s="204"/>
      <c r="USW77" s="206"/>
      <c r="USX77" s="205"/>
      <c r="USY77" s="205"/>
      <c r="USZ77" s="204"/>
      <c r="UTA77" s="206"/>
      <c r="UTB77" s="205"/>
      <c r="UTC77" s="205"/>
      <c r="UTD77" s="204"/>
      <c r="UTE77" s="206"/>
      <c r="UTF77" s="205"/>
      <c r="UTG77" s="205"/>
      <c r="UTH77" s="204"/>
      <c r="UTI77" s="206"/>
      <c r="UTJ77" s="205"/>
      <c r="UTK77" s="205"/>
      <c r="UTL77" s="204"/>
      <c r="UTM77" s="206"/>
      <c r="UTN77" s="205"/>
      <c r="UTO77" s="205"/>
      <c r="UTP77" s="204"/>
      <c r="UTQ77" s="206"/>
      <c r="UTR77" s="205"/>
      <c r="UTS77" s="205"/>
      <c r="UTT77" s="204"/>
      <c r="UTU77" s="206"/>
      <c r="UTV77" s="205"/>
      <c r="UTW77" s="205"/>
      <c r="UTX77" s="204"/>
      <c r="UTY77" s="206"/>
      <c r="UTZ77" s="205"/>
      <c r="UUA77" s="205"/>
      <c r="UUB77" s="204"/>
      <c r="UUC77" s="206"/>
      <c r="UUD77" s="205"/>
      <c r="UUE77" s="205"/>
      <c r="UUF77" s="204"/>
      <c r="UUG77" s="206"/>
      <c r="UUH77" s="205"/>
      <c r="UUI77" s="205"/>
      <c r="UUJ77" s="204"/>
      <c r="UUK77" s="206"/>
      <c r="UUL77" s="205"/>
      <c r="UUM77" s="205"/>
      <c r="UUN77" s="204"/>
      <c r="UUO77" s="206"/>
      <c r="UUP77" s="205"/>
      <c r="UUQ77" s="205"/>
      <c r="UUR77" s="204"/>
      <c r="UUS77" s="206"/>
      <c r="UUT77" s="205"/>
      <c r="UUU77" s="205"/>
      <c r="UUV77" s="204"/>
      <c r="UUW77" s="206"/>
      <c r="UUX77" s="205"/>
      <c r="UUY77" s="205"/>
      <c r="UUZ77" s="204"/>
      <c r="UVA77" s="206"/>
      <c r="UVB77" s="205"/>
      <c r="UVC77" s="205"/>
      <c r="UVD77" s="204"/>
      <c r="UVE77" s="206"/>
      <c r="UVF77" s="205"/>
      <c r="UVG77" s="205"/>
      <c r="UVH77" s="204"/>
      <c r="UVI77" s="206"/>
      <c r="UVJ77" s="205"/>
      <c r="UVK77" s="205"/>
      <c r="UVL77" s="204"/>
      <c r="UVM77" s="206"/>
      <c r="UVN77" s="205"/>
      <c r="UVO77" s="205"/>
      <c r="UVP77" s="204"/>
      <c r="UVQ77" s="206"/>
      <c r="UVR77" s="205"/>
      <c r="UVS77" s="205"/>
      <c r="UVT77" s="204"/>
      <c r="UVU77" s="206"/>
      <c r="UVV77" s="205"/>
      <c r="UVW77" s="205"/>
      <c r="UVX77" s="204"/>
      <c r="UVY77" s="206"/>
      <c r="UVZ77" s="205"/>
      <c r="UWA77" s="205"/>
      <c r="UWB77" s="204"/>
      <c r="UWC77" s="206"/>
      <c r="UWD77" s="205"/>
      <c r="UWE77" s="205"/>
      <c r="UWF77" s="204"/>
      <c r="UWG77" s="206"/>
      <c r="UWH77" s="205"/>
      <c r="UWI77" s="205"/>
      <c r="UWJ77" s="204"/>
      <c r="UWK77" s="206"/>
      <c r="UWL77" s="205"/>
      <c r="UWM77" s="205"/>
      <c r="UWN77" s="204"/>
      <c r="UWO77" s="206"/>
      <c r="UWP77" s="205"/>
      <c r="UWQ77" s="205"/>
      <c r="UWR77" s="204"/>
      <c r="UWS77" s="206"/>
      <c r="UWT77" s="205"/>
      <c r="UWU77" s="205"/>
      <c r="UWV77" s="204"/>
      <c r="UWW77" s="206"/>
      <c r="UWX77" s="205"/>
      <c r="UWY77" s="205"/>
      <c r="UWZ77" s="204"/>
      <c r="UXA77" s="206"/>
      <c r="UXB77" s="205"/>
      <c r="UXC77" s="205"/>
      <c r="UXD77" s="204"/>
      <c r="UXE77" s="206"/>
      <c r="UXF77" s="205"/>
      <c r="UXG77" s="205"/>
      <c r="UXH77" s="204"/>
      <c r="UXI77" s="206"/>
      <c r="UXJ77" s="205"/>
      <c r="UXK77" s="205"/>
      <c r="UXL77" s="204"/>
      <c r="UXM77" s="206"/>
      <c r="UXN77" s="205"/>
      <c r="UXO77" s="205"/>
      <c r="UXP77" s="204"/>
      <c r="UXQ77" s="206"/>
      <c r="UXR77" s="205"/>
      <c r="UXS77" s="205"/>
      <c r="UXT77" s="204"/>
      <c r="UXU77" s="206"/>
      <c r="UXV77" s="205"/>
      <c r="UXW77" s="205"/>
      <c r="UXX77" s="204"/>
      <c r="UXY77" s="206"/>
      <c r="UXZ77" s="205"/>
      <c r="UYA77" s="205"/>
      <c r="UYB77" s="204"/>
      <c r="UYC77" s="206"/>
      <c r="UYD77" s="205"/>
      <c r="UYE77" s="205"/>
      <c r="UYF77" s="204"/>
      <c r="UYG77" s="206"/>
      <c r="UYH77" s="205"/>
      <c r="UYI77" s="205"/>
      <c r="UYJ77" s="204"/>
      <c r="UYK77" s="206"/>
      <c r="UYL77" s="205"/>
      <c r="UYM77" s="205"/>
      <c r="UYN77" s="204"/>
      <c r="UYO77" s="206"/>
      <c r="UYP77" s="205"/>
      <c r="UYQ77" s="205"/>
      <c r="UYR77" s="204"/>
      <c r="UYS77" s="206"/>
      <c r="UYT77" s="205"/>
      <c r="UYU77" s="205"/>
      <c r="UYV77" s="204"/>
      <c r="UYW77" s="206"/>
      <c r="UYX77" s="205"/>
      <c r="UYY77" s="205"/>
      <c r="UYZ77" s="204"/>
      <c r="UZA77" s="206"/>
      <c r="UZB77" s="205"/>
      <c r="UZC77" s="205"/>
      <c r="UZD77" s="204"/>
      <c r="UZE77" s="206"/>
      <c r="UZF77" s="205"/>
      <c r="UZG77" s="205"/>
      <c r="UZH77" s="204"/>
      <c r="UZI77" s="206"/>
      <c r="UZJ77" s="205"/>
      <c r="UZK77" s="205"/>
      <c r="UZL77" s="204"/>
      <c r="UZM77" s="206"/>
      <c r="UZN77" s="205"/>
      <c r="UZO77" s="205"/>
      <c r="UZP77" s="204"/>
      <c r="UZQ77" s="206"/>
      <c r="UZR77" s="205"/>
      <c r="UZS77" s="205"/>
      <c r="UZT77" s="204"/>
      <c r="UZU77" s="206"/>
      <c r="UZV77" s="205"/>
      <c r="UZW77" s="205"/>
      <c r="UZX77" s="204"/>
      <c r="UZY77" s="206"/>
      <c r="UZZ77" s="205"/>
      <c r="VAA77" s="205"/>
      <c r="VAB77" s="204"/>
      <c r="VAC77" s="206"/>
      <c r="VAD77" s="205"/>
      <c r="VAE77" s="205"/>
      <c r="VAF77" s="204"/>
      <c r="VAG77" s="206"/>
      <c r="VAH77" s="205"/>
      <c r="VAI77" s="205"/>
      <c r="VAJ77" s="204"/>
      <c r="VAK77" s="206"/>
      <c r="VAL77" s="205"/>
      <c r="VAM77" s="205"/>
      <c r="VAN77" s="204"/>
      <c r="VAO77" s="206"/>
      <c r="VAP77" s="205"/>
      <c r="VAQ77" s="205"/>
      <c r="VAR77" s="204"/>
      <c r="VAS77" s="206"/>
      <c r="VAT77" s="205"/>
      <c r="VAU77" s="205"/>
      <c r="VAV77" s="204"/>
      <c r="VAW77" s="206"/>
      <c r="VAX77" s="205"/>
      <c r="VAY77" s="205"/>
      <c r="VAZ77" s="204"/>
      <c r="VBA77" s="206"/>
      <c r="VBB77" s="205"/>
      <c r="VBC77" s="205"/>
      <c r="VBD77" s="204"/>
      <c r="VBE77" s="206"/>
      <c r="VBF77" s="205"/>
      <c r="VBG77" s="205"/>
      <c r="VBH77" s="204"/>
      <c r="VBI77" s="206"/>
      <c r="VBJ77" s="205"/>
      <c r="VBK77" s="205"/>
      <c r="VBL77" s="204"/>
      <c r="VBM77" s="206"/>
      <c r="VBN77" s="205"/>
      <c r="VBO77" s="205"/>
      <c r="VBP77" s="204"/>
      <c r="VBQ77" s="206"/>
      <c r="VBR77" s="205"/>
      <c r="VBS77" s="205"/>
      <c r="VBT77" s="204"/>
      <c r="VBU77" s="206"/>
      <c r="VBV77" s="205"/>
      <c r="VBW77" s="205"/>
      <c r="VBX77" s="204"/>
      <c r="VBY77" s="206"/>
      <c r="VBZ77" s="205"/>
      <c r="VCA77" s="205"/>
      <c r="VCB77" s="204"/>
      <c r="VCC77" s="206"/>
      <c r="VCD77" s="205"/>
      <c r="VCE77" s="205"/>
      <c r="VCF77" s="204"/>
      <c r="VCG77" s="206"/>
      <c r="VCH77" s="205"/>
      <c r="VCI77" s="205"/>
      <c r="VCJ77" s="204"/>
      <c r="VCK77" s="206"/>
      <c r="VCL77" s="205"/>
      <c r="VCM77" s="205"/>
      <c r="VCN77" s="204"/>
      <c r="VCO77" s="206"/>
      <c r="VCP77" s="205"/>
      <c r="VCQ77" s="205"/>
      <c r="VCR77" s="204"/>
      <c r="VCS77" s="206"/>
      <c r="VCT77" s="205"/>
      <c r="VCU77" s="205"/>
      <c r="VCV77" s="204"/>
      <c r="VCW77" s="206"/>
      <c r="VCX77" s="205"/>
      <c r="VCY77" s="205"/>
      <c r="VCZ77" s="204"/>
      <c r="VDA77" s="206"/>
      <c r="VDB77" s="205"/>
      <c r="VDC77" s="205"/>
      <c r="VDD77" s="204"/>
      <c r="VDE77" s="206"/>
      <c r="VDF77" s="205"/>
      <c r="VDG77" s="205"/>
      <c r="VDH77" s="204"/>
      <c r="VDI77" s="206"/>
      <c r="VDJ77" s="205"/>
      <c r="VDK77" s="205"/>
      <c r="VDL77" s="204"/>
      <c r="VDM77" s="206"/>
      <c r="VDN77" s="205"/>
      <c r="VDO77" s="205"/>
      <c r="VDP77" s="204"/>
      <c r="VDQ77" s="206"/>
      <c r="VDR77" s="205"/>
      <c r="VDS77" s="205"/>
      <c r="VDT77" s="204"/>
      <c r="VDU77" s="206"/>
      <c r="VDV77" s="205"/>
      <c r="VDW77" s="205"/>
      <c r="VDX77" s="204"/>
      <c r="VDY77" s="206"/>
      <c r="VDZ77" s="205"/>
      <c r="VEA77" s="205"/>
      <c r="VEB77" s="204"/>
      <c r="VEC77" s="206"/>
      <c r="VED77" s="205"/>
      <c r="VEE77" s="205"/>
      <c r="VEF77" s="204"/>
      <c r="VEG77" s="206"/>
      <c r="VEH77" s="205"/>
      <c r="VEI77" s="205"/>
      <c r="VEJ77" s="204"/>
      <c r="VEK77" s="206"/>
      <c r="VEL77" s="205"/>
      <c r="VEM77" s="205"/>
      <c r="VEN77" s="204"/>
      <c r="VEO77" s="206"/>
      <c r="VEP77" s="205"/>
      <c r="VEQ77" s="205"/>
      <c r="VER77" s="204"/>
      <c r="VES77" s="206"/>
      <c r="VET77" s="205"/>
      <c r="VEU77" s="205"/>
      <c r="VEV77" s="204"/>
      <c r="VEW77" s="206"/>
      <c r="VEX77" s="205"/>
      <c r="VEY77" s="205"/>
      <c r="VEZ77" s="204"/>
      <c r="VFA77" s="206"/>
      <c r="VFB77" s="205"/>
      <c r="VFC77" s="205"/>
      <c r="VFD77" s="204"/>
      <c r="VFE77" s="206"/>
      <c r="VFF77" s="205"/>
      <c r="VFG77" s="205"/>
      <c r="VFH77" s="204"/>
      <c r="VFI77" s="206"/>
      <c r="VFJ77" s="205"/>
      <c r="VFK77" s="205"/>
      <c r="VFL77" s="204"/>
      <c r="VFM77" s="206"/>
      <c r="VFN77" s="205"/>
      <c r="VFO77" s="205"/>
      <c r="VFP77" s="204"/>
      <c r="VFQ77" s="206"/>
      <c r="VFR77" s="205"/>
      <c r="VFS77" s="205"/>
      <c r="VFT77" s="204"/>
      <c r="VFU77" s="206"/>
      <c r="VFV77" s="205"/>
      <c r="VFW77" s="205"/>
      <c r="VFX77" s="204"/>
      <c r="VFY77" s="206"/>
      <c r="VFZ77" s="205"/>
      <c r="VGA77" s="205"/>
      <c r="VGB77" s="204"/>
      <c r="VGC77" s="206"/>
      <c r="VGD77" s="205"/>
      <c r="VGE77" s="205"/>
      <c r="VGF77" s="204"/>
      <c r="VGG77" s="206"/>
      <c r="VGH77" s="205"/>
      <c r="VGI77" s="205"/>
      <c r="VGJ77" s="204"/>
      <c r="VGK77" s="206"/>
      <c r="VGL77" s="205"/>
      <c r="VGM77" s="205"/>
      <c r="VGN77" s="204"/>
      <c r="VGO77" s="206"/>
      <c r="VGP77" s="205"/>
      <c r="VGQ77" s="205"/>
      <c r="VGR77" s="204"/>
      <c r="VGS77" s="206"/>
      <c r="VGT77" s="205"/>
      <c r="VGU77" s="205"/>
      <c r="VGV77" s="204"/>
      <c r="VGW77" s="206"/>
      <c r="VGX77" s="205"/>
      <c r="VGY77" s="205"/>
      <c r="VGZ77" s="204"/>
      <c r="VHA77" s="206"/>
      <c r="VHB77" s="205"/>
      <c r="VHC77" s="205"/>
      <c r="VHD77" s="204"/>
      <c r="VHE77" s="206"/>
      <c r="VHF77" s="205"/>
      <c r="VHG77" s="205"/>
      <c r="VHH77" s="204"/>
      <c r="VHI77" s="206"/>
      <c r="VHJ77" s="205"/>
      <c r="VHK77" s="205"/>
      <c r="VHL77" s="204"/>
      <c r="VHM77" s="206"/>
      <c r="VHN77" s="205"/>
      <c r="VHO77" s="205"/>
      <c r="VHP77" s="204"/>
      <c r="VHQ77" s="206"/>
      <c r="VHR77" s="205"/>
      <c r="VHS77" s="205"/>
      <c r="VHT77" s="204"/>
      <c r="VHU77" s="206"/>
      <c r="VHV77" s="205"/>
      <c r="VHW77" s="205"/>
      <c r="VHX77" s="204"/>
      <c r="VHY77" s="206"/>
      <c r="VHZ77" s="205"/>
      <c r="VIA77" s="205"/>
      <c r="VIB77" s="204"/>
      <c r="VIC77" s="206"/>
      <c r="VID77" s="205"/>
      <c r="VIE77" s="205"/>
      <c r="VIF77" s="204"/>
      <c r="VIG77" s="206"/>
      <c r="VIH77" s="205"/>
      <c r="VII77" s="205"/>
      <c r="VIJ77" s="204"/>
      <c r="VIK77" s="206"/>
      <c r="VIL77" s="205"/>
      <c r="VIM77" s="205"/>
      <c r="VIN77" s="204"/>
      <c r="VIO77" s="206"/>
      <c r="VIP77" s="205"/>
      <c r="VIQ77" s="205"/>
      <c r="VIR77" s="204"/>
      <c r="VIS77" s="206"/>
      <c r="VIT77" s="205"/>
      <c r="VIU77" s="205"/>
      <c r="VIV77" s="204"/>
      <c r="VIW77" s="206"/>
      <c r="VIX77" s="205"/>
      <c r="VIY77" s="205"/>
      <c r="VIZ77" s="204"/>
      <c r="VJA77" s="206"/>
      <c r="VJB77" s="205"/>
      <c r="VJC77" s="205"/>
      <c r="VJD77" s="204"/>
      <c r="VJE77" s="206"/>
      <c r="VJF77" s="205"/>
      <c r="VJG77" s="205"/>
      <c r="VJH77" s="204"/>
      <c r="VJI77" s="206"/>
      <c r="VJJ77" s="205"/>
      <c r="VJK77" s="205"/>
      <c r="VJL77" s="204"/>
      <c r="VJM77" s="206"/>
      <c r="VJN77" s="205"/>
      <c r="VJO77" s="205"/>
      <c r="VJP77" s="204"/>
      <c r="VJQ77" s="206"/>
      <c r="VJR77" s="205"/>
      <c r="VJS77" s="205"/>
      <c r="VJT77" s="204"/>
      <c r="VJU77" s="206"/>
      <c r="VJV77" s="205"/>
      <c r="VJW77" s="205"/>
      <c r="VJX77" s="204"/>
      <c r="VJY77" s="206"/>
      <c r="VJZ77" s="205"/>
      <c r="VKA77" s="205"/>
      <c r="VKB77" s="204"/>
      <c r="VKC77" s="206"/>
      <c r="VKD77" s="205"/>
      <c r="VKE77" s="205"/>
      <c r="VKF77" s="204"/>
      <c r="VKG77" s="206"/>
      <c r="VKH77" s="205"/>
      <c r="VKI77" s="205"/>
      <c r="VKJ77" s="204"/>
      <c r="VKK77" s="206"/>
      <c r="VKL77" s="205"/>
      <c r="VKM77" s="205"/>
      <c r="VKN77" s="204"/>
      <c r="VKO77" s="206"/>
      <c r="VKP77" s="205"/>
      <c r="VKQ77" s="205"/>
      <c r="VKR77" s="204"/>
      <c r="VKS77" s="206"/>
      <c r="VKT77" s="205"/>
      <c r="VKU77" s="205"/>
      <c r="VKV77" s="204"/>
      <c r="VKW77" s="206"/>
      <c r="VKX77" s="205"/>
      <c r="VKY77" s="205"/>
      <c r="VKZ77" s="204"/>
      <c r="VLA77" s="206"/>
      <c r="VLB77" s="205"/>
      <c r="VLC77" s="205"/>
      <c r="VLD77" s="204"/>
      <c r="VLE77" s="206"/>
      <c r="VLF77" s="205"/>
      <c r="VLG77" s="205"/>
      <c r="VLH77" s="204"/>
      <c r="VLI77" s="206"/>
      <c r="VLJ77" s="205"/>
      <c r="VLK77" s="205"/>
      <c r="VLL77" s="204"/>
      <c r="VLM77" s="206"/>
      <c r="VLN77" s="205"/>
      <c r="VLO77" s="205"/>
      <c r="VLP77" s="204"/>
      <c r="VLQ77" s="206"/>
      <c r="VLR77" s="205"/>
      <c r="VLS77" s="205"/>
      <c r="VLT77" s="204"/>
      <c r="VLU77" s="206"/>
      <c r="VLV77" s="205"/>
      <c r="VLW77" s="205"/>
      <c r="VLX77" s="204"/>
      <c r="VLY77" s="206"/>
      <c r="VLZ77" s="205"/>
      <c r="VMA77" s="205"/>
      <c r="VMB77" s="204"/>
      <c r="VMC77" s="206"/>
      <c r="VMD77" s="205"/>
      <c r="VME77" s="205"/>
      <c r="VMF77" s="204"/>
      <c r="VMG77" s="206"/>
      <c r="VMH77" s="205"/>
      <c r="VMI77" s="205"/>
      <c r="VMJ77" s="204"/>
      <c r="VMK77" s="206"/>
      <c r="VML77" s="205"/>
      <c r="VMM77" s="205"/>
      <c r="VMN77" s="204"/>
      <c r="VMO77" s="206"/>
      <c r="VMP77" s="205"/>
      <c r="VMQ77" s="205"/>
      <c r="VMR77" s="204"/>
      <c r="VMS77" s="206"/>
      <c r="VMT77" s="205"/>
      <c r="VMU77" s="205"/>
      <c r="VMV77" s="204"/>
      <c r="VMW77" s="206"/>
      <c r="VMX77" s="205"/>
      <c r="VMY77" s="205"/>
      <c r="VMZ77" s="204"/>
      <c r="VNA77" s="206"/>
      <c r="VNB77" s="205"/>
      <c r="VNC77" s="205"/>
      <c r="VND77" s="204"/>
      <c r="VNE77" s="206"/>
      <c r="VNF77" s="205"/>
      <c r="VNG77" s="205"/>
      <c r="VNH77" s="204"/>
      <c r="VNI77" s="206"/>
      <c r="VNJ77" s="205"/>
      <c r="VNK77" s="205"/>
      <c r="VNL77" s="204"/>
      <c r="VNM77" s="206"/>
      <c r="VNN77" s="205"/>
      <c r="VNO77" s="205"/>
      <c r="VNP77" s="204"/>
      <c r="VNQ77" s="206"/>
      <c r="VNR77" s="205"/>
      <c r="VNS77" s="205"/>
      <c r="VNT77" s="204"/>
      <c r="VNU77" s="206"/>
      <c r="VNV77" s="205"/>
      <c r="VNW77" s="205"/>
      <c r="VNX77" s="204"/>
      <c r="VNY77" s="206"/>
      <c r="VNZ77" s="205"/>
      <c r="VOA77" s="205"/>
      <c r="VOB77" s="204"/>
      <c r="VOC77" s="206"/>
      <c r="VOD77" s="205"/>
      <c r="VOE77" s="205"/>
      <c r="VOF77" s="204"/>
      <c r="VOG77" s="206"/>
      <c r="VOH77" s="205"/>
      <c r="VOI77" s="205"/>
      <c r="VOJ77" s="204"/>
      <c r="VOK77" s="206"/>
      <c r="VOL77" s="205"/>
      <c r="VOM77" s="205"/>
      <c r="VON77" s="204"/>
      <c r="VOO77" s="206"/>
      <c r="VOP77" s="205"/>
      <c r="VOQ77" s="205"/>
      <c r="VOR77" s="204"/>
      <c r="VOS77" s="206"/>
      <c r="VOT77" s="205"/>
      <c r="VOU77" s="205"/>
      <c r="VOV77" s="204"/>
      <c r="VOW77" s="206"/>
      <c r="VOX77" s="205"/>
      <c r="VOY77" s="205"/>
      <c r="VOZ77" s="204"/>
      <c r="VPA77" s="206"/>
      <c r="VPB77" s="205"/>
      <c r="VPC77" s="205"/>
      <c r="VPD77" s="204"/>
      <c r="VPE77" s="206"/>
      <c r="VPF77" s="205"/>
      <c r="VPG77" s="205"/>
      <c r="VPH77" s="204"/>
      <c r="VPI77" s="206"/>
      <c r="VPJ77" s="205"/>
      <c r="VPK77" s="205"/>
      <c r="VPL77" s="204"/>
      <c r="VPM77" s="206"/>
      <c r="VPN77" s="205"/>
      <c r="VPO77" s="205"/>
      <c r="VPP77" s="204"/>
      <c r="VPQ77" s="206"/>
      <c r="VPR77" s="205"/>
      <c r="VPS77" s="205"/>
      <c r="VPT77" s="204"/>
      <c r="VPU77" s="206"/>
      <c r="VPV77" s="205"/>
      <c r="VPW77" s="205"/>
      <c r="VPX77" s="204"/>
      <c r="VPY77" s="206"/>
      <c r="VPZ77" s="205"/>
      <c r="VQA77" s="205"/>
      <c r="VQB77" s="204"/>
      <c r="VQC77" s="206"/>
      <c r="VQD77" s="205"/>
      <c r="VQE77" s="205"/>
      <c r="VQF77" s="204"/>
      <c r="VQG77" s="206"/>
      <c r="VQH77" s="205"/>
      <c r="VQI77" s="205"/>
      <c r="VQJ77" s="204"/>
      <c r="VQK77" s="206"/>
      <c r="VQL77" s="205"/>
      <c r="VQM77" s="205"/>
      <c r="VQN77" s="204"/>
      <c r="VQO77" s="206"/>
      <c r="VQP77" s="205"/>
      <c r="VQQ77" s="205"/>
      <c r="VQR77" s="204"/>
      <c r="VQS77" s="206"/>
      <c r="VQT77" s="205"/>
      <c r="VQU77" s="205"/>
      <c r="VQV77" s="204"/>
      <c r="VQW77" s="206"/>
      <c r="VQX77" s="205"/>
      <c r="VQY77" s="205"/>
      <c r="VQZ77" s="204"/>
      <c r="VRA77" s="206"/>
      <c r="VRB77" s="205"/>
      <c r="VRC77" s="205"/>
      <c r="VRD77" s="204"/>
      <c r="VRE77" s="206"/>
      <c r="VRF77" s="205"/>
      <c r="VRG77" s="205"/>
      <c r="VRH77" s="204"/>
      <c r="VRI77" s="206"/>
      <c r="VRJ77" s="205"/>
      <c r="VRK77" s="205"/>
      <c r="VRL77" s="204"/>
      <c r="VRM77" s="206"/>
      <c r="VRN77" s="205"/>
      <c r="VRO77" s="205"/>
      <c r="VRP77" s="204"/>
      <c r="VRQ77" s="206"/>
      <c r="VRR77" s="205"/>
      <c r="VRS77" s="205"/>
      <c r="VRT77" s="204"/>
      <c r="VRU77" s="206"/>
      <c r="VRV77" s="205"/>
      <c r="VRW77" s="205"/>
      <c r="VRX77" s="204"/>
      <c r="VRY77" s="206"/>
      <c r="VRZ77" s="205"/>
      <c r="VSA77" s="205"/>
      <c r="VSB77" s="204"/>
      <c r="VSC77" s="206"/>
      <c r="VSD77" s="205"/>
      <c r="VSE77" s="205"/>
      <c r="VSF77" s="204"/>
      <c r="VSG77" s="206"/>
      <c r="VSH77" s="205"/>
      <c r="VSI77" s="205"/>
      <c r="VSJ77" s="204"/>
      <c r="VSK77" s="206"/>
      <c r="VSL77" s="205"/>
      <c r="VSM77" s="205"/>
      <c r="VSN77" s="204"/>
      <c r="VSO77" s="206"/>
      <c r="VSP77" s="205"/>
      <c r="VSQ77" s="205"/>
      <c r="VSR77" s="204"/>
      <c r="VSS77" s="206"/>
      <c r="VST77" s="205"/>
      <c r="VSU77" s="205"/>
      <c r="VSV77" s="204"/>
      <c r="VSW77" s="206"/>
      <c r="VSX77" s="205"/>
      <c r="VSY77" s="205"/>
      <c r="VSZ77" s="204"/>
      <c r="VTA77" s="206"/>
      <c r="VTB77" s="205"/>
      <c r="VTC77" s="205"/>
      <c r="VTD77" s="204"/>
      <c r="VTE77" s="206"/>
      <c r="VTF77" s="205"/>
      <c r="VTG77" s="205"/>
      <c r="VTH77" s="204"/>
      <c r="VTI77" s="206"/>
      <c r="VTJ77" s="205"/>
      <c r="VTK77" s="205"/>
      <c r="VTL77" s="204"/>
      <c r="VTM77" s="206"/>
      <c r="VTN77" s="205"/>
      <c r="VTO77" s="205"/>
      <c r="VTP77" s="204"/>
      <c r="VTQ77" s="206"/>
      <c r="VTR77" s="205"/>
      <c r="VTS77" s="205"/>
      <c r="VTT77" s="204"/>
      <c r="VTU77" s="206"/>
      <c r="VTV77" s="205"/>
      <c r="VTW77" s="205"/>
      <c r="VTX77" s="204"/>
      <c r="VTY77" s="206"/>
      <c r="VTZ77" s="205"/>
      <c r="VUA77" s="205"/>
      <c r="VUB77" s="204"/>
      <c r="VUC77" s="206"/>
      <c r="VUD77" s="205"/>
      <c r="VUE77" s="205"/>
      <c r="VUF77" s="204"/>
      <c r="VUG77" s="206"/>
      <c r="VUH77" s="205"/>
      <c r="VUI77" s="205"/>
      <c r="VUJ77" s="204"/>
      <c r="VUK77" s="206"/>
      <c r="VUL77" s="205"/>
      <c r="VUM77" s="205"/>
      <c r="VUN77" s="204"/>
      <c r="VUO77" s="206"/>
      <c r="VUP77" s="205"/>
      <c r="VUQ77" s="205"/>
      <c r="VUR77" s="204"/>
      <c r="VUS77" s="206"/>
      <c r="VUT77" s="205"/>
      <c r="VUU77" s="205"/>
      <c r="VUV77" s="204"/>
      <c r="VUW77" s="206"/>
      <c r="VUX77" s="205"/>
      <c r="VUY77" s="205"/>
      <c r="VUZ77" s="204"/>
      <c r="VVA77" s="206"/>
      <c r="VVB77" s="205"/>
      <c r="VVC77" s="205"/>
      <c r="VVD77" s="204"/>
      <c r="VVE77" s="206"/>
      <c r="VVF77" s="205"/>
      <c r="VVG77" s="205"/>
      <c r="VVH77" s="204"/>
      <c r="VVI77" s="206"/>
      <c r="VVJ77" s="205"/>
      <c r="VVK77" s="205"/>
      <c r="VVL77" s="204"/>
      <c r="VVM77" s="206"/>
      <c r="VVN77" s="205"/>
      <c r="VVO77" s="205"/>
      <c r="VVP77" s="204"/>
      <c r="VVQ77" s="206"/>
      <c r="VVR77" s="205"/>
      <c r="VVS77" s="205"/>
      <c r="VVT77" s="204"/>
      <c r="VVU77" s="206"/>
      <c r="VVV77" s="205"/>
      <c r="VVW77" s="205"/>
      <c r="VVX77" s="204"/>
      <c r="VVY77" s="206"/>
      <c r="VVZ77" s="205"/>
      <c r="VWA77" s="205"/>
      <c r="VWB77" s="204"/>
      <c r="VWC77" s="206"/>
      <c r="VWD77" s="205"/>
      <c r="VWE77" s="205"/>
      <c r="VWF77" s="204"/>
      <c r="VWG77" s="206"/>
      <c r="VWH77" s="205"/>
      <c r="VWI77" s="205"/>
      <c r="VWJ77" s="204"/>
      <c r="VWK77" s="206"/>
      <c r="VWL77" s="205"/>
      <c r="VWM77" s="205"/>
      <c r="VWN77" s="204"/>
      <c r="VWO77" s="206"/>
      <c r="VWP77" s="205"/>
      <c r="VWQ77" s="205"/>
      <c r="VWR77" s="204"/>
      <c r="VWS77" s="206"/>
      <c r="VWT77" s="205"/>
      <c r="VWU77" s="205"/>
      <c r="VWV77" s="204"/>
      <c r="VWW77" s="206"/>
      <c r="VWX77" s="205"/>
      <c r="VWY77" s="205"/>
      <c r="VWZ77" s="204"/>
      <c r="VXA77" s="206"/>
      <c r="VXB77" s="205"/>
      <c r="VXC77" s="205"/>
      <c r="VXD77" s="204"/>
      <c r="VXE77" s="206"/>
      <c r="VXF77" s="205"/>
      <c r="VXG77" s="205"/>
      <c r="VXH77" s="204"/>
      <c r="VXI77" s="206"/>
      <c r="VXJ77" s="205"/>
      <c r="VXK77" s="205"/>
      <c r="VXL77" s="204"/>
      <c r="VXM77" s="206"/>
      <c r="VXN77" s="205"/>
      <c r="VXO77" s="205"/>
      <c r="VXP77" s="204"/>
      <c r="VXQ77" s="206"/>
      <c r="VXR77" s="205"/>
      <c r="VXS77" s="205"/>
      <c r="VXT77" s="204"/>
      <c r="VXU77" s="206"/>
      <c r="VXV77" s="205"/>
      <c r="VXW77" s="205"/>
      <c r="VXX77" s="204"/>
      <c r="VXY77" s="206"/>
      <c r="VXZ77" s="205"/>
      <c r="VYA77" s="205"/>
      <c r="VYB77" s="204"/>
      <c r="VYC77" s="206"/>
      <c r="VYD77" s="205"/>
      <c r="VYE77" s="205"/>
      <c r="VYF77" s="204"/>
      <c r="VYG77" s="206"/>
      <c r="VYH77" s="205"/>
      <c r="VYI77" s="205"/>
      <c r="VYJ77" s="204"/>
      <c r="VYK77" s="206"/>
      <c r="VYL77" s="205"/>
      <c r="VYM77" s="205"/>
      <c r="VYN77" s="204"/>
      <c r="VYO77" s="206"/>
      <c r="VYP77" s="205"/>
      <c r="VYQ77" s="205"/>
      <c r="VYR77" s="204"/>
      <c r="VYS77" s="206"/>
      <c r="VYT77" s="205"/>
      <c r="VYU77" s="205"/>
      <c r="VYV77" s="204"/>
      <c r="VYW77" s="206"/>
      <c r="VYX77" s="205"/>
      <c r="VYY77" s="205"/>
      <c r="VYZ77" s="204"/>
      <c r="VZA77" s="206"/>
      <c r="VZB77" s="205"/>
      <c r="VZC77" s="205"/>
      <c r="VZD77" s="204"/>
      <c r="VZE77" s="206"/>
      <c r="VZF77" s="205"/>
      <c r="VZG77" s="205"/>
      <c r="VZH77" s="204"/>
      <c r="VZI77" s="206"/>
      <c r="VZJ77" s="205"/>
      <c r="VZK77" s="205"/>
      <c r="VZL77" s="204"/>
      <c r="VZM77" s="206"/>
      <c r="VZN77" s="205"/>
      <c r="VZO77" s="205"/>
      <c r="VZP77" s="204"/>
      <c r="VZQ77" s="206"/>
      <c r="VZR77" s="205"/>
      <c r="VZS77" s="205"/>
      <c r="VZT77" s="204"/>
      <c r="VZU77" s="206"/>
      <c r="VZV77" s="205"/>
      <c r="VZW77" s="205"/>
      <c r="VZX77" s="204"/>
      <c r="VZY77" s="206"/>
      <c r="VZZ77" s="205"/>
      <c r="WAA77" s="205"/>
      <c r="WAB77" s="204"/>
      <c r="WAC77" s="206"/>
      <c r="WAD77" s="205"/>
      <c r="WAE77" s="205"/>
      <c r="WAF77" s="204"/>
      <c r="WAG77" s="206"/>
      <c r="WAH77" s="205"/>
      <c r="WAI77" s="205"/>
      <c r="WAJ77" s="204"/>
      <c r="WAK77" s="206"/>
      <c r="WAL77" s="205"/>
      <c r="WAM77" s="205"/>
      <c r="WAN77" s="204"/>
      <c r="WAO77" s="206"/>
      <c r="WAP77" s="205"/>
      <c r="WAQ77" s="205"/>
      <c r="WAR77" s="204"/>
      <c r="WAS77" s="206"/>
      <c r="WAT77" s="205"/>
      <c r="WAU77" s="205"/>
      <c r="WAV77" s="204"/>
      <c r="WAW77" s="206"/>
      <c r="WAX77" s="205"/>
      <c r="WAY77" s="205"/>
      <c r="WAZ77" s="204"/>
      <c r="WBA77" s="206"/>
      <c r="WBB77" s="205"/>
      <c r="WBC77" s="205"/>
      <c r="WBD77" s="204"/>
      <c r="WBE77" s="206"/>
      <c r="WBF77" s="205"/>
      <c r="WBG77" s="205"/>
      <c r="WBH77" s="204"/>
      <c r="WBI77" s="206"/>
      <c r="WBJ77" s="205"/>
      <c r="WBK77" s="205"/>
      <c r="WBL77" s="204"/>
      <c r="WBM77" s="206"/>
      <c r="WBN77" s="205"/>
      <c r="WBO77" s="205"/>
      <c r="WBP77" s="204"/>
      <c r="WBQ77" s="206"/>
      <c r="WBR77" s="205"/>
      <c r="WBS77" s="205"/>
      <c r="WBT77" s="204"/>
      <c r="WBU77" s="206"/>
      <c r="WBV77" s="205"/>
      <c r="WBW77" s="205"/>
      <c r="WBX77" s="204"/>
      <c r="WBY77" s="206"/>
      <c r="WBZ77" s="205"/>
      <c r="WCA77" s="205"/>
      <c r="WCB77" s="204"/>
      <c r="WCC77" s="206"/>
      <c r="WCD77" s="205"/>
      <c r="WCE77" s="205"/>
      <c r="WCF77" s="204"/>
      <c r="WCG77" s="206"/>
      <c r="WCH77" s="205"/>
      <c r="WCI77" s="205"/>
      <c r="WCJ77" s="204"/>
      <c r="WCK77" s="206"/>
      <c r="WCL77" s="205"/>
      <c r="WCM77" s="205"/>
      <c r="WCN77" s="204"/>
      <c r="WCO77" s="206"/>
      <c r="WCP77" s="205"/>
      <c r="WCQ77" s="205"/>
      <c r="WCR77" s="204"/>
      <c r="WCS77" s="206"/>
      <c r="WCT77" s="205"/>
      <c r="WCU77" s="205"/>
      <c r="WCV77" s="204"/>
      <c r="WCW77" s="206"/>
      <c r="WCX77" s="205"/>
      <c r="WCY77" s="205"/>
      <c r="WCZ77" s="204"/>
      <c r="WDA77" s="206"/>
      <c r="WDB77" s="205"/>
      <c r="WDC77" s="205"/>
      <c r="WDD77" s="204"/>
      <c r="WDE77" s="206"/>
      <c r="WDF77" s="205"/>
      <c r="WDG77" s="205"/>
      <c r="WDH77" s="204"/>
      <c r="WDI77" s="206"/>
      <c r="WDJ77" s="205"/>
      <c r="WDK77" s="205"/>
      <c r="WDL77" s="204"/>
      <c r="WDM77" s="206"/>
      <c r="WDN77" s="205"/>
      <c r="WDO77" s="205"/>
      <c r="WDP77" s="204"/>
      <c r="WDQ77" s="206"/>
      <c r="WDR77" s="205"/>
      <c r="WDS77" s="205"/>
      <c r="WDT77" s="204"/>
      <c r="WDU77" s="206"/>
      <c r="WDV77" s="205"/>
      <c r="WDW77" s="205"/>
      <c r="WDX77" s="204"/>
      <c r="WDY77" s="206"/>
      <c r="WDZ77" s="205"/>
      <c r="WEA77" s="205"/>
      <c r="WEB77" s="204"/>
      <c r="WEC77" s="206"/>
      <c r="WED77" s="205"/>
      <c r="WEE77" s="205"/>
      <c r="WEF77" s="204"/>
      <c r="WEG77" s="206"/>
      <c r="WEH77" s="205"/>
      <c r="WEI77" s="205"/>
      <c r="WEJ77" s="204"/>
      <c r="WEK77" s="206"/>
      <c r="WEL77" s="205"/>
      <c r="WEM77" s="205"/>
      <c r="WEN77" s="204"/>
      <c r="WEO77" s="206"/>
      <c r="WEP77" s="205"/>
      <c r="WEQ77" s="205"/>
      <c r="WER77" s="204"/>
      <c r="WES77" s="206"/>
      <c r="WET77" s="205"/>
      <c r="WEU77" s="205"/>
      <c r="WEV77" s="204"/>
      <c r="WEW77" s="206"/>
      <c r="WEX77" s="205"/>
      <c r="WEY77" s="205"/>
      <c r="WEZ77" s="204"/>
      <c r="WFA77" s="206"/>
      <c r="WFB77" s="205"/>
      <c r="WFC77" s="205"/>
      <c r="WFD77" s="204"/>
      <c r="WFE77" s="206"/>
      <c r="WFF77" s="205"/>
      <c r="WFG77" s="205"/>
      <c r="WFH77" s="204"/>
      <c r="WFI77" s="206"/>
      <c r="WFJ77" s="205"/>
      <c r="WFK77" s="205"/>
      <c r="WFL77" s="204"/>
      <c r="WFM77" s="206"/>
      <c r="WFN77" s="205"/>
      <c r="WFO77" s="205"/>
      <c r="WFP77" s="204"/>
      <c r="WFQ77" s="206"/>
      <c r="WFR77" s="205"/>
      <c r="WFS77" s="205"/>
      <c r="WFT77" s="204"/>
      <c r="WFU77" s="206"/>
      <c r="WFV77" s="205"/>
      <c r="WFW77" s="205"/>
      <c r="WFX77" s="204"/>
      <c r="WFY77" s="206"/>
      <c r="WFZ77" s="205"/>
      <c r="WGA77" s="205"/>
      <c r="WGB77" s="204"/>
      <c r="WGC77" s="206"/>
      <c r="WGD77" s="205"/>
      <c r="WGE77" s="205"/>
      <c r="WGF77" s="204"/>
      <c r="WGG77" s="206"/>
      <c r="WGH77" s="205"/>
      <c r="WGI77" s="205"/>
      <c r="WGJ77" s="204"/>
      <c r="WGK77" s="206"/>
      <c r="WGL77" s="205"/>
      <c r="WGM77" s="205"/>
      <c r="WGN77" s="204"/>
      <c r="WGO77" s="206"/>
      <c r="WGP77" s="205"/>
      <c r="WGQ77" s="205"/>
      <c r="WGR77" s="204"/>
      <c r="WGS77" s="206"/>
      <c r="WGT77" s="205"/>
      <c r="WGU77" s="205"/>
      <c r="WGV77" s="204"/>
      <c r="WGW77" s="206"/>
      <c r="WGX77" s="205"/>
      <c r="WGY77" s="205"/>
      <c r="WGZ77" s="204"/>
      <c r="WHA77" s="206"/>
      <c r="WHB77" s="205"/>
      <c r="WHC77" s="205"/>
      <c r="WHD77" s="204"/>
      <c r="WHE77" s="206"/>
      <c r="WHF77" s="205"/>
      <c r="WHG77" s="205"/>
      <c r="WHH77" s="204"/>
      <c r="WHI77" s="206"/>
      <c r="WHJ77" s="205"/>
      <c r="WHK77" s="205"/>
      <c r="WHL77" s="204"/>
      <c r="WHM77" s="206"/>
      <c r="WHN77" s="205"/>
      <c r="WHO77" s="205"/>
      <c r="WHP77" s="204"/>
      <c r="WHQ77" s="206"/>
      <c r="WHR77" s="205"/>
      <c r="WHS77" s="205"/>
      <c r="WHT77" s="204"/>
      <c r="WHU77" s="206"/>
      <c r="WHV77" s="205"/>
      <c r="WHW77" s="205"/>
      <c r="WHX77" s="204"/>
      <c r="WHY77" s="206"/>
      <c r="WHZ77" s="205"/>
      <c r="WIA77" s="205"/>
      <c r="WIB77" s="204"/>
      <c r="WIC77" s="206"/>
      <c r="WID77" s="205"/>
      <c r="WIE77" s="205"/>
      <c r="WIF77" s="204"/>
      <c r="WIG77" s="206"/>
      <c r="WIH77" s="205"/>
      <c r="WII77" s="205"/>
      <c r="WIJ77" s="204"/>
      <c r="WIK77" s="206"/>
      <c r="WIL77" s="205"/>
      <c r="WIM77" s="205"/>
      <c r="WIN77" s="204"/>
      <c r="WIO77" s="206"/>
      <c r="WIP77" s="205"/>
      <c r="WIQ77" s="205"/>
      <c r="WIR77" s="204"/>
      <c r="WIS77" s="206"/>
      <c r="WIT77" s="205"/>
      <c r="WIU77" s="205"/>
      <c r="WIV77" s="204"/>
      <c r="WIW77" s="206"/>
      <c r="WIX77" s="205"/>
      <c r="WIY77" s="205"/>
      <c r="WIZ77" s="204"/>
      <c r="WJA77" s="206"/>
      <c r="WJB77" s="205"/>
      <c r="WJC77" s="205"/>
      <c r="WJD77" s="204"/>
      <c r="WJE77" s="206"/>
      <c r="WJF77" s="205"/>
      <c r="WJG77" s="205"/>
      <c r="WJH77" s="204"/>
      <c r="WJI77" s="206"/>
      <c r="WJJ77" s="205"/>
      <c r="WJK77" s="205"/>
      <c r="WJL77" s="204"/>
      <c r="WJM77" s="206"/>
      <c r="WJN77" s="205"/>
      <c r="WJO77" s="205"/>
      <c r="WJP77" s="204"/>
      <c r="WJQ77" s="206"/>
      <c r="WJR77" s="205"/>
      <c r="WJS77" s="205"/>
      <c r="WJT77" s="204"/>
      <c r="WJU77" s="206"/>
      <c r="WJV77" s="205"/>
      <c r="WJW77" s="205"/>
      <c r="WJX77" s="204"/>
      <c r="WJY77" s="206"/>
      <c r="WJZ77" s="205"/>
      <c r="WKA77" s="205"/>
      <c r="WKB77" s="204"/>
      <c r="WKC77" s="206"/>
      <c r="WKD77" s="205"/>
      <c r="WKE77" s="205"/>
      <c r="WKF77" s="204"/>
      <c r="WKG77" s="206"/>
      <c r="WKH77" s="205"/>
      <c r="WKI77" s="205"/>
      <c r="WKJ77" s="204"/>
      <c r="WKK77" s="206"/>
      <c r="WKL77" s="205"/>
      <c r="WKM77" s="205"/>
      <c r="WKN77" s="204"/>
      <c r="WKO77" s="206"/>
      <c r="WKP77" s="205"/>
      <c r="WKQ77" s="205"/>
      <c r="WKR77" s="204"/>
      <c r="WKS77" s="206"/>
      <c r="WKT77" s="205"/>
      <c r="WKU77" s="205"/>
      <c r="WKV77" s="204"/>
      <c r="WKW77" s="206"/>
      <c r="WKX77" s="205"/>
      <c r="WKY77" s="205"/>
      <c r="WKZ77" s="204"/>
      <c r="WLA77" s="206"/>
      <c r="WLB77" s="205"/>
      <c r="WLC77" s="205"/>
      <c r="WLD77" s="204"/>
      <c r="WLE77" s="206"/>
      <c r="WLF77" s="205"/>
      <c r="WLG77" s="205"/>
      <c r="WLH77" s="204"/>
      <c r="WLI77" s="206"/>
      <c r="WLJ77" s="205"/>
      <c r="WLK77" s="205"/>
      <c r="WLL77" s="204"/>
      <c r="WLM77" s="206"/>
      <c r="WLN77" s="205"/>
      <c r="WLO77" s="205"/>
      <c r="WLP77" s="204"/>
      <c r="WLQ77" s="206"/>
      <c r="WLR77" s="205"/>
      <c r="WLS77" s="205"/>
      <c r="WLT77" s="204"/>
      <c r="WLU77" s="206"/>
      <c r="WLV77" s="205"/>
      <c r="WLW77" s="205"/>
      <c r="WLX77" s="204"/>
      <c r="WLY77" s="206"/>
      <c r="WLZ77" s="205"/>
      <c r="WMA77" s="205"/>
      <c r="WMB77" s="204"/>
      <c r="WMC77" s="206"/>
      <c r="WMD77" s="205"/>
      <c r="WME77" s="205"/>
      <c r="WMF77" s="204"/>
      <c r="WMG77" s="206"/>
      <c r="WMH77" s="205"/>
      <c r="WMI77" s="205"/>
      <c r="WMJ77" s="204"/>
      <c r="WMK77" s="206"/>
      <c r="WML77" s="205"/>
      <c r="WMM77" s="205"/>
      <c r="WMN77" s="204"/>
      <c r="WMO77" s="206"/>
      <c r="WMP77" s="205"/>
      <c r="WMQ77" s="205"/>
      <c r="WMR77" s="204"/>
      <c r="WMS77" s="206"/>
      <c r="WMT77" s="205"/>
      <c r="WMU77" s="205"/>
      <c r="WMV77" s="204"/>
      <c r="WMW77" s="206"/>
      <c r="WMX77" s="205"/>
      <c r="WMY77" s="205"/>
      <c r="WMZ77" s="204"/>
      <c r="WNA77" s="206"/>
      <c r="WNB77" s="205"/>
      <c r="WNC77" s="205"/>
      <c r="WND77" s="204"/>
      <c r="WNE77" s="206"/>
      <c r="WNF77" s="205"/>
      <c r="WNG77" s="205"/>
      <c r="WNH77" s="204"/>
      <c r="WNI77" s="206"/>
      <c r="WNJ77" s="205"/>
      <c r="WNK77" s="205"/>
      <c r="WNL77" s="204"/>
      <c r="WNM77" s="206"/>
      <c r="WNN77" s="205"/>
      <c r="WNO77" s="205"/>
      <c r="WNP77" s="204"/>
      <c r="WNQ77" s="206"/>
      <c r="WNR77" s="205"/>
      <c r="WNS77" s="205"/>
      <c r="WNT77" s="204"/>
      <c r="WNU77" s="206"/>
      <c r="WNV77" s="205"/>
      <c r="WNW77" s="205"/>
      <c r="WNX77" s="204"/>
      <c r="WNY77" s="206"/>
      <c r="WNZ77" s="205"/>
      <c r="WOA77" s="205"/>
      <c r="WOB77" s="204"/>
      <c r="WOC77" s="206"/>
      <c r="WOD77" s="205"/>
      <c r="WOE77" s="205"/>
      <c r="WOF77" s="204"/>
      <c r="WOG77" s="206"/>
      <c r="WOH77" s="205"/>
      <c r="WOI77" s="205"/>
      <c r="WOJ77" s="204"/>
      <c r="WOK77" s="206"/>
      <c r="WOL77" s="205"/>
      <c r="WOM77" s="205"/>
      <c r="WON77" s="204"/>
      <c r="WOO77" s="206"/>
      <c r="WOP77" s="205"/>
      <c r="WOQ77" s="205"/>
      <c r="WOR77" s="204"/>
      <c r="WOS77" s="206"/>
      <c r="WOT77" s="205"/>
      <c r="WOU77" s="205"/>
      <c r="WOV77" s="204"/>
      <c r="WOW77" s="206"/>
      <c r="WOX77" s="205"/>
      <c r="WOY77" s="205"/>
      <c r="WOZ77" s="204"/>
      <c r="WPA77" s="206"/>
      <c r="WPB77" s="205"/>
      <c r="WPC77" s="205"/>
      <c r="WPD77" s="204"/>
      <c r="WPE77" s="206"/>
      <c r="WPF77" s="205"/>
      <c r="WPG77" s="205"/>
      <c r="WPH77" s="204"/>
      <c r="WPI77" s="206"/>
      <c r="WPJ77" s="205"/>
      <c r="WPK77" s="205"/>
      <c r="WPL77" s="204"/>
      <c r="WPM77" s="206"/>
      <c r="WPN77" s="205"/>
      <c r="WPO77" s="205"/>
      <c r="WPP77" s="204"/>
      <c r="WPQ77" s="206"/>
      <c r="WPR77" s="205"/>
      <c r="WPS77" s="205"/>
      <c r="WPT77" s="204"/>
      <c r="WPU77" s="206"/>
      <c r="WPV77" s="205"/>
      <c r="WPW77" s="205"/>
      <c r="WPX77" s="204"/>
      <c r="WPY77" s="206"/>
      <c r="WPZ77" s="205"/>
      <c r="WQA77" s="205"/>
      <c r="WQB77" s="204"/>
      <c r="WQC77" s="206"/>
      <c r="WQD77" s="205"/>
      <c r="WQE77" s="205"/>
      <c r="WQF77" s="204"/>
      <c r="WQG77" s="206"/>
      <c r="WQH77" s="205"/>
      <c r="WQI77" s="205"/>
      <c r="WQJ77" s="204"/>
      <c r="WQK77" s="206"/>
      <c r="WQL77" s="205"/>
      <c r="WQM77" s="205"/>
      <c r="WQN77" s="204"/>
      <c r="WQO77" s="206"/>
      <c r="WQP77" s="205"/>
      <c r="WQQ77" s="205"/>
      <c r="WQR77" s="204"/>
      <c r="WQS77" s="206"/>
      <c r="WQT77" s="205"/>
      <c r="WQU77" s="205"/>
      <c r="WQV77" s="204"/>
      <c r="WQW77" s="206"/>
      <c r="WQX77" s="205"/>
      <c r="WQY77" s="205"/>
      <c r="WQZ77" s="204"/>
      <c r="WRA77" s="206"/>
      <c r="WRB77" s="205"/>
      <c r="WRC77" s="205"/>
      <c r="WRD77" s="204"/>
      <c r="WRE77" s="206"/>
      <c r="WRF77" s="205"/>
      <c r="WRG77" s="205"/>
      <c r="WRH77" s="204"/>
      <c r="WRI77" s="206"/>
      <c r="WRJ77" s="205"/>
      <c r="WRK77" s="205"/>
      <c r="WRL77" s="204"/>
      <c r="WRM77" s="206"/>
      <c r="WRN77" s="205"/>
      <c r="WRO77" s="205"/>
      <c r="WRP77" s="204"/>
      <c r="WRQ77" s="206"/>
      <c r="WRR77" s="205"/>
      <c r="WRS77" s="205"/>
      <c r="WRT77" s="204"/>
      <c r="WRU77" s="206"/>
      <c r="WRV77" s="205"/>
      <c r="WRW77" s="205"/>
      <c r="WRX77" s="204"/>
      <c r="WRY77" s="206"/>
      <c r="WRZ77" s="205"/>
      <c r="WSA77" s="205"/>
      <c r="WSB77" s="204"/>
      <c r="WSC77" s="206"/>
      <c r="WSD77" s="205"/>
      <c r="WSE77" s="205"/>
      <c r="WSF77" s="204"/>
      <c r="WSG77" s="206"/>
      <c r="WSH77" s="205"/>
      <c r="WSI77" s="205"/>
      <c r="WSJ77" s="204"/>
      <c r="WSK77" s="206"/>
      <c r="WSL77" s="205"/>
      <c r="WSM77" s="205"/>
      <c r="WSN77" s="204"/>
      <c r="WSO77" s="206"/>
      <c r="WSP77" s="205"/>
      <c r="WSQ77" s="205"/>
      <c r="WSR77" s="204"/>
      <c r="WSS77" s="206"/>
      <c r="WST77" s="205"/>
      <c r="WSU77" s="205"/>
      <c r="WSV77" s="204"/>
      <c r="WSW77" s="206"/>
      <c r="WSX77" s="205"/>
      <c r="WSY77" s="205"/>
      <c r="WSZ77" s="204"/>
      <c r="WTA77" s="206"/>
      <c r="WTB77" s="205"/>
      <c r="WTC77" s="205"/>
      <c r="WTD77" s="204"/>
      <c r="WTE77" s="206"/>
      <c r="WTF77" s="205"/>
      <c r="WTG77" s="205"/>
      <c r="WTH77" s="204"/>
      <c r="WTI77" s="206"/>
      <c r="WTJ77" s="205"/>
      <c r="WTK77" s="205"/>
      <c r="WTL77" s="204"/>
      <c r="WTM77" s="206"/>
      <c r="WTN77" s="205"/>
      <c r="WTO77" s="205"/>
      <c r="WTP77" s="204"/>
      <c r="WTQ77" s="206"/>
      <c r="WTR77" s="205"/>
      <c r="WTS77" s="205"/>
      <c r="WTT77" s="204"/>
      <c r="WTU77" s="206"/>
      <c r="WTV77" s="205"/>
      <c r="WTW77" s="205"/>
      <c r="WTX77" s="204"/>
      <c r="WTY77" s="206"/>
      <c r="WTZ77" s="205"/>
      <c r="WUA77" s="205"/>
      <c r="WUB77" s="204"/>
      <c r="WUC77" s="206"/>
      <c r="WUD77" s="205"/>
      <c r="WUE77" s="205"/>
      <c r="WUF77" s="204"/>
      <c r="WUG77" s="206"/>
      <c r="WUH77" s="205"/>
      <c r="WUI77" s="205"/>
      <c r="WUJ77" s="204"/>
      <c r="WUK77" s="206"/>
      <c r="WUL77" s="205"/>
      <c r="WUM77" s="205"/>
      <c r="WUN77" s="204"/>
      <c r="WUO77" s="206"/>
      <c r="WUP77" s="205"/>
      <c r="WUQ77" s="205"/>
      <c r="WUR77" s="204"/>
      <c r="WUS77" s="206"/>
      <c r="WUT77" s="205"/>
      <c r="WUU77" s="205"/>
      <c r="WUV77" s="204"/>
      <c r="WUW77" s="206"/>
      <c r="WUX77" s="205"/>
      <c r="WUY77" s="205"/>
      <c r="WUZ77" s="204"/>
      <c r="WVA77" s="206"/>
      <c r="WVB77" s="205"/>
      <c r="WVC77" s="205"/>
      <c r="WVD77" s="204"/>
      <c r="WVE77" s="206"/>
      <c r="WVF77" s="205"/>
      <c r="WVG77" s="205"/>
      <c r="WVH77" s="204"/>
      <c r="WVI77" s="206"/>
      <c r="WVJ77" s="205"/>
      <c r="WVK77" s="205"/>
      <c r="WVL77" s="204"/>
      <c r="WVM77" s="206"/>
      <c r="WVN77" s="205"/>
      <c r="WVO77" s="205"/>
      <c r="WVP77" s="204"/>
      <c r="WVQ77" s="206"/>
      <c r="WVR77" s="205"/>
      <c r="WVS77" s="205"/>
      <c r="WVT77" s="204"/>
      <c r="WVU77" s="206"/>
      <c r="WVV77" s="205"/>
      <c r="WVW77" s="205"/>
      <c r="WVX77" s="204"/>
      <c r="WVY77" s="206"/>
      <c r="WVZ77" s="205"/>
      <c r="WWA77" s="205"/>
      <c r="WWB77" s="204"/>
      <c r="WWC77" s="206"/>
      <c r="WWD77" s="205"/>
      <c r="WWE77" s="205"/>
      <c r="WWF77" s="204"/>
      <c r="WWG77" s="206"/>
      <c r="WWH77" s="205"/>
      <c r="WWI77" s="205"/>
      <c r="WWJ77" s="204"/>
      <c r="WWK77" s="206"/>
      <c r="WWL77" s="205"/>
      <c r="WWM77" s="205"/>
      <c r="WWN77" s="204"/>
      <c r="WWO77" s="206"/>
      <c r="WWP77" s="205"/>
      <c r="WWQ77" s="205"/>
      <c r="WWR77" s="204"/>
      <c r="WWS77" s="206"/>
      <c r="WWT77" s="205"/>
      <c r="WWU77" s="205"/>
      <c r="WWV77" s="204"/>
      <c r="WWW77" s="206"/>
      <c r="WWX77" s="205"/>
      <c r="WWY77" s="205"/>
      <c r="WWZ77" s="204"/>
      <c r="WXA77" s="206"/>
      <c r="WXB77" s="205"/>
      <c r="WXC77" s="205"/>
      <c r="WXD77" s="204"/>
      <c r="WXE77" s="206"/>
      <c r="WXF77" s="205"/>
      <c r="WXG77" s="205"/>
      <c r="WXH77" s="204"/>
      <c r="WXI77" s="206"/>
      <c r="WXJ77" s="205"/>
      <c r="WXK77" s="205"/>
      <c r="WXL77" s="204"/>
      <c r="WXM77" s="206"/>
      <c r="WXN77" s="205"/>
      <c r="WXO77" s="205"/>
      <c r="WXP77" s="204"/>
      <c r="WXQ77" s="206"/>
      <c r="WXR77" s="205"/>
      <c r="WXS77" s="205"/>
      <c r="WXT77" s="204"/>
      <c r="WXU77" s="206"/>
      <c r="WXV77" s="205"/>
      <c r="WXW77" s="205"/>
      <c r="WXX77" s="204"/>
      <c r="WXY77" s="206"/>
      <c r="WXZ77" s="205"/>
      <c r="WYA77" s="205"/>
      <c r="WYB77" s="204"/>
      <c r="WYC77" s="206"/>
      <c r="WYD77" s="205"/>
      <c r="WYE77" s="205"/>
      <c r="WYF77" s="204"/>
      <c r="WYG77" s="206"/>
      <c r="WYH77" s="205"/>
      <c r="WYI77" s="205"/>
      <c r="WYJ77" s="204"/>
      <c r="WYK77" s="206"/>
      <c r="WYL77" s="205"/>
      <c r="WYM77" s="205"/>
      <c r="WYN77" s="204"/>
      <c r="WYO77" s="206"/>
      <c r="WYP77" s="205"/>
      <c r="WYQ77" s="205"/>
      <c r="WYR77" s="204"/>
      <c r="WYS77" s="206"/>
      <c r="WYT77" s="205"/>
      <c r="WYU77" s="205"/>
      <c r="WYV77" s="204"/>
      <c r="WYW77" s="206"/>
      <c r="WYX77" s="205"/>
      <c r="WYY77" s="205"/>
      <c r="WYZ77" s="204"/>
      <c r="WZA77" s="206"/>
      <c r="WZB77" s="205"/>
      <c r="WZC77" s="205"/>
      <c r="WZD77" s="204"/>
      <c r="WZE77" s="206"/>
      <c r="WZF77" s="205"/>
      <c r="WZG77" s="205"/>
      <c r="WZH77" s="204"/>
      <c r="WZI77" s="206"/>
      <c r="WZJ77" s="205"/>
      <c r="WZK77" s="205"/>
      <c r="WZL77" s="204"/>
      <c r="WZM77" s="206"/>
      <c r="WZN77" s="205"/>
      <c r="WZO77" s="205"/>
      <c r="WZP77" s="204"/>
      <c r="WZQ77" s="206"/>
      <c r="WZR77" s="205"/>
      <c r="WZS77" s="205"/>
      <c r="WZT77" s="204"/>
      <c r="WZU77" s="206"/>
      <c r="WZV77" s="205"/>
      <c r="WZW77" s="205"/>
      <c r="WZX77" s="204"/>
      <c r="WZY77" s="206"/>
      <c r="WZZ77" s="205"/>
      <c r="XAA77" s="205"/>
      <c r="XAB77" s="204"/>
      <c r="XAC77" s="206"/>
      <c r="XAD77" s="205"/>
      <c r="XAE77" s="205"/>
      <c r="XAF77" s="204"/>
      <c r="XAG77" s="206"/>
      <c r="XAH77" s="205"/>
      <c r="XAI77" s="205"/>
      <c r="XAJ77" s="204"/>
      <c r="XAK77" s="206"/>
      <c r="XAL77" s="205"/>
      <c r="XAM77" s="205"/>
      <c r="XAN77" s="204"/>
      <c r="XAO77" s="206"/>
      <c r="XAP77" s="205"/>
      <c r="XAQ77" s="205"/>
      <c r="XAR77" s="204"/>
      <c r="XAS77" s="206"/>
      <c r="XAT77" s="205"/>
      <c r="XAU77" s="205"/>
      <c r="XAV77" s="204"/>
      <c r="XAW77" s="206"/>
      <c r="XAX77" s="205"/>
      <c r="XAY77" s="205"/>
      <c r="XAZ77" s="204"/>
      <c r="XBA77" s="206"/>
      <c r="XBB77" s="205"/>
      <c r="XBC77" s="205"/>
      <c r="XBD77" s="204"/>
      <c r="XBE77" s="206"/>
      <c r="XBF77" s="205"/>
      <c r="XBG77" s="205"/>
      <c r="XBH77" s="204"/>
      <c r="XBI77" s="206"/>
      <c r="XBJ77" s="205"/>
      <c r="XBK77" s="205"/>
      <c r="XBL77" s="204"/>
      <c r="XBM77" s="206"/>
      <c r="XBN77" s="205"/>
      <c r="XBO77" s="205"/>
      <c r="XBP77" s="204"/>
      <c r="XBQ77" s="206"/>
      <c r="XBR77" s="205"/>
      <c r="XBS77" s="205"/>
      <c r="XBT77" s="204"/>
      <c r="XBU77" s="206"/>
      <c r="XBV77" s="205"/>
      <c r="XBW77" s="205"/>
      <c r="XBX77" s="204"/>
      <c r="XBY77" s="206"/>
      <c r="XBZ77" s="205"/>
      <c r="XCA77" s="205"/>
      <c r="XCB77" s="204"/>
      <c r="XCC77" s="206"/>
      <c r="XCD77" s="205"/>
      <c r="XCE77" s="205"/>
      <c r="XCF77" s="204"/>
      <c r="XCG77" s="206"/>
      <c r="XCH77" s="205"/>
      <c r="XCI77" s="205"/>
      <c r="XCJ77" s="204"/>
      <c r="XCK77" s="206"/>
      <c r="XCL77" s="205"/>
      <c r="XCM77" s="205"/>
      <c r="XCN77" s="204"/>
      <c r="XCO77" s="206"/>
      <c r="XCP77" s="205"/>
      <c r="XCQ77" s="205"/>
      <c r="XCR77" s="204"/>
      <c r="XCS77" s="206"/>
      <c r="XCT77" s="205"/>
      <c r="XCU77" s="205"/>
      <c r="XCV77" s="204"/>
      <c r="XCW77" s="206"/>
      <c r="XCX77" s="205"/>
      <c r="XCY77" s="205"/>
      <c r="XCZ77" s="204"/>
      <c r="XDA77" s="206"/>
      <c r="XDB77" s="205"/>
      <c r="XDC77" s="205"/>
      <c r="XDD77" s="204"/>
      <c r="XDE77" s="206"/>
      <c r="XDF77" s="205"/>
      <c r="XDG77" s="205"/>
      <c r="XDH77" s="204"/>
      <c r="XDI77" s="206"/>
      <c r="XDJ77" s="205"/>
      <c r="XDK77" s="205"/>
      <c r="XDL77" s="204"/>
      <c r="XDM77" s="206"/>
      <c r="XDN77" s="205"/>
      <c r="XDO77" s="205"/>
      <c r="XDP77" s="204"/>
      <c r="XDQ77" s="206"/>
      <c r="XDR77" s="205"/>
      <c r="XDS77" s="205"/>
      <c r="XDT77" s="204"/>
      <c r="XDU77" s="206"/>
      <c r="XDV77" s="205"/>
      <c r="XDW77" s="205"/>
      <c r="XDX77" s="204"/>
      <c r="XDY77" s="206"/>
      <c r="XDZ77" s="205"/>
      <c r="XEA77" s="205"/>
      <c r="XEB77" s="204"/>
      <c r="XEC77" s="206"/>
      <c r="XED77" s="205"/>
      <c r="XEE77" s="205"/>
      <c r="XEF77" s="204"/>
      <c r="XEG77" s="206"/>
      <c r="XEH77" s="205"/>
      <c r="XEI77" s="205"/>
      <c r="XEJ77" s="204"/>
      <c r="XEK77" s="206"/>
      <c r="XEL77" s="205"/>
      <c r="XEM77" s="205"/>
      <c r="XEN77" s="204"/>
      <c r="XEO77" s="206"/>
      <c r="XEP77" s="205"/>
      <c r="XEQ77" s="205"/>
      <c r="XER77" s="204"/>
      <c r="XES77" s="206"/>
      <c r="XET77" s="205"/>
      <c r="XEU77" s="205"/>
      <c r="XEV77" s="204"/>
      <c r="XEW77" s="206"/>
      <c r="XEX77" s="205"/>
      <c r="XEY77" s="205"/>
      <c r="XEZ77" s="204"/>
      <c r="XFA77" s="206"/>
      <c r="XFB77" s="205"/>
      <c r="XFC77" s="205"/>
      <c r="XFD77" s="204"/>
    </row>
    <row r="78" spans="1:16384" x14ac:dyDescent="0.25">
      <c r="A78" s="485" t="s">
        <v>691</v>
      </c>
      <c r="B78" s="486">
        <f ca="1">IF(MOIS_M=1,VLOOKUP(2,DATA_A_MAIN,15,FALSE),VLOOKUP(2,DATA_A_MAIN,MOIS_M+2,FALSE))</f>
        <v>5</v>
      </c>
      <c r="C78" s="487">
        <f ca="1">IF(MOIS_M=1,VLOOKUP(2,DATA_AN_MAIN,15,FALSE),VLOOKUP(2,DATA_AN_MAIN,MOIS_M+2,FALSE))</f>
        <v>4</v>
      </c>
      <c r="D78" s="488">
        <f t="shared" ref="D78:D82" ca="1" si="9">IFERROR((B78-C78)/C78,IF(B78&lt;&gt;0,1,0))</f>
        <v>0.25</v>
      </c>
    </row>
    <row r="79" spans="1:16384" x14ac:dyDescent="0.25">
      <c r="A79" s="485" t="s">
        <v>667</v>
      </c>
      <c r="B79" s="486">
        <f ca="1">IF(MOIS_M=1,VLOOKUP(13,DATA_A_MAIN,15,FALSE),VLOOKUP(13,DATA_A_MAIN,MOIS_M+2,FALSE))</f>
        <v>8</v>
      </c>
      <c r="C79" s="487">
        <f ca="1">IF(MOIS_M=1,VLOOKUP(13,DATA_AN_MAIN,15,FALSE),VLOOKUP(13,DATA_AN_MAIN,MOIS_M+2,FALSE))</f>
        <v>13</v>
      </c>
      <c r="D79" s="488">
        <f t="shared" ca="1" si="9"/>
        <v>-0.38461538461538464</v>
      </c>
    </row>
    <row r="80" spans="1:16384" x14ac:dyDescent="0.25">
      <c r="A80" s="485" t="s">
        <v>690</v>
      </c>
      <c r="B80" s="486">
        <f ca="1">IF(MOIS_M=1,VLOOKUP(12,DATA_A_MAIN,15,FALSE),VLOOKUP(12,DATA_A_MAIN,MOIS_M+2,FALSE))</f>
        <v>10</v>
      </c>
      <c r="C80" s="487">
        <f ca="1">IF(MOIS_M=1,VLOOKUP(12,DATA_AN_MAIN,15,FALSE),VLOOKUP(12,DATA_AN_MAIN,MOIS_M+2,FALSE))</f>
        <v>9</v>
      </c>
      <c r="D80" s="488">
        <f t="shared" ca="1" si="9"/>
        <v>0.1111111111111111</v>
      </c>
    </row>
    <row r="81" spans="1:16384" x14ac:dyDescent="0.25">
      <c r="A81" s="485" t="s">
        <v>689</v>
      </c>
      <c r="B81" s="486">
        <f ca="1">IF(MOIS_M=1,VLOOKUP(14,DATA_A_MAIN,15,FALSE),VLOOKUP(14,DATA_A_MAIN,MOIS_M+2,FALSE))</f>
        <v>2</v>
      </c>
      <c r="C81" s="487">
        <f ca="1">IF(MOIS_M=1,VLOOKUP(14,DATA_AN_MAIN,15,FALSE),VLOOKUP(14,DATA_AN_MAIN,MOIS_M+2,FALSE))</f>
        <v>1</v>
      </c>
      <c r="D81" s="488">
        <f t="shared" ca="1" si="9"/>
        <v>1</v>
      </c>
    </row>
    <row r="82" spans="1:16384" x14ac:dyDescent="0.25">
      <c r="A82" s="485" t="s">
        <v>668</v>
      </c>
      <c r="B82" s="486">
        <f ca="1">IF(MOIS_M=1,VLOOKUP(20,DATA_A_MAIN,15,FALSE),VLOOKUP(20,DATA_A_MAIN,MOIS_M+2,FALSE))</f>
        <v>5</v>
      </c>
      <c r="C82" s="487">
        <f ca="1">IF(MOIS_M=1,VLOOKUP(20,DATA_AN_MAIN,15,FALSE),VLOOKUP(20,DATA_AN_MAIN,MOIS_M+2,FALSE))</f>
        <v>7</v>
      </c>
      <c r="D82" s="488">
        <f t="shared" ca="1" si="9"/>
        <v>-0.2857142857142857</v>
      </c>
    </row>
    <row r="83" spans="1:16384" x14ac:dyDescent="0.25">
      <c r="A83" s="498"/>
      <c r="B83" s="499"/>
      <c r="C83" s="499"/>
      <c r="D83" s="499"/>
    </row>
    <row r="84" spans="1:16384" ht="17.25" x14ac:dyDescent="0.25">
      <c r="A84" s="511" t="s">
        <v>175</v>
      </c>
      <c r="B84" s="483">
        <f ca="1">B3</f>
        <v>2025</v>
      </c>
      <c r="C84" s="483">
        <f ca="1">C3</f>
        <v>2024</v>
      </c>
      <c r="D84" s="484" t="s">
        <v>645</v>
      </c>
      <c r="E84" s="206"/>
      <c r="F84" s="205"/>
      <c r="G84" s="205"/>
      <c r="H84" s="204"/>
      <c r="I84" s="206"/>
      <c r="J84" s="205"/>
      <c r="K84" s="205"/>
      <c r="L84" s="204"/>
      <c r="M84" s="206"/>
      <c r="N84" s="205"/>
      <c r="O84" s="205"/>
      <c r="P84" s="204"/>
      <c r="Q84" s="206"/>
      <c r="R84" s="205"/>
      <c r="S84" s="205"/>
      <c r="T84" s="204"/>
      <c r="U84" s="206"/>
      <c r="V84" s="205"/>
      <c r="W84" s="205"/>
      <c r="X84" s="204"/>
      <c r="Y84" s="206"/>
      <c r="Z84" s="205"/>
      <c r="AA84" s="205"/>
      <c r="AB84" s="204"/>
      <c r="AC84" s="206"/>
      <c r="AD84" s="205"/>
      <c r="AE84" s="205"/>
      <c r="AF84" s="204"/>
      <c r="AG84" s="206"/>
      <c r="AH84" s="205"/>
      <c r="AI84" s="205"/>
      <c r="AJ84" s="204"/>
      <c r="AK84" s="206"/>
      <c r="AL84" s="205"/>
      <c r="AM84" s="205"/>
      <c r="AN84" s="204"/>
      <c r="AO84" s="206"/>
      <c r="AP84" s="205"/>
      <c r="AQ84" s="205"/>
      <c r="AR84" s="204"/>
      <c r="AS84" s="206"/>
      <c r="AT84" s="205"/>
      <c r="AU84" s="205"/>
      <c r="AV84" s="204"/>
      <c r="AW84" s="206"/>
      <c r="AX84" s="205"/>
      <c r="AY84" s="205"/>
      <c r="AZ84" s="204"/>
      <c r="BA84" s="206"/>
      <c r="BB84" s="205"/>
      <c r="BC84" s="205"/>
      <c r="BD84" s="204"/>
      <c r="BE84" s="206"/>
      <c r="BF84" s="205"/>
      <c r="BG84" s="205"/>
      <c r="BH84" s="204"/>
      <c r="BI84" s="206"/>
      <c r="BJ84" s="205"/>
      <c r="BK84" s="205"/>
      <c r="BL84" s="204"/>
      <c r="BM84" s="206"/>
      <c r="BN84" s="205"/>
      <c r="BO84" s="205"/>
      <c r="BP84" s="204"/>
      <c r="BQ84" s="206"/>
      <c r="BR84" s="205"/>
      <c r="BS84" s="205"/>
      <c r="BT84" s="204"/>
      <c r="BU84" s="206"/>
      <c r="BV84" s="205"/>
      <c r="BW84" s="205"/>
      <c r="BX84" s="204"/>
      <c r="BY84" s="206"/>
      <c r="BZ84" s="205"/>
      <c r="CA84" s="205"/>
      <c r="CB84" s="204"/>
      <c r="CC84" s="206"/>
      <c r="CD84" s="205"/>
      <c r="CE84" s="205"/>
      <c r="CF84" s="204"/>
      <c r="CG84" s="206"/>
      <c r="CH84" s="205"/>
      <c r="CI84" s="205"/>
      <c r="CJ84" s="204"/>
      <c r="CK84" s="206"/>
      <c r="CL84" s="205"/>
      <c r="CM84" s="205"/>
      <c r="CN84" s="204"/>
      <c r="CO84" s="206"/>
      <c r="CP84" s="205"/>
      <c r="CQ84" s="205"/>
      <c r="CR84" s="204"/>
      <c r="CS84" s="206"/>
      <c r="CT84" s="205"/>
      <c r="CU84" s="205"/>
      <c r="CV84" s="204"/>
      <c r="CW84" s="206"/>
      <c r="CX84" s="205"/>
      <c r="CY84" s="205"/>
      <c r="CZ84" s="204"/>
      <c r="DA84" s="206"/>
      <c r="DB84" s="205"/>
      <c r="DC84" s="205"/>
      <c r="DD84" s="204"/>
      <c r="DE84" s="206"/>
      <c r="DF84" s="205"/>
      <c r="DG84" s="205"/>
      <c r="DH84" s="204"/>
      <c r="DI84" s="206"/>
      <c r="DJ84" s="205"/>
      <c r="DK84" s="205"/>
      <c r="DL84" s="204"/>
      <c r="DM84" s="206"/>
      <c r="DN84" s="205"/>
      <c r="DO84" s="205"/>
      <c r="DP84" s="204"/>
      <c r="DQ84" s="206"/>
      <c r="DR84" s="205"/>
      <c r="DS84" s="205"/>
      <c r="DT84" s="204"/>
      <c r="DU84" s="206"/>
      <c r="DV84" s="205"/>
      <c r="DW84" s="205"/>
      <c r="DX84" s="204"/>
      <c r="DY84" s="206"/>
      <c r="DZ84" s="205"/>
      <c r="EA84" s="205"/>
      <c r="EB84" s="204"/>
      <c r="EC84" s="206"/>
      <c r="ED84" s="205"/>
      <c r="EE84" s="205"/>
      <c r="EF84" s="204"/>
      <c r="EG84" s="206"/>
      <c r="EH84" s="205"/>
      <c r="EI84" s="205"/>
      <c r="EJ84" s="204"/>
      <c r="EK84" s="206"/>
      <c r="EL84" s="205"/>
      <c r="EM84" s="205"/>
      <c r="EN84" s="204"/>
      <c r="EO84" s="206"/>
      <c r="EP84" s="205"/>
      <c r="EQ84" s="205"/>
      <c r="ER84" s="204"/>
      <c r="ES84" s="206"/>
      <c r="ET84" s="205"/>
      <c r="EU84" s="205"/>
      <c r="EV84" s="204"/>
      <c r="EW84" s="206"/>
      <c r="EX84" s="205"/>
      <c r="EY84" s="205"/>
      <c r="EZ84" s="204"/>
      <c r="FA84" s="206"/>
      <c r="FB84" s="205"/>
      <c r="FC84" s="205"/>
      <c r="FD84" s="204"/>
      <c r="FE84" s="206"/>
      <c r="FF84" s="205"/>
      <c r="FG84" s="205"/>
      <c r="FH84" s="204"/>
      <c r="FI84" s="206"/>
      <c r="FJ84" s="205"/>
      <c r="FK84" s="205"/>
      <c r="FL84" s="204"/>
      <c r="FM84" s="206"/>
      <c r="FN84" s="205"/>
      <c r="FO84" s="205"/>
      <c r="FP84" s="204"/>
      <c r="FQ84" s="206"/>
      <c r="FR84" s="205"/>
      <c r="FS84" s="205"/>
      <c r="FT84" s="204"/>
      <c r="FU84" s="206"/>
      <c r="FV84" s="205"/>
      <c r="FW84" s="205"/>
      <c r="FX84" s="204"/>
      <c r="FY84" s="206"/>
      <c r="FZ84" s="205"/>
      <c r="GA84" s="205"/>
      <c r="GB84" s="204"/>
      <c r="GC84" s="206"/>
      <c r="GD84" s="205"/>
      <c r="GE84" s="205"/>
      <c r="GF84" s="204"/>
      <c r="GG84" s="206"/>
      <c r="GH84" s="205"/>
      <c r="GI84" s="205"/>
      <c r="GJ84" s="204"/>
      <c r="GK84" s="206"/>
      <c r="GL84" s="205"/>
      <c r="GM84" s="205"/>
      <c r="GN84" s="204"/>
      <c r="GO84" s="206"/>
      <c r="GP84" s="205"/>
      <c r="GQ84" s="205"/>
      <c r="GR84" s="204"/>
      <c r="GS84" s="206"/>
      <c r="GT84" s="205"/>
      <c r="GU84" s="205"/>
      <c r="GV84" s="204"/>
      <c r="GW84" s="206"/>
      <c r="GX84" s="205"/>
      <c r="GY84" s="205"/>
      <c r="GZ84" s="204"/>
      <c r="HA84" s="206"/>
      <c r="HB84" s="205"/>
      <c r="HC84" s="205"/>
      <c r="HD84" s="204"/>
      <c r="HE84" s="206"/>
      <c r="HF84" s="205"/>
      <c r="HG84" s="205"/>
      <c r="HH84" s="204"/>
      <c r="HI84" s="206"/>
      <c r="HJ84" s="205"/>
      <c r="HK84" s="205"/>
      <c r="HL84" s="204"/>
      <c r="HM84" s="206"/>
      <c r="HN84" s="205"/>
      <c r="HO84" s="205"/>
      <c r="HP84" s="204"/>
      <c r="HQ84" s="206"/>
      <c r="HR84" s="205"/>
      <c r="HS84" s="205"/>
      <c r="HT84" s="204"/>
      <c r="HU84" s="206"/>
      <c r="HV84" s="205"/>
      <c r="HW84" s="205"/>
      <c r="HX84" s="204"/>
      <c r="HY84" s="206"/>
      <c r="HZ84" s="205"/>
      <c r="IA84" s="205"/>
      <c r="IB84" s="204"/>
      <c r="IC84" s="206"/>
      <c r="ID84" s="205"/>
      <c r="IE84" s="205"/>
      <c r="IF84" s="204"/>
      <c r="IG84" s="206"/>
      <c r="IH84" s="205"/>
      <c r="II84" s="205"/>
      <c r="IJ84" s="204"/>
      <c r="IK84" s="206"/>
      <c r="IL84" s="205"/>
      <c r="IM84" s="205"/>
      <c r="IN84" s="204"/>
      <c r="IO84" s="206"/>
      <c r="IP84" s="205"/>
      <c r="IQ84" s="205"/>
      <c r="IR84" s="204"/>
      <c r="IS84" s="206"/>
      <c r="IT84" s="205"/>
      <c r="IU84" s="205"/>
      <c r="IV84" s="204"/>
      <c r="IW84" s="206"/>
      <c r="IX84" s="205"/>
      <c r="IY84" s="205"/>
      <c r="IZ84" s="204"/>
      <c r="JA84" s="206"/>
      <c r="JB84" s="205"/>
      <c r="JC84" s="205"/>
      <c r="JD84" s="204"/>
      <c r="JE84" s="206"/>
      <c r="JF84" s="205"/>
      <c r="JG84" s="205"/>
      <c r="JH84" s="204"/>
      <c r="JI84" s="206"/>
      <c r="JJ84" s="205"/>
      <c r="JK84" s="205"/>
      <c r="JL84" s="204"/>
      <c r="JM84" s="206"/>
      <c r="JN84" s="205"/>
      <c r="JO84" s="205"/>
      <c r="JP84" s="204"/>
      <c r="JQ84" s="206"/>
      <c r="JR84" s="205"/>
      <c r="JS84" s="205"/>
      <c r="JT84" s="204"/>
      <c r="JU84" s="206"/>
      <c r="JV84" s="205"/>
      <c r="JW84" s="205"/>
      <c r="JX84" s="204"/>
      <c r="JY84" s="206"/>
      <c r="JZ84" s="205"/>
      <c r="KA84" s="205"/>
      <c r="KB84" s="204"/>
      <c r="KC84" s="206"/>
      <c r="KD84" s="205"/>
      <c r="KE84" s="205"/>
      <c r="KF84" s="204"/>
      <c r="KG84" s="206"/>
      <c r="KH84" s="205"/>
      <c r="KI84" s="205"/>
      <c r="KJ84" s="204"/>
      <c r="KK84" s="206"/>
      <c r="KL84" s="205"/>
      <c r="KM84" s="205"/>
      <c r="KN84" s="204"/>
      <c r="KO84" s="206"/>
      <c r="KP84" s="205"/>
      <c r="KQ84" s="205"/>
      <c r="KR84" s="204"/>
      <c r="KS84" s="206"/>
      <c r="KT84" s="205"/>
      <c r="KU84" s="205"/>
      <c r="KV84" s="204"/>
      <c r="KW84" s="206"/>
      <c r="KX84" s="205"/>
      <c r="KY84" s="205"/>
      <c r="KZ84" s="204"/>
      <c r="LA84" s="206"/>
      <c r="LB84" s="205"/>
      <c r="LC84" s="205"/>
      <c r="LD84" s="204"/>
      <c r="LE84" s="206"/>
      <c r="LF84" s="205"/>
      <c r="LG84" s="205"/>
      <c r="LH84" s="204"/>
      <c r="LI84" s="206"/>
      <c r="LJ84" s="205"/>
      <c r="LK84" s="205"/>
      <c r="LL84" s="204"/>
      <c r="LM84" s="206"/>
      <c r="LN84" s="205"/>
      <c r="LO84" s="205"/>
      <c r="LP84" s="204"/>
      <c r="LQ84" s="206"/>
      <c r="LR84" s="205"/>
      <c r="LS84" s="205"/>
      <c r="LT84" s="204"/>
      <c r="LU84" s="206"/>
      <c r="LV84" s="205"/>
      <c r="LW84" s="205"/>
      <c r="LX84" s="204"/>
      <c r="LY84" s="206"/>
      <c r="LZ84" s="205"/>
      <c r="MA84" s="205"/>
      <c r="MB84" s="204"/>
      <c r="MC84" s="206"/>
      <c r="MD84" s="205"/>
      <c r="ME84" s="205"/>
      <c r="MF84" s="204"/>
      <c r="MG84" s="206"/>
      <c r="MH84" s="205"/>
      <c r="MI84" s="205"/>
      <c r="MJ84" s="204"/>
      <c r="MK84" s="206"/>
      <c r="ML84" s="205"/>
      <c r="MM84" s="205"/>
      <c r="MN84" s="204"/>
      <c r="MO84" s="206"/>
      <c r="MP84" s="205"/>
      <c r="MQ84" s="205"/>
      <c r="MR84" s="204"/>
      <c r="MS84" s="206"/>
      <c r="MT84" s="205"/>
      <c r="MU84" s="205"/>
      <c r="MV84" s="204"/>
      <c r="MW84" s="206"/>
      <c r="MX84" s="205"/>
      <c r="MY84" s="205"/>
      <c r="MZ84" s="204"/>
      <c r="NA84" s="206"/>
      <c r="NB84" s="205"/>
      <c r="NC84" s="205"/>
      <c r="ND84" s="204"/>
      <c r="NE84" s="206"/>
      <c r="NF84" s="205"/>
      <c r="NG84" s="205"/>
      <c r="NH84" s="204"/>
      <c r="NI84" s="206"/>
      <c r="NJ84" s="205"/>
      <c r="NK84" s="205"/>
      <c r="NL84" s="204"/>
      <c r="NM84" s="206"/>
      <c r="NN84" s="205"/>
      <c r="NO84" s="205"/>
      <c r="NP84" s="204"/>
      <c r="NQ84" s="206"/>
      <c r="NR84" s="205"/>
      <c r="NS84" s="205"/>
      <c r="NT84" s="204"/>
      <c r="NU84" s="206"/>
      <c r="NV84" s="205"/>
      <c r="NW84" s="205"/>
      <c r="NX84" s="204"/>
      <c r="NY84" s="206"/>
      <c r="NZ84" s="205"/>
      <c r="OA84" s="205"/>
      <c r="OB84" s="204"/>
      <c r="OC84" s="206"/>
      <c r="OD84" s="205"/>
      <c r="OE84" s="205"/>
      <c r="OF84" s="204"/>
      <c r="OG84" s="206"/>
      <c r="OH84" s="205"/>
      <c r="OI84" s="205"/>
      <c r="OJ84" s="204"/>
      <c r="OK84" s="206"/>
      <c r="OL84" s="205"/>
      <c r="OM84" s="205"/>
      <c r="ON84" s="204"/>
      <c r="OO84" s="206"/>
      <c r="OP84" s="205"/>
      <c r="OQ84" s="205"/>
      <c r="OR84" s="204"/>
      <c r="OS84" s="206"/>
      <c r="OT84" s="205"/>
      <c r="OU84" s="205"/>
      <c r="OV84" s="204"/>
      <c r="OW84" s="206"/>
      <c r="OX84" s="205"/>
      <c r="OY84" s="205"/>
      <c r="OZ84" s="204"/>
      <c r="PA84" s="206"/>
      <c r="PB84" s="205"/>
      <c r="PC84" s="205"/>
      <c r="PD84" s="204"/>
      <c r="PE84" s="206"/>
      <c r="PF84" s="205"/>
      <c r="PG84" s="205"/>
      <c r="PH84" s="204"/>
      <c r="PI84" s="206"/>
      <c r="PJ84" s="205"/>
      <c r="PK84" s="205"/>
      <c r="PL84" s="204"/>
      <c r="PM84" s="206"/>
      <c r="PN84" s="205"/>
      <c r="PO84" s="205"/>
      <c r="PP84" s="204"/>
      <c r="PQ84" s="206"/>
      <c r="PR84" s="205"/>
      <c r="PS84" s="205"/>
      <c r="PT84" s="204"/>
      <c r="PU84" s="206"/>
      <c r="PV84" s="205"/>
      <c r="PW84" s="205"/>
      <c r="PX84" s="204"/>
      <c r="PY84" s="206"/>
      <c r="PZ84" s="205"/>
      <c r="QA84" s="205"/>
      <c r="QB84" s="204"/>
      <c r="QC84" s="206"/>
      <c r="QD84" s="205"/>
      <c r="QE84" s="205"/>
      <c r="QF84" s="204"/>
      <c r="QG84" s="206"/>
      <c r="QH84" s="205"/>
      <c r="QI84" s="205"/>
      <c r="QJ84" s="204"/>
      <c r="QK84" s="206"/>
      <c r="QL84" s="205"/>
      <c r="QM84" s="205"/>
      <c r="QN84" s="204"/>
      <c r="QO84" s="206"/>
      <c r="QP84" s="205"/>
      <c r="QQ84" s="205"/>
      <c r="QR84" s="204"/>
      <c r="QS84" s="206"/>
      <c r="QT84" s="205"/>
      <c r="QU84" s="205"/>
      <c r="QV84" s="204"/>
      <c r="QW84" s="206"/>
      <c r="QX84" s="205"/>
      <c r="QY84" s="205"/>
      <c r="QZ84" s="204"/>
      <c r="RA84" s="206"/>
      <c r="RB84" s="205"/>
      <c r="RC84" s="205"/>
      <c r="RD84" s="204"/>
      <c r="RE84" s="206"/>
      <c r="RF84" s="205"/>
      <c r="RG84" s="205"/>
      <c r="RH84" s="204"/>
      <c r="RI84" s="206"/>
      <c r="RJ84" s="205"/>
      <c r="RK84" s="205"/>
      <c r="RL84" s="204"/>
      <c r="RM84" s="206"/>
      <c r="RN84" s="205"/>
      <c r="RO84" s="205"/>
      <c r="RP84" s="204"/>
      <c r="RQ84" s="206"/>
      <c r="RR84" s="205"/>
      <c r="RS84" s="205"/>
      <c r="RT84" s="204"/>
      <c r="RU84" s="206"/>
      <c r="RV84" s="205"/>
      <c r="RW84" s="205"/>
      <c r="RX84" s="204"/>
      <c r="RY84" s="206"/>
      <c r="RZ84" s="205"/>
      <c r="SA84" s="205"/>
      <c r="SB84" s="204"/>
      <c r="SC84" s="206"/>
      <c r="SD84" s="205"/>
      <c r="SE84" s="205"/>
      <c r="SF84" s="204"/>
      <c r="SG84" s="206"/>
      <c r="SH84" s="205"/>
      <c r="SI84" s="205"/>
      <c r="SJ84" s="204"/>
      <c r="SK84" s="206"/>
      <c r="SL84" s="205"/>
      <c r="SM84" s="205"/>
      <c r="SN84" s="204"/>
      <c r="SO84" s="206"/>
      <c r="SP84" s="205"/>
      <c r="SQ84" s="205"/>
      <c r="SR84" s="204"/>
      <c r="SS84" s="206"/>
      <c r="ST84" s="205"/>
      <c r="SU84" s="205"/>
      <c r="SV84" s="204"/>
      <c r="SW84" s="206"/>
      <c r="SX84" s="205"/>
      <c r="SY84" s="205"/>
      <c r="SZ84" s="204"/>
      <c r="TA84" s="206"/>
      <c r="TB84" s="205"/>
      <c r="TC84" s="205"/>
      <c r="TD84" s="204"/>
      <c r="TE84" s="206"/>
      <c r="TF84" s="205"/>
      <c r="TG84" s="205"/>
      <c r="TH84" s="204"/>
      <c r="TI84" s="206"/>
      <c r="TJ84" s="205"/>
      <c r="TK84" s="205"/>
      <c r="TL84" s="204"/>
      <c r="TM84" s="206"/>
      <c r="TN84" s="205"/>
      <c r="TO84" s="205"/>
      <c r="TP84" s="204"/>
      <c r="TQ84" s="206"/>
      <c r="TR84" s="205"/>
      <c r="TS84" s="205"/>
      <c r="TT84" s="204"/>
      <c r="TU84" s="206"/>
      <c r="TV84" s="205"/>
      <c r="TW84" s="205"/>
      <c r="TX84" s="204"/>
      <c r="TY84" s="206"/>
      <c r="TZ84" s="205"/>
      <c r="UA84" s="205"/>
      <c r="UB84" s="204"/>
      <c r="UC84" s="206"/>
      <c r="UD84" s="205"/>
      <c r="UE84" s="205"/>
      <c r="UF84" s="204"/>
      <c r="UG84" s="206"/>
      <c r="UH84" s="205"/>
      <c r="UI84" s="205"/>
      <c r="UJ84" s="204"/>
      <c r="UK84" s="206"/>
      <c r="UL84" s="205"/>
      <c r="UM84" s="205"/>
      <c r="UN84" s="204"/>
      <c r="UO84" s="206"/>
      <c r="UP84" s="205"/>
      <c r="UQ84" s="205"/>
      <c r="UR84" s="204"/>
      <c r="US84" s="206"/>
      <c r="UT84" s="205"/>
      <c r="UU84" s="205"/>
      <c r="UV84" s="204"/>
      <c r="UW84" s="206"/>
      <c r="UX84" s="205"/>
      <c r="UY84" s="205"/>
      <c r="UZ84" s="204"/>
      <c r="VA84" s="206"/>
      <c r="VB84" s="205"/>
      <c r="VC84" s="205"/>
      <c r="VD84" s="204"/>
      <c r="VE84" s="206"/>
      <c r="VF84" s="205"/>
      <c r="VG84" s="205"/>
      <c r="VH84" s="204"/>
      <c r="VI84" s="206"/>
      <c r="VJ84" s="205"/>
      <c r="VK84" s="205"/>
      <c r="VL84" s="204"/>
      <c r="VM84" s="206"/>
      <c r="VN84" s="205"/>
      <c r="VO84" s="205"/>
      <c r="VP84" s="204"/>
      <c r="VQ84" s="206"/>
      <c r="VR84" s="205"/>
      <c r="VS84" s="205"/>
      <c r="VT84" s="204"/>
      <c r="VU84" s="206"/>
      <c r="VV84" s="205"/>
      <c r="VW84" s="205"/>
      <c r="VX84" s="204"/>
      <c r="VY84" s="206"/>
      <c r="VZ84" s="205"/>
      <c r="WA84" s="205"/>
      <c r="WB84" s="204"/>
      <c r="WC84" s="206"/>
      <c r="WD84" s="205"/>
      <c r="WE84" s="205"/>
      <c r="WF84" s="204"/>
      <c r="WG84" s="206"/>
      <c r="WH84" s="205"/>
      <c r="WI84" s="205"/>
      <c r="WJ84" s="204"/>
      <c r="WK84" s="206"/>
      <c r="WL84" s="205"/>
      <c r="WM84" s="205"/>
      <c r="WN84" s="204"/>
      <c r="WO84" s="206"/>
      <c r="WP84" s="205"/>
      <c r="WQ84" s="205"/>
      <c r="WR84" s="204"/>
      <c r="WS84" s="206"/>
      <c r="WT84" s="205"/>
      <c r="WU84" s="205"/>
      <c r="WV84" s="204"/>
      <c r="WW84" s="206"/>
      <c r="WX84" s="205"/>
      <c r="WY84" s="205"/>
      <c r="WZ84" s="204"/>
      <c r="XA84" s="206"/>
      <c r="XB84" s="205"/>
      <c r="XC84" s="205"/>
      <c r="XD84" s="204"/>
      <c r="XE84" s="206"/>
      <c r="XF84" s="205"/>
      <c r="XG84" s="205"/>
      <c r="XH84" s="204"/>
      <c r="XI84" s="206"/>
      <c r="XJ84" s="205"/>
      <c r="XK84" s="205"/>
      <c r="XL84" s="204"/>
      <c r="XM84" s="206"/>
      <c r="XN84" s="205"/>
      <c r="XO84" s="205"/>
      <c r="XP84" s="204"/>
      <c r="XQ84" s="206"/>
      <c r="XR84" s="205"/>
      <c r="XS84" s="205"/>
      <c r="XT84" s="204"/>
      <c r="XU84" s="206"/>
      <c r="XV84" s="205"/>
      <c r="XW84" s="205"/>
      <c r="XX84" s="204"/>
      <c r="XY84" s="206"/>
      <c r="XZ84" s="205"/>
      <c r="YA84" s="205"/>
      <c r="YB84" s="204"/>
      <c r="YC84" s="206"/>
      <c r="YD84" s="205"/>
      <c r="YE84" s="205"/>
      <c r="YF84" s="204"/>
      <c r="YG84" s="206"/>
      <c r="YH84" s="205"/>
      <c r="YI84" s="205"/>
      <c r="YJ84" s="204"/>
      <c r="YK84" s="206"/>
      <c r="YL84" s="205"/>
      <c r="YM84" s="205"/>
      <c r="YN84" s="204"/>
      <c r="YO84" s="206"/>
      <c r="YP84" s="205"/>
      <c r="YQ84" s="205"/>
      <c r="YR84" s="204"/>
      <c r="YS84" s="206"/>
      <c r="YT84" s="205"/>
      <c r="YU84" s="205"/>
      <c r="YV84" s="204"/>
      <c r="YW84" s="206"/>
      <c r="YX84" s="205"/>
      <c r="YY84" s="205"/>
      <c r="YZ84" s="204"/>
      <c r="ZA84" s="206"/>
      <c r="ZB84" s="205"/>
      <c r="ZC84" s="205"/>
      <c r="ZD84" s="204"/>
      <c r="ZE84" s="206"/>
      <c r="ZF84" s="205"/>
      <c r="ZG84" s="205"/>
      <c r="ZH84" s="204"/>
      <c r="ZI84" s="206"/>
      <c r="ZJ84" s="205"/>
      <c r="ZK84" s="205"/>
      <c r="ZL84" s="204"/>
      <c r="ZM84" s="206"/>
      <c r="ZN84" s="205"/>
      <c r="ZO84" s="205"/>
      <c r="ZP84" s="204"/>
      <c r="ZQ84" s="206"/>
      <c r="ZR84" s="205"/>
      <c r="ZS84" s="205"/>
      <c r="ZT84" s="204"/>
      <c r="ZU84" s="206"/>
      <c r="ZV84" s="205"/>
      <c r="ZW84" s="205"/>
      <c r="ZX84" s="204"/>
      <c r="ZY84" s="206"/>
      <c r="ZZ84" s="205"/>
      <c r="AAA84" s="205"/>
      <c r="AAB84" s="204"/>
      <c r="AAC84" s="206"/>
      <c r="AAD84" s="205"/>
      <c r="AAE84" s="205"/>
      <c r="AAF84" s="204"/>
      <c r="AAG84" s="206"/>
      <c r="AAH84" s="205"/>
      <c r="AAI84" s="205"/>
      <c r="AAJ84" s="204"/>
      <c r="AAK84" s="206"/>
      <c r="AAL84" s="205"/>
      <c r="AAM84" s="205"/>
      <c r="AAN84" s="204"/>
      <c r="AAO84" s="206"/>
      <c r="AAP84" s="205"/>
      <c r="AAQ84" s="205"/>
      <c r="AAR84" s="204"/>
      <c r="AAS84" s="206"/>
      <c r="AAT84" s="205"/>
      <c r="AAU84" s="205"/>
      <c r="AAV84" s="204"/>
      <c r="AAW84" s="206"/>
      <c r="AAX84" s="205"/>
      <c r="AAY84" s="205"/>
      <c r="AAZ84" s="204"/>
      <c r="ABA84" s="206"/>
      <c r="ABB84" s="205"/>
      <c r="ABC84" s="205"/>
      <c r="ABD84" s="204"/>
      <c r="ABE84" s="206"/>
      <c r="ABF84" s="205"/>
      <c r="ABG84" s="205"/>
      <c r="ABH84" s="204"/>
      <c r="ABI84" s="206"/>
      <c r="ABJ84" s="205"/>
      <c r="ABK84" s="205"/>
      <c r="ABL84" s="204"/>
      <c r="ABM84" s="206"/>
      <c r="ABN84" s="205"/>
      <c r="ABO84" s="205"/>
      <c r="ABP84" s="204"/>
      <c r="ABQ84" s="206"/>
      <c r="ABR84" s="205"/>
      <c r="ABS84" s="205"/>
      <c r="ABT84" s="204"/>
      <c r="ABU84" s="206"/>
      <c r="ABV84" s="205"/>
      <c r="ABW84" s="205"/>
      <c r="ABX84" s="204"/>
      <c r="ABY84" s="206"/>
      <c r="ABZ84" s="205"/>
      <c r="ACA84" s="205"/>
      <c r="ACB84" s="204"/>
      <c r="ACC84" s="206"/>
      <c r="ACD84" s="205"/>
      <c r="ACE84" s="205"/>
      <c r="ACF84" s="204"/>
      <c r="ACG84" s="206"/>
      <c r="ACH84" s="205"/>
      <c r="ACI84" s="205"/>
      <c r="ACJ84" s="204"/>
      <c r="ACK84" s="206"/>
      <c r="ACL84" s="205"/>
      <c r="ACM84" s="205"/>
      <c r="ACN84" s="204"/>
      <c r="ACO84" s="206"/>
      <c r="ACP84" s="205"/>
      <c r="ACQ84" s="205"/>
      <c r="ACR84" s="204"/>
      <c r="ACS84" s="206"/>
      <c r="ACT84" s="205"/>
      <c r="ACU84" s="205"/>
      <c r="ACV84" s="204"/>
      <c r="ACW84" s="206"/>
      <c r="ACX84" s="205"/>
      <c r="ACY84" s="205"/>
      <c r="ACZ84" s="204"/>
      <c r="ADA84" s="206"/>
      <c r="ADB84" s="205"/>
      <c r="ADC84" s="205"/>
      <c r="ADD84" s="204"/>
      <c r="ADE84" s="206"/>
      <c r="ADF84" s="205"/>
      <c r="ADG84" s="205"/>
      <c r="ADH84" s="204"/>
      <c r="ADI84" s="206"/>
      <c r="ADJ84" s="205"/>
      <c r="ADK84" s="205"/>
      <c r="ADL84" s="204"/>
      <c r="ADM84" s="206"/>
      <c r="ADN84" s="205"/>
      <c r="ADO84" s="205"/>
      <c r="ADP84" s="204"/>
      <c r="ADQ84" s="206"/>
      <c r="ADR84" s="205"/>
      <c r="ADS84" s="205"/>
      <c r="ADT84" s="204"/>
      <c r="ADU84" s="206"/>
      <c r="ADV84" s="205"/>
      <c r="ADW84" s="205"/>
      <c r="ADX84" s="204"/>
      <c r="ADY84" s="206"/>
      <c r="ADZ84" s="205"/>
      <c r="AEA84" s="205"/>
      <c r="AEB84" s="204"/>
      <c r="AEC84" s="206"/>
      <c r="AED84" s="205"/>
      <c r="AEE84" s="205"/>
      <c r="AEF84" s="204"/>
      <c r="AEG84" s="206"/>
      <c r="AEH84" s="205"/>
      <c r="AEI84" s="205"/>
      <c r="AEJ84" s="204"/>
      <c r="AEK84" s="206"/>
      <c r="AEL84" s="205"/>
      <c r="AEM84" s="205"/>
      <c r="AEN84" s="204"/>
      <c r="AEO84" s="206"/>
      <c r="AEP84" s="205"/>
      <c r="AEQ84" s="205"/>
      <c r="AER84" s="204"/>
      <c r="AES84" s="206"/>
      <c r="AET84" s="205"/>
      <c r="AEU84" s="205"/>
      <c r="AEV84" s="204"/>
      <c r="AEW84" s="206"/>
      <c r="AEX84" s="205"/>
      <c r="AEY84" s="205"/>
      <c r="AEZ84" s="204"/>
      <c r="AFA84" s="206"/>
      <c r="AFB84" s="205"/>
      <c r="AFC84" s="205"/>
      <c r="AFD84" s="204"/>
      <c r="AFE84" s="206"/>
      <c r="AFF84" s="205"/>
      <c r="AFG84" s="205"/>
      <c r="AFH84" s="204"/>
      <c r="AFI84" s="206"/>
      <c r="AFJ84" s="205"/>
      <c r="AFK84" s="205"/>
      <c r="AFL84" s="204"/>
      <c r="AFM84" s="206"/>
      <c r="AFN84" s="205"/>
      <c r="AFO84" s="205"/>
      <c r="AFP84" s="204"/>
      <c r="AFQ84" s="206"/>
      <c r="AFR84" s="205"/>
      <c r="AFS84" s="205"/>
      <c r="AFT84" s="204"/>
      <c r="AFU84" s="206"/>
      <c r="AFV84" s="205"/>
      <c r="AFW84" s="205"/>
      <c r="AFX84" s="204"/>
      <c r="AFY84" s="206"/>
      <c r="AFZ84" s="205"/>
      <c r="AGA84" s="205"/>
      <c r="AGB84" s="204"/>
      <c r="AGC84" s="206"/>
      <c r="AGD84" s="205"/>
      <c r="AGE84" s="205"/>
      <c r="AGF84" s="204"/>
      <c r="AGG84" s="206"/>
      <c r="AGH84" s="205"/>
      <c r="AGI84" s="205"/>
      <c r="AGJ84" s="204"/>
      <c r="AGK84" s="206"/>
      <c r="AGL84" s="205"/>
      <c r="AGM84" s="205"/>
      <c r="AGN84" s="204"/>
      <c r="AGO84" s="206"/>
      <c r="AGP84" s="205"/>
      <c r="AGQ84" s="205"/>
      <c r="AGR84" s="204"/>
      <c r="AGS84" s="206"/>
      <c r="AGT84" s="205"/>
      <c r="AGU84" s="205"/>
      <c r="AGV84" s="204"/>
      <c r="AGW84" s="206"/>
      <c r="AGX84" s="205"/>
      <c r="AGY84" s="205"/>
      <c r="AGZ84" s="204"/>
      <c r="AHA84" s="206"/>
      <c r="AHB84" s="205"/>
      <c r="AHC84" s="205"/>
      <c r="AHD84" s="204"/>
      <c r="AHE84" s="206"/>
      <c r="AHF84" s="205"/>
      <c r="AHG84" s="205"/>
      <c r="AHH84" s="204"/>
      <c r="AHI84" s="206"/>
      <c r="AHJ84" s="205"/>
      <c r="AHK84" s="205"/>
      <c r="AHL84" s="204"/>
      <c r="AHM84" s="206"/>
      <c r="AHN84" s="205"/>
      <c r="AHO84" s="205"/>
      <c r="AHP84" s="204"/>
      <c r="AHQ84" s="206"/>
      <c r="AHR84" s="205"/>
      <c r="AHS84" s="205"/>
      <c r="AHT84" s="204"/>
      <c r="AHU84" s="206"/>
      <c r="AHV84" s="205"/>
      <c r="AHW84" s="205"/>
      <c r="AHX84" s="204"/>
      <c r="AHY84" s="206"/>
      <c r="AHZ84" s="205"/>
      <c r="AIA84" s="205"/>
      <c r="AIB84" s="204"/>
      <c r="AIC84" s="206"/>
      <c r="AID84" s="205"/>
      <c r="AIE84" s="205"/>
      <c r="AIF84" s="204"/>
      <c r="AIG84" s="206"/>
      <c r="AIH84" s="205"/>
      <c r="AII84" s="205"/>
      <c r="AIJ84" s="204"/>
      <c r="AIK84" s="206"/>
      <c r="AIL84" s="205"/>
      <c r="AIM84" s="205"/>
      <c r="AIN84" s="204"/>
      <c r="AIO84" s="206"/>
      <c r="AIP84" s="205"/>
      <c r="AIQ84" s="205"/>
      <c r="AIR84" s="204"/>
      <c r="AIS84" s="206"/>
      <c r="AIT84" s="205"/>
      <c r="AIU84" s="205"/>
      <c r="AIV84" s="204"/>
      <c r="AIW84" s="206"/>
      <c r="AIX84" s="205"/>
      <c r="AIY84" s="205"/>
      <c r="AIZ84" s="204"/>
      <c r="AJA84" s="206"/>
      <c r="AJB84" s="205"/>
      <c r="AJC84" s="205"/>
      <c r="AJD84" s="204"/>
      <c r="AJE84" s="206"/>
      <c r="AJF84" s="205"/>
      <c r="AJG84" s="205"/>
      <c r="AJH84" s="204"/>
      <c r="AJI84" s="206"/>
      <c r="AJJ84" s="205"/>
      <c r="AJK84" s="205"/>
      <c r="AJL84" s="204"/>
      <c r="AJM84" s="206"/>
      <c r="AJN84" s="205"/>
      <c r="AJO84" s="205"/>
      <c r="AJP84" s="204"/>
      <c r="AJQ84" s="206"/>
      <c r="AJR84" s="205"/>
      <c r="AJS84" s="205"/>
      <c r="AJT84" s="204"/>
      <c r="AJU84" s="206"/>
      <c r="AJV84" s="205"/>
      <c r="AJW84" s="205"/>
      <c r="AJX84" s="204"/>
      <c r="AJY84" s="206"/>
      <c r="AJZ84" s="205"/>
      <c r="AKA84" s="205"/>
      <c r="AKB84" s="204"/>
      <c r="AKC84" s="206"/>
      <c r="AKD84" s="205"/>
      <c r="AKE84" s="205"/>
      <c r="AKF84" s="204"/>
      <c r="AKG84" s="206"/>
      <c r="AKH84" s="205"/>
      <c r="AKI84" s="205"/>
      <c r="AKJ84" s="204"/>
      <c r="AKK84" s="206"/>
      <c r="AKL84" s="205"/>
      <c r="AKM84" s="205"/>
      <c r="AKN84" s="204"/>
      <c r="AKO84" s="206"/>
      <c r="AKP84" s="205"/>
      <c r="AKQ84" s="205"/>
      <c r="AKR84" s="204"/>
      <c r="AKS84" s="206"/>
      <c r="AKT84" s="205"/>
      <c r="AKU84" s="205"/>
      <c r="AKV84" s="204"/>
      <c r="AKW84" s="206"/>
      <c r="AKX84" s="205"/>
      <c r="AKY84" s="205"/>
      <c r="AKZ84" s="204"/>
      <c r="ALA84" s="206"/>
      <c r="ALB84" s="205"/>
      <c r="ALC84" s="205"/>
      <c r="ALD84" s="204"/>
      <c r="ALE84" s="206"/>
      <c r="ALF84" s="205"/>
      <c r="ALG84" s="205"/>
      <c r="ALH84" s="204"/>
      <c r="ALI84" s="206"/>
      <c r="ALJ84" s="205"/>
      <c r="ALK84" s="205"/>
      <c r="ALL84" s="204"/>
      <c r="ALM84" s="206"/>
      <c r="ALN84" s="205"/>
      <c r="ALO84" s="205"/>
      <c r="ALP84" s="204"/>
      <c r="ALQ84" s="206"/>
      <c r="ALR84" s="205"/>
      <c r="ALS84" s="205"/>
      <c r="ALT84" s="204"/>
      <c r="ALU84" s="206"/>
      <c r="ALV84" s="205"/>
      <c r="ALW84" s="205"/>
      <c r="ALX84" s="204"/>
      <c r="ALY84" s="206"/>
      <c r="ALZ84" s="205"/>
      <c r="AMA84" s="205"/>
      <c r="AMB84" s="204"/>
      <c r="AMC84" s="206"/>
      <c r="AMD84" s="205"/>
      <c r="AME84" s="205"/>
      <c r="AMF84" s="204"/>
      <c r="AMG84" s="206"/>
      <c r="AMH84" s="205"/>
      <c r="AMI84" s="205"/>
      <c r="AMJ84" s="204"/>
      <c r="AMK84" s="206"/>
      <c r="AML84" s="205"/>
      <c r="AMM84" s="205"/>
      <c r="AMN84" s="204"/>
      <c r="AMO84" s="206"/>
      <c r="AMP84" s="205"/>
      <c r="AMQ84" s="205"/>
      <c r="AMR84" s="204"/>
      <c r="AMS84" s="206"/>
      <c r="AMT84" s="205"/>
      <c r="AMU84" s="205"/>
      <c r="AMV84" s="204"/>
      <c r="AMW84" s="206"/>
      <c r="AMX84" s="205"/>
      <c r="AMY84" s="205"/>
      <c r="AMZ84" s="204"/>
      <c r="ANA84" s="206"/>
      <c r="ANB84" s="205"/>
      <c r="ANC84" s="205"/>
      <c r="AND84" s="204"/>
      <c r="ANE84" s="206"/>
      <c r="ANF84" s="205"/>
      <c r="ANG84" s="205"/>
      <c r="ANH84" s="204"/>
      <c r="ANI84" s="206"/>
      <c r="ANJ84" s="205"/>
      <c r="ANK84" s="205"/>
      <c r="ANL84" s="204"/>
      <c r="ANM84" s="206"/>
      <c r="ANN84" s="205"/>
      <c r="ANO84" s="205"/>
      <c r="ANP84" s="204"/>
      <c r="ANQ84" s="206"/>
      <c r="ANR84" s="205"/>
      <c r="ANS84" s="205"/>
      <c r="ANT84" s="204"/>
      <c r="ANU84" s="206"/>
      <c r="ANV84" s="205"/>
      <c r="ANW84" s="205"/>
      <c r="ANX84" s="204"/>
      <c r="ANY84" s="206"/>
      <c r="ANZ84" s="205"/>
      <c r="AOA84" s="205"/>
      <c r="AOB84" s="204"/>
      <c r="AOC84" s="206"/>
      <c r="AOD84" s="205"/>
      <c r="AOE84" s="205"/>
      <c r="AOF84" s="204"/>
      <c r="AOG84" s="206"/>
      <c r="AOH84" s="205"/>
      <c r="AOI84" s="205"/>
      <c r="AOJ84" s="204"/>
      <c r="AOK84" s="206"/>
      <c r="AOL84" s="205"/>
      <c r="AOM84" s="205"/>
      <c r="AON84" s="204"/>
      <c r="AOO84" s="206"/>
      <c r="AOP84" s="205"/>
      <c r="AOQ84" s="205"/>
      <c r="AOR84" s="204"/>
      <c r="AOS84" s="206"/>
      <c r="AOT84" s="205"/>
      <c r="AOU84" s="205"/>
      <c r="AOV84" s="204"/>
      <c r="AOW84" s="206"/>
      <c r="AOX84" s="205"/>
      <c r="AOY84" s="205"/>
      <c r="AOZ84" s="204"/>
      <c r="APA84" s="206"/>
      <c r="APB84" s="205"/>
      <c r="APC84" s="205"/>
      <c r="APD84" s="204"/>
      <c r="APE84" s="206"/>
      <c r="APF84" s="205"/>
      <c r="APG84" s="205"/>
      <c r="APH84" s="204"/>
      <c r="API84" s="206"/>
      <c r="APJ84" s="205"/>
      <c r="APK84" s="205"/>
      <c r="APL84" s="204"/>
      <c r="APM84" s="206"/>
      <c r="APN84" s="205"/>
      <c r="APO84" s="205"/>
      <c r="APP84" s="204"/>
      <c r="APQ84" s="206"/>
      <c r="APR84" s="205"/>
      <c r="APS84" s="205"/>
      <c r="APT84" s="204"/>
      <c r="APU84" s="206"/>
      <c r="APV84" s="205"/>
      <c r="APW84" s="205"/>
      <c r="APX84" s="204"/>
      <c r="APY84" s="206"/>
      <c r="APZ84" s="205"/>
      <c r="AQA84" s="205"/>
      <c r="AQB84" s="204"/>
      <c r="AQC84" s="206"/>
      <c r="AQD84" s="205"/>
      <c r="AQE84" s="205"/>
      <c r="AQF84" s="204"/>
      <c r="AQG84" s="206"/>
      <c r="AQH84" s="205"/>
      <c r="AQI84" s="205"/>
      <c r="AQJ84" s="204"/>
      <c r="AQK84" s="206"/>
      <c r="AQL84" s="205"/>
      <c r="AQM84" s="205"/>
      <c r="AQN84" s="204"/>
      <c r="AQO84" s="206"/>
      <c r="AQP84" s="205"/>
      <c r="AQQ84" s="205"/>
      <c r="AQR84" s="204"/>
      <c r="AQS84" s="206"/>
      <c r="AQT84" s="205"/>
      <c r="AQU84" s="205"/>
      <c r="AQV84" s="204"/>
      <c r="AQW84" s="206"/>
      <c r="AQX84" s="205"/>
      <c r="AQY84" s="205"/>
      <c r="AQZ84" s="204"/>
      <c r="ARA84" s="206"/>
      <c r="ARB84" s="205"/>
      <c r="ARC84" s="205"/>
      <c r="ARD84" s="204"/>
      <c r="ARE84" s="206"/>
      <c r="ARF84" s="205"/>
      <c r="ARG84" s="205"/>
      <c r="ARH84" s="204"/>
      <c r="ARI84" s="206"/>
      <c r="ARJ84" s="205"/>
      <c r="ARK84" s="205"/>
      <c r="ARL84" s="204"/>
      <c r="ARM84" s="206"/>
      <c r="ARN84" s="205"/>
      <c r="ARO84" s="205"/>
      <c r="ARP84" s="204"/>
      <c r="ARQ84" s="206"/>
      <c r="ARR84" s="205"/>
      <c r="ARS84" s="205"/>
      <c r="ART84" s="204"/>
      <c r="ARU84" s="206"/>
      <c r="ARV84" s="205"/>
      <c r="ARW84" s="205"/>
      <c r="ARX84" s="204"/>
      <c r="ARY84" s="206"/>
      <c r="ARZ84" s="205"/>
      <c r="ASA84" s="205"/>
      <c r="ASB84" s="204"/>
      <c r="ASC84" s="206"/>
      <c r="ASD84" s="205"/>
      <c r="ASE84" s="205"/>
      <c r="ASF84" s="204"/>
      <c r="ASG84" s="206"/>
      <c r="ASH84" s="205"/>
      <c r="ASI84" s="205"/>
      <c r="ASJ84" s="204"/>
      <c r="ASK84" s="206"/>
      <c r="ASL84" s="205"/>
      <c r="ASM84" s="205"/>
      <c r="ASN84" s="204"/>
      <c r="ASO84" s="206"/>
      <c r="ASP84" s="205"/>
      <c r="ASQ84" s="205"/>
      <c r="ASR84" s="204"/>
      <c r="ASS84" s="206"/>
      <c r="AST84" s="205"/>
      <c r="ASU84" s="205"/>
      <c r="ASV84" s="204"/>
      <c r="ASW84" s="206"/>
      <c r="ASX84" s="205"/>
      <c r="ASY84" s="205"/>
      <c r="ASZ84" s="204"/>
      <c r="ATA84" s="206"/>
      <c r="ATB84" s="205"/>
      <c r="ATC84" s="205"/>
      <c r="ATD84" s="204"/>
      <c r="ATE84" s="206"/>
      <c r="ATF84" s="205"/>
      <c r="ATG84" s="205"/>
      <c r="ATH84" s="204"/>
      <c r="ATI84" s="206"/>
      <c r="ATJ84" s="205"/>
      <c r="ATK84" s="205"/>
      <c r="ATL84" s="204"/>
      <c r="ATM84" s="206"/>
      <c r="ATN84" s="205"/>
      <c r="ATO84" s="205"/>
      <c r="ATP84" s="204"/>
      <c r="ATQ84" s="206"/>
      <c r="ATR84" s="205"/>
      <c r="ATS84" s="205"/>
      <c r="ATT84" s="204"/>
      <c r="ATU84" s="206"/>
      <c r="ATV84" s="205"/>
      <c r="ATW84" s="205"/>
      <c r="ATX84" s="204"/>
      <c r="ATY84" s="206"/>
      <c r="ATZ84" s="205"/>
      <c r="AUA84" s="205"/>
      <c r="AUB84" s="204"/>
      <c r="AUC84" s="206"/>
      <c r="AUD84" s="205"/>
      <c r="AUE84" s="205"/>
      <c r="AUF84" s="204"/>
      <c r="AUG84" s="206"/>
      <c r="AUH84" s="205"/>
      <c r="AUI84" s="205"/>
      <c r="AUJ84" s="204"/>
      <c r="AUK84" s="206"/>
      <c r="AUL84" s="205"/>
      <c r="AUM84" s="205"/>
      <c r="AUN84" s="204"/>
      <c r="AUO84" s="206"/>
      <c r="AUP84" s="205"/>
      <c r="AUQ84" s="205"/>
      <c r="AUR84" s="204"/>
      <c r="AUS84" s="206"/>
      <c r="AUT84" s="205"/>
      <c r="AUU84" s="205"/>
      <c r="AUV84" s="204"/>
      <c r="AUW84" s="206"/>
      <c r="AUX84" s="205"/>
      <c r="AUY84" s="205"/>
      <c r="AUZ84" s="204"/>
      <c r="AVA84" s="206"/>
      <c r="AVB84" s="205"/>
      <c r="AVC84" s="205"/>
      <c r="AVD84" s="204"/>
      <c r="AVE84" s="206"/>
      <c r="AVF84" s="205"/>
      <c r="AVG84" s="205"/>
      <c r="AVH84" s="204"/>
      <c r="AVI84" s="206"/>
      <c r="AVJ84" s="205"/>
      <c r="AVK84" s="205"/>
      <c r="AVL84" s="204"/>
      <c r="AVM84" s="206"/>
      <c r="AVN84" s="205"/>
      <c r="AVO84" s="205"/>
      <c r="AVP84" s="204"/>
      <c r="AVQ84" s="206"/>
      <c r="AVR84" s="205"/>
      <c r="AVS84" s="205"/>
      <c r="AVT84" s="204"/>
      <c r="AVU84" s="206"/>
      <c r="AVV84" s="205"/>
      <c r="AVW84" s="205"/>
      <c r="AVX84" s="204"/>
      <c r="AVY84" s="206"/>
      <c r="AVZ84" s="205"/>
      <c r="AWA84" s="205"/>
      <c r="AWB84" s="204"/>
      <c r="AWC84" s="206"/>
      <c r="AWD84" s="205"/>
      <c r="AWE84" s="205"/>
      <c r="AWF84" s="204"/>
      <c r="AWG84" s="206"/>
      <c r="AWH84" s="205"/>
      <c r="AWI84" s="205"/>
      <c r="AWJ84" s="204"/>
      <c r="AWK84" s="206"/>
      <c r="AWL84" s="205"/>
      <c r="AWM84" s="205"/>
      <c r="AWN84" s="204"/>
      <c r="AWO84" s="206"/>
      <c r="AWP84" s="205"/>
      <c r="AWQ84" s="205"/>
      <c r="AWR84" s="204"/>
      <c r="AWS84" s="206"/>
      <c r="AWT84" s="205"/>
      <c r="AWU84" s="205"/>
      <c r="AWV84" s="204"/>
      <c r="AWW84" s="206"/>
      <c r="AWX84" s="205"/>
      <c r="AWY84" s="205"/>
      <c r="AWZ84" s="204"/>
      <c r="AXA84" s="206"/>
      <c r="AXB84" s="205"/>
      <c r="AXC84" s="205"/>
      <c r="AXD84" s="204"/>
      <c r="AXE84" s="206"/>
      <c r="AXF84" s="205"/>
      <c r="AXG84" s="205"/>
      <c r="AXH84" s="204"/>
      <c r="AXI84" s="206"/>
      <c r="AXJ84" s="205"/>
      <c r="AXK84" s="205"/>
      <c r="AXL84" s="204"/>
      <c r="AXM84" s="206"/>
      <c r="AXN84" s="205"/>
      <c r="AXO84" s="205"/>
      <c r="AXP84" s="204"/>
      <c r="AXQ84" s="206"/>
      <c r="AXR84" s="205"/>
      <c r="AXS84" s="205"/>
      <c r="AXT84" s="204"/>
      <c r="AXU84" s="206"/>
      <c r="AXV84" s="205"/>
      <c r="AXW84" s="205"/>
      <c r="AXX84" s="204"/>
      <c r="AXY84" s="206"/>
      <c r="AXZ84" s="205"/>
      <c r="AYA84" s="205"/>
      <c r="AYB84" s="204"/>
      <c r="AYC84" s="206"/>
      <c r="AYD84" s="205"/>
      <c r="AYE84" s="205"/>
      <c r="AYF84" s="204"/>
      <c r="AYG84" s="206"/>
      <c r="AYH84" s="205"/>
      <c r="AYI84" s="205"/>
      <c r="AYJ84" s="204"/>
      <c r="AYK84" s="206"/>
      <c r="AYL84" s="205"/>
      <c r="AYM84" s="205"/>
      <c r="AYN84" s="204"/>
      <c r="AYO84" s="206"/>
      <c r="AYP84" s="205"/>
      <c r="AYQ84" s="205"/>
      <c r="AYR84" s="204"/>
      <c r="AYS84" s="206"/>
      <c r="AYT84" s="205"/>
      <c r="AYU84" s="205"/>
      <c r="AYV84" s="204"/>
      <c r="AYW84" s="206"/>
      <c r="AYX84" s="205"/>
      <c r="AYY84" s="205"/>
      <c r="AYZ84" s="204"/>
      <c r="AZA84" s="206"/>
      <c r="AZB84" s="205"/>
      <c r="AZC84" s="205"/>
      <c r="AZD84" s="204"/>
      <c r="AZE84" s="206"/>
      <c r="AZF84" s="205"/>
      <c r="AZG84" s="205"/>
      <c r="AZH84" s="204"/>
      <c r="AZI84" s="206"/>
      <c r="AZJ84" s="205"/>
      <c r="AZK84" s="205"/>
      <c r="AZL84" s="204"/>
      <c r="AZM84" s="206"/>
      <c r="AZN84" s="205"/>
      <c r="AZO84" s="205"/>
      <c r="AZP84" s="204"/>
      <c r="AZQ84" s="206"/>
      <c r="AZR84" s="205"/>
      <c r="AZS84" s="205"/>
      <c r="AZT84" s="204"/>
      <c r="AZU84" s="206"/>
      <c r="AZV84" s="205"/>
      <c r="AZW84" s="205"/>
      <c r="AZX84" s="204"/>
      <c r="AZY84" s="206"/>
      <c r="AZZ84" s="205"/>
      <c r="BAA84" s="205"/>
      <c r="BAB84" s="204"/>
      <c r="BAC84" s="206"/>
      <c r="BAD84" s="205"/>
      <c r="BAE84" s="205"/>
      <c r="BAF84" s="204"/>
      <c r="BAG84" s="206"/>
      <c r="BAH84" s="205"/>
      <c r="BAI84" s="205"/>
      <c r="BAJ84" s="204"/>
      <c r="BAK84" s="206"/>
      <c r="BAL84" s="205"/>
      <c r="BAM84" s="205"/>
      <c r="BAN84" s="204"/>
      <c r="BAO84" s="206"/>
      <c r="BAP84" s="205"/>
      <c r="BAQ84" s="205"/>
      <c r="BAR84" s="204"/>
      <c r="BAS84" s="206"/>
      <c r="BAT84" s="205"/>
      <c r="BAU84" s="205"/>
      <c r="BAV84" s="204"/>
      <c r="BAW84" s="206"/>
      <c r="BAX84" s="205"/>
      <c r="BAY84" s="205"/>
      <c r="BAZ84" s="204"/>
      <c r="BBA84" s="206"/>
      <c r="BBB84" s="205"/>
      <c r="BBC84" s="205"/>
      <c r="BBD84" s="204"/>
      <c r="BBE84" s="206"/>
      <c r="BBF84" s="205"/>
      <c r="BBG84" s="205"/>
      <c r="BBH84" s="204"/>
      <c r="BBI84" s="206"/>
      <c r="BBJ84" s="205"/>
      <c r="BBK84" s="205"/>
      <c r="BBL84" s="204"/>
      <c r="BBM84" s="206"/>
      <c r="BBN84" s="205"/>
      <c r="BBO84" s="205"/>
      <c r="BBP84" s="204"/>
      <c r="BBQ84" s="206"/>
      <c r="BBR84" s="205"/>
      <c r="BBS84" s="205"/>
      <c r="BBT84" s="204"/>
      <c r="BBU84" s="206"/>
      <c r="BBV84" s="205"/>
      <c r="BBW84" s="205"/>
      <c r="BBX84" s="204"/>
      <c r="BBY84" s="206"/>
      <c r="BBZ84" s="205"/>
      <c r="BCA84" s="205"/>
      <c r="BCB84" s="204"/>
      <c r="BCC84" s="206"/>
      <c r="BCD84" s="205"/>
      <c r="BCE84" s="205"/>
      <c r="BCF84" s="204"/>
      <c r="BCG84" s="206"/>
      <c r="BCH84" s="205"/>
      <c r="BCI84" s="205"/>
      <c r="BCJ84" s="204"/>
      <c r="BCK84" s="206"/>
      <c r="BCL84" s="205"/>
      <c r="BCM84" s="205"/>
      <c r="BCN84" s="204"/>
      <c r="BCO84" s="206"/>
      <c r="BCP84" s="205"/>
      <c r="BCQ84" s="205"/>
      <c r="BCR84" s="204"/>
      <c r="BCS84" s="206"/>
      <c r="BCT84" s="205"/>
      <c r="BCU84" s="205"/>
      <c r="BCV84" s="204"/>
      <c r="BCW84" s="206"/>
      <c r="BCX84" s="205"/>
      <c r="BCY84" s="205"/>
      <c r="BCZ84" s="204"/>
      <c r="BDA84" s="206"/>
      <c r="BDB84" s="205"/>
      <c r="BDC84" s="205"/>
      <c r="BDD84" s="204"/>
      <c r="BDE84" s="206"/>
      <c r="BDF84" s="205"/>
      <c r="BDG84" s="205"/>
      <c r="BDH84" s="204"/>
      <c r="BDI84" s="206"/>
      <c r="BDJ84" s="205"/>
      <c r="BDK84" s="205"/>
      <c r="BDL84" s="204"/>
      <c r="BDM84" s="206"/>
      <c r="BDN84" s="205"/>
      <c r="BDO84" s="205"/>
      <c r="BDP84" s="204"/>
      <c r="BDQ84" s="206"/>
      <c r="BDR84" s="205"/>
      <c r="BDS84" s="205"/>
      <c r="BDT84" s="204"/>
      <c r="BDU84" s="206"/>
      <c r="BDV84" s="205"/>
      <c r="BDW84" s="205"/>
      <c r="BDX84" s="204"/>
      <c r="BDY84" s="206"/>
      <c r="BDZ84" s="205"/>
      <c r="BEA84" s="205"/>
      <c r="BEB84" s="204"/>
      <c r="BEC84" s="206"/>
      <c r="BED84" s="205"/>
      <c r="BEE84" s="205"/>
      <c r="BEF84" s="204"/>
      <c r="BEG84" s="206"/>
      <c r="BEH84" s="205"/>
      <c r="BEI84" s="205"/>
      <c r="BEJ84" s="204"/>
      <c r="BEK84" s="206"/>
      <c r="BEL84" s="205"/>
      <c r="BEM84" s="205"/>
      <c r="BEN84" s="204"/>
      <c r="BEO84" s="206"/>
      <c r="BEP84" s="205"/>
      <c r="BEQ84" s="205"/>
      <c r="BER84" s="204"/>
      <c r="BES84" s="206"/>
      <c r="BET84" s="205"/>
      <c r="BEU84" s="205"/>
      <c r="BEV84" s="204"/>
      <c r="BEW84" s="206"/>
      <c r="BEX84" s="205"/>
      <c r="BEY84" s="205"/>
      <c r="BEZ84" s="204"/>
      <c r="BFA84" s="206"/>
      <c r="BFB84" s="205"/>
      <c r="BFC84" s="205"/>
      <c r="BFD84" s="204"/>
      <c r="BFE84" s="206"/>
      <c r="BFF84" s="205"/>
      <c r="BFG84" s="205"/>
      <c r="BFH84" s="204"/>
      <c r="BFI84" s="206"/>
      <c r="BFJ84" s="205"/>
      <c r="BFK84" s="205"/>
      <c r="BFL84" s="204"/>
      <c r="BFM84" s="206"/>
      <c r="BFN84" s="205"/>
      <c r="BFO84" s="205"/>
      <c r="BFP84" s="204"/>
      <c r="BFQ84" s="206"/>
      <c r="BFR84" s="205"/>
      <c r="BFS84" s="205"/>
      <c r="BFT84" s="204"/>
      <c r="BFU84" s="206"/>
      <c r="BFV84" s="205"/>
      <c r="BFW84" s="205"/>
      <c r="BFX84" s="204"/>
      <c r="BFY84" s="206"/>
      <c r="BFZ84" s="205"/>
      <c r="BGA84" s="205"/>
      <c r="BGB84" s="204"/>
      <c r="BGC84" s="206"/>
      <c r="BGD84" s="205"/>
      <c r="BGE84" s="205"/>
      <c r="BGF84" s="204"/>
      <c r="BGG84" s="206"/>
      <c r="BGH84" s="205"/>
      <c r="BGI84" s="205"/>
      <c r="BGJ84" s="204"/>
      <c r="BGK84" s="206"/>
      <c r="BGL84" s="205"/>
      <c r="BGM84" s="205"/>
      <c r="BGN84" s="204"/>
      <c r="BGO84" s="206"/>
      <c r="BGP84" s="205"/>
      <c r="BGQ84" s="205"/>
      <c r="BGR84" s="204"/>
      <c r="BGS84" s="206"/>
      <c r="BGT84" s="205"/>
      <c r="BGU84" s="205"/>
      <c r="BGV84" s="204"/>
      <c r="BGW84" s="206"/>
      <c r="BGX84" s="205"/>
      <c r="BGY84" s="205"/>
      <c r="BGZ84" s="204"/>
      <c r="BHA84" s="206"/>
      <c r="BHB84" s="205"/>
      <c r="BHC84" s="205"/>
      <c r="BHD84" s="204"/>
      <c r="BHE84" s="206"/>
      <c r="BHF84" s="205"/>
      <c r="BHG84" s="205"/>
      <c r="BHH84" s="204"/>
      <c r="BHI84" s="206"/>
      <c r="BHJ84" s="205"/>
      <c r="BHK84" s="205"/>
      <c r="BHL84" s="204"/>
      <c r="BHM84" s="206"/>
      <c r="BHN84" s="205"/>
      <c r="BHO84" s="205"/>
      <c r="BHP84" s="204"/>
      <c r="BHQ84" s="206"/>
      <c r="BHR84" s="205"/>
      <c r="BHS84" s="205"/>
      <c r="BHT84" s="204"/>
      <c r="BHU84" s="206"/>
      <c r="BHV84" s="205"/>
      <c r="BHW84" s="205"/>
      <c r="BHX84" s="204"/>
      <c r="BHY84" s="206"/>
      <c r="BHZ84" s="205"/>
      <c r="BIA84" s="205"/>
      <c r="BIB84" s="204"/>
      <c r="BIC84" s="206"/>
      <c r="BID84" s="205"/>
      <c r="BIE84" s="205"/>
      <c r="BIF84" s="204"/>
      <c r="BIG84" s="206"/>
      <c r="BIH84" s="205"/>
      <c r="BII84" s="205"/>
      <c r="BIJ84" s="204"/>
      <c r="BIK84" s="206"/>
      <c r="BIL84" s="205"/>
      <c r="BIM84" s="205"/>
      <c r="BIN84" s="204"/>
      <c r="BIO84" s="206"/>
      <c r="BIP84" s="205"/>
      <c r="BIQ84" s="205"/>
      <c r="BIR84" s="204"/>
      <c r="BIS84" s="206"/>
      <c r="BIT84" s="205"/>
      <c r="BIU84" s="205"/>
      <c r="BIV84" s="204"/>
      <c r="BIW84" s="206"/>
      <c r="BIX84" s="205"/>
      <c r="BIY84" s="205"/>
      <c r="BIZ84" s="204"/>
      <c r="BJA84" s="206"/>
      <c r="BJB84" s="205"/>
      <c r="BJC84" s="205"/>
      <c r="BJD84" s="204"/>
      <c r="BJE84" s="206"/>
      <c r="BJF84" s="205"/>
      <c r="BJG84" s="205"/>
      <c r="BJH84" s="204"/>
      <c r="BJI84" s="206"/>
      <c r="BJJ84" s="205"/>
      <c r="BJK84" s="205"/>
      <c r="BJL84" s="204"/>
      <c r="BJM84" s="206"/>
      <c r="BJN84" s="205"/>
      <c r="BJO84" s="205"/>
      <c r="BJP84" s="204"/>
      <c r="BJQ84" s="206"/>
      <c r="BJR84" s="205"/>
      <c r="BJS84" s="205"/>
      <c r="BJT84" s="204"/>
      <c r="BJU84" s="206"/>
      <c r="BJV84" s="205"/>
      <c r="BJW84" s="205"/>
      <c r="BJX84" s="204"/>
      <c r="BJY84" s="206"/>
      <c r="BJZ84" s="205"/>
      <c r="BKA84" s="205"/>
      <c r="BKB84" s="204"/>
      <c r="BKC84" s="206"/>
      <c r="BKD84" s="205"/>
      <c r="BKE84" s="205"/>
      <c r="BKF84" s="204"/>
      <c r="BKG84" s="206"/>
      <c r="BKH84" s="205"/>
      <c r="BKI84" s="205"/>
      <c r="BKJ84" s="204"/>
      <c r="BKK84" s="206"/>
      <c r="BKL84" s="205"/>
      <c r="BKM84" s="205"/>
      <c r="BKN84" s="204"/>
      <c r="BKO84" s="206"/>
      <c r="BKP84" s="205"/>
      <c r="BKQ84" s="205"/>
      <c r="BKR84" s="204"/>
      <c r="BKS84" s="206"/>
      <c r="BKT84" s="205"/>
      <c r="BKU84" s="205"/>
      <c r="BKV84" s="204"/>
      <c r="BKW84" s="206"/>
      <c r="BKX84" s="205"/>
      <c r="BKY84" s="205"/>
      <c r="BKZ84" s="204"/>
      <c r="BLA84" s="206"/>
      <c r="BLB84" s="205"/>
      <c r="BLC84" s="205"/>
      <c r="BLD84" s="204"/>
      <c r="BLE84" s="206"/>
      <c r="BLF84" s="205"/>
      <c r="BLG84" s="205"/>
      <c r="BLH84" s="204"/>
      <c r="BLI84" s="206"/>
      <c r="BLJ84" s="205"/>
      <c r="BLK84" s="205"/>
      <c r="BLL84" s="204"/>
      <c r="BLM84" s="206"/>
      <c r="BLN84" s="205"/>
      <c r="BLO84" s="205"/>
      <c r="BLP84" s="204"/>
      <c r="BLQ84" s="206"/>
      <c r="BLR84" s="205"/>
      <c r="BLS84" s="205"/>
      <c r="BLT84" s="204"/>
      <c r="BLU84" s="206"/>
      <c r="BLV84" s="205"/>
      <c r="BLW84" s="205"/>
      <c r="BLX84" s="204"/>
      <c r="BLY84" s="206"/>
      <c r="BLZ84" s="205"/>
      <c r="BMA84" s="205"/>
      <c r="BMB84" s="204"/>
      <c r="BMC84" s="206"/>
      <c r="BMD84" s="205"/>
      <c r="BME84" s="205"/>
      <c r="BMF84" s="204"/>
      <c r="BMG84" s="206"/>
      <c r="BMH84" s="205"/>
      <c r="BMI84" s="205"/>
      <c r="BMJ84" s="204"/>
      <c r="BMK84" s="206"/>
      <c r="BML84" s="205"/>
      <c r="BMM84" s="205"/>
      <c r="BMN84" s="204"/>
      <c r="BMO84" s="206"/>
      <c r="BMP84" s="205"/>
      <c r="BMQ84" s="205"/>
      <c r="BMR84" s="204"/>
      <c r="BMS84" s="206"/>
      <c r="BMT84" s="205"/>
      <c r="BMU84" s="205"/>
      <c r="BMV84" s="204"/>
      <c r="BMW84" s="206"/>
      <c r="BMX84" s="205"/>
      <c r="BMY84" s="205"/>
      <c r="BMZ84" s="204"/>
      <c r="BNA84" s="206"/>
      <c r="BNB84" s="205"/>
      <c r="BNC84" s="205"/>
      <c r="BND84" s="204"/>
      <c r="BNE84" s="206"/>
      <c r="BNF84" s="205"/>
      <c r="BNG84" s="205"/>
      <c r="BNH84" s="204"/>
      <c r="BNI84" s="206"/>
      <c r="BNJ84" s="205"/>
      <c r="BNK84" s="205"/>
      <c r="BNL84" s="204"/>
      <c r="BNM84" s="206"/>
      <c r="BNN84" s="205"/>
      <c r="BNO84" s="205"/>
      <c r="BNP84" s="204"/>
      <c r="BNQ84" s="206"/>
      <c r="BNR84" s="205"/>
      <c r="BNS84" s="205"/>
      <c r="BNT84" s="204"/>
      <c r="BNU84" s="206"/>
      <c r="BNV84" s="205"/>
      <c r="BNW84" s="205"/>
      <c r="BNX84" s="204"/>
      <c r="BNY84" s="206"/>
      <c r="BNZ84" s="205"/>
      <c r="BOA84" s="205"/>
      <c r="BOB84" s="204"/>
      <c r="BOC84" s="206"/>
      <c r="BOD84" s="205"/>
      <c r="BOE84" s="205"/>
      <c r="BOF84" s="204"/>
      <c r="BOG84" s="206"/>
      <c r="BOH84" s="205"/>
      <c r="BOI84" s="205"/>
      <c r="BOJ84" s="204"/>
      <c r="BOK84" s="206"/>
      <c r="BOL84" s="205"/>
      <c r="BOM84" s="205"/>
      <c r="BON84" s="204"/>
      <c r="BOO84" s="206"/>
      <c r="BOP84" s="205"/>
      <c r="BOQ84" s="205"/>
      <c r="BOR84" s="204"/>
      <c r="BOS84" s="206"/>
      <c r="BOT84" s="205"/>
      <c r="BOU84" s="205"/>
      <c r="BOV84" s="204"/>
      <c r="BOW84" s="206"/>
      <c r="BOX84" s="205"/>
      <c r="BOY84" s="205"/>
      <c r="BOZ84" s="204"/>
      <c r="BPA84" s="206"/>
      <c r="BPB84" s="205"/>
      <c r="BPC84" s="205"/>
      <c r="BPD84" s="204"/>
      <c r="BPE84" s="206"/>
      <c r="BPF84" s="205"/>
      <c r="BPG84" s="205"/>
      <c r="BPH84" s="204"/>
      <c r="BPI84" s="206"/>
      <c r="BPJ84" s="205"/>
      <c r="BPK84" s="205"/>
      <c r="BPL84" s="204"/>
      <c r="BPM84" s="206"/>
      <c r="BPN84" s="205"/>
      <c r="BPO84" s="205"/>
      <c r="BPP84" s="204"/>
      <c r="BPQ84" s="206"/>
      <c r="BPR84" s="205"/>
      <c r="BPS84" s="205"/>
      <c r="BPT84" s="204"/>
      <c r="BPU84" s="206"/>
      <c r="BPV84" s="205"/>
      <c r="BPW84" s="205"/>
      <c r="BPX84" s="204"/>
      <c r="BPY84" s="206"/>
      <c r="BPZ84" s="205"/>
      <c r="BQA84" s="205"/>
      <c r="BQB84" s="204"/>
      <c r="BQC84" s="206"/>
      <c r="BQD84" s="205"/>
      <c r="BQE84" s="205"/>
      <c r="BQF84" s="204"/>
      <c r="BQG84" s="206"/>
      <c r="BQH84" s="205"/>
      <c r="BQI84" s="205"/>
      <c r="BQJ84" s="204"/>
      <c r="BQK84" s="206"/>
      <c r="BQL84" s="205"/>
      <c r="BQM84" s="205"/>
      <c r="BQN84" s="204"/>
      <c r="BQO84" s="206"/>
      <c r="BQP84" s="205"/>
      <c r="BQQ84" s="205"/>
      <c r="BQR84" s="204"/>
      <c r="BQS84" s="206"/>
      <c r="BQT84" s="205"/>
      <c r="BQU84" s="205"/>
      <c r="BQV84" s="204"/>
      <c r="BQW84" s="206"/>
      <c r="BQX84" s="205"/>
      <c r="BQY84" s="205"/>
      <c r="BQZ84" s="204"/>
      <c r="BRA84" s="206"/>
      <c r="BRB84" s="205"/>
      <c r="BRC84" s="205"/>
      <c r="BRD84" s="204"/>
      <c r="BRE84" s="206"/>
      <c r="BRF84" s="205"/>
      <c r="BRG84" s="205"/>
      <c r="BRH84" s="204"/>
      <c r="BRI84" s="206"/>
      <c r="BRJ84" s="205"/>
      <c r="BRK84" s="205"/>
      <c r="BRL84" s="204"/>
      <c r="BRM84" s="206"/>
      <c r="BRN84" s="205"/>
      <c r="BRO84" s="205"/>
      <c r="BRP84" s="204"/>
      <c r="BRQ84" s="206"/>
      <c r="BRR84" s="205"/>
      <c r="BRS84" s="205"/>
      <c r="BRT84" s="204"/>
      <c r="BRU84" s="206"/>
      <c r="BRV84" s="205"/>
      <c r="BRW84" s="205"/>
      <c r="BRX84" s="204"/>
      <c r="BRY84" s="206"/>
      <c r="BRZ84" s="205"/>
      <c r="BSA84" s="205"/>
      <c r="BSB84" s="204"/>
      <c r="BSC84" s="206"/>
      <c r="BSD84" s="205"/>
      <c r="BSE84" s="205"/>
      <c r="BSF84" s="204"/>
      <c r="BSG84" s="206"/>
      <c r="BSH84" s="205"/>
      <c r="BSI84" s="205"/>
      <c r="BSJ84" s="204"/>
      <c r="BSK84" s="206"/>
      <c r="BSL84" s="205"/>
      <c r="BSM84" s="205"/>
      <c r="BSN84" s="204"/>
      <c r="BSO84" s="206"/>
      <c r="BSP84" s="205"/>
      <c r="BSQ84" s="205"/>
      <c r="BSR84" s="204"/>
      <c r="BSS84" s="206"/>
      <c r="BST84" s="205"/>
      <c r="BSU84" s="205"/>
      <c r="BSV84" s="204"/>
      <c r="BSW84" s="206"/>
      <c r="BSX84" s="205"/>
      <c r="BSY84" s="205"/>
      <c r="BSZ84" s="204"/>
      <c r="BTA84" s="206"/>
      <c r="BTB84" s="205"/>
      <c r="BTC84" s="205"/>
      <c r="BTD84" s="204"/>
      <c r="BTE84" s="206"/>
      <c r="BTF84" s="205"/>
      <c r="BTG84" s="205"/>
      <c r="BTH84" s="204"/>
      <c r="BTI84" s="206"/>
      <c r="BTJ84" s="205"/>
      <c r="BTK84" s="205"/>
      <c r="BTL84" s="204"/>
      <c r="BTM84" s="206"/>
      <c r="BTN84" s="205"/>
      <c r="BTO84" s="205"/>
      <c r="BTP84" s="204"/>
      <c r="BTQ84" s="206"/>
      <c r="BTR84" s="205"/>
      <c r="BTS84" s="205"/>
      <c r="BTT84" s="204"/>
      <c r="BTU84" s="206"/>
      <c r="BTV84" s="205"/>
      <c r="BTW84" s="205"/>
      <c r="BTX84" s="204"/>
      <c r="BTY84" s="206"/>
      <c r="BTZ84" s="205"/>
      <c r="BUA84" s="205"/>
      <c r="BUB84" s="204"/>
      <c r="BUC84" s="206"/>
      <c r="BUD84" s="205"/>
      <c r="BUE84" s="205"/>
      <c r="BUF84" s="204"/>
      <c r="BUG84" s="206"/>
      <c r="BUH84" s="205"/>
      <c r="BUI84" s="205"/>
      <c r="BUJ84" s="204"/>
      <c r="BUK84" s="206"/>
      <c r="BUL84" s="205"/>
      <c r="BUM84" s="205"/>
      <c r="BUN84" s="204"/>
      <c r="BUO84" s="206"/>
      <c r="BUP84" s="205"/>
      <c r="BUQ84" s="205"/>
      <c r="BUR84" s="204"/>
      <c r="BUS84" s="206"/>
      <c r="BUT84" s="205"/>
      <c r="BUU84" s="205"/>
      <c r="BUV84" s="204"/>
      <c r="BUW84" s="206"/>
      <c r="BUX84" s="205"/>
      <c r="BUY84" s="205"/>
      <c r="BUZ84" s="204"/>
      <c r="BVA84" s="206"/>
      <c r="BVB84" s="205"/>
      <c r="BVC84" s="205"/>
      <c r="BVD84" s="204"/>
      <c r="BVE84" s="206"/>
      <c r="BVF84" s="205"/>
      <c r="BVG84" s="205"/>
      <c r="BVH84" s="204"/>
      <c r="BVI84" s="206"/>
      <c r="BVJ84" s="205"/>
      <c r="BVK84" s="205"/>
      <c r="BVL84" s="204"/>
      <c r="BVM84" s="206"/>
      <c r="BVN84" s="205"/>
      <c r="BVO84" s="205"/>
      <c r="BVP84" s="204"/>
      <c r="BVQ84" s="206"/>
      <c r="BVR84" s="205"/>
      <c r="BVS84" s="205"/>
      <c r="BVT84" s="204"/>
      <c r="BVU84" s="206"/>
      <c r="BVV84" s="205"/>
      <c r="BVW84" s="205"/>
      <c r="BVX84" s="204"/>
      <c r="BVY84" s="206"/>
      <c r="BVZ84" s="205"/>
      <c r="BWA84" s="205"/>
      <c r="BWB84" s="204"/>
      <c r="BWC84" s="206"/>
      <c r="BWD84" s="205"/>
      <c r="BWE84" s="205"/>
      <c r="BWF84" s="204"/>
      <c r="BWG84" s="206"/>
      <c r="BWH84" s="205"/>
      <c r="BWI84" s="205"/>
      <c r="BWJ84" s="204"/>
      <c r="BWK84" s="206"/>
      <c r="BWL84" s="205"/>
      <c r="BWM84" s="205"/>
      <c r="BWN84" s="204"/>
      <c r="BWO84" s="206"/>
      <c r="BWP84" s="205"/>
      <c r="BWQ84" s="205"/>
      <c r="BWR84" s="204"/>
      <c r="BWS84" s="206"/>
      <c r="BWT84" s="205"/>
      <c r="BWU84" s="205"/>
      <c r="BWV84" s="204"/>
      <c r="BWW84" s="206"/>
      <c r="BWX84" s="205"/>
      <c r="BWY84" s="205"/>
      <c r="BWZ84" s="204"/>
      <c r="BXA84" s="206"/>
      <c r="BXB84" s="205"/>
      <c r="BXC84" s="205"/>
      <c r="BXD84" s="204"/>
      <c r="BXE84" s="206"/>
      <c r="BXF84" s="205"/>
      <c r="BXG84" s="205"/>
      <c r="BXH84" s="204"/>
      <c r="BXI84" s="206"/>
      <c r="BXJ84" s="205"/>
      <c r="BXK84" s="205"/>
      <c r="BXL84" s="204"/>
      <c r="BXM84" s="206"/>
      <c r="BXN84" s="205"/>
      <c r="BXO84" s="205"/>
      <c r="BXP84" s="204"/>
      <c r="BXQ84" s="206"/>
      <c r="BXR84" s="205"/>
      <c r="BXS84" s="205"/>
      <c r="BXT84" s="204"/>
      <c r="BXU84" s="206"/>
      <c r="BXV84" s="205"/>
      <c r="BXW84" s="205"/>
      <c r="BXX84" s="204"/>
      <c r="BXY84" s="206"/>
      <c r="BXZ84" s="205"/>
      <c r="BYA84" s="205"/>
      <c r="BYB84" s="204"/>
      <c r="BYC84" s="206"/>
      <c r="BYD84" s="205"/>
      <c r="BYE84" s="205"/>
      <c r="BYF84" s="204"/>
      <c r="BYG84" s="206"/>
      <c r="BYH84" s="205"/>
      <c r="BYI84" s="205"/>
      <c r="BYJ84" s="204"/>
      <c r="BYK84" s="206"/>
      <c r="BYL84" s="205"/>
      <c r="BYM84" s="205"/>
      <c r="BYN84" s="204"/>
      <c r="BYO84" s="206"/>
      <c r="BYP84" s="205"/>
      <c r="BYQ84" s="205"/>
      <c r="BYR84" s="204"/>
      <c r="BYS84" s="206"/>
      <c r="BYT84" s="205"/>
      <c r="BYU84" s="205"/>
      <c r="BYV84" s="204"/>
      <c r="BYW84" s="206"/>
      <c r="BYX84" s="205"/>
      <c r="BYY84" s="205"/>
      <c r="BYZ84" s="204"/>
      <c r="BZA84" s="206"/>
      <c r="BZB84" s="205"/>
      <c r="BZC84" s="205"/>
      <c r="BZD84" s="204"/>
      <c r="BZE84" s="206"/>
      <c r="BZF84" s="205"/>
      <c r="BZG84" s="205"/>
      <c r="BZH84" s="204"/>
      <c r="BZI84" s="206"/>
      <c r="BZJ84" s="205"/>
      <c r="BZK84" s="205"/>
      <c r="BZL84" s="204"/>
      <c r="BZM84" s="206"/>
      <c r="BZN84" s="205"/>
      <c r="BZO84" s="205"/>
      <c r="BZP84" s="204"/>
      <c r="BZQ84" s="206"/>
      <c r="BZR84" s="205"/>
      <c r="BZS84" s="205"/>
      <c r="BZT84" s="204"/>
      <c r="BZU84" s="206"/>
      <c r="BZV84" s="205"/>
      <c r="BZW84" s="205"/>
      <c r="BZX84" s="204"/>
      <c r="BZY84" s="206"/>
      <c r="BZZ84" s="205"/>
      <c r="CAA84" s="205"/>
      <c r="CAB84" s="204"/>
      <c r="CAC84" s="206"/>
      <c r="CAD84" s="205"/>
      <c r="CAE84" s="205"/>
      <c r="CAF84" s="204"/>
      <c r="CAG84" s="206"/>
      <c r="CAH84" s="205"/>
      <c r="CAI84" s="205"/>
      <c r="CAJ84" s="204"/>
      <c r="CAK84" s="206"/>
      <c r="CAL84" s="205"/>
      <c r="CAM84" s="205"/>
      <c r="CAN84" s="204"/>
      <c r="CAO84" s="206"/>
      <c r="CAP84" s="205"/>
      <c r="CAQ84" s="205"/>
      <c r="CAR84" s="204"/>
      <c r="CAS84" s="206"/>
      <c r="CAT84" s="205"/>
      <c r="CAU84" s="205"/>
      <c r="CAV84" s="204"/>
      <c r="CAW84" s="206"/>
      <c r="CAX84" s="205"/>
      <c r="CAY84" s="205"/>
      <c r="CAZ84" s="204"/>
      <c r="CBA84" s="206"/>
      <c r="CBB84" s="205"/>
      <c r="CBC84" s="205"/>
      <c r="CBD84" s="204"/>
      <c r="CBE84" s="206"/>
      <c r="CBF84" s="205"/>
      <c r="CBG84" s="205"/>
      <c r="CBH84" s="204"/>
      <c r="CBI84" s="206"/>
      <c r="CBJ84" s="205"/>
      <c r="CBK84" s="205"/>
      <c r="CBL84" s="204"/>
      <c r="CBM84" s="206"/>
      <c r="CBN84" s="205"/>
      <c r="CBO84" s="205"/>
      <c r="CBP84" s="204"/>
      <c r="CBQ84" s="206"/>
      <c r="CBR84" s="205"/>
      <c r="CBS84" s="205"/>
      <c r="CBT84" s="204"/>
      <c r="CBU84" s="206"/>
      <c r="CBV84" s="205"/>
      <c r="CBW84" s="205"/>
      <c r="CBX84" s="204"/>
      <c r="CBY84" s="206"/>
      <c r="CBZ84" s="205"/>
      <c r="CCA84" s="205"/>
      <c r="CCB84" s="204"/>
      <c r="CCC84" s="206"/>
      <c r="CCD84" s="205"/>
      <c r="CCE84" s="205"/>
      <c r="CCF84" s="204"/>
      <c r="CCG84" s="206"/>
      <c r="CCH84" s="205"/>
      <c r="CCI84" s="205"/>
      <c r="CCJ84" s="204"/>
      <c r="CCK84" s="206"/>
      <c r="CCL84" s="205"/>
      <c r="CCM84" s="205"/>
      <c r="CCN84" s="204"/>
      <c r="CCO84" s="206"/>
      <c r="CCP84" s="205"/>
      <c r="CCQ84" s="205"/>
      <c r="CCR84" s="204"/>
      <c r="CCS84" s="206"/>
      <c r="CCT84" s="205"/>
      <c r="CCU84" s="205"/>
      <c r="CCV84" s="204"/>
      <c r="CCW84" s="206"/>
      <c r="CCX84" s="205"/>
      <c r="CCY84" s="205"/>
      <c r="CCZ84" s="204"/>
      <c r="CDA84" s="206"/>
      <c r="CDB84" s="205"/>
      <c r="CDC84" s="205"/>
      <c r="CDD84" s="204"/>
      <c r="CDE84" s="206"/>
      <c r="CDF84" s="205"/>
      <c r="CDG84" s="205"/>
      <c r="CDH84" s="204"/>
      <c r="CDI84" s="206"/>
      <c r="CDJ84" s="205"/>
      <c r="CDK84" s="205"/>
      <c r="CDL84" s="204"/>
      <c r="CDM84" s="206"/>
      <c r="CDN84" s="205"/>
      <c r="CDO84" s="205"/>
      <c r="CDP84" s="204"/>
      <c r="CDQ84" s="206"/>
      <c r="CDR84" s="205"/>
      <c r="CDS84" s="205"/>
      <c r="CDT84" s="204"/>
      <c r="CDU84" s="206"/>
      <c r="CDV84" s="205"/>
      <c r="CDW84" s="205"/>
      <c r="CDX84" s="204"/>
      <c r="CDY84" s="206"/>
      <c r="CDZ84" s="205"/>
      <c r="CEA84" s="205"/>
      <c r="CEB84" s="204"/>
      <c r="CEC84" s="206"/>
      <c r="CED84" s="205"/>
      <c r="CEE84" s="205"/>
      <c r="CEF84" s="204"/>
      <c r="CEG84" s="206"/>
      <c r="CEH84" s="205"/>
      <c r="CEI84" s="205"/>
      <c r="CEJ84" s="204"/>
      <c r="CEK84" s="206"/>
      <c r="CEL84" s="205"/>
      <c r="CEM84" s="205"/>
      <c r="CEN84" s="204"/>
      <c r="CEO84" s="206"/>
      <c r="CEP84" s="205"/>
      <c r="CEQ84" s="205"/>
      <c r="CER84" s="204"/>
      <c r="CES84" s="206"/>
      <c r="CET84" s="205"/>
      <c r="CEU84" s="205"/>
      <c r="CEV84" s="204"/>
      <c r="CEW84" s="206"/>
      <c r="CEX84" s="205"/>
      <c r="CEY84" s="205"/>
      <c r="CEZ84" s="204"/>
      <c r="CFA84" s="206"/>
      <c r="CFB84" s="205"/>
      <c r="CFC84" s="205"/>
      <c r="CFD84" s="204"/>
      <c r="CFE84" s="206"/>
      <c r="CFF84" s="205"/>
      <c r="CFG84" s="205"/>
      <c r="CFH84" s="204"/>
      <c r="CFI84" s="206"/>
      <c r="CFJ84" s="205"/>
      <c r="CFK84" s="205"/>
      <c r="CFL84" s="204"/>
      <c r="CFM84" s="206"/>
      <c r="CFN84" s="205"/>
      <c r="CFO84" s="205"/>
      <c r="CFP84" s="204"/>
      <c r="CFQ84" s="206"/>
      <c r="CFR84" s="205"/>
      <c r="CFS84" s="205"/>
      <c r="CFT84" s="204"/>
      <c r="CFU84" s="206"/>
      <c r="CFV84" s="205"/>
      <c r="CFW84" s="205"/>
      <c r="CFX84" s="204"/>
      <c r="CFY84" s="206"/>
      <c r="CFZ84" s="205"/>
      <c r="CGA84" s="205"/>
      <c r="CGB84" s="204"/>
      <c r="CGC84" s="206"/>
      <c r="CGD84" s="205"/>
      <c r="CGE84" s="205"/>
      <c r="CGF84" s="204"/>
      <c r="CGG84" s="206"/>
      <c r="CGH84" s="205"/>
      <c r="CGI84" s="205"/>
      <c r="CGJ84" s="204"/>
      <c r="CGK84" s="206"/>
      <c r="CGL84" s="205"/>
      <c r="CGM84" s="205"/>
      <c r="CGN84" s="204"/>
      <c r="CGO84" s="206"/>
      <c r="CGP84" s="205"/>
      <c r="CGQ84" s="205"/>
      <c r="CGR84" s="204"/>
      <c r="CGS84" s="206"/>
      <c r="CGT84" s="205"/>
      <c r="CGU84" s="205"/>
      <c r="CGV84" s="204"/>
      <c r="CGW84" s="206"/>
      <c r="CGX84" s="205"/>
      <c r="CGY84" s="205"/>
      <c r="CGZ84" s="204"/>
      <c r="CHA84" s="206"/>
      <c r="CHB84" s="205"/>
      <c r="CHC84" s="205"/>
      <c r="CHD84" s="204"/>
      <c r="CHE84" s="206"/>
      <c r="CHF84" s="205"/>
      <c r="CHG84" s="205"/>
      <c r="CHH84" s="204"/>
      <c r="CHI84" s="206"/>
      <c r="CHJ84" s="205"/>
      <c r="CHK84" s="205"/>
      <c r="CHL84" s="204"/>
      <c r="CHM84" s="206"/>
      <c r="CHN84" s="205"/>
      <c r="CHO84" s="205"/>
      <c r="CHP84" s="204"/>
      <c r="CHQ84" s="206"/>
      <c r="CHR84" s="205"/>
      <c r="CHS84" s="205"/>
      <c r="CHT84" s="204"/>
      <c r="CHU84" s="206"/>
      <c r="CHV84" s="205"/>
      <c r="CHW84" s="205"/>
      <c r="CHX84" s="204"/>
      <c r="CHY84" s="206"/>
      <c r="CHZ84" s="205"/>
      <c r="CIA84" s="205"/>
      <c r="CIB84" s="204"/>
      <c r="CIC84" s="206"/>
      <c r="CID84" s="205"/>
      <c r="CIE84" s="205"/>
      <c r="CIF84" s="204"/>
      <c r="CIG84" s="206"/>
      <c r="CIH84" s="205"/>
      <c r="CII84" s="205"/>
      <c r="CIJ84" s="204"/>
      <c r="CIK84" s="206"/>
      <c r="CIL84" s="205"/>
      <c r="CIM84" s="205"/>
      <c r="CIN84" s="204"/>
      <c r="CIO84" s="206"/>
      <c r="CIP84" s="205"/>
      <c r="CIQ84" s="205"/>
      <c r="CIR84" s="204"/>
      <c r="CIS84" s="206"/>
      <c r="CIT84" s="205"/>
      <c r="CIU84" s="205"/>
      <c r="CIV84" s="204"/>
      <c r="CIW84" s="206"/>
      <c r="CIX84" s="205"/>
      <c r="CIY84" s="205"/>
      <c r="CIZ84" s="204"/>
      <c r="CJA84" s="206"/>
      <c r="CJB84" s="205"/>
      <c r="CJC84" s="205"/>
      <c r="CJD84" s="204"/>
      <c r="CJE84" s="206"/>
      <c r="CJF84" s="205"/>
      <c r="CJG84" s="205"/>
      <c r="CJH84" s="204"/>
      <c r="CJI84" s="206"/>
      <c r="CJJ84" s="205"/>
      <c r="CJK84" s="205"/>
      <c r="CJL84" s="204"/>
      <c r="CJM84" s="206"/>
      <c r="CJN84" s="205"/>
      <c r="CJO84" s="205"/>
      <c r="CJP84" s="204"/>
      <c r="CJQ84" s="206"/>
      <c r="CJR84" s="205"/>
      <c r="CJS84" s="205"/>
      <c r="CJT84" s="204"/>
      <c r="CJU84" s="206"/>
      <c r="CJV84" s="205"/>
      <c r="CJW84" s="205"/>
      <c r="CJX84" s="204"/>
      <c r="CJY84" s="206"/>
      <c r="CJZ84" s="205"/>
      <c r="CKA84" s="205"/>
      <c r="CKB84" s="204"/>
      <c r="CKC84" s="206"/>
      <c r="CKD84" s="205"/>
      <c r="CKE84" s="205"/>
      <c r="CKF84" s="204"/>
      <c r="CKG84" s="206"/>
      <c r="CKH84" s="205"/>
      <c r="CKI84" s="205"/>
      <c r="CKJ84" s="204"/>
      <c r="CKK84" s="206"/>
      <c r="CKL84" s="205"/>
      <c r="CKM84" s="205"/>
      <c r="CKN84" s="204"/>
      <c r="CKO84" s="206"/>
      <c r="CKP84" s="205"/>
      <c r="CKQ84" s="205"/>
      <c r="CKR84" s="204"/>
      <c r="CKS84" s="206"/>
      <c r="CKT84" s="205"/>
      <c r="CKU84" s="205"/>
      <c r="CKV84" s="204"/>
      <c r="CKW84" s="206"/>
      <c r="CKX84" s="205"/>
      <c r="CKY84" s="205"/>
      <c r="CKZ84" s="204"/>
      <c r="CLA84" s="206"/>
      <c r="CLB84" s="205"/>
      <c r="CLC84" s="205"/>
      <c r="CLD84" s="204"/>
      <c r="CLE84" s="206"/>
      <c r="CLF84" s="205"/>
      <c r="CLG84" s="205"/>
      <c r="CLH84" s="204"/>
      <c r="CLI84" s="206"/>
      <c r="CLJ84" s="205"/>
      <c r="CLK84" s="205"/>
      <c r="CLL84" s="204"/>
      <c r="CLM84" s="206"/>
      <c r="CLN84" s="205"/>
      <c r="CLO84" s="205"/>
      <c r="CLP84" s="204"/>
      <c r="CLQ84" s="206"/>
      <c r="CLR84" s="205"/>
      <c r="CLS84" s="205"/>
      <c r="CLT84" s="204"/>
      <c r="CLU84" s="206"/>
      <c r="CLV84" s="205"/>
      <c r="CLW84" s="205"/>
      <c r="CLX84" s="204"/>
      <c r="CLY84" s="206"/>
      <c r="CLZ84" s="205"/>
      <c r="CMA84" s="205"/>
      <c r="CMB84" s="204"/>
      <c r="CMC84" s="206"/>
      <c r="CMD84" s="205"/>
      <c r="CME84" s="205"/>
      <c r="CMF84" s="204"/>
      <c r="CMG84" s="206"/>
      <c r="CMH84" s="205"/>
      <c r="CMI84" s="205"/>
      <c r="CMJ84" s="204"/>
      <c r="CMK84" s="206"/>
      <c r="CML84" s="205"/>
      <c r="CMM84" s="205"/>
      <c r="CMN84" s="204"/>
      <c r="CMO84" s="206"/>
      <c r="CMP84" s="205"/>
      <c r="CMQ84" s="205"/>
      <c r="CMR84" s="204"/>
      <c r="CMS84" s="206"/>
      <c r="CMT84" s="205"/>
      <c r="CMU84" s="205"/>
      <c r="CMV84" s="204"/>
      <c r="CMW84" s="206"/>
      <c r="CMX84" s="205"/>
      <c r="CMY84" s="205"/>
      <c r="CMZ84" s="204"/>
      <c r="CNA84" s="206"/>
      <c r="CNB84" s="205"/>
      <c r="CNC84" s="205"/>
      <c r="CND84" s="204"/>
      <c r="CNE84" s="206"/>
      <c r="CNF84" s="205"/>
      <c r="CNG84" s="205"/>
      <c r="CNH84" s="204"/>
      <c r="CNI84" s="206"/>
      <c r="CNJ84" s="205"/>
      <c r="CNK84" s="205"/>
      <c r="CNL84" s="204"/>
      <c r="CNM84" s="206"/>
      <c r="CNN84" s="205"/>
      <c r="CNO84" s="205"/>
      <c r="CNP84" s="204"/>
      <c r="CNQ84" s="206"/>
      <c r="CNR84" s="205"/>
      <c r="CNS84" s="205"/>
      <c r="CNT84" s="204"/>
      <c r="CNU84" s="206"/>
      <c r="CNV84" s="205"/>
      <c r="CNW84" s="205"/>
      <c r="CNX84" s="204"/>
      <c r="CNY84" s="206"/>
      <c r="CNZ84" s="205"/>
      <c r="COA84" s="205"/>
      <c r="COB84" s="204"/>
      <c r="COC84" s="206"/>
      <c r="COD84" s="205"/>
      <c r="COE84" s="205"/>
      <c r="COF84" s="204"/>
      <c r="COG84" s="206"/>
      <c r="COH84" s="205"/>
      <c r="COI84" s="205"/>
      <c r="COJ84" s="204"/>
      <c r="COK84" s="206"/>
      <c r="COL84" s="205"/>
      <c r="COM84" s="205"/>
      <c r="CON84" s="204"/>
      <c r="COO84" s="206"/>
      <c r="COP84" s="205"/>
      <c r="COQ84" s="205"/>
      <c r="COR84" s="204"/>
      <c r="COS84" s="206"/>
      <c r="COT84" s="205"/>
      <c r="COU84" s="205"/>
      <c r="COV84" s="204"/>
      <c r="COW84" s="206"/>
      <c r="COX84" s="205"/>
      <c r="COY84" s="205"/>
      <c r="COZ84" s="204"/>
      <c r="CPA84" s="206"/>
      <c r="CPB84" s="205"/>
      <c r="CPC84" s="205"/>
      <c r="CPD84" s="204"/>
      <c r="CPE84" s="206"/>
      <c r="CPF84" s="205"/>
      <c r="CPG84" s="205"/>
      <c r="CPH84" s="204"/>
      <c r="CPI84" s="206"/>
      <c r="CPJ84" s="205"/>
      <c r="CPK84" s="205"/>
      <c r="CPL84" s="204"/>
      <c r="CPM84" s="206"/>
      <c r="CPN84" s="205"/>
      <c r="CPO84" s="205"/>
      <c r="CPP84" s="204"/>
      <c r="CPQ84" s="206"/>
      <c r="CPR84" s="205"/>
      <c r="CPS84" s="205"/>
      <c r="CPT84" s="204"/>
      <c r="CPU84" s="206"/>
      <c r="CPV84" s="205"/>
      <c r="CPW84" s="205"/>
      <c r="CPX84" s="204"/>
      <c r="CPY84" s="206"/>
      <c r="CPZ84" s="205"/>
      <c r="CQA84" s="205"/>
      <c r="CQB84" s="204"/>
      <c r="CQC84" s="206"/>
      <c r="CQD84" s="205"/>
      <c r="CQE84" s="205"/>
      <c r="CQF84" s="204"/>
      <c r="CQG84" s="206"/>
      <c r="CQH84" s="205"/>
      <c r="CQI84" s="205"/>
      <c r="CQJ84" s="204"/>
      <c r="CQK84" s="206"/>
      <c r="CQL84" s="205"/>
      <c r="CQM84" s="205"/>
      <c r="CQN84" s="204"/>
      <c r="CQO84" s="206"/>
      <c r="CQP84" s="205"/>
      <c r="CQQ84" s="205"/>
      <c r="CQR84" s="204"/>
      <c r="CQS84" s="206"/>
      <c r="CQT84" s="205"/>
      <c r="CQU84" s="205"/>
      <c r="CQV84" s="204"/>
      <c r="CQW84" s="206"/>
      <c r="CQX84" s="205"/>
      <c r="CQY84" s="205"/>
      <c r="CQZ84" s="204"/>
      <c r="CRA84" s="206"/>
      <c r="CRB84" s="205"/>
      <c r="CRC84" s="205"/>
      <c r="CRD84" s="204"/>
      <c r="CRE84" s="206"/>
      <c r="CRF84" s="205"/>
      <c r="CRG84" s="205"/>
      <c r="CRH84" s="204"/>
      <c r="CRI84" s="206"/>
      <c r="CRJ84" s="205"/>
      <c r="CRK84" s="205"/>
      <c r="CRL84" s="204"/>
      <c r="CRM84" s="206"/>
      <c r="CRN84" s="205"/>
      <c r="CRO84" s="205"/>
      <c r="CRP84" s="204"/>
      <c r="CRQ84" s="206"/>
      <c r="CRR84" s="205"/>
      <c r="CRS84" s="205"/>
      <c r="CRT84" s="204"/>
      <c r="CRU84" s="206"/>
      <c r="CRV84" s="205"/>
      <c r="CRW84" s="205"/>
      <c r="CRX84" s="204"/>
      <c r="CRY84" s="206"/>
      <c r="CRZ84" s="205"/>
      <c r="CSA84" s="205"/>
      <c r="CSB84" s="204"/>
      <c r="CSC84" s="206"/>
      <c r="CSD84" s="205"/>
      <c r="CSE84" s="205"/>
      <c r="CSF84" s="204"/>
      <c r="CSG84" s="206"/>
      <c r="CSH84" s="205"/>
      <c r="CSI84" s="205"/>
      <c r="CSJ84" s="204"/>
      <c r="CSK84" s="206"/>
      <c r="CSL84" s="205"/>
      <c r="CSM84" s="205"/>
      <c r="CSN84" s="204"/>
      <c r="CSO84" s="206"/>
      <c r="CSP84" s="205"/>
      <c r="CSQ84" s="205"/>
      <c r="CSR84" s="204"/>
      <c r="CSS84" s="206"/>
      <c r="CST84" s="205"/>
      <c r="CSU84" s="205"/>
      <c r="CSV84" s="204"/>
      <c r="CSW84" s="206"/>
      <c r="CSX84" s="205"/>
      <c r="CSY84" s="205"/>
      <c r="CSZ84" s="204"/>
      <c r="CTA84" s="206"/>
      <c r="CTB84" s="205"/>
      <c r="CTC84" s="205"/>
      <c r="CTD84" s="204"/>
      <c r="CTE84" s="206"/>
      <c r="CTF84" s="205"/>
      <c r="CTG84" s="205"/>
      <c r="CTH84" s="204"/>
      <c r="CTI84" s="206"/>
      <c r="CTJ84" s="205"/>
      <c r="CTK84" s="205"/>
      <c r="CTL84" s="204"/>
      <c r="CTM84" s="206"/>
      <c r="CTN84" s="205"/>
      <c r="CTO84" s="205"/>
      <c r="CTP84" s="204"/>
      <c r="CTQ84" s="206"/>
      <c r="CTR84" s="205"/>
      <c r="CTS84" s="205"/>
      <c r="CTT84" s="204"/>
      <c r="CTU84" s="206"/>
      <c r="CTV84" s="205"/>
      <c r="CTW84" s="205"/>
      <c r="CTX84" s="204"/>
      <c r="CTY84" s="206"/>
      <c r="CTZ84" s="205"/>
      <c r="CUA84" s="205"/>
      <c r="CUB84" s="204"/>
      <c r="CUC84" s="206"/>
      <c r="CUD84" s="205"/>
      <c r="CUE84" s="205"/>
      <c r="CUF84" s="204"/>
      <c r="CUG84" s="206"/>
      <c r="CUH84" s="205"/>
      <c r="CUI84" s="205"/>
      <c r="CUJ84" s="204"/>
      <c r="CUK84" s="206"/>
      <c r="CUL84" s="205"/>
      <c r="CUM84" s="205"/>
      <c r="CUN84" s="204"/>
      <c r="CUO84" s="206"/>
      <c r="CUP84" s="205"/>
      <c r="CUQ84" s="205"/>
      <c r="CUR84" s="204"/>
      <c r="CUS84" s="206"/>
      <c r="CUT84" s="205"/>
      <c r="CUU84" s="205"/>
      <c r="CUV84" s="204"/>
      <c r="CUW84" s="206"/>
      <c r="CUX84" s="205"/>
      <c r="CUY84" s="205"/>
      <c r="CUZ84" s="204"/>
      <c r="CVA84" s="206"/>
      <c r="CVB84" s="205"/>
      <c r="CVC84" s="205"/>
      <c r="CVD84" s="204"/>
      <c r="CVE84" s="206"/>
      <c r="CVF84" s="205"/>
      <c r="CVG84" s="205"/>
      <c r="CVH84" s="204"/>
      <c r="CVI84" s="206"/>
      <c r="CVJ84" s="205"/>
      <c r="CVK84" s="205"/>
      <c r="CVL84" s="204"/>
      <c r="CVM84" s="206"/>
      <c r="CVN84" s="205"/>
      <c r="CVO84" s="205"/>
      <c r="CVP84" s="204"/>
      <c r="CVQ84" s="206"/>
      <c r="CVR84" s="205"/>
      <c r="CVS84" s="205"/>
      <c r="CVT84" s="204"/>
      <c r="CVU84" s="206"/>
      <c r="CVV84" s="205"/>
      <c r="CVW84" s="205"/>
      <c r="CVX84" s="204"/>
      <c r="CVY84" s="206"/>
      <c r="CVZ84" s="205"/>
      <c r="CWA84" s="205"/>
      <c r="CWB84" s="204"/>
      <c r="CWC84" s="206"/>
      <c r="CWD84" s="205"/>
      <c r="CWE84" s="205"/>
      <c r="CWF84" s="204"/>
      <c r="CWG84" s="206"/>
      <c r="CWH84" s="205"/>
      <c r="CWI84" s="205"/>
      <c r="CWJ84" s="204"/>
      <c r="CWK84" s="206"/>
      <c r="CWL84" s="205"/>
      <c r="CWM84" s="205"/>
      <c r="CWN84" s="204"/>
      <c r="CWO84" s="206"/>
      <c r="CWP84" s="205"/>
      <c r="CWQ84" s="205"/>
      <c r="CWR84" s="204"/>
      <c r="CWS84" s="206"/>
      <c r="CWT84" s="205"/>
      <c r="CWU84" s="205"/>
      <c r="CWV84" s="204"/>
      <c r="CWW84" s="206"/>
      <c r="CWX84" s="205"/>
      <c r="CWY84" s="205"/>
      <c r="CWZ84" s="204"/>
      <c r="CXA84" s="206"/>
      <c r="CXB84" s="205"/>
      <c r="CXC84" s="205"/>
      <c r="CXD84" s="204"/>
      <c r="CXE84" s="206"/>
      <c r="CXF84" s="205"/>
      <c r="CXG84" s="205"/>
      <c r="CXH84" s="204"/>
      <c r="CXI84" s="206"/>
      <c r="CXJ84" s="205"/>
      <c r="CXK84" s="205"/>
      <c r="CXL84" s="204"/>
      <c r="CXM84" s="206"/>
      <c r="CXN84" s="205"/>
      <c r="CXO84" s="205"/>
      <c r="CXP84" s="204"/>
      <c r="CXQ84" s="206"/>
      <c r="CXR84" s="205"/>
      <c r="CXS84" s="205"/>
      <c r="CXT84" s="204"/>
      <c r="CXU84" s="206"/>
      <c r="CXV84" s="205"/>
      <c r="CXW84" s="205"/>
      <c r="CXX84" s="204"/>
      <c r="CXY84" s="206"/>
      <c r="CXZ84" s="205"/>
      <c r="CYA84" s="205"/>
      <c r="CYB84" s="204"/>
      <c r="CYC84" s="206"/>
      <c r="CYD84" s="205"/>
      <c r="CYE84" s="205"/>
      <c r="CYF84" s="204"/>
      <c r="CYG84" s="206"/>
      <c r="CYH84" s="205"/>
      <c r="CYI84" s="205"/>
      <c r="CYJ84" s="204"/>
      <c r="CYK84" s="206"/>
      <c r="CYL84" s="205"/>
      <c r="CYM84" s="205"/>
      <c r="CYN84" s="204"/>
      <c r="CYO84" s="206"/>
      <c r="CYP84" s="205"/>
      <c r="CYQ84" s="205"/>
      <c r="CYR84" s="204"/>
      <c r="CYS84" s="206"/>
      <c r="CYT84" s="205"/>
      <c r="CYU84" s="205"/>
      <c r="CYV84" s="204"/>
      <c r="CYW84" s="206"/>
      <c r="CYX84" s="205"/>
      <c r="CYY84" s="205"/>
      <c r="CYZ84" s="204"/>
      <c r="CZA84" s="206"/>
      <c r="CZB84" s="205"/>
      <c r="CZC84" s="205"/>
      <c r="CZD84" s="204"/>
      <c r="CZE84" s="206"/>
      <c r="CZF84" s="205"/>
      <c r="CZG84" s="205"/>
      <c r="CZH84" s="204"/>
      <c r="CZI84" s="206"/>
      <c r="CZJ84" s="205"/>
      <c r="CZK84" s="205"/>
      <c r="CZL84" s="204"/>
      <c r="CZM84" s="206"/>
      <c r="CZN84" s="205"/>
      <c r="CZO84" s="205"/>
      <c r="CZP84" s="204"/>
      <c r="CZQ84" s="206"/>
      <c r="CZR84" s="205"/>
      <c r="CZS84" s="205"/>
      <c r="CZT84" s="204"/>
      <c r="CZU84" s="206"/>
      <c r="CZV84" s="205"/>
      <c r="CZW84" s="205"/>
      <c r="CZX84" s="204"/>
      <c r="CZY84" s="206"/>
      <c r="CZZ84" s="205"/>
      <c r="DAA84" s="205"/>
      <c r="DAB84" s="204"/>
      <c r="DAC84" s="206"/>
      <c r="DAD84" s="205"/>
      <c r="DAE84" s="205"/>
      <c r="DAF84" s="204"/>
      <c r="DAG84" s="206"/>
      <c r="DAH84" s="205"/>
      <c r="DAI84" s="205"/>
      <c r="DAJ84" s="204"/>
      <c r="DAK84" s="206"/>
      <c r="DAL84" s="205"/>
      <c r="DAM84" s="205"/>
      <c r="DAN84" s="204"/>
      <c r="DAO84" s="206"/>
      <c r="DAP84" s="205"/>
      <c r="DAQ84" s="205"/>
      <c r="DAR84" s="204"/>
      <c r="DAS84" s="206"/>
      <c r="DAT84" s="205"/>
      <c r="DAU84" s="205"/>
      <c r="DAV84" s="204"/>
      <c r="DAW84" s="206"/>
      <c r="DAX84" s="205"/>
      <c r="DAY84" s="205"/>
      <c r="DAZ84" s="204"/>
      <c r="DBA84" s="206"/>
      <c r="DBB84" s="205"/>
      <c r="DBC84" s="205"/>
      <c r="DBD84" s="204"/>
      <c r="DBE84" s="206"/>
      <c r="DBF84" s="205"/>
      <c r="DBG84" s="205"/>
      <c r="DBH84" s="204"/>
      <c r="DBI84" s="206"/>
      <c r="DBJ84" s="205"/>
      <c r="DBK84" s="205"/>
      <c r="DBL84" s="204"/>
      <c r="DBM84" s="206"/>
      <c r="DBN84" s="205"/>
      <c r="DBO84" s="205"/>
      <c r="DBP84" s="204"/>
      <c r="DBQ84" s="206"/>
      <c r="DBR84" s="205"/>
      <c r="DBS84" s="205"/>
      <c r="DBT84" s="204"/>
      <c r="DBU84" s="206"/>
      <c r="DBV84" s="205"/>
      <c r="DBW84" s="205"/>
      <c r="DBX84" s="204"/>
      <c r="DBY84" s="206"/>
      <c r="DBZ84" s="205"/>
      <c r="DCA84" s="205"/>
      <c r="DCB84" s="204"/>
      <c r="DCC84" s="206"/>
      <c r="DCD84" s="205"/>
      <c r="DCE84" s="205"/>
      <c r="DCF84" s="204"/>
      <c r="DCG84" s="206"/>
      <c r="DCH84" s="205"/>
      <c r="DCI84" s="205"/>
      <c r="DCJ84" s="204"/>
      <c r="DCK84" s="206"/>
      <c r="DCL84" s="205"/>
      <c r="DCM84" s="205"/>
      <c r="DCN84" s="204"/>
      <c r="DCO84" s="206"/>
      <c r="DCP84" s="205"/>
      <c r="DCQ84" s="205"/>
      <c r="DCR84" s="204"/>
      <c r="DCS84" s="206"/>
      <c r="DCT84" s="205"/>
      <c r="DCU84" s="205"/>
      <c r="DCV84" s="204"/>
      <c r="DCW84" s="206"/>
      <c r="DCX84" s="205"/>
      <c r="DCY84" s="205"/>
      <c r="DCZ84" s="204"/>
      <c r="DDA84" s="206"/>
      <c r="DDB84" s="205"/>
      <c r="DDC84" s="205"/>
      <c r="DDD84" s="204"/>
      <c r="DDE84" s="206"/>
      <c r="DDF84" s="205"/>
      <c r="DDG84" s="205"/>
      <c r="DDH84" s="204"/>
      <c r="DDI84" s="206"/>
      <c r="DDJ84" s="205"/>
      <c r="DDK84" s="205"/>
      <c r="DDL84" s="204"/>
      <c r="DDM84" s="206"/>
      <c r="DDN84" s="205"/>
      <c r="DDO84" s="205"/>
      <c r="DDP84" s="204"/>
      <c r="DDQ84" s="206"/>
      <c r="DDR84" s="205"/>
      <c r="DDS84" s="205"/>
      <c r="DDT84" s="204"/>
      <c r="DDU84" s="206"/>
      <c r="DDV84" s="205"/>
      <c r="DDW84" s="205"/>
      <c r="DDX84" s="204"/>
      <c r="DDY84" s="206"/>
      <c r="DDZ84" s="205"/>
      <c r="DEA84" s="205"/>
      <c r="DEB84" s="204"/>
      <c r="DEC84" s="206"/>
      <c r="DED84" s="205"/>
      <c r="DEE84" s="205"/>
      <c r="DEF84" s="204"/>
      <c r="DEG84" s="206"/>
      <c r="DEH84" s="205"/>
      <c r="DEI84" s="205"/>
      <c r="DEJ84" s="204"/>
      <c r="DEK84" s="206"/>
      <c r="DEL84" s="205"/>
      <c r="DEM84" s="205"/>
      <c r="DEN84" s="204"/>
      <c r="DEO84" s="206"/>
      <c r="DEP84" s="205"/>
      <c r="DEQ84" s="205"/>
      <c r="DER84" s="204"/>
      <c r="DES84" s="206"/>
      <c r="DET84" s="205"/>
      <c r="DEU84" s="205"/>
      <c r="DEV84" s="204"/>
      <c r="DEW84" s="206"/>
      <c r="DEX84" s="205"/>
      <c r="DEY84" s="205"/>
      <c r="DEZ84" s="204"/>
      <c r="DFA84" s="206"/>
      <c r="DFB84" s="205"/>
      <c r="DFC84" s="205"/>
      <c r="DFD84" s="204"/>
      <c r="DFE84" s="206"/>
      <c r="DFF84" s="205"/>
      <c r="DFG84" s="205"/>
      <c r="DFH84" s="204"/>
      <c r="DFI84" s="206"/>
      <c r="DFJ84" s="205"/>
      <c r="DFK84" s="205"/>
      <c r="DFL84" s="204"/>
      <c r="DFM84" s="206"/>
      <c r="DFN84" s="205"/>
      <c r="DFO84" s="205"/>
      <c r="DFP84" s="204"/>
      <c r="DFQ84" s="206"/>
      <c r="DFR84" s="205"/>
      <c r="DFS84" s="205"/>
      <c r="DFT84" s="204"/>
      <c r="DFU84" s="206"/>
      <c r="DFV84" s="205"/>
      <c r="DFW84" s="205"/>
      <c r="DFX84" s="204"/>
      <c r="DFY84" s="206"/>
      <c r="DFZ84" s="205"/>
      <c r="DGA84" s="205"/>
      <c r="DGB84" s="204"/>
      <c r="DGC84" s="206"/>
      <c r="DGD84" s="205"/>
      <c r="DGE84" s="205"/>
      <c r="DGF84" s="204"/>
      <c r="DGG84" s="206"/>
      <c r="DGH84" s="205"/>
      <c r="DGI84" s="205"/>
      <c r="DGJ84" s="204"/>
      <c r="DGK84" s="206"/>
      <c r="DGL84" s="205"/>
      <c r="DGM84" s="205"/>
      <c r="DGN84" s="204"/>
      <c r="DGO84" s="206"/>
      <c r="DGP84" s="205"/>
      <c r="DGQ84" s="205"/>
      <c r="DGR84" s="204"/>
      <c r="DGS84" s="206"/>
      <c r="DGT84" s="205"/>
      <c r="DGU84" s="205"/>
      <c r="DGV84" s="204"/>
      <c r="DGW84" s="206"/>
      <c r="DGX84" s="205"/>
      <c r="DGY84" s="205"/>
      <c r="DGZ84" s="204"/>
      <c r="DHA84" s="206"/>
      <c r="DHB84" s="205"/>
      <c r="DHC84" s="205"/>
      <c r="DHD84" s="204"/>
      <c r="DHE84" s="206"/>
      <c r="DHF84" s="205"/>
      <c r="DHG84" s="205"/>
      <c r="DHH84" s="204"/>
      <c r="DHI84" s="206"/>
      <c r="DHJ84" s="205"/>
      <c r="DHK84" s="205"/>
      <c r="DHL84" s="204"/>
      <c r="DHM84" s="206"/>
      <c r="DHN84" s="205"/>
      <c r="DHO84" s="205"/>
      <c r="DHP84" s="204"/>
      <c r="DHQ84" s="206"/>
      <c r="DHR84" s="205"/>
      <c r="DHS84" s="205"/>
      <c r="DHT84" s="204"/>
      <c r="DHU84" s="206"/>
      <c r="DHV84" s="205"/>
      <c r="DHW84" s="205"/>
      <c r="DHX84" s="204"/>
      <c r="DHY84" s="206"/>
      <c r="DHZ84" s="205"/>
      <c r="DIA84" s="205"/>
      <c r="DIB84" s="204"/>
      <c r="DIC84" s="206"/>
      <c r="DID84" s="205"/>
      <c r="DIE84" s="205"/>
      <c r="DIF84" s="204"/>
      <c r="DIG84" s="206"/>
      <c r="DIH84" s="205"/>
      <c r="DII84" s="205"/>
      <c r="DIJ84" s="204"/>
      <c r="DIK84" s="206"/>
      <c r="DIL84" s="205"/>
      <c r="DIM84" s="205"/>
      <c r="DIN84" s="204"/>
      <c r="DIO84" s="206"/>
      <c r="DIP84" s="205"/>
      <c r="DIQ84" s="205"/>
      <c r="DIR84" s="204"/>
      <c r="DIS84" s="206"/>
      <c r="DIT84" s="205"/>
      <c r="DIU84" s="205"/>
      <c r="DIV84" s="204"/>
      <c r="DIW84" s="206"/>
      <c r="DIX84" s="205"/>
      <c r="DIY84" s="205"/>
      <c r="DIZ84" s="204"/>
      <c r="DJA84" s="206"/>
      <c r="DJB84" s="205"/>
      <c r="DJC84" s="205"/>
      <c r="DJD84" s="204"/>
      <c r="DJE84" s="206"/>
      <c r="DJF84" s="205"/>
      <c r="DJG84" s="205"/>
      <c r="DJH84" s="204"/>
      <c r="DJI84" s="206"/>
      <c r="DJJ84" s="205"/>
      <c r="DJK84" s="205"/>
      <c r="DJL84" s="204"/>
      <c r="DJM84" s="206"/>
      <c r="DJN84" s="205"/>
      <c r="DJO84" s="205"/>
      <c r="DJP84" s="204"/>
      <c r="DJQ84" s="206"/>
      <c r="DJR84" s="205"/>
      <c r="DJS84" s="205"/>
      <c r="DJT84" s="204"/>
      <c r="DJU84" s="206"/>
      <c r="DJV84" s="205"/>
      <c r="DJW84" s="205"/>
      <c r="DJX84" s="204"/>
      <c r="DJY84" s="206"/>
      <c r="DJZ84" s="205"/>
      <c r="DKA84" s="205"/>
      <c r="DKB84" s="204"/>
      <c r="DKC84" s="206"/>
      <c r="DKD84" s="205"/>
      <c r="DKE84" s="205"/>
      <c r="DKF84" s="204"/>
      <c r="DKG84" s="206"/>
      <c r="DKH84" s="205"/>
      <c r="DKI84" s="205"/>
      <c r="DKJ84" s="204"/>
      <c r="DKK84" s="206"/>
      <c r="DKL84" s="205"/>
      <c r="DKM84" s="205"/>
      <c r="DKN84" s="204"/>
      <c r="DKO84" s="206"/>
      <c r="DKP84" s="205"/>
      <c r="DKQ84" s="205"/>
      <c r="DKR84" s="204"/>
      <c r="DKS84" s="206"/>
      <c r="DKT84" s="205"/>
      <c r="DKU84" s="205"/>
      <c r="DKV84" s="204"/>
      <c r="DKW84" s="206"/>
      <c r="DKX84" s="205"/>
      <c r="DKY84" s="205"/>
      <c r="DKZ84" s="204"/>
      <c r="DLA84" s="206"/>
      <c r="DLB84" s="205"/>
      <c r="DLC84" s="205"/>
      <c r="DLD84" s="204"/>
      <c r="DLE84" s="206"/>
      <c r="DLF84" s="205"/>
      <c r="DLG84" s="205"/>
      <c r="DLH84" s="204"/>
      <c r="DLI84" s="206"/>
      <c r="DLJ84" s="205"/>
      <c r="DLK84" s="205"/>
      <c r="DLL84" s="204"/>
      <c r="DLM84" s="206"/>
      <c r="DLN84" s="205"/>
      <c r="DLO84" s="205"/>
      <c r="DLP84" s="204"/>
      <c r="DLQ84" s="206"/>
      <c r="DLR84" s="205"/>
      <c r="DLS84" s="205"/>
      <c r="DLT84" s="204"/>
      <c r="DLU84" s="206"/>
      <c r="DLV84" s="205"/>
      <c r="DLW84" s="205"/>
      <c r="DLX84" s="204"/>
      <c r="DLY84" s="206"/>
      <c r="DLZ84" s="205"/>
      <c r="DMA84" s="205"/>
      <c r="DMB84" s="204"/>
      <c r="DMC84" s="206"/>
      <c r="DMD84" s="205"/>
      <c r="DME84" s="205"/>
      <c r="DMF84" s="204"/>
      <c r="DMG84" s="206"/>
      <c r="DMH84" s="205"/>
      <c r="DMI84" s="205"/>
      <c r="DMJ84" s="204"/>
      <c r="DMK84" s="206"/>
      <c r="DML84" s="205"/>
      <c r="DMM84" s="205"/>
      <c r="DMN84" s="204"/>
      <c r="DMO84" s="206"/>
      <c r="DMP84" s="205"/>
      <c r="DMQ84" s="205"/>
      <c r="DMR84" s="204"/>
      <c r="DMS84" s="206"/>
      <c r="DMT84" s="205"/>
      <c r="DMU84" s="205"/>
      <c r="DMV84" s="204"/>
      <c r="DMW84" s="206"/>
      <c r="DMX84" s="205"/>
      <c r="DMY84" s="205"/>
      <c r="DMZ84" s="204"/>
      <c r="DNA84" s="206"/>
      <c r="DNB84" s="205"/>
      <c r="DNC84" s="205"/>
      <c r="DND84" s="204"/>
      <c r="DNE84" s="206"/>
      <c r="DNF84" s="205"/>
      <c r="DNG84" s="205"/>
      <c r="DNH84" s="204"/>
      <c r="DNI84" s="206"/>
      <c r="DNJ84" s="205"/>
      <c r="DNK84" s="205"/>
      <c r="DNL84" s="204"/>
      <c r="DNM84" s="206"/>
      <c r="DNN84" s="205"/>
      <c r="DNO84" s="205"/>
      <c r="DNP84" s="204"/>
      <c r="DNQ84" s="206"/>
      <c r="DNR84" s="205"/>
      <c r="DNS84" s="205"/>
      <c r="DNT84" s="204"/>
      <c r="DNU84" s="206"/>
      <c r="DNV84" s="205"/>
      <c r="DNW84" s="205"/>
      <c r="DNX84" s="204"/>
      <c r="DNY84" s="206"/>
      <c r="DNZ84" s="205"/>
      <c r="DOA84" s="205"/>
      <c r="DOB84" s="204"/>
      <c r="DOC84" s="206"/>
      <c r="DOD84" s="205"/>
      <c r="DOE84" s="205"/>
      <c r="DOF84" s="204"/>
      <c r="DOG84" s="206"/>
      <c r="DOH84" s="205"/>
      <c r="DOI84" s="205"/>
      <c r="DOJ84" s="204"/>
      <c r="DOK84" s="206"/>
      <c r="DOL84" s="205"/>
      <c r="DOM84" s="205"/>
      <c r="DON84" s="204"/>
      <c r="DOO84" s="206"/>
      <c r="DOP84" s="205"/>
      <c r="DOQ84" s="205"/>
      <c r="DOR84" s="204"/>
      <c r="DOS84" s="206"/>
      <c r="DOT84" s="205"/>
      <c r="DOU84" s="205"/>
      <c r="DOV84" s="204"/>
      <c r="DOW84" s="206"/>
      <c r="DOX84" s="205"/>
      <c r="DOY84" s="205"/>
      <c r="DOZ84" s="204"/>
      <c r="DPA84" s="206"/>
      <c r="DPB84" s="205"/>
      <c r="DPC84" s="205"/>
      <c r="DPD84" s="204"/>
      <c r="DPE84" s="206"/>
      <c r="DPF84" s="205"/>
      <c r="DPG84" s="205"/>
      <c r="DPH84" s="204"/>
      <c r="DPI84" s="206"/>
      <c r="DPJ84" s="205"/>
      <c r="DPK84" s="205"/>
      <c r="DPL84" s="204"/>
      <c r="DPM84" s="206"/>
      <c r="DPN84" s="205"/>
      <c r="DPO84" s="205"/>
      <c r="DPP84" s="204"/>
      <c r="DPQ84" s="206"/>
      <c r="DPR84" s="205"/>
      <c r="DPS84" s="205"/>
      <c r="DPT84" s="204"/>
      <c r="DPU84" s="206"/>
      <c r="DPV84" s="205"/>
      <c r="DPW84" s="205"/>
      <c r="DPX84" s="204"/>
      <c r="DPY84" s="206"/>
      <c r="DPZ84" s="205"/>
      <c r="DQA84" s="205"/>
      <c r="DQB84" s="204"/>
      <c r="DQC84" s="206"/>
      <c r="DQD84" s="205"/>
      <c r="DQE84" s="205"/>
      <c r="DQF84" s="204"/>
      <c r="DQG84" s="206"/>
      <c r="DQH84" s="205"/>
      <c r="DQI84" s="205"/>
      <c r="DQJ84" s="204"/>
      <c r="DQK84" s="206"/>
      <c r="DQL84" s="205"/>
      <c r="DQM84" s="205"/>
      <c r="DQN84" s="204"/>
      <c r="DQO84" s="206"/>
      <c r="DQP84" s="205"/>
      <c r="DQQ84" s="205"/>
      <c r="DQR84" s="204"/>
      <c r="DQS84" s="206"/>
      <c r="DQT84" s="205"/>
      <c r="DQU84" s="205"/>
      <c r="DQV84" s="204"/>
      <c r="DQW84" s="206"/>
      <c r="DQX84" s="205"/>
      <c r="DQY84" s="205"/>
      <c r="DQZ84" s="204"/>
      <c r="DRA84" s="206"/>
      <c r="DRB84" s="205"/>
      <c r="DRC84" s="205"/>
      <c r="DRD84" s="204"/>
      <c r="DRE84" s="206"/>
      <c r="DRF84" s="205"/>
      <c r="DRG84" s="205"/>
      <c r="DRH84" s="204"/>
      <c r="DRI84" s="206"/>
      <c r="DRJ84" s="205"/>
      <c r="DRK84" s="205"/>
      <c r="DRL84" s="204"/>
      <c r="DRM84" s="206"/>
      <c r="DRN84" s="205"/>
      <c r="DRO84" s="205"/>
      <c r="DRP84" s="204"/>
      <c r="DRQ84" s="206"/>
      <c r="DRR84" s="205"/>
      <c r="DRS84" s="205"/>
      <c r="DRT84" s="204"/>
      <c r="DRU84" s="206"/>
      <c r="DRV84" s="205"/>
      <c r="DRW84" s="205"/>
      <c r="DRX84" s="204"/>
      <c r="DRY84" s="206"/>
      <c r="DRZ84" s="205"/>
      <c r="DSA84" s="205"/>
      <c r="DSB84" s="204"/>
      <c r="DSC84" s="206"/>
      <c r="DSD84" s="205"/>
      <c r="DSE84" s="205"/>
      <c r="DSF84" s="204"/>
      <c r="DSG84" s="206"/>
      <c r="DSH84" s="205"/>
      <c r="DSI84" s="205"/>
      <c r="DSJ84" s="204"/>
      <c r="DSK84" s="206"/>
      <c r="DSL84" s="205"/>
      <c r="DSM84" s="205"/>
      <c r="DSN84" s="204"/>
      <c r="DSO84" s="206"/>
      <c r="DSP84" s="205"/>
      <c r="DSQ84" s="205"/>
      <c r="DSR84" s="204"/>
      <c r="DSS84" s="206"/>
      <c r="DST84" s="205"/>
      <c r="DSU84" s="205"/>
      <c r="DSV84" s="204"/>
      <c r="DSW84" s="206"/>
      <c r="DSX84" s="205"/>
      <c r="DSY84" s="205"/>
      <c r="DSZ84" s="204"/>
      <c r="DTA84" s="206"/>
      <c r="DTB84" s="205"/>
      <c r="DTC84" s="205"/>
      <c r="DTD84" s="204"/>
      <c r="DTE84" s="206"/>
      <c r="DTF84" s="205"/>
      <c r="DTG84" s="205"/>
      <c r="DTH84" s="204"/>
      <c r="DTI84" s="206"/>
      <c r="DTJ84" s="205"/>
      <c r="DTK84" s="205"/>
      <c r="DTL84" s="204"/>
      <c r="DTM84" s="206"/>
      <c r="DTN84" s="205"/>
      <c r="DTO84" s="205"/>
      <c r="DTP84" s="204"/>
      <c r="DTQ84" s="206"/>
      <c r="DTR84" s="205"/>
      <c r="DTS84" s="205"/>
      <c r="DTT84" s="204"/>
      <c r="DTU84" s="206"/>
      <c r="DTV84" s="205"/>
      <c r="DTW84" s="205"/>
      <c r="DTX84" s="204"/>
      <c r="DTY84" s="206"/>
      <c r="DTZ84" s="205"/>
      <c r="DUA84" s="205"/>
      <c r="DUB84" s="204"/>
      <c r="DUC84" s="206"/>
      <c r="DUD84" s="205"/>
      <c r="DUE84" s="205"/>
      <c r="DUF84" s="204"/>
      <c r="DUG84" s="206"/>
      <c r="DUH84" s="205"/>
      <c r="DUI84" s="205"/>
      <c r="DUJ84" s="204"/>
      <c r="DUK84" s="206"/>
      <c r="DUL84" s="205"/>
      <c r="DUM84" s="205"/>
      <c r="DUN84" s="204"/>
      <c r="DUO84" s="206"/>
      <c r="DUP84" s="205"/>
      <c r="DUQ84" s="205"/>
      <c r="DUR84" s="204"/>
      <c r="DUS84" s="206"/>
      <c r="DUT84" s="205"/>
      <c r="DUU84" s="205"/>
      <c r="DUV84" s="204"/>
      <c r="DUW84" s="206"/>
      <c r="DUX84" s="205"/>
      <c r="DUY84" s="205"/>
      <c r="DUZ84" s="204"/>
      <c r="DVA84" s="206"/>
      <c r="DVB84" s="205"/>
      <c r="DVC84" s="205"/>
      <c r="DVD84" s="204"/>
      <c r="DVE84" s="206"/>
      <c r="DVF84" s="205"/>
      <c r="DVG84" s="205"/>
      <c r="DVH84" s="204"/>
      <c r="DVI84" s="206"/>
      <c r="DVJ84" s="205"/>
      <c r="DVK84" s="205"/>
      <c r="DVL84" s="204"/>
      <c r="DVM84" s="206"/>
      <c r="DVN84" s="205"/>
      <c r="DVO84" s="205"/>
      <c r="DVP84" s="204"/>
      <c r="DVQ84" s="206"/>
      <c r="DVR84" s="205"/>
      <c r="DVS84" s="205"/>
      <c r="DVT84" s="204"/>
      <c r="DVU84" s="206"/>
      <c r="DVV84" s="205"/>
      <c r="DVW84" s="205"/>
      <c r="DVX84" s="204"/>
      <c r="DVY84" s="206"/>
      <c r="DVZ84" s="205"/>
      <c r="DWA84" s="205"/>
      <c r="DWB84" s="204"/>
      <c r="DWC84" s="206"/>
      <c r="DWD84" s="205"/>
      <c r="DWE84" s="205"/>
      <c r="DWF84" s="204"/>
      <c r="DWG84" s="206"/>
      <c r="DWH84" s="205"/>
      <c r="DWI84" s="205"/>
      <c r="DWJ84" s="204"/>
      <c r="DWK84" s="206"/>
      <c r="DWL84" s="205"/>
      <c r="DWM84" s="205"/>
      <c r="DWN84" s="204"/>
      <c r="DWO84" s="206"/>
      <c r="DWP84" s="205"/>
      <c r="DWQ84" s="205"/>
      <c r="DWR84" s="204"/>
      <c r="DWS84" s="206"/>
      <c r="DWT84" s="205"/>
      <c r="DWU84" s="205"/>
      <c r="DWV84" s="204"/>
      <c r="DWW84" s="206"/>
      <c r="DWX84" s="205"/>
      <c r="DWY84" s="205"/>
      <c r="DWZ84" s="204"/>
      <c r="DXA84" s="206"/>
      <c r="DXB84" s="205"/>
      <c r="DXC84" s="205"/>
      <c r="DXD84" s="204"/>
      <c r="DXE84" s="206"/>
      <c r="DXF84" s="205"/>
      <c r="DXG84" s="205"/>
      <c r="DXH84" s="204"/>
      <c r="DXI84" s="206"/>
      <c r="DXJ84" s="205"/>
      <c r="DXK84" s="205"/>
      <c r="DXL84" s="204"/>
      <c r="DXM84" s="206"/>
      <c r="DXN84" s="205"/>
      <c r="DXO84" s="205"/>
      <c r="DXP84" s="204"/>
      <c r="DXQ84" s="206"/>
      <c r="DXR84" s="205"/>
      <c r="DXS84" s="205"/>
      <c r="DXT84" s="204"/>
      <c r="DXU84" s="206"/>
      <c r="DXV84" s="205"/>
      <c r="DXW84" s="205"/>
      <c r="DXX84" s="204"/>
      <c r="DXY84" s="206"/>
      <c r="DXZ84" s="205"/>
      <c r="DYA84" s="205"/>
      <c r="DYB84" s="204"/>
      <c r="DYC84" s="206"/>
      <c r="DYD84" s="205"/>
      <c r="DYE84" s="205"/>
      <c r="DYF84" s="204"/>
      <c r="DYG84" s="206"/>
      <c r="DYH84" s="205"/>
      <c r="DYI84" s="205"/>
      <c r="DYJ84" s="204"/>
      <c r="DYK84" s="206"/>
      <c r="DYL84" s="205"/>
      <c r="DYM84" s="205"/>
      <c r="DYN84" s="204"/>
      <c r="DYO84" s="206"/>
      <c r="DYP84" s="205"/>
      <c r="DYQ84" s="205"/>
      <c r="DYR84" s="204"/>
      <c r="DYS84" s="206"/>
      <c r="DYT84" s="205"/>
      <c r="DYU84" s="205"/>
      <c r="DYV84" s="204"/>
      <c r="DYW84" s="206"/>
      <c r="DYX84" s="205"/>
      <c r="DYY84" s="205"/>
      <c r="DYZ84" s="204"/>
      <c r="DZA84" s="206"/>
      <c r="DZB84" s="205"/>
      <c r="DZC84" s="205"/>
      <c r="DZD84" s="204"/>
      <c r="DZE84" s="206"/>
      <c r="DZF84" s="205"/>
      <c r="DZG84" s="205"/>
      <c r="DZH84" s="204"/>
      <c r="DZI84" s="206"/>
      <c r="DZJ84" s="205"/>
      <c r="DZK84" s="205"/>
      <c r="DZL84" s="204"/>
      <c r="DZM84" s="206"/>
      <c r="DZN84" s="205"/>
      <c r="DZO84" s="205"/>
      <c r="DZP84" s="204"/>
      <c r="DZQ84" s="206"/>
      <c r="DZR84" s="205"/>
      <c r="DZS84" s="205"/>
      <c r="DZT84" s="204"/>
      <c r="DZU84" s="206"/>
      <c r="DZV84" s="205"/>
      <c r="DZW84" s="205"/>
      <c r="DZX84" s="204"/>
      <c r="DZY84" s="206"/>
      <c r="DZZ84" s="205"/>
      <c r="EAA84" s="205"/>
      <c r="EAB84" s="204"/>
      <c r="EAC84" s="206"/>
      <c r="EAD84" s="205"/>
      <c r="EAE84" s="205"/>
      <c r="EAF84" s="204"/>
      <c r="EAG84" s="206"/>
      <c r="EAH84" s="205"/>
      <c r="EAI84" s="205"/>
      <c r="EAJ84" s="204"/>
      <c r="EAK84" s="206"/>
      <c r="EAL84" s="205"/>
      <c r="EAM84" s="205"/>
      <c r="EAN84" s="204"/>
      <c r="EAO84" s="206"/>
      <c r="EAP84" s="205"/>
      <c r="EAQ84" s="205"/>
      <c r="EAR84" s="204"/>
      <c r="EAS84" s="206"/>
      <c r="EAT84" s="205"/>
      <c r="EAU84" s="205"/>
      <c r="EAV84" s="204"/>
      <c r="EAW84" s="206"/>
      <c r="EAX84" s="205"/>
      <c r="EAY84" s="205"/>
      <c r="EAZ84" s="204"/>
      <c r="EBA84" s="206"/>
      <c r="EBB84" s="205"/>
      <c r="EBC84" s="205"/>
      <c r="EBD84" s="204"/>
      <c r="EBE84" s="206"/>
      <c r="EBF84" s="205"/>
      <c r="EBG84" s="205"/>
      <c r="EBH84" s="204"/>
      <c r="EBI84" s="206"/>
      <c r="EBJ84" s="205"/>
      <c r="EBK84" s="205"/>
      <c r="EBL84" s="204"/>
      <c r="EBM84" s="206"/>
      <c r="EBN84" s="205"/>
      <c r="EBO84" s="205"/>
      <c r="EBP84" s="204"/>
      <c r="EBQ84" s="206"/>
      <c r="EBR84" s="205"/>
      <c r="EBS84" s="205"/>
      <c r="EBT84" s="204"/>
      <c r="EBU84" s="206"/>
      <c r="EBV84" s="205"/>
      <c r="EBW84" s="205"/>
      <c r="EBX84" s="204"/>
      <c r="EBY84" s="206"/>
      <c r="EBZ84" s="205"/>
      <c r="ECA84" s="205"/>
      <c r="ECB84" s="204"/>
      <c r="ECC84" s="206"/>
      <c r="ECD84" s="205"/>
      <c r="ECE84" s="205"/>
      <c r="ECF84" s="204"/>
      <c r="ECG84" s="206"/>
      <c r="ECH84" s="205"/>
      <c r="ECI84" s="205"/>
      <c r="ECJ84" s="204"/>
      <c r="ECK84" s="206"/>
      <c r="ECL84" s="205"/>
      <c r="ECM84" s="205"/>
      <c r="ECN84" s="204"/>
      <c r="ECO84" s="206"/>
      <c r="ECP84" s="205"/>
      <c r="ECQ84" s="205"/>
      <c r="ECR84" s="204"/>
      <c r="ECS84" s="206"/>
      <c r="ECT84" s="205"/>
      <c r="ECU84" s="205"/>
      <c r="ECV84" s="204"/>
      <c r="ECW84" s="206"/>
      <c r="ECX84" s="205"/>
      <c r="ECY84" s="205"/>
      <c r="ECZ84" s="204"/>
      <c r="EDA84" s="206"/>
      <c r="EDB84" s="205"/>
      <c r="EDC84" s="205"/>
      <c r="EDD84" s="204"/>
      <c r="EDE84" s="206"/>
      <c r="EDF84" s="205"/>
      <c r="EDG84" s="205"/>
      <c r="EDH84" s="204"/>
      <c r="EDI84" s="206"/>
      <c r="EDJ84" s="205"/>
      <c r="EDK84" s="205"/>
      <c r="EDL84" s="204"/>
      <c r="EDM84" s="206"/>
      <c r="EDN84" s="205"/>
      <c r="EDO84" s="205"/>
      <c r="EDP84" s="204"/>
      <c r="EDQ84" s="206"/>
      <c r="EDR84" s="205"/>
      <c r="EDS84" s="205"/>
      <c r="EDT84" s="204"/>
      <c r="EDU84" s="206"/>
      <c r="EDV84" s="205"/>
      <c r="EDW84" s="205"/>
      <c r="EDX84" s="204"/>
      <c r="EDY84" s="206"/>
      <c r="EDZ84" s="205"/>
      <c r="EEA84" s="205"/>
      <c r="EEB84" s="204"/>
      <c r="EEC84" s="206"/>
      <c r="EED84" s="205"/>
      <c r="EEE84" s="205"/>
      <c r="EEF84" s="204"/>
      <c r="EEG84" s="206"/>
      <c r="EEH84" s="205"/>
      <c r="EEI84" s="205"/>
      <c r="EEJ84" s="204"/>
      <c r="EEK84" s="206"/>
      <c r="EEL84" s="205"/>
      <c r="EEM84" s="205"/>
      <c r="EEN84" s="204"/>
      <c r="EEO84" s="206"/>
      <c r="EEP84" s="205"/>
      <c r="EEQ84" s="205"/>
      <c r="EER84" s="204"/>
      <c r="EES84" s="206"/>
      <c r="EET84" s="205"/>
      <c r="EEU84" s="205"/>
      <c r="EEV84" s="204"/>
      <c r="EEW84" s="206"/>
      <c r="EEX84" s="205"/>
      <c r="EEY84" s="205"/>
      <c r="EEZ84" s="204"/>
      <c r="EFA84" s="206"/>
      <c r="EFB84" s="205"/>
      <c r="EFC84" s="205"/>
      <c r="EFD84" s="204"/>
      <c r="EFE84" s="206"/>
      <c r="EFF84" s="205"/>
      <c r="EFG84" s="205"/>
      <c r="EFH84" s="204"/>
      <c r="EFI84" s="206"/>
      <c r="EFJ84" s="205"/>
      <c r="EFK84" s="205"/>
      <c r="EFL84" s="204"/>
      <c r="EFM84" s="206"/>
      <c r="EFN84" s="205"/>
      <c r="EFO84" s="205"/>
      <c r="EFP84" s="204"/>
      <c r="EFQ84" s="206"/>
      <c r="EFR84" s="205"/>
      <c r="EFS84" s="205"/>
      <c r="EFT84" s="204"/>
      <c r="EFU84" s="206"/>
      <c r="EFV84" s="205"/>
      <c r="EFW84" s="205"/>
      <c r="EFX84" s="204"/>
      <c r="EFY84" s="206"/>
      <c r="EFZ84" s="205"/>
      <c r="EGA84" s="205"/>
      <c r="EGB84" s="204"/>
      <c r="EGC84" s="206"/>
      <c r="EGD84" s="205"/>
      <c r="EGE84" s="205"/>
      <c r="EGF84" s="204"/>
      <c r="EGG84" s="206"/>
      <c r="EGH84" s="205"/>
      <c r="EGI84" s="205"/>
      <c r="EGJ84" s="204"/>
      <c r="EGK84" s="206"/>
      <c r="EGL84" s="205"/>
      <c r="EGM84" s="205"/>
      <c r="EGN84" s="204"/>
      <c r="EGO84" s="206"/>
      <c r="EGP84" s="205"/>
      <c r="EGQ84" s="205"/>
      <c r="EGR84" s="204"/>
      <c r="EGS84" s="206"/>
      <c r="EGT84" s="205"/>
      <c r="EGU84" s="205"/>
      <c r="EGV84" s="204"/>
      <c r="EGW84" s="206"/>
      <c r="EGX84" s="205"/>
      <c r="EGY84" s="205"/>
      <c r="EGZ84" s="204"/>
      <c r="EHA84" s="206"/>
      <c r="EHB84" s="205"/>
      <c r="EHC84" s="205"/>
      <c r="EHD84" s="204"/>
      <c r="EHE84" s="206"/>
      <c r="EHF84" s="205"/>
      <c r="EHG84" s="205"/>
      <c r="EHH84" s="204"/>
      <c r="EHI84" s="206"/>
      <c r="EHJ84" s="205"/>
      <c r="EHK84" s="205"/>
      <c r="EHL84" s="204"/>
      <c r="EHM84" s="206"/>
      <c r="EHN84" s="205"/>
      <c r="EHO84" s="205"/>
      <c r="EHP84" s="204"/>
      <c r="EHQ84" s="206"/>
      <c r="EHR84" s="205"/>
      <c r="EHS84" s="205"/>
      <c r="EHT84" s="204"/>
      <c r="EHU84" s="206"/>
      <c r="EHV84" s="205"/>
      <c r="EHW84" s="205"/>
      <c r="EHX84" s="204"/>
      <c r="EHY84" s="206"/>
      <c r="EHZ84" s="205"/>
      <c r="EIA84" s="205"/>
      <c r="EIB84" s="204"/>
      <c r="EIC84" s="206"/>
      <c r="EID84" s="205"/>
      <c r="EIE84" s="205"/>
      <c r="EIF84" s="204"/>
      <c r="EIG84" s="206"/>
      <c r="EIH84" s="205"/>
      <c r="EII84" s="205"/>
      <c r="EIJ84" s="204"/>
      <c r="EIK84" s="206"/>
      <c r="EIL84" s="205"/>
      <c r="EIM84" s="205"/>
      <c r="EIN84" s="204"/>
      <c r="EIO84" s="206"/>
      <c r="EIP84" s="205"/>
      <c r="EIQ84" s="205"/>
      <c r="EIR84" s="204"/>
      <c r="EIS84" s="206"/>
      <c r="EIT84" s="205"/>
      <c r="EIU84" s="205"/>
      <c r="EIV84" s="204"/>
      <c r="EIW84" s="206"/>
      <c r="EIX84" s="205"/>
      <c r="EIY84" s="205"/>
      <c r="EIZ84" s="204"/>
      <c r="EJA84" s="206"/>
      <c r="EJB84" s="205"/>
      <c r="EJC84" s="205"/>
      <c r="EJD84" s="204"/>
      <c r="EJE84" s="206"/>
      <c r="EJF84" s="205"/>
      <c r="EJG84" s="205"/>
      <c r="EJH84" s="204"/>
      <c r="EJI84" s="206"/>
      <c r="EJJ84" s="205"/>
      <c r="EJK84" s="205"/>
      <c r="EJL84" s="204"/>
      <c r="EJM84" s="206"/>
      <c r="EJN84" s="205"/>
      <c r="EJO84" s="205"/>
      <c r="EJP84" s="204"/>
      <c r="EJQ84" s="206"/>
      <c r="EJR84" s="205"/>
      <c r="EJS84" s="205"/>
      <c r="EJT84" s="204"/>
      <c r="EJU84" s="206"/>
      <c r="EJV84" s="205"/>
      <c r="EJW84" s="205"/>
      <c r="EJX84" s="204"/>
      <c r="EJY84" s="206"/>
      <c r="EJZ84" s="205"/>
      <c r="EKA84" s="205"/>
      <c r="EKB84" s="204"/>
      <c r="EKC84" s="206"/>
      <c r="EKD84" s="205"/>
      <c r="EKE84" s="205"/>
      <c r="EKF84" s="204"/>
      <c r="EKG84" s="206"/>
      <c r="EKH84" s="205"/>
      <c r="EKI84" s="205"/>
      <c r="EKJ84" s="204"/>
      <c r="EKK84" s="206"/>
      <c r="EKL84" s="205"/>
      <c r="EKM84" s="205"/>
      <c r="EKN84" s="204"/>
      <c r="EKO84" s="206"/>
      <c r="EKP84" s="205"/>
      <c r="EKQ84" s="205"/>
      <c r="EKR84" s="204"/>
      <c r="EKS84" s="206"/>
      <c r="EKT84" s="205"/>
      <c r="EKU84" s="205"/>
      <c r="EKV84" s="204"/>
      <c r="EKW84" s="206"/>
      <c r="EKX84" s="205"/>
      <c r="EKY84" s="205"/>
      <c r="EKZ84" s="204"/>
      <c r="ELA84" s="206"/>
      <c r="ELB84" s="205"/>
      <c r="ELC84" s="205"/>
      <c r="ELD84" s="204"/>
      <c r="ELE84" s="206"/>
      <c r="ELF84" s="205"/>
      <c r="ELG84" s="205"/>
      <c r="ELH84" s="204"/>
      <c r="ELI84" s="206"/>
      <c r="ELJ84" s="205"/>
      <c r="ELK84" s="205"/>
      <c r="ELL84" s="204"/>
      <c r="ELM84" s="206"/>
      <c r="ELN84" s="205"/>
      <c r="ELO84" s="205"/>
      <c r="ELP84" s="204"/>
      <c r="ELQ84" s="206"/>
      <c r="ELR84" s="205"/>
      <c r="ELS84" s="205"/>
      <c r="ELT84" s="204"/>
      <c r="ELU84" s="206"/>
      <c r="ELV84" s="205"/>
      <c r="ELW84" s="205"/>
      <c r="ELX84" s="204"/>
      <c r="ELY84" s="206"/>
      <c r="ELZ84" s="205"/>
      <c r="EMA84" s="205"/>
      <c r="EMB84" s="204"/>
      <c r="EMC84" s="206"/>
      <c r="EMD84" s="205"/>
      <c r="EME84" s="205"/>
      <c r="EMF84" s="204"/>
      <c r="EMG84" s="206"/>
      <c r="EMH84" s="205"/>
      <c r="EMI84" s="205"/>
      <c r="EMJ84" s="204"/>
      <c r="EMK84" s="206"/>
      <c r="EML84" s="205"/>
      <c r="EMM84" s="205"/>
      <c r="EMN84" s="204"/>
      <c r="EMO84" s="206"/>
      <c r="EMP84" s="205"/>
      <c r="EMQ84" s="205"/>
      <c r="EMR84" s="204"/>
      <c r="EMS84" s="206"/>
      <c r="EMT84" s="205"/>
      <c r="EMU84" s="205"/>
      <c r="EMV84" s="204"/>
      <c r="EMW84" s="206"/>
      <c r="EMX84" s="205"/>
      <c r="EMY84" s="205"/>
      <c r="EMZ84" s="204"/>
      <c r="ENA84" s="206"/>
      <c r="ENB84" s="205"/>
      <c r="ENC84" s="205"/>
      <c r="END84" s="204"/>
      <c r="ENE84" s="206"/>
      <c r="ENF84" s="205"/>
      <c r="ENG84" s="205"/>
      <c r="ENH84" s="204"/>
      <c r="ENI84" s="206"/>
      <c r="ENJ84" s="205"/>
      <c r="ENK84" s="205"/>
      <c r="ENL84" s="204"/>
      <c r="ENM84" s="206"/>
      <c r="ENN84" s="205"/>
      <c r="ENO84" s="205"/>
      <c r="ENP84" s="204"/>
      <c r="ENQ84" s="206"/>
      <c r="ENR84" s="205"/>
      <c r="ENS84" s="205"/>
      <c r="ENT84" s="204"/>
      <c r="ENU84" s="206"/>
      <c r="ENV84" s="205"/>
      <c r="ENW84" s="205"/>
      <c r="ENX84" s="204"/>
      <c r="ENY84" s="206"/>
      <c r="ENZ84" s="205"/>
      <c r="EOA84" s="205"/>
      <c r="EOB84" s="204"/>
      <c r="EOC84" s="206"/>
      <c r="EOD84" s="205"/>
      <c r="EOE84" s="205"/>
      <c r="EOF84" s="204"/>
      <c r="EOG84" s="206"/>
      <c r="EOH84" s="205"/>
      <c r="EOI84" s="205"/>
      <c r="EOJ84" s="204"/>
      <c r="EOK84" s="206"/>
      <c r="EOL84" s="205"/>
      <c r="EOM84" s="205"/>
      <c r="EON84" s="204"/>
      <c r="EOO84" s="206"/>
      <c r="EOP84" s="205"/>
      <c r="EOQ84" s="205"/>
      <c r="EOR84" s="204"/>
      <c r="EOS84" s="206"/>
      <c r="EOT84" s="205"/>
      <c r="EOU84" s="205"/>
      <c r="EOV84" s="204"/>
      <c r="EOW84" s="206"/>
      <c r="EOX84" s="205"/>
      <c r="EOY84" s="205"/>
      <c r="EOZ84" s="204"/>
      <c r="EPA84" s="206"/>
      <c r="EPB84" s="205"/>
      <c r="EPC84" s="205"/>
      <c r="EPD84" s="204"/>
      <c r="EPE84" s="206"/>
      <c r="EPF84" s="205"/>
      <c r="EPG84" s="205"/>
      <c r="EPH84" s="204"/>
      <c r="EPI84" s="206"/>
      <c r="EPJ84" s="205"/>
      <c r="EPK84" s="205"/>
      <c r="EPL84" s="204"/>
      <c r="EPM84" s="206"/>
      <c r="EPN84" s="205"/>
      <c r="EPO84" s="205"/>
      <c r="EPP84" s="204"/>
      <c r="EPQ84" s="206"/>
      <c r="EPR84" s="205"/>
      <c r="EPS84" s="205"/>
      <c r="EPT84" s="204"/>
      <c r="EPU84" s="206"/>
      <c r="EPV84" s="205"/>
      <c r="EPW84" s="205"/>
      <c r="EPX84" s="204"/>
      <c r="EPY84" s="206"/>
      <c r="EPZ84" s="205"/>
      <c r="EQA84" s="205"/>
      <c r="EQB84" s="204"/>
      <c r="EQC84" s="206"/>
      <c r="EQD84" s="205"/>
      <c r="EQE84" s="205"/>
      <c r="EQF84" s="204"/>
      <c r="EQG84" s="206"/>
      <c r="EQH84" s="205"/>
      <c r="EQI84" s="205"/>
      <c r="EQJ84" s="204"/>
      <c r="EQK84" s="206"/>
      <c r="EQL84" s="205"/>
      <c r="EQM84" s="205"/>
      <c r="EQN84" s="204"/>
      <c r="EQO84" s="206"/>
      <c r="EQP84" s="205"/>
      <c r="EQQ84" s="205"/>
      <c r="EQR84" s="204"/>
      <c r="EQS84" s="206"/>
      <c r="EQT84" s="205"/>
      <c r="EQU84" s="205"/>
      <c r="EQV84" s="204"/>
      <c r="EQW84" s="206"/>
      <c r="EQX84" s="205"/>
      <c r="EQY84" s="205"/>
      <c r="EQZ84" s="204"/>
      <c r="ERA84" s="206"/>
      <c r="ERB84" s="205"/>
      <c r="ERC84" s="205"/>
      <c r="ERD84" s="204"/>
      <c r="ERE84" s="206"/>
      <c r="ERF84" s="205"/>
      <c r="ERG84" s="205"/>
      <c r="ERH84" s="204"/>
      <c r="ERI84" s="206"/>
      <c r="ERJ84" s="205"/>
      <c r="ERK84" s="205"/>
      <c r="ERL84" s="204"/>
      <c r="ERM84" s="206"/>
      <c r="ERN84" s="205"/>
      <c r="ERO84" s="205"/>
      <c r="ERP84" s="204"/>
      <c r="ERQ84" s="206"/>
      <c r="ERR84" s="205"/>
      <c r="ERS84" s="205"/>
      <c r="ERT84" s="204"/>
      <c r="ERU84" s="206"/>
      <c r="ERV84" s="205"/>
      <c r="ERW84" s="205"/>
      <c r="ERX84" s="204"/>
      <c r="ERY84" s="206"/>
      <c r="ERZ84" s="205"/>
      <c r="ESA84" s="205"/>
      <c r="ESB84" s="204"/>
      <c r="ESC84" s="206"/>
      <c r="ESD84" s="205"/>
      <c r="ESE84" s="205"/>
      <c r="ESF84" s="204"/>
      <c r="ESG84" s="206"/>
      <c r="ESH84" s="205"/>
      <c r="ESI84" s="205"/>
      <c r="ESJ84" s="204"/>
      <c r="ESK84" s="206"/>
      <c r="ESL84" s="205"/>
      <c r="ESM84" s="205"/>
      <c r="ESN84" s="204"/>
      <c r="ESO84" s="206"/>
      <c r="ESP84" s="205"/>
      <c r="ESQ84" s="205"/>
      <c r="ESR84" s="204"/>
      <c r="ESS84" s="206"/>
      <c r="EST84" s="205"/>
      <c r="ESU84" s="205"/>
      <c r="ESV84" s="204"/>
      <c r="ESW84" s="206"/>
      <c r="ESX84" s="205"/>
      <c r="ESY84" s="205"/>
      <c r="ESZ84" s="204"/>
      <c r="ETA84" s="206"/>
      <c r="ETB84" s="205"/>
      <c r="ETC84" s="205"/>
      <c r="ETD84" s="204"/>
      <c r="ETE84" s="206"/>
      <c r="ETF84" s="205"/>
      <c r="ETG84" s="205"/>
      <c r="ETH84" s="204"/>
      <c r="ETI84" s="206"/>
      <c r="ETJ84" s="205"/>
      <c r="ETK84" s="205"/>
      <c r="ETL84" s="204"/>
      <c r="ETM84" s="206"/>
      <c r="ETN84" s="205"/>
      <c r="ETO84" s="205"/>
      <c r="ETP84" s="204"/>
      <c r="ETQ84" s="206"/>
      <c r="ETR84" s="205"/>
      <c r="ETS84" s="205"/>
      <c r="ETT84" s="204"/>
      <c r="ETU84" s="206"/>
      <c r="ETV84" s="205"/>
      <c r="ETW84" s="205"/>
      <c r="ETX84" s="204"/>
      <c r="ETY84" s="206"/>
      <c r="ETZ84" s="205"/>
      <c r="EUA84" s="205"/>
      <c r="EUB84" s="204"/>
      <c r="EUC84" s="206"/>
      <c r="EUD84" s="205"/>
      <c r="EUE84" s="205"/>
      <c r="EUF84" s="204"/>
      <c r="EUG84" s="206"/>
      <c r="EUH84" s="205"/>
      <c r="EUI84" s="205"/>
      <c r="EUJ84" s="204"/>
      <c r="EUK84" s="206"/>
      <c r="EUL84" s="205"/>
      <c r="EUM84" s="205"/>
      <c r="EUN84" s="204"/>
      <c r="EUO84" s="206"/>
      <c r="EUP84" s="205"/>
      <c r="EUQ84" s="205"/>
      <c r="EUR84" s="204"/>
      <c r="EUS84" s="206"/>
      <c r="EUT84" s="205"/>
      <c r="EUU84" s="205"/>
      <c r="EUV84" s="204"/>
      <c r="EUW84" s="206"/>
      <c r="EUX84" s="205"/>
      <c r="EUY84" s="205"/>
      <c r="EUZ84" s="204"/>
      <c r="EVA84" s="206"/>
      <c r="EVB84" s="205"/>
      <c r="EVC84" s="205"/>
      <c r="EVD84" s="204"/>
      <c r="EVE84" s="206"/>
      <c r="EVF84" s="205"/>
      <c r="EVG84" s="205"/>
      <c r="EVH84" s="204"/>
      <c r="EVI84" s="206"/>
      <c r="EVJ84" s="205"/>
      <c r="EVK84" s="205"/>
      <c r="EVL84" s="204"/>
      <c r="EVM84" s="206"/>
      <c r="EVN84" s="205"/>
      <c r="EVO84" s="205"/>
      <c r="EVP84" s="204"/>
      <c r="EVQ84" s="206"/>
      <c r="EVR84" s="205"/>
      <c r="EVS84" s="205"/>
      <c r="EVT84" s="204"/>
      <c r="EVU84" s="206"/>
      <c r="EVV84" s="205"/>
      <c r="EVW84" s="205"/>
      <c r="EVX84" s="204"/>
      <c r="EVY84" s="206"/>
      <c r="EVZ84" s="205"/>
      <c r="EWA84" s="205"/>
      <c r="EWB84" s="204"/>
      <c r="EWC84" s="206"/>
      <c r="EWD84" s="205"/>
      <c r="EWE84" s="205"/>
      <c r="EWF84" s="204"/>
      <c r="EWG84" s="206"/>
      <c r="EWH84" s="205"/>
      <c r="EWI84" s="205"/>
      <c r="EWJ84" s="204"/>
      <c r="EWK84" s="206"/>
      <c r="EWL84" s="205"/>
      <c r="EWM84" s="205"/>
      <c r="EWN84" s="204"/>
      <c r="EWO84" s="206"/>
      <c r="EWP84" s="205"/>
      <c r="EWQ84" s="205"/>
      <c r="EWR84" s="204"/>
      <c r="EWS84" s="206"/>
      <c r="EWT84" s="205"/>
      <c r="EWU84" s="205"/>
      <c r="EWV84" s="204"/>
      <c r="EWW84" s="206"/>
      <c r="EWX84" s="205"/>
      <c r="EWY84" s="205"/>
      <c r="EWZ84" s="204"/>
      <c r="EXA84" s="206"/>
      <c r="EXB84" s="205"/>
      <c r="EXC84" s="205"/>
      <c r="EXD84" s="204"/>
      <c r="EXE84" s="206"/>
      <c r="EXF84" s="205"/>
      <c r="EXG84" s="205"/>
      <c r="EXH84" s="204"/>
      <c r="EXI84" s="206"/>
      <c r="EXJ84" s="205"/>
      <c r="EXK84" s="205"/>
      <c r="EXL84" s="204"/>
      <c r="EXM84" s="206"/>
      <c r="EXN84" s="205"/>
      <c r="EXO84" s="205"/>
      <c r="EXP84" s="204"/>
      <c r="EXQ84" s="206"/>
      <c r="EXR84" s="205"/>
      <c r="EXS84" s="205"/>
      <c r="EXT84" s="204"/>
      <c r="EXU84" s="206"/>
      <c r="EXV84" s="205"/>
      <c r="EXW84" s="205"/>
      <c r="EXX84" s="204"/>
      <c r="EXY84" s="206"/>
      <c r="EXZ84" s="205"/>
      <c r="EYA84" s="205"/>
      <c r="EYB84" s="204"/>
      <c r="EYC84" s="206"/>
      <c r="EYD84" s="205"/>
      <c r="EYE84" s="205"/>
      <c r="EYF84" s="204"/>
      <c r="EYG84" s="206"/>
      <c r="EYH84" s="205"/>
      <c r="EYI84" s="205"/>
      <c r="EYJ84" s="204"/>
      <c r="EYK84" s="206"/>
      <c r="EYL84" s="205"/>
      <c r="EYM84" s="205"/>
      <c r="EYN84" s="204"/>
      <c r="EYO84" s="206"/>
      <c r="EYP84" s="205"/>
      <c r="EYQ84" s="205"/>
      <c r="EYR84" s="204"/>
      <c r="EYS84" s="206"/>
      <c r="EYT84" s="205"/>
      <c r="EYU84" s="205"/>
      <c r="EYV84" s="204"/>
      <c r="EYW84" s="206"/>
      <c r="EYX84" s="205"/>
      <c r="EYY84" s="205"/>
      <c r="EYZ84" s="204"/>
      <c r="EZA84" s="206"/>
      <c r="EZB84" s="205"/>
      <c r="EZC84" s="205"/>
      <c r="EZD84" s="204"/>
      <c r="EZE84" s="206"/>
      <c r="EZF84" s="205"/>
      <c r="EZG84" s="205"/>
      <c r="EZH84" s="204"/>
      <c r="EZI84" s="206"/>
      <c r="EZJ84" s="205"/>
      <c r="EZK84" s="205"/>
      <c r="EZL84" s="204"/>
      <c r="EZM84" s="206"/>
      <c r="EZN84" s="205"/>
      <c r="EZO84" s="205"/>
      <c r="EZP84" s="204"/>
      <c r="EZQ84" s="206"/>
      <c r="EZR84" s="205"/>
      <c r="EZS84" s="205"/>
      <c r="EZT84" s="204"/>
      <c r="EZU84" s="206"/>
      <c r="EZV84" s="205"/>
      <c r="EZW84" s="205"/>
      <c r="EZX84" s="204"/>
      <c r="EZY84" s="206"/>
      <c r="EZZ84" s="205"/>
      <c r="FAA84" s="205"/>
      <c r="FAB84" s="204"/>
      <c r="FAC84" s="206"/>
      <c r="FAD84" s="205"/>
      <c r="FAE84" s="205"/>
      <c r="FAF84" s="204"/>
      <c r="FAG84" s="206"/>
      <c r="FAH84" s="205"/>
      <c r="FAI84" s="205"/>
      <c r="FAJ84" s="204"/>
      <c r="FAK84" s="206"/>
      <c r="FAL84" s="205"/>
      <c r="FAM84" s="205"/>
      <c r="FAN84" s="204"/>
      <c r="FAO84" s="206"/>
      <c r="FAP84" s="205"/>
      <c r="FAQ84" s="205"/>
      <c r="FAR84" s="204"/>
      <c r="FAS84" s="206"/>
      <c r="FAT84" s="205"/>
      <c r="FAU84" s="205"/>
      <c r="FAV84" s="204"/>
      <c r="FAW84" s="206"/>
      <c r="FAX84" s="205"/>
      <c r="FAY84" s="205"/>
      <c r="FAZ84" s="204"/>
      <c r="FBA84" s="206"/>
      <c r="FBB84" s="205"/>
      <c r="FBC84" s="205"/>
      <c r="FBD84" s="204"/>
      <c r="FBE84" s="206"/>
      <c r="FBF84" s="205"/>
      <c r="FBG84" s="205"/>
      <c r="FBH84" s="204"/>
      <c r="FBI84" s="206"/>
      <c r="FBJ84" s="205"/>
      <c r="FBK84" s="205"/>
      <c r="FBL84" s="204"/>
      <c r="FBM84" s="206"/>
      <c r="FBN84" s="205"/>
      <c r="FBO84" s="205"/>
      <c r="FBP84" s="204"/>
      <c r="FBQ84" s="206"/>
      <c r="FBR84" s="205"/>
      <c r="FBS84" s="205"/>
      <c r="FBT84" s="204"/>
      <c r="FBU84" s="206"/>
      <c r="FBV84" s="205"/>
      <c r="FBW84" s="205"/>
      <c r="FBX84" s="204"/>
      <c r="FBY84" s="206"/>
      <c r="FBZ84" s="205"/>
      <c r="FCA84" s="205"/>
      <c r="FCB84" s="204"/>
      <c r="FCC84" s="206"/>
      <c r="FCD84" s="205"/>
      <c r="FCE84" s="205"/>
      <c r="FCF84" s="204"/>
      <c r="FCG84" s="206"/>
      <c r="FCH84" s="205"/>
      <c r="FCI84" s="205"/>
      <c r="FCJ84" s="204"/>
      <c r="FCK84" s="206"/>
      <c r="FCL84" s="205"/>
      <c r="FCM84" s="205"/>
      <c r="FCN84" s="204"/>
      <c r="FCO84" s="206"/>
      <c r="FCP84" s="205"/>
      <c r="FCQ84" s="205"/>
      <c r="FCR84" s="204"/>
      <c r="FCS84" s="206"/>
      <c r="FCT84" s="205"/>
      <c r="FCU84" s="205"/>
      <c r="FCV84" s="204"/>
      <c r="FCW84" s="206"/>
      <c r="FCX84" s="205"/>
      <c r="FCY84" s="205"/>
      <c r="FCZ84" s="204"/>
      <c r="FDA84" s="206"/>
      <c r="FDB84" s="205"/>
      <c r="FDC84" s="205"/>
      <c r="FDD84" s="204"/>
      <c r="FDE84" s="206"/>
      <c r="FDF84" s="205"/>
      <c r="FDG84" s="205"/>
      <c r="FDH84" s="204"/>
      <c r="FDI84" s="206"/>
      <c r="FDJ84" s="205"/>
      <c r="FDK84" s="205"/>
      <c r="FDL84" s="204"/>
      <c r="FDM84" s="206"/>
      <c r="FDN84" s="205"/>
      <c r="FDO84" s="205"/>
      <c r="FDP84" s="204"/>
      <c r="FDQ84" s="206"/>
      <c r="FDR84" s="205"/>
      <c r="FDS84" s="205"/>
      <c r="FDT84" s="204"/>
      <c r="FDU84" s="206"/>
      <c r="FDV84" s="205"/>
      <c r="FDW84" s="205"/>
      <c r="FDX84" s="204"/>
      <c r="FDY84" s="206"/>
      <c r="FDZ84" s="205"/>
      <c r="FEA84" s="205"/>
      <c r="FEB84" s="204"/>
      <c r="FEC84" s="206"/>
      <c r="FED84" s="205"/>
      <c r="FEE84" s="205"/>
      <c r="FEF84" s="204"/>
      <c r="FEG84" s="206"/>
      <c r="FEH84" s="205"/>
      <c r="FEI84" s="205"/>
      <c r="FEJ84" s="204"/>
      <c r="FEK84" s="206"/>
      <c r="FEL84" s="205"/>
      <c r="FEM84" s="205"/>
      <c r="FEN84" s="204"/>
      <c r="FEO84" s="206"/>
      <c r="FEP84" s="205"/>
      <c r="FEQ84" s="205"/>
      <c r="FER84" s="204"/>
      <c r="FES84" s="206"/>
      <c r="FET84" s="205"/>
      <c r="FEU84" s="205"/>
      <c r="FEV84" s="204"/>
      <c r="FEW84" s="206"/>
      <c r="FEX84" s="205"/>
      <c r="FEY84" s="205"/>
      <c r="FEZ84" s="204"/>
      <c r="FFA84" s="206"/>
      <c r="FFB84" s="205"/>
      <c r="FFC84" s="205"/>
      <c r="FFD84" s="204"/>
      <c r="FFE84" s="206"/>
      <c r="FFF84" s="205"/>
      <c r="FFG84" s="205"/>
      <c r="FFH84" s="204"/>
      <c r="FFI84" s="206"/>
      <c r="FFJ84" s="205"/>
      <c r="FFK84" s="205"/>
      <c r="FFL84" s="204"/>
      <c r="FFM84" s="206"/>
      <c r="FFN84" s="205"/>
      <c r="FFO84" s="205"/>
      <c r="FFP84" s="204"/>
      <c r="FFQ84" s="206"/>
      <c r="FFR84" s="205"/>
      <c r="FFS84" s="205"/>
      <c r="FFT84" s="204"/>
      <c r="FFU84" s="206"/>
      <c r="FFV84" s="205"/>
      <c r="FFW84" s="205"/>
      <c r="FFX84" s="204"/>
      <c r="FFY84" s="206"/>
      <c r="FFZ84" s="205"/>
      <c r="FGA84" s="205"/>
      <c r="FGB84" s="204"/>
      <c r="FGC84" s="206"/>
      <c r="FGD84" s="205"/>
      <c r="FGE84" s="205"/>
      <c r="FGF84" s="204"/>
      <c r="FGG84" s="206"/>
      <c r="FGH84" s="205"/>
      <c r="FGI84" s="205"/>
      <c r="FGJ84" s="204"/>
      <c r="FGK84" s="206"/>
      <c r="FGL84" s="205"/>
      <c r="FGM84" s="205"/>
      <c r="FGN84" s="204"/>
      <c r="FGO84" s="206"/>
      <c r="FGP84" s="205"/>
      <c r="FGQ84" s="205"/>
      <c r="FGR84" s="204"/>
      <c r="FGS84" s="206"/>
      <c r="FGT84" s="205"/>
      <c r="FGU84" s="205"/>
      <c r="FGV84" s="204"/>
      <c r="FGW84" s="206"/>
      <c r="FGX84" s="205"/>
      <c r="FGY84" s="205"/>
      <c r="FGZ84" s="204"/>
      <c r="FHA84" s="206"/>
      <c r="FHB84" s="205"/>
      <c r="FHC84" s="205"/>
      <c r="FHD84" s="204"/>
      <c r="FHE84" s="206"/>
      <c r="FHF84" s="205"/>
      <c r="FHG84" s="205"/>
      <c r="FHH84" s="204"/>
      <c r="FHI84" s="206"/>
      <c r="FHJ84" s="205"/>
      <c r="FHK84" s="205"/>
      <c r="FHL84" s="204"/>
      <c r="FHM84" s="206"/>
      <c r="FHN84" s="205"/>
      <c r="FHO84" s="205"/>
      <c r="FHP84" s="204"/>
      <c r="FHQ84" s="206"/>
      <c r="FHR84" s="205"/>
      <c r="FHS84" s="205"/>
      <c r="FHT84" s="204"/>
      <c r="FHU84" s="206"/>
      <c r="FHV84" s="205"/>
      <c r="FHW84" s="205"/>
      <c r="FHX84" s="204"/>
      <c r="FHY84" s="206"/>
      <c r="FHZ84" s="205"/>
      <c r="FIA84" s="205"/>
      <c r="FIB84" s="204"/>
      <c r="FIC84" s="206"/>
      <c r="FID84" s="205"/>
      <c r="FIE84" s="205"/>
      <c r="FIF84" s="204"/>
      <c r="FIG84" s="206"/>
      <c r="FIH84" s="205"/>
      <c r="FII84" s="205"/>
      <c r="FIJ84" s="204"/>
      <c r="FIK84" s="206"/>
      <c r="FIL84" s="205"/>
      <c r="FIM84" s="205"/>
      <c r="FIN84" s="204"/>
      <c r="FIO84" s="206"/>
      <c r="FIP84" s="205"/>
      <c r="FIQ84" s="205"/>
      <c r="FIR84" s="204"/>
      <c r="FIS84" s="206"/>
      <c r="FIT84" s="205"/>
      <c r="FIU84" s="205"/>
      <c r="FIV84" s="204"/>
      <c r="FIW84" s="206"/>
      <c r="FIX84" s="205"/>
      <c r="FIY84" s="205"/>
      <c r="FIZ84" s="204"/>
      <c r="FJA84" s="206"/>
      <c r="FJB84" s="205"/>
      <c r="FJC84" s="205"/>
      <c r="FJD84" s="204"/>
      <c r="FJE84" s="206"/>
      <c r="FJF84" s="205"/>
      <c r="FJG84" s="205"/>
      <c r="FJH84" s="204"/>
      <c r="FJI84" s="206"/>
      <c r="FJJ84" s="205"/>
      <c r="FJK84" s="205"/>
      <c r="FJL84" s="204"/>
      <c r="FJM84" s="206"/>
      <c r="FJN84" s="205"/>
      <c r="FJO84" s="205"/>
      <c r="FJP84" s="204"/>
      <c r="FJQ84" s="206"/>
      <c r="FJR84" s="205"/>
      <c r="FJS84" s="205"/>
      <c r="FJT84" s="204"/>
      <c r="FJU84" s="206"/>
      <c r="FJV84" s="205"/>
      <c r="FJW84" s="205"/>
      <c r="FJX84" s="204"/>
      <c r="FJY84" s="206"/>
      <c r="FJZ84" s="205"/>
      <c r="FKA84" s="205"/>
      <c r="FKB84" s="204"/>
      <c r="FKC84" s="206"/>
      <c r="FKD84" s="205"/>
      <c r="FKE84" s="205"/>
      <c r="FKF84" s="204"/>
      <c r="FKG84" s="206"/>
      <c r="FKH84" s="205"/>
      <c r="FKI84" s="205"/>
      <c r="FKJ84" s="204"/>
      <c r="FKK84" s="206"/>
      <c r="FKL84" s="205"/>
      <c r="FKM84" s="205"/>
      <c r="FKN84" s="204"/>
      <c r="FKO84" s="206"/>
      <c r="FKP84" s="205"/>
      <c r="FKQ84" s="205"/>
      <c r="FKR84" s="204"/>
      <c r="FKS84" s="206"/>
      <c r="FKT84" s="205"/>
      <c r="FKU84" s="205"/>
      <c r="FKV84" s="204"/>
      <c r="FKW84" s="206"/>
      <c r="FKX84" s="205"/>
      <c r="FKY84" s="205"/>
      <c r="FKZ84" s="204"/>
      <c r="FLA84" s="206"/>
      <c r="FLB84" s="205"/>
      <c r="FLC84" s="205"/>
      <c r="FLD84" s="204"/>
      <c r="FLE84" s="206"/>
      <c r="FLF84" s="205"/>
      <c r="FLG84" s="205"/>
      <c r="FLH84" s="204"/>
      <c r="FLI84" s="206"/>
      <c r="FLJ84" s="205"/>
      <c r="FLK84" s="205"/>
      <c r="FLL84" s="204"/>
      <c r="FLM84" s="206"/>
      <c r="FLN84" s="205"/>
      <c r="FLO84" s="205"/>
      <c r="FLP84" s="204"/>
      <c r="FLQ84" s="206"/>
      <c r="FLR84" s="205"/>
      <c r="FLS84" s="205"/>
      <c r="FLT84" s="204"/>
      <c r="FLU84" s="206"/>
      <c r="FLV84" s="205"/>
      <c r="FLW84" s="205"/>
      <c r="FLX84" s="204"/>
      <c r="FLY84" s="206"/>
      <c r="FLZ84" s="205"/>
      <c r="FMA84" s="205"/>
      <c r="FMB84" s="204"/>
      <c r="FMC84" s="206"/>
      <c r="FMD84" s="205"/>
      <c r="FME84" s="205"/>
      <c r="FMF84" s="204"/>
      <c r="FMG84" s="206"/>
      <c r="FMH84" s="205"/>
      <c r="FMI84" s="205"/>
      <c r="FMJ84" s="204"/>
      <c r="FMK84" s="206"/>
      <c r="FML84" s="205"/>
      <c r="FMM84" s="205"/>
      <c r="FMN84" s="204"/>
      <c r="FMO84" s="206"/>
      <c r="FMP84" s="205"/>
      <c r="FMQ84" s="205"/>
      <c r="FMR84" s="204"/>
      <c r="FMS84" s="206"/>
      <c r="FMT84" s="205"/>
      <c r="FMU84" s="205"/>
      <c r="FMV84" s="204"/>
      <c r="FMW84" s="206"/>
      <c r="FMX84" s="205"/>
      <c r="FMY84" s="205"/>
      <c r="FMZ84" s="204"/>
      <c r="FNA84" s="206"/>
      <c r="FNB84" s="205"/>
      <c r="FNC84" s="205"/>
      <c r="FND84" s="204"/>
      <c r="FNE84" s="206"/>
      <c r="FNF84" s="205"/>
      <c r="FNG84" s="205"/>
      <c r="FNH84" s="204"/>
      <c r="FNI84" s="206"/>
      <c r="FNJ84" s="205"/>
      <c r="FNK84" s="205"/>
      <c r="FNL84" s="204"/>
      <c r="FNM84" s="206"/>
      <c r="FNN84" s="205"/>
      <c r="FNO84" s="205"/>
      <c r="FNP84" s="204"/>
      <c r="FNQ84" s="206"/>
      <c r="FNR84" s="205"/>
      <c r="FNS84" s="205"/>
      <c r="FNT84" s="204"/>
      <c r="FNU84" s="206"/>
      <c r="FNV84" s="205"/>
      <c r="FNW84" s="205"/>
      <c r="FNX84" s="204"/>
      <c r="FNY84" s="206"/>
      <c r="FNZ84" s="205"/>
      <c r="FOA84" s="205"/>
      <c r="FOB84" s="204"/>
      <c r="FOC84" s="206"/>
      <c r="FOD84" s="205"/>
      <c r="FOE84" s="205"/>
      <c r="FOF84" s="204"/>
      <c r="FOG84" s="206"/>
      <c r="FOH84" s="205"/>
      <c r="FOI84" s="205"/>
      <c r="FOJ84" s="204"/>
      <c r="FOK84" s="206"/>
      <c r="FOL84" s="205"/>
      <c r="FOM84" s="205"/>
      <c r="FON84" s="204"/>
      <c r="FOO84" s="206"/>
      <c r="FOP84" s="205"/>
      <c r="FOQ84" s="205"/>
      <c r="FOR84" s="204"/>
      <c r="FOS84" s="206"/>
      <c r="FOT84" s="205"/>
      <c r="FOU84" s="205"/>
      <c r="FOV84" s="204"/>
      <c r="FOW84" s="206"/>
      <c r="FOX84" s="205"/>
      <c r="FOY84" s="205"/>
      <c r="FOZ84" s="204"/>
      <c r="FPA84" s="206"/>
      <c r="FPB84" s="205"/>
      <c r="FPC84" s="205"/>
      <c r="FPD84" s="204"/>
      <c r="FPE84" s="206"/>
      <c r="FPF84" s="205"/>
      <c r="FPG84" s="205"/>
      <c r="FPH84" s="204"/>
      <c r="FPI84" s="206"/>
      <c r="FPJ84" s="205"/>
      <c r="FPK84" s="205"/>
      <c r="FPL84" s="204"/>
      <c r="FPM84" s="206"/>
      <c r="FPN84" s="205"/>
      <c r="FPO84" s="205"/>
      <c r="FPP84" s="204"/>
      <c r="FPQ84" s="206"/>
      <c r="FPR84" s="205"/>
      <c r="FPS84" s="205"/>
      <c r="FPT84" s="204"/>
      <c r="FPU84" s="206"/>
      <c r="FPV84" s="205"/>
      <c r="FPW84" s="205"/>
      <c r="FPX84" s="204"/>
      <c r="FPY84" s="206"/>
      <c r="FPZ84" s="205"/>
      <c r="FQA84" s="205"/>
      <c r="FQB84" s="204"/>
      <c r="FQC84" s="206"/>
      <c r="FQD84" s="205"/>
      <c r="FQE84" s="205"/>
      <c r="FQF84" s="204"/>
      <c r="FQG84" s="206"/>
      <c r="FQH84" s="205"/>
      <c r="FQI84" s="205"/>
      <c r="FQJ84" s="204"/>
      <c r="FQK84" s="206"/>
      <c r="FQL84" s="205"/>
      <c r="FQM84" s="205"/>
      <c r="FQN84" s="204"/>
      <c r="FQO84" s="206"/>
      <c r="FQP84" s="205"/>
      <c r="FQQ84" s="205"/>
      <c r="FQR84" s="204"/>
      <c r="FQS84" s="206"/>
      <c r="FQT84" s="205"/>
      <c r="FQU84" s="205"/>
      <c r="FQV84" s="204"/>
      <c r="FQW84" s="206"/>
      <c r="FQX84" s="205"/>
      <c r="FQY84" s="205"/>
      <c r="FQZ84" s="204"/>
      <c r="FRA84" s="206"/>
      <c r="FRB84" s="205"/>
      <c r="FRC84" s="205"/>
      <c r="FRD84" s="204"/>
      <c r="FRE84" s="206"/>
      <c r="FRF84" s="205"/>
      <c r="FRG84" s="205"/>
      <c r="FRH84" s="204"/>
      <c r="FRI84" s="206"/>
      <c r="FRJ84" s="205"/>
      <c r="FRK84" s="205"/>
      <c r="FRL84" s="204"/>
      <c r="FRM84" s="206"/>
      <c r="FRN84" s="205"/>
      <c r="FRO84" s="205"/>
      <c r="FRP84" s="204"/>
      <c r="FRQ84" s="206"/>
      <c r="FRR84" s="205"/>
      <c r="FRS84" s="205"/>
      <c r="FRT84" s="204"/>
      <c r="FRU84" s="206"/>
      <c r="FRV84" s="205"/>
      <c r="FRW84" s="205"/>
      <c r="FRX84" s="204"/>
      <c r="FRY84" s="206"/>
      <c r="FRZ84" s="205"/>
      <c r="FSA84" s="205"/>
      <c r="FSB84" s="204"/>
      <c r="FSC84" s="206"/>
      <c r="FSD84" s="205"/>
      <c r="FSE84" s="205"/>
      <c r="FSF84" s="204"/>
      <c r="FSG84" s="206"/>
      <c r="FSH84" s="205"/>
      <c r="FSI84" s="205"/>
      <c r="FSJ84" s="204"/>
      <c r="FSK84" s="206"/>
      <c r="FSL84" s="205"/>
      <c r="FSM84" s="205"/>
      <c r="FSN84" s="204"/>
      <c r="FSO84" s="206"/>
      <c r="FSP84" s="205"/>
      <c r="FSQ84" s="205"/>
      <c r="FSR84" s="204"/>
      <c r="FSS84" s="206"/>
      <c r="FST84" s="205"/>
      <c r="FSU84" s="205"/>
      <c r="FSV84" s="204"/>
      <c r="FSW84" s="206"/>
      <c r="FSX84" s="205"/>
      <c r="FSY84" s="205"/>
      <c r="FSZ84" s="204"/>
      <c r="FTA84" s="206"/>
      <c r="FTB84" s="205"/>
      <c r="FTC84" s="205"/>
      <c r="FTD84" s="204"/>
      <c r="FTE84" s="206"/>
      <c r="FTF84" s="205"/>
      <c r="FTG84" s="205"/>
      <c r="FTH84" s="204"/>
      <c r="FTI84" s="206"/>
      <c r="FTJ84" s="205"/>
      <c r="FTK84" s="205"/>
      <c r="FTL84" s="204"/>
      <c r="FTM84" s="206"/>
      <c r="FTN84" s="205"/>
      <c r="FTO84" s="205"/>
      <c r="FTP84" s="204"/>
      <c r="FTQ84" s="206"/>
      <c r="FTR84" s="205"/>
      <c r="FTS84" s="205"/>
      <c r="FTT84" s="204"/>
      <c r="FTU84" s="206"/>
      <c r="FTV84" s="205"/>
      <c r="FTW84" s="205"/>
      <c r="FTX84" s="204"/>
      <c r="FTY84" s="206"/>
      <c r="FTZ84" s="205"/>
      <c r="FUA84" s="205"/>
      <c r="FUB84" s="204"/>
      <c r="FUC84" s="206"/>
      <c r="FUD84" s="205"/>
      <c r="FUE84" s="205"/>
      <c r="FUF84" s="204"/>
      <c r="FUG84" s="206"/>
      <c r="FUH84" s="205"/>
      <c r="FUI84" s="205"/>
      <c r="FUJ84" s="204"/>
      <c r="FUK84" s="206"/>
      <c r="FUL84" s="205"/>
      <c r="FUM84" s="205"/>
      <c r="FUN84" s="204"/>
      <c r="FUO84" s="206"/>
      <c r="FUP84" s="205"/>
      <c r="FUQ84" s="205"/>
      <c r="FUR84" s="204"/>
      <c r="FUS84" s="206"/>
      <c r="FUT84" s="205"/>
      <c r="FUU84" s="205"/>
      <c r="FUV84" s="204"/>
      <c r="FUW84" s="206"/>
      <c r="FUX84" s="205"/>
      <c r="FUY84" s="205"/>
      <c r="FUZ84" s="204"/>
      <c r="FVA84" s="206"/>
      <c r="FVB84" s="205"/>
      <c r="FVC84" s="205"/>
      <c r="FVD84" s="204"/>
      <c r="FVE84" s="206"/>
      <c r="FVF84" s="205"/>
      <c r="FVG84" s="205"/>
      <c r="FVH84" s="204"/>
      <c r="FVI84" s="206"/>
      <c r="FVJ84" s="205"/>
      <c r="FVK84" s="205"/>
      <c r="FVL84" s="204"/>
      <c r="FVM84" s="206"/>
      <c r="FVN84" s="205"/>
      <c r="FVO84" s="205"/>
      <c r="FVP84" s="204"/>
      <c r="FVQ84" s="206"/>
      <c r="FVR84" s="205"/>
      <c r="FVS84" s="205"/>
      <c r="FVT84" s="204"/>
      <c r="FVU84" s="206"/>
      <c r="FVV84" s="205"/>
      <c r="FVW84" s="205"/>
      <c r="FVX84" s="204"/>
      <c r="FVY84" s="206"/>
      <c r="FVZ84" s="205"/>
      <c r="FWA84" s="205"/>
      <c r="FWB84" s="204"/>
      <c r="FWC84" s="206"/>
      <c r="FWD84" s="205"/>
      <c r="FWE84" s="205"/>
      <c r="FWF84" s="204"/>
      <c r="FWG84" s="206"/>
      <c r="FWH84" s="205"/>
      <c r="FWI84" s="205"/>
      <c r="FWJ84" s="204"/>
      <c r="FWK84" s="206"/>
      <c r="FWL84" s="205"/>
      <c r="FWM84" s="205"/>
      <c r="FWN84" s="204"/>
      <c r="FWO84" s="206"/>
      <c r="FWP84" s="205"/>
      <c r="FWQ84" s="205"/>
      <c r="FWR84" s="204"/>
      <c r="FWS84" s="206"/>
      <c r="FWT84" s="205"/>
      <c r="FWU84" s="205"/>
      <c r="FWV84" s="204"/>
      <c r="FWW84" s="206"/>
      <c r="FWX84" s="205"/>
      <c r="FWY84" s="205"/>
      <c r="FWZ84" s="204"/>
      <c r="FXA84" s="206"/>
      <c r="FXB84" s="205"/>
      <c r="FXC84" s="205"/>
      <c r="FXD84" s="204"/>
      <c r="FXE84" s="206"/>
      <c r="FXF84" s="205"/>
      <c r="FXG84" s="205"/>
      <c r="FXH84" s="204"/>
      <c r="FXI84" s="206"/>
      <c r="FXJ84" s="205"/>
      <c r="FXK84" s="205"/>
      <c r="FXL84" s="204"/>
      <c r="FXM84" s="206"/>
      <c r="FXN84" s="205"/>
      <c r="FXO84" s="205"/>
      <c r="FXP84" s="204"/>
      <c r="FXQ84" s="206"/>
      <c r="FXR84" s="205"/>
      <c r="FXS84" s="205"/>
      <c r="FXT84" s="204"/>
      <c r="FXU84" s="206"/>
      <c r="FXV84" s="205"/>
      <c r="FXW84" s="205"/>
      <c r="FXX84" s="204"/>
      <c r="FXY84" s="206"/>
      <c r="FXZ84" s="205"/>
      <c r="FYA84" s="205"/>
      <c r="FYB84" s="204"/>
      <c r="FYC84" s="206"/>
      <c r="FYD84" s="205"/>
      <c r="FYE84" s="205"/>
      <c r="FYF84" s="204"/>
      <c r="FYG84" s="206"/>
      <c r="FYH84" s="205"/>
      <c r="FYI84" s="205"/>
      <c r="FYJ84" s="204"/>
      <c r="FYK84" s="206"/>
      <c r="FYL84" s="205"/>
      <c r="FYM84" s="205"/>
      <c r="FYN84" s="204"/>
      <c r="FYO84" s="206"/>
      <c r="FYP84" s="205"/>
      <c r="FYQ84" s="205"/>
      <c r="FYR84" s="204"/>
      <c r="FYS84" s="206"/>
      <c r="FYT84" s="205"/>
      <c r="FYU84" s="205"/>
      <c r="FYV84" s="204"/>
      <c r="FYW84" s="206"/>
      <c r="FYX84" s="205"/>
      <c r="FYY84" s="205"/>
      <c r="FYZ84" s="204"/>
      <c r="FZA84" s="206"/>
      <c r="FZB84" s="205"/>
      <c r="FZC84" s="205"/>
      <c r="FZD84" s="204"/>
      <c r="FZE84" s="206"/>
      <c r="FZF84" s="205"/>
      <c r="FZG84" s="205"/>
      <c r="FZH84" s="204"/>
      <c r="FZI84" s="206"/>
      <c r="FZJ84" s="205"/>
      <c r="FZK84" s="205"/>
      <c r="FZL84" s="204"/>
      <c r="FZM84" s="206"/>
      <c r="FZN84" s="205"/>
      <c r="FZO84" s="205"/>
      <c r="FZP84" s="204"/>
      <c r="FZQ84" s="206"/>
      <c r="FZR84" s="205"/>
      <c r="FZS84" s="205"/>
      <c r="FZT84" s="204"/>
      <c r="FZU84" s="206"/>
      <c r="FZV84" s="205"/>
      <c r="FZW84" s="205"/>
      <c r="FZX84" s="204"/>
      <c r="FZY84" s="206"/>
      <c r="FZZ84" s="205"/>
      <c r="GAA84" s="205"/>
      <c r="GAB84" s="204"/>
      <c r="GAC84" s="206"/>
      <c r="GAD84" s="205"/>
      <c r="GAE84" s="205"/>
      <c r="GAF84" s="204"/>
      <c r="GAG84" s="206"/>
      <c r="GAH84" s="205"/>
      <c r="GAI84" s="205"/>
      <c r="GAJ84" s="204"/>
      <c r="GAK84" s="206"/>
      <c r="GAL84" s="205"/>
      <c r="GAM84" s="205"/>
      <c r="GAN84" s="204"/>
      <c r="GAO84" s="206"/>
      <c r="GAP84" s="205"/>
      <c r="GAQ84" s="205"/>
      <c r="GAR84" s="204"/>
      <c r="GAS84" s="206"/>
      <c r="GAT84" s="205"/>
      <c r="GAU84" s="205"/>
      <c r="GAV84" s="204"/>
      <c r="GAW84" s="206"/>
      <c r="GAX84" s="205"/>
      <c r="GAY84" s="205"/>
      <c r="GAZ84" s="204"/>
      <c r="GBA84" s="206"/>
      <c r="GBB84" s="205"/>
      <c r="GBC84" s="205"/>
      <c r="GBD84" s="204"/>
      <c r="GBE84" s="206"/>
      <c r="GBF84" s="205"/>
      <c r="GBG84" s="205"/>
      <c r="GBH84" s="204"/>
      <c r="GBI84" s="206"/>
      <c r="GBJ84" s="205"/>
      <c r="GBK84" s="205"/>
      <c r="GBL84" s="204"/>
      <c r="GBM84" s="206"/>
      <c r="GBN84" s="205"/>
      <c r="GBO84" s="205"/>
      <c r="GBP84" s="204"/>
      <c r="GBQ84" s="206"/>
      <c r="GBR84" s="205"/>
      <c r="GBS84" s="205"/>
      <c r="GBT84" s="204"/>
      <c r="GBU84" s="206"/>
      <c r="GBV84" s="205"/>
      <c r="GBW84" s="205"/>
      <c r="GBX84" s="204"/>
      <c r="GBY84" s="206"/>
      <c r="GBZ84" s="205"/>
      <c r="GCA84" s="205"/>
      <c r="GCB84" s="204"/>
      <c r="GCC84" s="206"/>
      <c r="GCD84" s="205"/>
      <c r="GCE84" s="205"/>
      <c r="GCF84" s="204"/>
      <c r="GCG84" s="206"/>
      <c r="GCH84" s="205"/>
      <c r="GCI84" s="205"/>
      <c r="GCJ84" s="204"/>
      <c r="GCK84" s="206"/>
      <c r="GCL84" s="205"/>
      <c r="GCM84" s="205"/>
      <c r="GCN84" s="204"/>
      <c r="GCO84" s="206"/>
      <c r="GCP84" s="205"/>
      <c r="GCQ84" s="205"/>
      <c r="GCR84" s="204"/>
      <c r="GCS84" s="206"/>
      <c r="GCT84" s="205"/>
      <c r="GCU84" s="205"/>
      <c r="GCV84" s="204"/>
      <c r="GCW84" s="206"/>
      <c r="GCX84" s="205"/>
      <c r="GCY84" s="205"/>
      <c r="GCZ84" s="204"/>
      <c r="GDA84" s="206"/>
      <c r="GDB84" s="205"/>
      <c r="GDC84" s="205"/>
      <c r="GDD84" s="204"/>
      <c r="GDE84" s="206"/>
      <c r="GDF84" s="205"/>
      <c r="GDG84" s="205"/>
      <c r="GDH84" s="204"/>
      <c r="GDI84" s="206"/>
      <c r="GDJ84" s="205"/>
      <c r="GDK84" s="205"/>
      <c r="GDL84" s="204"/>
      <c r="GDM84" s="206"/>
      <c r="GDN84" s="205"/>
      <c r="GDO84" s="205"/>
      <c r="GDP84" s="204"/>
      <c r="GDQ84" s="206"/>
      <c r="GDR84" s="205"/>
      <c r="GDS84" s="205"/>
      <c r="GDT84" s="204"/>
      <c r="GDU84" s="206"/>
      <c r="GDV84" s="205"/>
      <c r="GDW84" s="205"/>
      <c r="GDX84" s="204"/>
      <c r="GDY84" s="206"/>
      <c r="GDZ84" s="205"/>
      <c r="GEA84" s="205"/>
      <c r="GEB84" s="204"/>
      <c r="GEC84" s="206"/>
      <c r="GED84" s="205"/>
      <c r="GEE84" s="205"/>
      <c r="GEF84" s="204"/>
      <c r="GEG84" s="206"/>
      <c r="GEH84" s="205"/>
      <c r="GEI84" s="205"/>
      <c r="GEJ84" s="204"/>
      <c r="GEK84" s="206"/>
      <c r="GEL84" s="205"/>
      <c r="GEM84" s="205"/>
      <c r="GEN84" s="204"/>
      <c r="GEO84" s="206"/>
      <c r="GEP84" s="205"/>
      <c r="GEQ84" s="205"/>
      <c r="GER84" s="204"/>
      <c r="GES84" s="206"/>
      <c r="GET84" s="205"/>
      <c r="GEU84" s="205"/>
      <c r="GEV84" s="204"/>
      <c r="GEW84" s="206"/>
      <c r="GEX84" s="205"/>
      <c r="GEY84" s="205"/>
      <c r="GEZ84" s="204"/>
      <c r="GFA84" s="206"/>
      <c r="GFB84" s="205"/>
      <c r="GFC84" s="205"/>
      <c r="GFD84" s="204"/>
      <c r="GFE84" s="206"/>
      <c r="GFF84" s="205"/>
      <c r="GFG84" s="205"/>
      <c r="GFH84" s="204"/>
      <c r="GFI84" s="206"/>
      <c r="GFJ84" s="205"/>
      <c r="GFK84" s="205"/>
      <c r="GFL84" s="204"/>
      <c r="GFM84" s="206"/>
      <c r="GFN84" s="205"/>
      <c r="GFO84" s="205"/>
      <c r="GFP84" s="204"/>
      <c r="GFQ84" s="206"/>
      <c r="GFR84" s="205"/>
      <c r="GFS84" s="205"/>
      <c r="GFT84" s="204"/>
      <c r="GFU84" s="206"/>
      <c r="GFV84" s="205"/>
      <c r="GFW84" s="205"/>
      <c r="GFX84" s="204"/>
      <c r="GFY84" s="206"/>
      <c r="GFZ84" s="205"/>
      <c r="GGA84" s="205"/>
      <c r="GGB84" s="204"/>
      <c r="GGC84" s="206"/>
      <c r="GGD84" s="205"/>
      <c r="GGE84" s="205"/>
      <c r="GGF84" s="204"/>
      <c r="GGG84" s="206"/>
      <c r="GGH84" s="205"/>
      <c r="GGI84" s="205"/>
      <c r="GGJ84" s="204"/>
      <c r="GGK84" s="206"/>
      <c r="GGL84" s="205"/>
      <c r="GGM84" s="205"/>
      <c r="GGN84" s="204"/>
      <c r="GGO84" s="206"/>
      <c r="GGP84" s="205"/>
      <c r="GGQ84" s="205"/>
      <c r="GGR84" s="204"/>
      <c r="GGS84" s="206"/>
      <c r="GGT84" s="205"/>
      <c r="GGU84" s="205"/>
      <c r="GGV84" s="204"/>
      <c r="GGW84" s="206"/>
      <c r="GGX84" s="205"/>
      <c r="GGY84" s="205"/>
      <c r="GGZ84" s="204"/>
      <c r="GHA84" s="206"/>
      <c r="GHB84" s="205"/>
      <c r="GHC84" s="205"/>
      <c r="GHD84" s="204"/>
      <c r="GHE84" s="206"/>
      <c r="GHF84" s="205"/>
      <c r="GHG84" s="205"/>
      <c r="GHH84" s="204"/>
      <c r="GHI84" s="206"/>
      <c r="GHJ84" s="205"/>
      <c r="GHK84" s="205"/>
      <c r="GHL84" s="204"/>
      <c r="GHM84" s="206"/>
      <c r="GHN84" s="205"/>
      <c r="GHO84" s="205"/>
      <c r="GHP84" s="204"/>
      <c r="GHQ84" s="206"/>
      <c r="GHR84" s="205"/>
      <c r="GHS84" s="205"/>
      <c r="GHT84" s="204"/>
      <c r="GHU84" s="206"/>
      <c r="GHV84" s="205"/>
      <c r="GHW84" s="205"/>
      <c r="GHX84" s="204"/>
      <c r="GHY84" s="206"/>
      <c r="GHZ84" s="205"/>
      <c r="GIA84" s="205"/>
      <c r="GIB84" s="204"/>
      <c r="GIC84" s="206"/>
      <c r="GID84" s="205"/>
      <c r="GIE84" s="205"/>
      <c r="GIF84" s="204"/>
      <c r="GIG84" s="206"/>
      <c r="GIH84" s="205"/>
      <c r="GII84" s="205"/>
      <c r="GIJ84" s="204"/>
      <c r="GIK84" s="206"/>
      <c r="GIL84" s="205"/>
      <c r="GIM84" s="205"/>
      <c r="GIN84" s="204"/>
      <c r="GIO84" s="206"/>
      <c r="GIP84" s="205"/>
      <c r="GIQ84" s="205"/>
      <c r="GIR84" s="204"/>
      <c r="GIS84" s="206"/>
      <c r="GIT84" s="205"/>
      <c r="GIU84" s="205"/>
      <c r="GIV84" s="204"/>
      <c r="GIW84" s="206"/>
      <c r="GIX84" s="205"/>
      <c r="GIY84" s="205"/>
      <c r="GIZ84" s="204"/>
      <c r="GJA84" s="206"/>
      <c r="GJB84" s="205"/>
      <c r="GJC84" s="205"/>
      <c r="GJD84" s="204"/>
      <c r="GJE84" s="206"/>
      <c r="GJF84" s="205"/>
      <c r="GJG84" s="205"/>
      <c r="GJH84" s="204"/>
      <c r="GJI84" s="206"/>
      <c r="GJJ84" s="205"/>
      <c r="GJK84" s="205"/>
      <c r="GJL84" s="204"/>
      <c r="GJM84" s="206"/>
      <c r="GJN84" s="205"/>
      <c r="GJO84" s="205"/>
      <c r="GJP84" s="204"/>
      <c r="GJQ84" s="206"/>
      <c r="GJR84" s="205"/>
      <c r="GJS84" s="205"/>
      <c r="GJT84" s="204"/>
      <c r="GJU84" s="206"/>
      <c r="GJV84" s="205"/>
      <c r="GJW84" s="205"/>
      <c r="GJX84" s="204"/>
      <c r="GJY84" s="206"/>
      <c r="GJZ84" s="205"/>
      <c r="GKA84" s="205"/>
      <c r="GKB84" s="204"/>
      <c r="GKC84" s="206"/>
      <c r="GKD84" s="205"/>
      <c r="GKE84" s="205"/>
      <c r="GKF84" s="204"/>
      <c r="GKG84" s="206"/>
      <c r="GKH84" s="205"/>
      <c r="GKI84" s="205"/>
      <c r="GKJ84" s="204"/>
      <c r="GKK84" s="206"/>
      <c r="GKL84" s="205"/>
      <c r="GKM84" s="205"/>
      <c r="GKN84" s="204"/>
      <c r="GKO84" s="206"/>
      <c r="GKP84" s="205"/>
      <c r="GKQ84" s="205"/>
      <c r="GKR84" s="204"/>
      <c r="GKS84" s="206"/>
      <c r="GKT84" s="205"/>
      <c r="GKU84" s="205"/>
      <c r="GKV84" s="204"/>
      <c r="GKW84" s="206"/>
      <c r="GKX84" s="205"/>
      <c r="GKY84" s="205"/>
      <c r="GKZ84" s="204"/>
      <c r="GLA84" s="206"/>
      <c r="GLB84" s="205"/>
      <c r="GLC84" s="205"/>
      <c r="GLD84" s="204"/>
      <c r="GLE84" s="206"/>
      <c r="GLF84" s="205"/>
      <c r="GLG84" s="205"/>
      <c r="GLH84" s="204"/>
      <c r="GLI84" s="206"/>
      <c r="GLJ84" s="205"/>
      <c r="GLK84" s="205"/>
      <c r="GLL84" s="204"/>
      <c r="GLM84" s="206"/>
      <c r="GLN84" s="205"/>
      <c r="GLO84" s="205"/>
      <c r="GLP84" s="204"/>
      <c r="GLQ84" s="206"/>
      <c r="GLR84" s="205"/>
      <c r="GLS84" s="205"/>
      <c r="GLT84" s="204"/>
      <c r="GLU84" s="206"/>
      <c r="GLV84" s="205"/>
      <c r="GLW84" s="205"/>
      <c r="GLX84" s="204"/>
      <c r="GLY84" s="206"/>
      <c r="GLZ84" s="205"/>
      <c r="GMA84" s="205"/>
      <c r="GMB84" s="204"/>
      <c r="GMC84" s="206"/>
      <c r="GMD84" s="205"/>
      <c r="GME84" s="205"/>
      <c r="GMF84" s="204"/>
      <c r="GMG84" s="206"/>
      <c r="GMH84" s="205"/>
      <c r="GMI84" s="205"/>
      <c r="GMJ84" s="204"/>
      <c r="GMK84" s="206"/>
      <c r="GML84" s="205"/>
      <c r="GMM84" s="205"/>
      <c r="GMN84" s="204"/>
      <c r="GMO84" s="206"/>
      <c r="GMP84" s="205"/>
      <c r="GMQ84" s="205"/>
      <c r="GMR84" s="204"/>
      <c r="GMS84" s="206"/>
      <c r="GMT84" s="205"/>
      <c r="GMU84" s="205"/>
      <c r="GMV84" s="204"/>
      <c r="GMW84" s="206"/>
      <c r="GMX84" s="205"/>
      <c r="GMY84" s="205"/>
      <c r="GMZ84" s="204"/>
      <c r="GNA84" s="206"/>
      <c r="GNB84" s="205"/>
      <c r="GNC84" s="205"/>
      <c r="GND84" s="204"/>
      <c r="GNE84" s="206"/>
      <c r="GNF84" s="205"/>
      <c r="GNG84" s="205"/>
      <c r="GNH84" s="204"/>
      <c r="GNI84" s="206"/>
      <c r="GNJ84" s="205"/>
      <c r="GNK84" s="205"/>
      <c r="GNL84" s="204"/>
      <c r="GNM84" s="206"/>
      <c r="GNN84" s="205"/>
      <c r="GNO84" s="205"/>
      <c r="GNP84" s="204"/>
      <c r="GNQ84" s="206"/>
      <c r="GNR84" s="205"/>
      <c r="GNS84" s="205"/>
      <c r="GNT84" s="204"/>
      <c r="GNU84" s="206"/>
      <c r="GNV84" s="205"/>
      <c r="GNW84" s="205"/>
      <c r="GNX84" s="204"/>
      <c r="GNY84" s="206"/>
      <c r="GNZ84" s="205"/>
      <c r="GOA84" s="205"/>
      <c r="GOB84" s="204"/>
      <c r="GOC84" s="206"/>
      <c r="GOD84" s="205"/>
      <c r="GOE84" s="205"/>
      <c r="GOF84" s="204"/>
      <c r="GOG84" s="206"/>
      <c r="GOH84" s="205"/>
      <c r="GOI84" s="205"/>
      <c r="GOJ84" s="204"/>
      <c r="GOK84" s="206"/>
      <c r="GOL84" s="205"/>
      <c r="GOM84" s="205"/>
      <c r="GON84" s="204"/>
      <c r="GOO84" s="206"/>
      <c r="GOP84" s="205"/>
      <c r="GOQ84" s="205"/>
      <c r="GOR84" s="204"/>
      <c r="GOS84" s="206"/>
      <c r="GOT84" s="205"/>
      <c r="GOU84" s="205"/>
      <c r="GOV84" s="204"/>
      <c r="GOW84" s="206"/>
      <c r="GOX84" s="205"/>
      <c r="GOY84" s="205"/>
      <c r="GOZ84" s="204"/>
      <c r="GPA84" s="206"/>
      <c r="GPB84" s="205"/>
      <c r="GPC84" s="205"/>
      <c r="GPD84" s="204"/>
      <c r="GPE84" s="206"/>
      <c r="GPF84" s="205"/>
      <c r="GPG84" s="205"/>
      <c r="GPH84" s="204"/>
      <c r="GPI84" s="206"/>
      <c r="GPJ84" s="205"/>
      <c r="GPK84" s="205"/>
      <c r="GPL84" s="204"/>
      <c r="GPM84" s="206"/>
      <c r="GPN84" s="205"/>
      <c r="GPO84" s="205"/>
      <c r="GPP84" s="204"/>
      <c r="GPQ84" s="206"/>
      <c r="GPR84" s="205"/>
      <c r="GPS84" s="205"/>
      <c r="GPT84" s="204"/>
      <c r="GPU84" s="206"/>
      <c r="GPV84" s="205"/>
      <c r="GPW84" s="205"/>
      <c r="GPX84" s="204"/>
      <c r="GPY84" s="206"/>
      <c r="GPZ84" s="205"/>
      <c r="GQA84" s="205"/>
      <c r="GQB84" s="204"/>
      <c r="GQC84" s="206"/>
      <c r="GQD84" s="205"/>
      <c r="GQE84" s="205"/>
      <c r="GQF84" s="204"/>
      <c r="GQG84" s="206"/>
      <c r="GQH84" s="205"/>
      <c r="GQI84" s="205"/>
      <c r="GQJ84" s="204"/>
      <c r="GQK84" s="206"/>
      <c r="GQL84" s="205"/>
      <c r="GQM84" s="205"/>
      <c r="GQN84" s="204"/>
      <c r="GQO84" s="206"/>
      <c r="GQP84" s="205"/>
      <c r="GQQ84" s="205"/>
      <c r="GQR84" s="204"/>
      <c r="GQS84" s="206"/>
      <c r="GQT84" s="205"/>
      <c r="GQU84" s="205"/>
      <c r="GQV84" s="204"/>
      <c r="GQW84" s="206"/>
      <c r="GQX84" s="205"/>
      <c r="GQY84" s="205"/>
      <c r="GQZ84" s="204"/>
      <c r="GRA84" s="206"/>
      <c r="GRB84" s="205"/>
      <c r="GRC84" s="205"/>
      <c r="GRD84" s="204"/>
      <c r="GRE84" s="206"/>
      <c r="GRF84" s="205"/>
      <c r="GRG84" s="205"/>
      <c r="GRH84" s="204"/>
      <c r="GRI84" s="206"/>
      <c r="GRJ84" s="205"/>
      <c r="GRK84" s="205"/>
      <c r="GRL84" s="204"/>
      <c r="GRM84" s="206"/>
      <c r="GRN84" s="205"/>
      <c r="GRO84" s="205"/>
      <c r="GRP84" s="204"/>
      <c r="GRQ84" s="206"/>
      <c r="GRR84" s="205"/>
      <c r="GRS84" s="205"/>
      <c r="GRT84" s="204"/>
      <c r="GRU84" s="206"/>
      <c r="GRV84" s="205"/>
      <c r="GRW84" s="205"/>
      <c r="GRX84" s="204"/>
      <c r="GRY84" s="206"/>
      <c r="GRZ84" s="205"/>
      <c r="GSA84" s="205"/>
      <c r="GSB84" s="204"/>
      <c r="GSC84" s="206"/>
      <c r="GSD84" s="205"/>
      <c r="GSE84" s="205"/>
      <c r="GSF84" s="204"/>
      <c r="GSG84" s="206"/>
      <c r="GSH84" s="205"/>
      <c r="GSI84" s="205"/>
      <c r="GSJ84" s="204"/>
      <c r="GSK84" s="206"/>
      <c r="GSL84" s="205"/>
      <c r="GSM84" s="205"/>
      <c r="GSN84" s="204"/>
      <c r="GSO84" s="206"/>
      <c r="GSP84" s="205"/>
      <c r="GSQ84" s="205"/>
      <c r="GSR84" s="204"/>
      <c r="GSS84" s="206"/>
      <c r="GST84" s="205"/>
      <c r="GSU84" s="205"/>
      <c r="GSV84" s="204"/>
      <c r="GSW84" s="206"/>
      <c r="GSX84" s="205"/>
      <c r="GSY84" s="205"/>
      <c r="GSZ84" s="204"/>
      <c r="GTA84" s="206"/>
      <c r="GTB84" s="205"/>
      <c r="GTC84" s="205"/>
      <c r="GTD84" s="204"/>
      <c r="GTE84" s="206"/>
      <c r="GTF84" s="205"/>
      <c r="GTG84" s="205"/>
      <c r="GTH84" s="204"/>
      <c r="GTI84" s="206"/>
      <c r="GTJ84" s="205"/>
      <c r="GTK84" s="205"/>
      <c r="GTL84" s="204"/>
      <c r="GTM84" s="206"/>
      <c r="GTN84" s="205"/>
      <c r="GTO84" s="205"/>
      <c r="GTP84" s="204"/>
      <c r="GTQ84" s="206"/>
      <c r="GTR84" s="205"/>
      <c r="GTS84" s="205"/>
      <c r="GTT84" s="204"/>
      <c r="GTU84" s="206"/>
      <c r="GTV84" s="205"/>
      <c r="GTW84" s="205"/>
      <c r="GTX84" s="204"/>
      <c r="GTY84" s="206"/>
      <c r="GTZ84" s="205"/>
      <c r="GUA84" s="205"/>
      <c r="GUB84" s="204"/>
      <c r="GUC84" s="206"/>
      <c r="GUD84" s="205"/>
      <c r="GUE84" s="205"/>
      <c r="GUF84" s="204"/>
      <c r="GUG84" s="206"/>
      <c r="GUH84" s="205"/>
      <c r="GUI84" s="205"/>
      <c r="GUJ84" s="204"/>
      <c r="GUK84" s="206"/>
      <c r="GUL84" s="205"/>
      <c r="GUM84" s="205"/>
      <c r="GUN84" s="204"/>
      <c r="GUO84" s="206"/>
      <c r="GUP84" s="205"/>
      <c r="GUQ84" s="205"/>
      <c r="GUR84" s="204"/>
      <c r="GUS84" s="206"/>
      <c r="GUT84" s="205"/>
      <c r="GUU84" s="205"/>
      <c r="GUV84" s="204"/>
      <c r="GUW84" s="206"/>
      <c r="GUX84" s="205"/>
      <c r="GUY84" s="205"/>
      <c r="GUZ84" s="204"/>
      <c r="GVA84" s="206"/>
      <c r="GVB84" s="205"/>
      <c r="GVC84" s="205"/>
      <c r="GVD84" s="204"/>
      <c r="GVE84" s="206"/>
      <c r="GVF84" s="205"/>
      <c r="GVG84" s="205"/>
      <c r="GVH84" s="204"/>
      <c r="GVI84" s="206"/>
      <c r="GVJ84" s="205"/>
      <c r="GVK84" s="205"/>
      <c r="GVL84" s="204"/>
      <c r="GVM84" s="206"/>
      <c r="GVN84" s="205"/>
      <c r="GVO84" s="205"/>
      <c r="GVP84" s="204"/>
      <c r="GVQ84" s="206"/>
      <c r="GVR84" s="205"/>
      <c r="GVS84" s="205"/>
      <c r="GVT84" s="204"/>
      <c r="GVU84" s="206"/>
      <c r="GVV84" s="205"/>
      <c r="GVW84" s="205"/>
      <c r="GVX84" s="204"/>
      <c r="GVY84" s="206"/>
      <c r="GVZ84" s="205"/>
      <c r="GWA84" s="205"/>
      <c r="GWB84" s="204"/>
      <c r="GWC84" s="206"/>
      <c r="GWD84" s="205"/>
      <c r="GWE84" s="205"/>
      <c r="GWF84" s="204"/>
      <c r="GWG84" s="206"/>
      <c r="GWH84" s="205"/>
      <c r="GWI84" s="205"/>
      <c r="GWJ84" s="204"/>
      <c r="GWK84" s="206"/>
      <c r="GWL84" s="205"/>
      <c r="GWM84" s="205"/>
      <c r="GWN84" s="204"/>
      <c r="GWO84" s="206"/>
      <c r="GWP84" s="205"/>
      <c r="GWQ84" s="205"/>
      <c r="GWR84" s="204"/>
      <c r="GWS84" s="206"/>
      <c r="GWT84" s="205"/>
      <c r="GWU84" s="205"/>
      <c r="GWV84" s="204"/>
      <c r="GWW84" s="206"/>
      <c r="GWX84" s="205"/>
      <c r="GWY84" s="205"/>
      <c r="GWZ84" s="204"/>
      <c r="GXA84" s="206"/>
      <c r="GXB84" s="205"/>
      <c r="GXC84" s="205"/>
      <c r="GXD84" s="204"/>
      <c r="GXE84" s="206"/>
      <c r="GXF84" s="205"/>
      <c r="GXG84" s="205"/>
      <c r="GXH84" s="204"/>
      <c r="GXI84" s="206"/>
      <c r="GXJ84" s="205"/>
      <c r="GXK84" s="205"/>
      <c r="GXL84" s="204"/>
      <c r="GXM84" s="206"/>
      <c r="GXN84" s="205"/>
      <c r="GXO84" s="205"/>
      <c r="GXP84" s="204"/>
      <c r="GXQ84" s="206"/>
      <c r="GXR84" s="205"/>
      <c r="GXS84" s="205"/>
      <c r="GXT84" s="204"/>
      <c r="GXU84" s="206"/>
      <c r="GXV84" s="205"/>
      <c r="GXW84" s="205"/>
      <c r="GXX84" s="204"/>
      <c r="GXY84" s="206"/>
      <c r="GXZ84" s="205"/>
      <c r="GYA84" s="205"/>
      <c r="GYB84" s="204"/>
      <c r="GYC84" s="206"/>
      <c r="GYD84" s="205"/>
      <c r="GYE84" s="205"/>
      <c r="GYF84" s="204"/>
      <c r="GYG84" s="206"/>
      <c r="GYH84" s="205"/>
      <c r="GYI84" s="205"/>
      <c r="GYJ84" s="204"/>
      <c r="GYK84" s="206"/>
      <c r="GYL84" s="205"/>
      <c r="GYM84" s="205"/>
      <c r="GYN84" s="204"/>
      <c r="GYO84" s="206"/>
      <c r="GYP84" s="205"/>
      <c r="GYQ84" s="205"/>
      <c r="GYR84" s="204"/>
      <c r="GYS84" s="206"/>
      <c r="GYT84" s="205"/>
      <c r="GYU84" s="205"/>
      <c r="GYV84" s="204"/>
      <c r="GYW84" s="206"/>
      <c r="GYX84" s="205"/>
      <c r="GYY84" s="205"/>
      <c r="GYZ84" s="204"/>
      <c r="GZA84" s="206"/>
      <c r="GZB84" s="205"/>
      <c r="GZC84" s="205"/>
      <c r="GZD84" s="204"/>
      <c r="GZE84" s="206"/>
      <c r="GZF84" s="205"/>
      <c r="GZG84" s="205"/>
      <c r="GZH84" s="204"/>
      <c r="GZI84" s="206"/>
      <c r="GZJ84" s="205"/>
      <c r="GZK84" s="205"/>
      <c r="GZL84" s="204"/>
      <c r="GZM84" s="206"/>
      <c r="GZN84" s="205"/>
      <c r="GZO84" s="205"/>
      <c r="GZP84" s="204"/>
      <c r="GZQ84" s="206"/>
      <c r="GZR84" s="205"/>
      <c r="GZS84" s="205"/>
      <c r="GZT84" s="204"/>
      <c r="GZU84" s="206"/>
      <c r="GZV84" s="205"/>
      <c r="GZW84" s="205"/>
      <c r="GZX84" s="204"/>
      <c r="GZY84" s="206"/>
      <c r="GZZ84" s="205"/>
      <c r="HAA84" s="205"/>
      <c r="HAB84" s="204"/>
      <c r="HAC84" s="206"/>
      <c r="HAD84" s="205"/>
      <c r="HAE84" s="205"/>
      <c r="HAF84" s="204"/>
      <c r="HAG84" s="206"/>
      <c r="HAH84" s="205"/>
      <c r="HAI84" s="205"/>
      <c r="HAJ84" s="204"/>
      <c r="HAK84" s="206"/>
      <c r="HAL84" s="205"/>
      <c r="HAM84" s="205"/>
      <c r="HAN84" s="204"/>
      <c r="HAO84" s="206"/>
      <c r="HAP84" s="205"/>
      <c r="HAQ84" s="205"/>
      <c r="HAR84" s="204"/>
      <c r="HAS84" s="206"/>
      <c r="HAT84" s="205"/>
      <c r="HAU84" s="205"/>
      <c r="HAV84" s="204"/>
      <c r="HAW84" s="206"/>
      <c r="HAX84" s="205"/>
      <c r="HAY84" s="205"/>
      <c r="HAZ84" s="204"/>
      <c r="HBA84" s="206"/>
      <c r="HBB84" s="205"/>
      <c r="HBC84" s="205"/>
      <c r="HBD84" s="204"/>
      <c r="HBE84" s="206"/>
      <c r="HBF84" s="205"/>
      <c r="HBG84" s="205"/>
      <c r="HBH84" s="204"/>
      <c r="HBI84" s="206"/>
      <c r="HBJ84" s="205"/>
      <c r="HBK84" s="205"/>
      <c r="HBL84" s="204"/>
      <c r="HBM84" s="206"/>
      <c r="HBN84" s="205"/>
      <c r="HBO84" s="205"/>
      <c r="HBP84" s="204"/>
      <c r="HBQ84" s="206"/>
      <c r="HBR84" s="205"/>
      <c r="HBS84" s="205"/>
      <c r="HBT84" s="204"/>
      <c r="HBU84" s="206"/>
      <c r="HBV84" s="205"/>
      <c r="HBW84" s="205"/>
      <c r="HBX84" s="204"/>
      <c r="HBY84" s="206"/>
      <c r="HBZ84" s="205"/>
      <c r="HCA84" s="205"/>
      <c r="HCB84" s="204"/>
      <c r="HCC84" s="206"/>
      <c r="HCD84" s="205"/>
      <c r="HCE84" s="205"/>
      <c r="HCF84" s="204"/>
      <c r="HCG84" s="206"/>
      <c r="HCH84" s="205"/>
      <c r="HCI84" s="205"/>
      <c r="HCJ84" s="204"/>
      <c r="HCK84" s="206"/>
      <c r="HCL84" s="205"/>
      <c r="HCM84" s="205"/>
      <c r="HCN84" s="204"/>
      <c r="HCO84" s="206"/>
      <c r="HCP84" s="205"/>
      <c r="HCQ84" s="205"/>
      <c r="HCR84" s="204"/>
      <c r="HCS84" s="206"/>
      <c r="HCT84" s="205"/>
      <c r="HCU84" s="205"/>
      <c r="HCV84" s="204"/>
      <c r="HCW84" s="206"/>
      <c r="HCX84" s="205"/>
      <c r="HCY84" s="205"/>
      <c r="HCZ84" s="204"/>
      <c r="HDA84" s="206"/>
      <c r="HDB84" s="205"/>
      <c r="HDC84" s="205"/>
      <c r="HDD84" s="204"/>
      <c r="HDE84" s="206"/>
      <c r="HDF84" s="205"/>
      <c r="HDG84" s="205"/>
      <c r="HDH84" s="204"/>
      <c r="HDI84" s="206"/>
      <c r="HDJ84" s="205"/>
      <c r="HDK84" s="205"/>
      <c r="HDL84" s="204"/>
      <c r="HDM84" s="206"/>
      <c r="HDN84" s="205"/>
      <c r="HDO84" s="205"/>
      <c r="HDP84" s="204"/>
      <c r="HDQ84" s="206"/>
      <c r="HDR84" s="205"/>
      <c r="HDS84" s="205"/>
      <c r="HDT84" s="204"/>
      <c r="HDU84" s="206"/>
      <c r="HDV84" s="205"/>
      <c r="HDW84" s="205"/>
      <c r="HDX84" s="204"/>
      <c r="HDY84" s="206"/>
      <c r="HDZ84" s="205"/>
      <c r="HEA84" s="205"/>
      <c r="HEB84" s="204"/>
      <c r="HEC84" s="206"/>
      <c r="HED84" s="205"/>
      <c r="HEE84" s="205"/>
      <c r="HEF84" s="204"/>
      <c r="HEG84" s="206"/>
      <c r="HEH84" s="205"/>
      <c r="HEI84" s="205"/>
      <c r="HEJ84" s="204"/>
      <c r="HEK84" s="206"/>
      <c r="HEL84" s="205"/>
      <c r="HEM84" s="205"/>
      <c r="HEN84" s="204"/>
      <c r="HEO84" s="206"/>
      <c r="HEP84" s="205"/>
      <c r="HEQ84" s="205"/>
      <c r="HER84" s="204"/>
      <c r="HES84" s="206"/>
      <c r="HET84" s="205"/>
      <c r="HEU84" s="205"/>
      <c r="HEV84" s="204"/>
      <c r="HEW84" s="206"/>
      <c r="HEX84" s="205"/>
      <c r="HEY84" s="205"/>
      <c r="HEZ84" s="204"/>
      <c r="HFA84" s="206"/>
      <c r="HFB84" s="205"/>
      <c r="HFC84" s="205"/>
      <c r="HFD84" s="204"/>
      <c r="HFE84" s="206"/>
      <c r="HFF84" s="205"/>
      <c r="HFG84" s="205"/>
      <c r="HFH84" s="204"/>
      <c r="HFI84" s="206"/>
      <c r="HFJ84" s="205"/>
      <c r="HFK84" s="205"/>
      <c r="HFL84" s="204"/>
      <c r="HFM84" s="206"/>
      <c r="HFN84" s="205"/>
      <c r="HFO84" s="205"/>
      <c r="HFP84" s="204"/>
      <c r="HFQ84" s="206"/>
      <c r="HFR84" s="205"/>
      <c r="HFS84" s="205"/>
      <c r="HFT84" s="204"/>
      <c r="HFU84" s="206"/>
      <c r="HFV84" s="205"/>
      <c r="HFW84" s="205"/>
      <c r="HFX84" s="204"/>
      <c r="HFY84" s="206"/>
      <c r="HFZ84" s="205"/>
      <c r="HGA84" s="205"/>
      <c r="HGB84" s="204"/>
      <c r="HGC84" s="206"/>
      <c r="HGD84" s="205"/>
      <c r="HGE84" s="205"/>
      <c r="HGF84" s="204"/>
      <c r="HGG84" s="206"/>
      <c r="HGH84" s="205"/>
      <c r="HGI84" s="205"/>
      <c r="HGJ84" s="204"/>
      <c r="HGK84" s="206"/>
      <c r="HGL84" s="205"/>
      <c r="HGM84" s="205"/>
      <c r="HGN84" s="204"/>
      <c r="HGO84" s="206"/>
      <c r="HGP84" s="205"/>
      <c r="HGQ84" s="205"/>
      <c r="HGR84" s="204"/>
      <c r="HGS84" s="206"/>
      <c r="HGT84" s="205"/>
      <c r="HGU84" s="205"/>
      <c r="HGV84" s="204"/>
      <c r="HGW84" s="206"/>
      <c r="HGX84" s="205"/>
      <c r="HGY84" s="205"/>
      <c r="HGZ84" s="204"/>
      <c r="HHA84" s="206"/>
      <c r="HHB84" s="205"/>
      <c r="HHC84" s="205"/>
      <c r="HHD84" s="204"/>
      <c r="HHE84" s="206"/>
      <c r="HHF84" s="205"/>
      <c r="HHG84" s="205"/>
      <c r="HHH84" s="204"/>
      <c r="HHI84" s="206"/>
      <c r="HHJ84" s="205"/>
      <c r="HHK84" s="205"/>
      <c r="HHL84" s="204"/>
      <c r="HHM84" s="206"/>
      <c r="HHN84" s="205"/>
      <c r="HHO84" s="205"/>
      <c r="HHP84" s="204"/>
      <c r="HHQ84" s="206"/>
      <c r="HHR84" s="205"/>
      <c r="HHS84" s="205"/>
      <c r="HHT84" s="204"/>
      <c r="HHU84" s="206"/>
      <c r="HHV84" s="205"/>
      <c r="HHW84" s="205"/>
      <c r="HHX84" s="204"/>
      <c r="HHY84" s="206"/>
      <c r="HHZ84" s="205"/>
      <c r="HIA84" s="205"/>
      <c r="HIB84" s="204"/>
      <c r="HIC84" s="206"/>
      <c r="HID84" s="205"/>
      <c r="HIE84" s="205"/>
      <c r="HIF84" s="204"/>
      <c r="HIG84" s="206"/>
      <c r="HIH84" s="205"/>
      <c r="HII84" s="205"/>
      <c r="HIJ84" s="204"/>
      <c r="HIK84" s="206"/>
      <c r="HIL84" s="205"/>
      <c r="HIM84" s="205"/>
      <c r="HIN84" s="204"/>
      <c r="HIO84" s="206"/>
      <c r="HIP84" s="205"/>
      <c r="HIQ84" s="205"/>
      <c r="HIR84" s="204"/>
      <c r="HIS84" s="206"/>
      <c r="HIT84" s="205"/>
      <c r="HIU84" s="205"/>
      <c r="HIV84" s="204"/>
      <c r="HIW84" s="206"/>
      <c r="HIX84" s="205"/>
      <c r="HIY84" s="205"/>
      <c r="HIZ84" s="204"/>
      <c r="HJA84" s="206"/>
      <c r="HJB84" s="205"/>
      <c r="HJC84" s="205"/>
      <c r="HJD84" s="204"/>
      <c r="HJE84" s="206"/>
      <c r="HJF84" s="205"/>
      <c r="HJG84" s="205"/>
      <c r="HJH84" s="204"/>
      <c r="HJI84" s="206"/>
      <c r="HJJ84" s="205"/>
      <c r="HJK84" s="205"/>
      <c r="HJL84" s="204"/>
      <c r="HJM84" s="206"/>
      <c r="HJN84" s="205"/>
      <c r="HJO84" s="205"/>
      <c r="HJP84" s="204"/>
      <c r="HJQ84" s="206"/>
      <c r="HJR84" s="205"/>
      <c r="HJS84" s="205"/>
      <c r="HJT84" s="204"/>
      <c r="HJU84" s="206"/>
      <c r="HJV84" s="205"/>
      <c r="HJW84" s="205"/>
      <c r="HJX84" s="204"/>
      <c r="HJY84" s="206"/>
      <c r="HJZ84" s="205"/>
      <c r="HKA84" s="205"/>
      <c r="HKB84" s="204"/>
      <c r="HKC84" s="206"/>
      <c r="HKD84" s="205"/>
      <c r="HKE84" s="205"/>
      <c r="HKF84" s="204"/>
      <c r="HKG84" s="206"/>
      <c r="HKH84" s="205"/>
      <c r="HKI84" s="205"/>
      <c r="HKJ84" s="204"/>
      <c r="HKK84" s="206"/>
      <c r="HKL84" s="205"/>
      <c r="HKM84" s="205"/>
      <c r="HKN84" s="204"/>
      <c r="HKO84" s="206"/>
      <c r="HKP84" s="205"/>
      <c r="HKQ84" s="205"/>
      <c r="HKR84" s="204"/>
      <c r="HKS84" s="206"/>
      <c r="HKT84" s="205"/>
      <c r="HKU84" s="205"/>
      <c r="HKV84" s="204"/>
      <c r="HKW84" s="206"/>
      <c r="HKX84" s="205"/>
      <c r="HKY84" s="205"/>
      <c r="HKZ84" s="204"/>
      <c r="HLA84" s="206"/>
      <c r="HLB84" s="205"/>
      <c r="HLC84" s="205"/>
      <c r="HLD84" s="204"/>
      <c r="HLE84" s="206"/>
      <c r="HLF84" s="205"/>
      <c r="HLG84" s="205"/>
      <c r="HLH84" s="204"/>
      <c r="HLI84" s="206"/>
      <c r="HLJ84" s="205"/>
      <c r="HLK84" s="205"/>
      <c r="HLL84" s="204"/>
      <c r="HLM84" s="206"/>
      <c r="HLN84" s="205"/>
      <c r="HLO84" s="205"/>
      <c r="HLP84" s="204"/>
      <c r="HLQ84" s="206"/>
      <c r="HLR84" s="205"/>
      <c r="HLS84" s="205"/>
      <c r="HLT84" s="204"/>
      <c r="HLU84" s="206"/>
      <c r="HLV84" s="205"/>
      <c r="HLW84" s="205"/>
      <c r="HLX84" s="204"/>
      <c r="HLY84" s="206"/>
      <c r="HLZ84" s="205"/>
      <c r="HMA84" s="205"/>
      <c r="HMB84" s="204"/>
      <c r="HMC84" s="206"/>
      <c r="HMD84" s="205"/>
      <c r="HME84" s="205"/>
      <c r="HMF84" s="204"/>
      <c r="HMG84" s="206"/>
      <c r="HMH84" s="205"/>
      <c r="HMI84" s="205"/>
      <c r="HMJ84" s="204"/>
      <c r="HMK84" s="206"/>
      <c r="HML84" s="205"/>
      <c r="HMM84" s="205"/>
      <c r="HMN84" s="204"/>
      <c r="HMO84" s="206"/>
      <c r="HMP84" s="205"/>
      <c r="HMQ84" s="205"/>
      <c r="HMR84" s="204"/>
      <c r="HMS84" s="206"/>
      <c r="HMT84" s="205"/>
      <c r="HMU84" s="205"/>
      <c r="HMV84" s="204"/>
      <c r="HMW84" s="206"/>
      <c r="HMX84" s="205"/>
      <c r="HMY84" s="205"/>
      <c r="HMZ84" s="204"/>
      <c r="HNA84" s="206"/>
      <c r="HNB84" s="205"/>
      <c r="HNC84" s="205"/>
      <c r="HND84" s="204"/>
      <c r="HNE84" s="206"/>
      <c r="HNF84" s="205"/>
      <c r="HNG84" s="205"/>
      <c r="HNH84" s="204"/>
      <c r="HNI84" s="206"/>
      <c r="HNJ84" s="205"/>
      <c r="HNK84" s="205"/>
      <c r="HNL84" s="204"/>
      <c r="HNM84" s="206"/>
      <c r="HNN84" s="205"/>
      <c r="HNO84" s="205"/>
      <c r="HNP84" s="204"/>
      <c r="HNQ84" s="206"/>
      <c r="HNR84" s="205"/>
      <c r="HNS84" s="205"/>
      <c r="HNT84" s="204"/>
      <c r="HNU84" s="206"/>
      <c r="HNV84" s="205"/>
      <c r="HNW84" s="205"/>
      <c r="HNX84" s="204"/>
      <c r="HNY84" s="206"/>
      <c r="HNZ84" s="205"/>
      <c r="HOA84" s="205"/>
      <c r="HOB84" s="204"/>
      <c r="HOC84" s="206"/>
      <c r="HOD84" s="205"/>
      <c r="HOE84" s="205"/>
      <c r="HOF84" s="204"/>
      <c r="HOG84" s="206"/>
      <c r="HOH84" s="205"/>
      <c r="HOI84" s="205"/>
      <c r="HOJ84" s="204"/>
      <c r="HOK84" s="206"/>
      <c r="HOL84" s="205"/>
      <c r="HOM84" s="205"/>
      <c r="HON84" s="204"/>
      <c r="HOO84" s="206"/>
      <c r="HOP84" s="205"/>
      <c r="HOQ84" s="205"/>
      <c r="HOR84" s="204"/>
      <c r="HOS84" s="206"/>
      <c r="HOT84" s="205"/>
      <c r="HOU84" s="205"/>
      <c r="HOV84" s="204"/>
      <c r="HOW84" s="206"/>
      <c r="HOX84" s="205"/>
      <c r="HOY84" s="205"/>
      <c r="HOZ84" s="204"/>
      <c r="HPA84" s="206"/>
      <c r="HPB84" s="205"/>
      <c r="HPC84" s="205"/>
      <c r="HPD84" s="204"/>
      <c r="HPE84" s="206"/>
      <c r="HPF84" s="205"/>
      <c r="HPG84" s="205"/>
      <c r="HPH84" s="204"/>
      <c r="HPI84" s="206"/>
      <c r="HPJ84" s="205"/>
      <c r="HPK84" s="205"/>
      <c r="HPL84" s="204"/>
      <c r="HPM84" s="206"/>
      <c r="HPN84" s="205"/>
      <c r="HPO84" s="205"/>
      <c r="HPP84" s="204"/>
      <c r="HPQ84" s="206"/>
      <c r="HPR84" s="205"/>
      <c r="HPS84" s="205"/>
      <c r="HPT84" s="204"/>
      <c r="HPU84" s="206"/>
      <c r="HPV84" s="205"/>
      <c r="HPW84" s="205"/>
      <c r="HPX84" s="204"/>
      <c r="HPY84" s="206"/>
      <c r="HPZ84" s="205"/>
      <c r="HQA84" s="205"/>
      <c r="HQB84" s="204"/>
      <c r="HQC84" s="206"/>
      <c r="HQD84" s="205"/>
      <c r="HQE84" s="205"/>
      <c r="HQF84" s="204"/>
      <c r="HQG84" s="206"/>
      <c r="HQH84" s="205"/>
      <c r="HQI84" s="205"/>
      <c r="HQJ84" s="204"/>
      <c r="HQK84" s="206"/>
      <c r="HQL84" s="205"/>
      <c r="HQM84" s="205"/>
      <c r="HQN84" s="204"/>
      <c r="HQO84" s="206"/>
      <c r="HQP84" s="205"/>
      <c r="HQQ84" s="205"/>
      <c r="HQR84" s="204"/>
      <c r="HQS84" s="206"/>
      <c r="HQT84" s="205"/>
      <c r="HQU84" s="205"/>
      <c r="HQV84" s="204"/>
      <c r="HQW84" s="206"/>
      <c r="HQX84" s="205"/>
      <c r="HQY84" s="205"/>
      <c r="HQZ84" s="204"/>
      <c r="HRA84" s="206"/>
      <c r="HRB84" s="205"/>
      <c r="HRC84" s="205"/>
      <c r="HRD84" s="204"/>
      <c r="HRE84" s="206"/>
      <c r="HRF84" s="205"/>
      <c r="HRG84" s="205"/>
      <c r="HRH84" s="204"/>
      <c r="HRI84" s="206"/>
      <c r="HRJ84" s="205"/>
      <c r="HRK84" s="205"/>
      <c r="HRL84" s="204"/>
      <c r="HRM84" s="206"/>
      <c r="HRN84" s="205"/>
      <c r="HRO84" s="205"/>
      <c r="HRP84" s="204"/>
      <c r="HRQ84" s="206"/>
      <c r="HRR84" s="205"/>
      <c r="HRS84" s="205"/>
      <c r="HRT84" s="204"/>
      <c r="HRU84" s="206"/>
      <c r="HRV84" s="205"/>
      <c r="HRW84" s="205"/>
      <c r="HRX84" s="204"/>
      <c r="HRY84" s="206"/>
      <c r="HRZ84" s="205"/>
      <c r="HSA84" s="205"/>
      <c r="HSB84" s="204"/>
      <c r="HSC84" s="206"/>
      <c r="HSD84" s="205"/>
      <c r="HSE84" s="205"/>
      <c r="HSF84" s="204"/>
      <c r="HSG84" s="206"/>
      <c r="HSH84" s="205"/>
      <c r="HSI84" s="205"/>
      <c r="HSJ84" s="204"/>
      <c r="HSK84" s="206"/>
      <c r="HSL84" s="205"/>
      <c r="HSM84" s="205"/>
      <c r="HSN84" s="204"/>
      <c r="HSO84" s="206"/>
      <c r="HSP84" s="205"/>
      <c r="HSQ84" s="205"/>
      <c r="HSR84" s="204"/>
      <c r="HSS84" s="206"/>
      <c r="HST84" s="205"/>
      <c r="HSU84" s="205"/>
      <c r="HSV84" s="204"/>
      <c r="HSW84" s="206"/>
      <c r="HSX84" s="205"/>
      <c r="HSY84" s="205"/>
      <c r="HSZ84" s="204"/>
      <c r="HTA84" s="206"/>
      <c r="HTB84" s="205"/>
      <c r="HTC84" s="205"/>
      <c r="HTD84" s="204"/>
      <c r="HTE84" s="206"/>
      <c r="HTF84" s="205"/>
      <c r="HTG84" s="205"/>
      <c r="HTH84" s="204"/>
      <c r="HTI84" s="206"/>
      <c r="HTJ84" s="205"/>
      <c r="HTK84" s="205"/>
      <c r="HTL84" s="204"/>
      <c r="HTM84" s="206"/>
      <c r="HTN84" s="205"/>
      <c r="HTO84" s="205"/>
      <c r="HTP84" s="204"/>
      <c r="HTQ84" s="206"/>
      <c r="HTR84" s="205"/>
      <c r="HTS84" s="205"/>
      <c r="HTT84" s="204"/>
      <c r="HTU84" s="206"/>
      <c r="HTV84" s="205"/>
      <c r="HTW84" s="205"/>
      <c r="HTX84" s="204"/>
      <c r="HTY84" s="206"/>
      <c r="HTZ84" s="205"/>
      <c r="HUA84" s="205"/>
      <c r="HUB84" s="204"/>
      <c r="HUC84" s="206"/>
      <c r="HUD84" s="205"/>
      <c r="HUE84" s="205"/>
      <c r="HUF84" s="204"/>
      <c r="HUG84" s="206"/>
      <c r="HUH84" s="205"/>
      <c r="HUI84" s="205"/>
      <c r="HUJ84" s="204"/>
      <c r="HUK84" s="206"/>
      <c r="HUL84" s="205"/>
      <c r="HUM84" s="205"/>
      <c r="HUN84" s="204"/>
      <c r="HUO84" s="206"/>
      <c r="HUP84" s="205"/>
      <c r="HUQ84" s="205"/>
      <c r="HUR84" s="204"/>
      <c r="HUS84" s="206"/>
      <c r="HUT84" s="205"/>
      <c r="HUU84" s="205"/>
      <c r="HUV84" s="204"/>
      <c r="HUW84" s="206"/>
      <c r="HUX84" s="205"/>
      <c r="HUY84" s="205"/>
      <c r="HUZ84" s="204"/>
      <c r="HVA84" s="206"/>
      <c r="HVB84" s="205"/>
      <c r="HVC84" s="205"/>
      <c r="HVD84" s="204"/>
      <c r="HVE84" s="206"/>
      <c r="HVF84" s="205"/>
      <c r="HVG84" s="205"/>
      <c r="HVH84" s="204"/>
      <c r="HVI84" s="206"/>
      <c r="HVJ84" s="205"/>
      <c r="HVK84" s="205"/>
      <c r="HVL84" s="204"/>
      <c r="HVM84" s="206"/>
      <c r="HVN84" s="205"/>
      <c r="HVO84" s="205"/>
      <c r="HVP84" s="204"/>
      <c r="HVQ84" s="206"/>
      <c r="HVR84" s="205"/>
      <c r="HVS84" s="205"/>
      <c r="HVT84" s="204"/>
      <c r="HVU84" s="206"/>
      <c r="HVV84" s="205"/>
      <c r="HVW84" s="205"/>
      <c r="HVX84" s="204"/>
      <c r="HVY84" s="206"/>
      <c r="HVZ84" s="205"/>
      <c r="HWA84" s="205"/>
      <c r="HWB84" s="204"/>
      <c r="HWC84" s="206"/>
      <c r="HWD84" s="205"/>
      <c r="HWE84" s="205"/>
      <c r="HWF84" s="204"/>
      <c r="HWG84" s="206"/>
      <c r="HWH84" s="205"/>
      <c r="HWI84" s="205"/>
      <c r="HWJ84" s="204"/>
      <c r="HWK84" s="206"/>
      <c r="HWL84" s="205"/>
      <c r="HWM84" s="205"/>
      <c r="HWN84" s="204"/>
      <c r="HWO84" s="206"/>
      <c r="HWP84" s="205"/>
      <c r="HWQ84" s="205"/>
      <c r="HWR84" s="204"/>
      <c r="HWS84" s="206"/>
      <c r="HWT84" s="205"/>
      <c r="HWU84" s="205"/>
      <c r="HWV84" s="204"/>
      <c r="HWW84" s="206"/>
      <c r="HWX84" s="205"/>
      <c r="HWY84" s="205"/>
      <c r="HWZ84" s="204"/>
      <c r="HXA84" s="206"/>
      <c r="HXB84" s="205"/>
      <c r="HXC84" s="205"/>
      <c r="HXD84" s="204"/>
      <c r="HXE84" s="206"/>
      <c r="HXF84" s="205"/>
      <c r="HXG84" s="205"/>
      <c r="HXH84" s="204"/>
      <c r="HXI84" s="206"/>
      <c r="HXJ84" s="205"/>
      <c r="HXK84" s="205"/>
      <c r="HXL84" s="204"/>
      <c r="HXM84" s="206"/>
      <c r="HXN84" s="205"/>
      <c r="HXO84" s="205"/>
      <c r="HXP84" s="204"/>
      <c r="HXQ84" s="206"/>
      <c r="HXR84" s="205"/>
      <c r="HXS84" s="205"/>
      <c r="HXT84" s="204"/>
      <c r="HXU84" s="206"/>
      <c r="HXV84" s="205"/>
      <c r="HXW84" s="205"/>
      <c r="HXX84" s="204"/>
      <c r="HXY84" s="206"/>
      <c r="HXZ84" s="205"/>
      <c r="HYA84" s="205"/>
      <c r="HYB84" s="204"/>
      <c r="HYC84" s="206"/>
      <c r="HYD84" s="205"/>
      <c r="HYE84" s="205"/>
      <c r="HYF84" s="204"/>
      <c r="HYG84" s="206"/>
      <c r="HYH84" s="205"/>
      <c r="HYI84" s="205"/>
      <c r="HYJ84" s="204"/>
      <c r="HYK84" s="206"/>
      <c r="HYL84" s="205"/>
      <c r="HYM84" s="205"/>
      <c r="HYN84" s="204"/>
      <c r="HYO84" s="206"/>
      <c r="HYP84" s="205"/>
      <c r="HYQ84" s="205"/>
      <c r="HYR84" s="204"/>
      <c r="HYS84" s="206"/>
      <c r="HYT84" s="205"/>
      <c r="HYU84" s="205"/>
      <c r="HYV84" s="204"/>
      <c r="HYW84" s="206"/>
      <c r="HYX84" s="205"/>
      <c r="HYY84" s="205"/>
      <c r="HYZ84" s="204"/>
      <c r="HZA84" s="206"/>
      <c r="HZB84" s="205"/>
      <c r="HZC84" s="205"/>
      <c r="HZD84" s="204"/>
      <c r="HZE84" s="206"/>
      <c r="HZF84" s="205"/>
      <c r="HZG84" s="205"/>
      <c r="HZH84" s="204"/>
      <c r="HZI84" s="206"/>
      <c r="HZJ84" s="205"/>
      <c r="HZK84" s="205"/>
      <c r="HZL84" s="204"/>
      <c r="HZM84" s="206"/>
      <c r="HZN84" s="205"/>
      <c r="HZO84" s="205"/>
      <c r="HZP84" s="204"/>
      <c r="HZQ84" s="206"/>
      <c r="HZR84" s="205"/>
      <c r="HZS84" s="205"/>
      <c r="HZT84" s="204"/>
      <c r="HZU84" s="206"/>
      <c r="HZV84" s="205"/>
      <c r="HZW84" s="205"/>
      <c r="HZX84" s="204"/>
      <c r="HZY84" s="206"/>
      <c r="HZZ84" s="205"/>
      <c r="IAA84" s="205"/>
      <c r="IAB84" s="204"/>
      <c r="IAC84" s="206"/>
      <c r="IAD84" s="205"/>
      <c r="IAE84" s="205"/>
      <c r="IAF84" s="204"/>
      <c r="IAG84" s="206"/>
      <c r="IAH84" s="205"/>
      <c r="IAI84" s="205"/>
      <c r="IAJ84" s="204"/>
      <c r="IAK84" s="206"/>
      <c r="IAL84" s="205"/>
      <c r="IAM84" s="205"/>
      <c r="IAN84" s="204"/>
      <c r="IAO84" s="206"/>
      <c r="IAP84" s="205"/>
      <c r="IAQ84" s="205"/>
      <c r="IAR84" s="204"/>
      <c r="IAS84" s="206"/>
      <c r="IAT84" s="205"/>
      <c r="IAU84" s="205"/>
      <c r="IAV84" s="204"/>
      <c r="IAW84" s="206"/>
      <c r="IAX84" s="205"/>
      <c r="IAY84" s="205"/>
      <c r="IAZ84" s="204"/>
      <c r="IBA84" s="206"/>
      <c r="IBB84" s="205"/>
      <c r="IBC84" s="205"/>
      <c r="IBD84" s="204"/>
      <c r="IBE84" s="206"/>
      <c r="IBF84" s="205"/>
      <c r="IBG84" s="205"/>
      <c r="IBH84" s="204"/>
      <c r="IBI84" s="206"/>
      <c r="IBJ84" s="205"/>
      <c r="IBK84" s="205"/>
      <c r="IBL84" s="204"/>
      <c r="IBM84" s="206"/>
      <c r="IBN84" s="205"/>
      <c r="IBO84" s="205"/>
      <c r="IBP84" s="204"/>
      <c r="IBQ84" s="206"/>
      <c r="IBR84" s="205"/>
      <c r="IBS84" s="205"/>
      <c r="IBT84" s="204"/>
      <c r="IBU84" s="206"/>
      <c r="IBV84" s="205"/>
      <c r="IBW84" s="205"/>
      <c r="IBX84" s="204"/>
      <c r="IBY84" s="206"/>
      <c r="IBZ84" s="205"/>
      <c r="ICA84" s="205"/>
      <c r="ICB84" s="204"/>
      <c r="ICC84" s="206"/>
      <c r="ICD84" s="205"/>
      <c r="ICE84" s="205"/>
      <c r="ICF84" s="204"/>
      <c r="ICG84" s="206"/>
      <c r="ICH84" s="205"/>
      <c r="ICI84" s="205"/>
      <c r="ICJ84" s="204"/>
      <c r="ICK84" s="206"/>
      <c r="ICL84" s="205"/>
      <c r="ICM84" s="205"/>
      <c r="ICN84" s="204"/>
      <c r="ICO84" s="206"/>
      <c r="ICP84" s="205"/>
      <c r="ICQ84" s="205"/>
      <c r="ICR84" s="204"/>
      <c r="ICS84" s="206"/>
      <c r="ICT84" s="205"/>
      <c r="ICU84" s="205"/>
      <c r="ICV84" s="204"/>
      <c r="ICW84" s="206"/>
      <c r="ICX84" s="205"/>
      <c r="ICY84" s="205"/>
      <c r="ICZ84" s="204"/>
      <c r="IDA84" s="206"/>
      <c r="IDB84" s="205"/>
      <c r="IDC84" s="205"/>
      <c r="IDD84" s="204"/>
      <c r="IDE84" s="206"/>
      <c r="IDF84" s="205"/>
      <c r="IDG84" s="205"/>
      <c r="IDH84" s="204"/>
      <c r="IDI84" s="206"/>
      <c r="IDJ84" s="205"/>
      <c r="IDK84" s="205"/>
      <c r="IDL84" s="204"/>
      <c r="IDM84" s="206"/>
      <c r="IDN84" s="205"/>
      <c r="IDO84" s="205"/>
      <c r="IDP84" s="204"/>
      <c r="IDQ84" s="206"/>
      <c r="IDR84" s="205"/>
      <c r="IDS84" s="205"/>
      <c r="IDT84" s="204"/>
      <c r="IDU84" s="206"/>
      <c r="IDV84" s="205"/>
      <c r="IDW84" s="205"/>
      <c r="IDX84" s="204"/>
      <c r="IDY84" s="206"/>
      <c r="IDZ84" s="205"/>
      <c r="IEA84" s="205"/>
      <c r="IEB84" s="204"/>
      <c r="IEC84" s="206"/>
      <c r="IED84" s="205"/>
      <c r="IEE84" s="205"/>
      <c r="IEF84" s="204"/>
      <c r="IEG84" s="206"/>
      <c r="IEH84" s="205"/>
      <c r="IEI84" s="205"/>
      <c r="IEJ84" s="204"/>
      <c r="IEK84" s="206"/>
      <c r="IEL84" s="205"/>
      <c r="IEM84" s="205"/>
      <c r="IEN84" s="204"/>
      <c r="IEO84" s="206"/>
      <c r="IEP84" s="205"/>
      <c r="IEQ84" s="205"/>
      <c r="IER84" s="204"/>
      <c r="IES84" s="206"/>
      <c r="IET84" s="205"/>
      <c r="IEU84" s="205"/>
      <c r="IEV84" s="204"/>
      <c r="IEW84" s="206"/>
      <c r="IEX84" s="205"/>
      <c r="IEY84" s="205"/>
      <c r="IEZ84" s="204"/>
      <c r="IFA84" s="206"/>
      <c r="IFB84" s="205"/>
      <c r="IFC84" s="205"/>
      <c r="IFD84" s="204"/>
      <c r="IFE84" s="206"/>
      <c r="IFF84" s="205"/>
      <c r="IFG84" s="205"/>
      <c r="IFH84" s="204"/>
      <c r="IFI84" s="206"/>
      <c r="IFJ84" s="205"/>
      <c r="IFK84" s="205"/>
      <c r="IFL84" s="204"/>
      <c r="IFM84" s="206"/>
      <c r="IFN84" s="205"/>
      <c r="IFO84" s="205"/>
      <c r="IFP84" s="204"/>
      <c r="IFQ84" s="206"/>
      <c r="IFR84" s="205"/>
      <c r="IFS84" s="205"/>
      <c r="IFT84" s="204"/>
      <c r="IFU84" s="206"/>
      <c r="IFV84" s="205"/>
      <c r="IFW84" s="205"/>
      <c r="IFX84" s="204"/>
      <c r="IFY84" s="206"/>
      <c r="IFZ84" s="205"/>
      <c r="IGA84" s="205"/>
      <c r="IGB84" s="204"/>
      <c r="IGC84" s="206"/>
      <c r="IGD84" s="205"/>
      <c r="IGE84" s="205"/>
      <c r="IGF84" s="204"/>
      <c r="IGG84" s="206"/>
      <c r="IGH84" s="205"/>
      <c r="IGI84" s="205"/>
      <c r="IGJ84" s="204"/>
      <c r="IGK84" s="206"/>
      <c r="IGL84" s="205"/>
      <c r="IGM84" s="205"/>
      <c r="IGN84" s="204"/>
      <c r="IGO84" s="206"/>
      <c r="IGP84" s="205"/>
      <c r="IGQ84" s="205"/>
      <c r="IGR84" s="204"/>
      <c r="IGS84" s="206"/>
      <c r="IGT84" s="205"/>
      <c r="IGU84" s="205"/>
      <c r="IGV84" s="204"/>
      <c r="IGW84" s="206"/>
      <c r="IGX84" s="205"/>
      <c r="IGY84" s="205"/>
      <c r="IGZ84" s="204"/>
      <c r="IHA84" s="206"/>
      <c r="IHB84" s="205"/>
      <c r="IHC84" s="205"/>
      <c r="IHD84" s="204"/>
      <c r="IHE84" s="206"/>
      <c r="IHF84" s="205"/>
      <c r="IHG84" s="205"/>
      <c r="IHH84" s="204"/>
      <c r="IHI84" s="206"/>
      <c r="IHJ84" s="205"/>
      <c r="IHK84" s="205"/>
      <c r="IHL84" s="204"/>
      <c r="IHM84" s="206"/>
      <c r="IHN84" s="205"/>
      <c r="IHO84" s="205"/>
      <c r="IHP84" s="204"/>
      <c r="IHQ84" s="206"/>
      <c r="IHR84" s="205"/>
      <c r="IHS84" s="205"/>
      <c r="IHT84" s="204"/>
      <c r="IHU84" s="206"/>
      <c r="IHV84" s="205"/>
      <c r="IHW84" s="205"/>
      <c r="IHX84" s="204"/>
      <c r="IHY84" s="206"/>
      <c r="IHZ84" s="205"/>
      <c r="IIA84" s="205"/>
      <c r="IIB84" s="204"/>
      <c r="IIC84" s="206"/>
      <c r="IID84" s="205"/>
      <c r="IIE84" s="205"/>
      <c r="IIF84" s="204"/>
      <c r="IIG84" s="206"/>
      <c r="IIH84" s="205"/>
      <c r="III84" s="205"/>
      <c r="IIJ84" s="204"/>
      <c r="IIK84" s="206"/>
      <c r="IIL84" s="205"/>
      <c r="IIM84" s="205"/>
      <c r="IIN84" s="204"/>
      <c r="IIO84" s="206"/>
      <c r="IIP84" s="205"/>
      <c r="IIQ84" s="205"/>
      <c r="IIR84" s="204"/>
      <c r="IIS84" s="206"/>
      <c r="IIT84" s="205"/>
      <c r="IIU84" s="205"/>
      <c r="IIV84" s="204"/>
      <c r="IIW84" s="206"/>
      <c r="IIX84" s="205"/>
      <c r="IIY84" s="205"/>
      <c r="IIZ84" s="204"/>
      <c r="IJA84" s="206"/>
      <c r="IJB84" s="205"/>
      <c r="IJC84" s="205"/>
      <c r="IJD84" s="204"/>
      <c r="IJE84" s="206"/>
      <c r="IJF84" s="205"/>
      <c r="IJG84" s="205"/>
      <c r="IJH84" s="204"/>
      <c r="IJI84" s="206"/>
      <c r="IJJ84" s="205"/>
      <c r="IJK84" s="205"/>
      <c r="IJL84" s="204"/>
      <c r="IJM84" s="206"/>
      <c r="IJN84" s="205"/>
      <c r="IJO84" s="205"/>
      <c r="IJP84" s="204"/>
      <c r="IJQ84" s="206"/>
      <c r="IJR84" s="205"/>
      <c r="IJS84" s="205"/>
      <c r="IJT84" s="204"/>
      <c r="IJU84" s="206"/>
      <c r="IJV84" s="205"/>
      <c r="IJW84" s="205"/>
      <c r="IJX84" s="204"/>
      <c r="IJY84" s="206"/>
      <c r="IJZ84" s="205"/>
      <c r="IKA84" s="205"/>
      <c r="IKB84" s="204"/>
      <c r="IKC84" s="206"/>
      <c r="IKD84" s="205"/>
      <c r="IKE84" s="205"/>
      <c r="IKF84" s="204"/>
      <c r="IKG84" s="206"/>
      <c r="IKH84" s="205"/>
      <c r="IKI84" s="205"/>
      <c r="IKJ84" s="204"/>
      <c r="IKK84" s="206"/>
      <c r="IKL84" s="205"/>
      <c r="IKM84" s="205"/>
      <c r="IKN84" s="204"/>
      <c r="IKO84" s="206"/>
      <c r="IKP84" s="205"/>
      <c r="IKQ84" s="205"/>
      <c r="IKR84" s="204"/>
      <c r="IKS84" s="206"/>
      <c r="IKT84" s="205"/>
      <c r="IKU84" s="205"/>
      <c r="IKV84" s="204"/>
      <c r="IKW84" s="206"/>
      <c r="IKX84" s="205"/>
      <c r="IKY84" s="205"/>
      <c r="IKZ84" s="204"/>
      <c r="ILA84" s="206"/>
      <c r="ILB84" s="205"/>
      <c r="ILC84" s="205"/>
      <c r="ILD84" s="204"/>
      <c r="ILE84" s="206"/>
      <c r="ILF84" s="205"/>
      <c r="ILG84" s="205"/>
      <c r="ILH84" s="204"/>
      <c r="ILI84" s="206"/>
      <c r="ILJ84" s="205"/>
      <c r="ILK84" s="205"/>
      <c r="ILL84" s="204"/>
      <c r="ILM84" s="206"/>
      <c r="ILN84" s="205"/>
      <c r="ILO84" s="205"/>
      <c r="ILP84" s="204"/>
      <c r="ILQ84" s="206"/>
      <c r="ILR84" s="205"/>
      <c r="ILS84" s="205"/>
      <c r="ILT84" s="204"/>
      <c r="ILU84" s="206"/>
      <c r="ILV84" s="205"/>
      <c r="ILW84" s="205"/>
      <c r="ILX84" s="204"/>
      <c r="ILY84" s="206"/>
      <c r="ILZ84" s="205"/>
      <c r="IMA84" s="205"/>
      <c r="IMB84" s="204"/>
      <c r="IMC84" s="206"/>
      <c r="IMD84" s="205"/>
      <c r="IME84" s="205"/>
      <c r="IMF84" s="204"/>
      <c r="IMG84" s="206"/>
      <c r="IMH84" s="205"/>
      <c r="IMI84" s="205"/>
      <c r="IMJ84" s="204"/>
      <c r="IMK84" s="206"/>
      <c r="IML84" s="205"/>
      <c r="IMM84" s="205"/>
      <c r="IMN84" s="204"/>
      <c r="IMO84" s="206"/>
      <c r="IMP84" s="205"/>
      <c r="IMQ84" s="205"/>
      <c r="IMR84" s="204"/>
      <c r="IMS84" s="206"/>
      <c r="IMT84" s="205"/>
      <c r="IMU84" s="205"/>
      <c r="IMV84" s="204"/>
      <c r="IMW84" s="206"/>
      <c r="IMX84" s="205"/>
      <c r="IMY84" s="205"/>
      <c r="IMZ84" s="204"/>
      <c r="INA84" s="206"/>
      <c r="INB84" s="205"/>
      <c r="INC84" s="205"/>
      <c r="IND84" s="204"/>
      <c r="INE84" s="206"/>
      <c r="INF84" s="205"/>
      <c r="ING84" s="205"/>
      <c r="INH84" s="204"/>
      <c r="INI84" s="206"/>
      <c r="INJ84" s="205"/>
      <c r="INK84" s="205"/>
      <c r="INL84" s="204"/>
      <c r="INM84" s="206"/>
      <c r="INN84" s="205"/>
      <c r="INO84" s="205"/>
      <c r="INP84" s="204"/>
      <c r="INQ84" s="206"/>
      <c r="INR84" s="205"/>
      <c r="INS84" s="205"/>
      <c r="INT84" s="204"/>
      <c r="INU84" s="206"/>
      <c r="INV84" s="205"/>
      <c r="INW84" s="205"/>
      <c r="INX84" s="204"/>
      <c r="INY84" s="206"/>
      <c r="INZ84" s="205"/>
      <c r="IOA84" s="205"/>
      <c r="IOB84" s="204"/>
      <c r="IOC84" s="206"/>
      <c r="IOD84" s="205"/>
      <c r="IOE84" s="205"/>
      <c r="IOF84" s="204"/>
      <c r="IOG84" s="206"/>
      <c r="IOH84" s="205"/>
      <c r="IOI84" s="205"/>
      <c r="IOJ84" s="204"/>
      <c r="IOK84" s="206"/>
      <c r="IOL84" s="205"/>
      <c r="IOM84" s="205"/>
      <c r="ION84" s="204"/>
      <c r="IOO84" s="206"/>
      <c r="IOP84" s="205"/>
      <c r="IOQ84" s="205"/>
      <c r="IOR84" s="204"/>
      <c r="IOS84" s="206"/>
      <c r="IOT84" s="205"/>
      <c r="IOU84" s="205"/>
      <c r="IOV84" s="204"/>
      <c r="IOW84" s="206"/>
      <c r="IOX84" s="205"/>
      <c r="IOY84" s="205"/>
      <c r="IOZ84" s="204"/>
      <c r="IPA84" s="206"/>
      <c r="IPB84" s="205"/>
      <c r="IPC84" s="205"/>
      <c r="IPD84" s="204"/>
      <c r="IPE84" s="206"/>
      <c r="IPF84" s="205"/>
      <c r="IPG84" s="205"/>
      <c r="IPH84" s="204"/>
      <c r="IPI84" s="206"/>
      <c r="IPJ84" s="205"/>
      <c r="IPK84" s="205"/>
      <c r="IPL84" s="204"/>
      <c r="IPM84" s="206"/>
      <c r="IPN84" s="205"/>
      <c r="IPO84" s="205"/>
      <c r="IPP84" s="204"/>
      <c r="IPQ84" s="206"/>
      <c r="IPR84" s="205"/>
      <c r="IPS84" s="205"/>
      <c r="IPT84" s="204"/>
      <c r="IPU84" s="206"/>
      <c r="IPV84" s="205"/>
      <c r="IPW84" s="205"/>
      <c r="IPX84" s="204"/>
      <c r="IPY84" s="206"/>
      <c r="IPZ84" s="205"/>
      <c r="IQA84" s="205"/>
      <c r="IQB84" s="204"/>
      <c r="IQC84" s="206"/>
      <c r="IQD84" s="205"/>
      <c r="IQE84" s="205"/>
      <c r="IQF84" s="204"/>
      <c r="IQG84" s="206"/>
      <c r="IQH84" s="205"/>
      <c r="IQI84" s="205"/>
      <c r="IQJ84" s="204"/>
      <c r="IQK84" s="206"/>
      <c r="IQL84" s="205"/>
      <c r="IQM84" s="205"/>
      <c r="IQN84" s="204"/>
      <c r="IQO84" s="206"/>
      <c r="IQP84" s="205"/>
      <c r="IQQ84" s="205"/>
      <c r="IQR84" s="204"/>
      <c r="IQS84" s="206"/>
      <c r="IQT84" s="205"/>
      <c r="IQU84" s="205"/>
      <c r="IQV84" s="204"/>
      <c r="IQW84" s="206"/>
      <c r="IQX84" s="205"/>
      <c r="IQY84" s="205"/>
      <c r="IQZ84" s="204"/>
      <c r="IRA84" s="206"/>
      <c r="IRB84" s="205"/>
      <c r="IRC84" s="205"/>
      <c r="IRD84" s="204"/>
      <c r="IRE84" s="206"/>
      <c r="IRF84" s="205"/>
      <c r="IRG84" s="205"/>
      <c r="IRH84" s="204"/>
      <c r="IRI84" s="206"/>
      <c r="IRJ84" s="205"/>
      <c r="IRK84" s="205"/>
      <c r="IRL84" s="204"/>
      <c r="IRM84" s="206"/>
      <c r="IRN84" s="205"/>
      <c r="IRO84" s="205"/>
      <c r="IRP84" s="204"/>
      <c r="IRQ84" s="206"/>
      <c r="IRR84" s="205"/>
      <c r="IRS84" s="205"/>
      <c r="IRT84" s="204"/>
      <c r="IRU84" s="206"/>
      <c r="IRV84" s="205"/>
      <c r="IRW84" s="205"/>
      <c r="IRX84" s="204"/>
      <c r="IRY84" s="206"/>
      <c r="IRZ84" s="205"/>
      <c r="ISA84" s="205"/>
      <c r="ISB84" s="204"/>
      <c r="ISC84" s="206"/>
      <c r="ISD84" s="205"/>
      <c r="ISE84" s="205"/>
      <c r="ISF84" s="204"/>
      <c r="ISG84" s="206"/>
      <c r="ISH84" s="205"/>
      <c r="ISI84" s="205"/>
      <c r="ISJ84" s="204"/>
      <c r="ISK84" s="206"/>
      <c r="ISL84" s="205"/>
      <c r="ISM84" s="205"/>
      <c r="ISN84" s="204"/>
      <c r="ISO84" s="206"/>
      <c r="ISP84" s="205"/>
      <c r="ISQ84" s="205"/>
      <c r="ISR84" s="204"/>
      <c r="ISS84" s="206"/>
      <c r="IST84" s="205"/>
      <c r="ISU84" s="205"/>
      <c r="ISV84" s="204"/>
      <c r="ISW84" s="206"/>
      <c r="ISX84" s="205"/>
      <c r="ISY84" s="205"/>
      <c r="ISZ84" s="204"/>
      <c r="ITA84" s="206"/>
      <c r="ITB84" s="205"/>
      <c r="ITC84" s="205"/>
      <c r="ITD84" s="204"/>
      <c r="ITE84" s="206"/>
      <c r="ITF84" s="205"/>
      <c r="ITG84" s="205"/>
      <c r="ITH84" s="204"/>
      <c r="ITI84" s="206"/>
      <c r="ITJ84" s="205"/>
      <c r="ITK84" s="205"/>
      <c r="ITL84" s="204"/>
      <c r="ITM84" s="206"/>
      <c r="ITN84" s="205"/>
      <c r="ITO84" s="205"/>
      <c r="ITP84" s="204"/>
      <c r="ITQ84" s="206"/>
      <c r="ITR84" s="205"/>
      <c r="ITS84" s="205"/>
      <c r="ITT84" s="204"/>
      <c r="ITU84" s="206"/>
      <c r="ITV84" s="205"/>
      <c r="ITW84" s="205"/>
      <c r="ITX84" s="204"/>
      <c r="ITY84" s="206"/>
      <c r="ITZ84" s="205"/>
      <c r="IUA84" s="205"/>
      <c r="IUB84" s="204"/>
      <c r="IUC84" s="206"/>
      <c r="IUD84" s="205"/>
      <c r="IUE84" s="205"/>
      <c r="IUF84" s="204"/>
      <c r="IUG84" s="206"/>
      <c r="IUH84" s="205"/>
      <c r="IUI84" s="205"/>
      <c r="IUJ84" s="204"/>
      <c r="IUK84" s="206"/>
      <c r="IUL84" s="205"/>
      <c r="IUM84" s="205"/>
      <c r="IUN84" s="204"/>
      <c r="IUO84" s="206"/>
      <c r="IUP84" s="205"/>
      <c r="IUQ84" s="205"/>
      <c r="IUR84" s="204"/>
      <c r="IUS84" s="206"/>
      <c r="IUT84" s="205"/>
      <c r="IUU84" s="205"/>
      <c r="IUV84" s="204"/>
      <c r="IUW84" s="206"/>
      <c r="IUX84" s="205"/>
      <c r="IUY84" s="205"/>
      <c r="IUZ84" s="204"/>
      <c r="IVA84" s="206"/>
      <c r="IVB84" s="205"/>
      <c r="IVC84" s="205"/>
      <c r="IVD84" s="204"/>
      <c r="IVE84" s="206"/>
      <c r="IVF84" s="205"/>
      <c r="IVG84" s="205"/>
      <c r="IVH84" s="204"/>
      <c r="IVI84" s="206"/>
      <c r="IVJ84" s="205"/>
      <c r="IVK84" s="205"/>
      <c r="IVL84" s="204"/>
      <c r="IVM84" s="206"/>
      <c r="IVN84" s="205"/>
      <c r="IVO84" s="205"/>
      <c r="IVP84" s="204"/>
      <c r="IVQ84" s="206"/>
      <c r="IVR84" s="205"/>
      <c r="IVS84" s="205"/>
      <c r="IVT84" s="204"/>
      <c r="IVU84" s="206"/>
      <c r="IVV84" s="205"/>
      <c r="IVW84" s="205"/>
      <c r="IVX84" s="204"/>
      <c r="IVY84" s="206"/>
      <c r="IVZ84" s="205"/>
      <c r="IWA84" s="205"/>
      <c r="IWB84" s="204"/>
      <c r="IWC84" s="206"/>
      <c r="IWD84" s="205"/>
      <c r="IWE84" s="205"/>
      <c r="IWF84" s="204"/>
      <c r="IWG84" s="206"/>
      <c r="IWH84" s="205"/>
      <c r="IWI84" s="205"/>
      <c r="IWJ84" s="204"/>
      <c r="IWK84" s="206"/>
      <c r="IWL84" s="205"/>
      <c r="IWM84" s="205"/>
      <c r="IWN84" s="204"/>
      <c r="IWO84" s="206"/>
      <c r="IWP84" s="205"/>
      <c r="IWQ84" s="205"/>
      <c r="IWR84" s="204"/>
      <c r="IWS84" s="206"/>
      <c r="IWT84" s="205"/>
      <c r="IWU84" s="205"/>
      <c r="IWV84" s="204"/>
      <c r="IWW84" s="206"/>
      <c r="IWX84" s="205"/>
      <c r="IWY84" s="205"/>
      <c r="IWZ84" s="204"/>
      <c r="IXA84" s="206"/>
      <c r="IXB84" s="205"/>
      <c r="IXC84" s="205"/>
      <c r="IXD84" s="204"/>
      <c r="IXE84" s="206"/>
      <c r="IXF84" s="205"/>
      <c r="IXG84" s="205"/>
      <c r="IXH84" s="204"/>
      <c r="IXI84" s="206"/>
      <c r="IXJ84" s="205"/>
      <c r="IXK84" s="205"/>
      <c r="IXL84" s="204"/>
      <c r="IXM84" s="206"/>
      <c r="IXN84" s="205"/>
      <c r="IXO84" s="205"/>
      <c r="IXP84" s="204"/>
      <c r="IXQ84" s="206"/>
      <c r="IXR84" s="205"/>
      <c r="IXS84" s="205"/>
      <c r="IXT84" s="204"/>
      <c r="IXU84" s="206"/>
      <c r="IXV84" s="205"/>
      <c r="IXW84" s="205"/>
      <c r="IXX84" s="204"/>
      <c r="IXY84" s="206"/>
      <c r="IXZ84" s="205"/>
      <c r="IYA84" s="205"/>
      <c r="IYB84" s="204"/>
      <c r="IYC84" s="206"/>
      <c r="IYD84" s="205"/>
      <c r="IYE84" s="205"/>
      <c r="IYF84" s="204"/>
      <c r="IYG84" s="206"/>
      <c r="IYH84" s="205"/>
      <c r="IYI84" s="205"/>
      <c r="IYJ84" s="204"/>
      <c r="IYK84" s="206"/>
      <c r="IYL84" s="205"/>
      <c r="IYM84" s="205"/>
      <c r="IYN84" s="204"/>
      <c r="IYO84" s="206"/>
      <c r="IYP84" s="205"/>
      <c r="IYQ84" s="205"/>
      <c r="IYR84" s="204"/>
      <c r="IYS84" s="206"/>
      <c r="IYT84" s="205"/>
      <c r="IYU84" s="205"/>
      <c r="IYV84" s="204"/>
      <c r="IYW84" s="206"/>
      <c r="IYX84" s="205"/>
      <c r="IYY84" s="205"/>
      <c r="IYZ84" s="204"/>
      <c r="IZA84" s="206"/>
      <c r="IZB84" s="205"/>
      <c r="IZC84" s="205"/>
      <c r="IZD84" s="204"/>
      <c r="IZE84" s="206"/>
      <c r="IZF84" s="205"/>
      <c r="IZG84" s="205"/>
      <c r="IZH84" s="204"/>
      <c r="IZI84" s="206"/>
      <c r="IZJ84" s="205"/>
      <c r="IZK84" s="205"/>
      <c r="IZL84" s="204"/>
      <c r="IZM84" s="206"/>
      <c r="IZN84" s="205"/>
      <c r="IZO84" s="205"/>
      <c r="IZP84" s="204"/>
      <c r="IZQ84" s="206"/>
      <c r="IZR84" s="205"/>
      <c r="IZS84" s="205"/>
      <c r="IZT84" s="204"/>
      <c r="IZU84" s="206"/>
      <c r="IZV84" s="205"/>
      <c r="IZW84" s="205"/>
      <c r="IZX84" s="204"/>
      <c r="IZY84" s="206"/>
      <c r="IZZ84" s="205"/>
      <c r="JAA84" s="205"/>
      <c r="JAB84" s="204"/>
      <c r="JAC84" s="206"/>
      <c r="JAD84" s="205"/>
      <c r="JAE84" s="205"/>
      <c r="JAF84" s="204"/>
      <c r="JAG84" s="206"/>
      <c r="JAH84" s="205"/>
      <c r="JAI84" s="205"/>
      <c r="JAJ84" s="204"/>
      <c r="JAK84" s="206"/>
      <c r="JAL84" s="205"/>
      <c r="JAM84" s="205"/>
      <c r="JAN84" s="204"/>
      <c r="JAO84" s="206"/>
      <c r="JAP84" s="205"/>
      <c r="JAQ84" s="205"/>
      <c r="JAR84" s="204"/>
      <c r="JAS84" s="206"/>
      <c r="JAT84" s="205"/>
      <c r="JAU84" s="205"/>
      <c r="JAV84" s="204"/>
      <c r="JAW84" s="206"/>
      <c r="JAX84" s="205"/>
      <c r="JAY84" s="205"/>
      <c r="JAZ84" s="204"/>
      <c r="JBA84" s="206"/>
      <c r="JBB84" s="205"/>
      <c r="JBC84" s="205"/>
      <c r="JBD84" s="204"/>
      <c r="JBE84" s="206"/>
      <c r="JBF84" s="205"/>
      <c r="JBG84" s="205"/>
      <c r="JBH84" s="204"/>
      <c r="JBI84" s="206"/>
      <c r="JBJ84" s="205"/>
      <c r="JBK84" s="205"/>
      <c r="JBL84" s="204"/>
      <c r="JBM84" s="206"/>
      <c r="JBN84" s="205"/>
      <c r="JBO84" s="205"/>
      <c r="JBP84" s="204"/>
      <c r="JBQ84" s="206"/>
      <c r="JBR84" s="205"/>
      <c r="JBS84" s="205"/>
      <c r="JBT84" s="204"/>
      <c r="JBU84" s="206"/>
      <c r="JBV84" s="205"/>
      <c r="JBW84" s="205"/>
      <c r="JBX84" s="204"/>
      <c r="JBY84" s="206"/>
      <c r="JBZ84" s="205"/>
      <c r="JCA84" s="205"/>
      <c r="JCB84" s="204"/>
      <c r="JCC84" s="206"/>
      <c r="JCD84" s="205"/>
      <c r="JCE84" s="205"/>
      <c r="JCF84" s="204"/>
      <c r="JCG84" s="206"/>
      <c r="JCH84" s="205"/>
      <c r="JCI84" s="205"/>
      <c r="JCJ84" s="204"/>
      <c r="JCK84" s="206"/>
      <c r="JCL84" s="205"/>
      <c r="JCM84" s="205"/>
      <c r="JCN84" s="204"/>
      <c r="JCO84" s="206"/>
      <c r="JCP84" s="205"/>
      <c r="JCQ84" s="205"/>
      <c r="JCR84" s="204"/>
      <c r="JCS84" s="206"/>
      <c r="JCT84" s="205"/>
      <c r="JCU84" s="205"/>
      <c r="JCV84" s="204"/>
      <c r="JCW84" s="206"/>
      <c r="JCX84" s="205"/>
      <c r="JCY84" s="205"/>
      <c r="JCZ84" s="204"/>
      <c r="JDA84" s="206"/>
      <c r="JDB84" s="205"/>
      <c r="JDC84" s="205"/>
      <c r="JDD84" s="204"/>
      <c r="JDE84" s="206"/>
      <c r="JDF84" s="205"/>
      <c r="JDG84" s="205"/>
      <c r="JDH84" s="204"/>
      <c r="JDI84" s="206"/>
      <c r="JDJ84" s="205"/>
      <c r="JDK84" s="205"/>
      <c r="JDL84" s="204"/>
      <c r="JDM84" s="206"/>
      <c r="JDN84" s="205"/>
      <c r="JDO84" s="205"/>
      <c r="JDP84" s="204"/>
      <c r="JDQ84" s="206"/>
      <c r="JDR84" s="205"/>
      <c r="JDS84" s="205"/>
      <c r="JDT84" s="204"/>
      <c r="JDU84" s="206"/>
      <c r="JDV84" s="205"/>
      <c r="JDW84" s="205"/>
      <c r="JDX84" s="204"/>
      <c r="JDY84" s="206"/>
      <c r="JDZ84" s="205"/>
      <c r="JEA84" s="205"/>
      <c r="JEB84" s="204"/>
      <c r="JEC84" s="206"/>
      <c r="JED84" s="205"/>
      <c r="JEE84" s="205"/>
      <c r="JEF84" s="204"/>
      <c r="JEG84" s="206"/>
      <c r="JEH84" s="205"/>
      <c r="JEI84" s="205"/>
      <c r="JEJ84" s="204"/>
      <c r="JEK84" s="206"/>
      <c r="JEL84" s="205"/>
      <c r="JEM84" s="205"/>
      <c r="JEN84" s="204"/>
      <c r="JEO84" s="206"/>
      <c r="JEP84" s="205"/>
      <c r="JEQ84" s="205"/>
      <c r="JER84" s="204"/>
      <c r="JES84" s="206"/>
      <c r="JET84" s="205"/>
      <c r="JEU84" s="205"/>
      <c r="JEV84" s="204"/>
      <c r="JEW84" s="206"/>
      <c r="JEX84" s="205"/>
      <c r="JEY84" s="205"/>
      <c r="JEZ84" s="204"/>
      <c r="JFA84" s="206"/>
      <c r="JFB84" s="205"/>
      <c r="JFC84" s="205"/>
      <c r="JFD84" s="204"/>
      <c r="JFE84" s="206"/>
      <c r="JFF84" s="205"/>
      <c r="JFG84" s="205"/>
      <c r="JFH84" s="204"/>
      <c r="JFI84" s="206"/>
      <c r="JFJ84" s="205"/>
      <c r="JFK84" s="205"/>
      <c r="JFL84" s="204"/>
      <c r="JFM84" s="206"/>
      <c r="JFN84" s="205"/>
      <c r="JFO84" s="205"/>
      <c r="JFP84" s="204"/>
      <c r="JFQ84" s="206"/>
      <c r="JFR84" s="205"/>
      <c r="JFS84" s="205"/>
      <c r="JFT84" s="204"/>
      <c r="JFU84" s="206"/>
      <c r="JFV84" s="205"/>
      <c r="JFW84" s="205"/>
      <c r="JFX84" s="204"/>
      <c r="JFY84" s="206"/>
      <c r="JFZ84" s="205"/>
      <c r="JGA84" s="205"/>
      <c r="JGB84" s="204"/>
      <c r="JGC84" s="206"/>
      <c r="JGD84" s="205"/>
      <c r="JGE84" s="205"/>
      <c r="JGF84" s="204"/>
      <c r="JGG84" s="206"/>
      <c r="JGH84" s="205"/>
      <c r="JGI84" s="205"/>
      <c r="JGJ84" s="204"/>
      <c r="JGK84" s="206"/>
      <c r="JGL84" s="205"/>
      <c r="JGM84" s="205"/>
      <c r="JGN84" s="204"/>
      <c r="JGO84" s="206"/>
      <c r="JGP84" s="205"/>
      <c r="JGQ84" s="205"/>
      <c r="JGR84" s="204"/>
      <c r="JGS84" s="206"/>
      <c r="JGT84" s="205"/>
      <c r="JGU84" s="205"/>
      <c r="JGV84" s="204"/>
      <c r="JGW84" s="206"/>
      <c r="JGX84" s="205"/>
      <c r="JGY84" s="205"/>
      <c r="JGZ84" s="204"/>
      <c r="JHA84" s="206"/>
      <c r="JHB84" s="205"/>
      <c r="JHC84" s="205"/>
      <c r="JHD84" s="204"/>
      <c r="JHE84" s="206"/>
      <c r="JHF84" s="205"/>
      <c r="JHG84" s="205"/>
      <c r="JHH84" s="204"/>
      <c r="JHI84" s="206"/>
      <c r="JHJ84" s="205"/>
      <c r="JHK84" s="205"/>
      <c r="JHL84" s="204"/>
      <c r="JHM84" s="206"/>
      <c r="JHN84" s="205"/>
      <c r="JHO84" s="205"/>
      <c r="JHP84" s="204"/>
      <c r="JHQ84" s="206"/>
      <c r="JHR84" s="205"/>
      <c r="JHS84" s="205"/>
      <c r="JHT84" s="204"/>
      <c r="JHU84" s="206"/>
      <c r="JHV84" s="205"/>
      <c r="JHW84" s="205"/>
      <c r="JHX84" s="204"/>
      <c r="JHY84" s="206"/>
      <c r="JHZ84" s="205"/>
      <c r="JIA84" s="205"/>
      <c r="JIB84" s="204"/>
      <c r="JIC84" s="206"/>
      <c r="JID84" s="205"/>
      <c r="JIE84" s="205"/>
      <c r="JIF84" s="204"/>
      <c r="JIG84" s="206"/>
      <c r="JIH84" s="205"/>
      <c r="JII84" s="205"/>
      <c r="JIJ84" s="204"/>
      <c r="JIK84" s="206"/>
      <c r="JIL84" s="205"/>
      <c r="JIM84" s="205"/>
      <c r="JIN84" s="204"/>
      <c r="JIO84" s="206"/>
      <c r="JIP84" s="205"/>
      <c r="JIQ84" s="205"/>
      <c r="JIR84" s="204"/>
      <c r="JIS84" s="206"/>
      <c r="JIT84" s="205"/>
      <c r="JIU84" s="205"/>
      <c r="JIV84" s="204"/>
      <c r="JIW84" s="206"/>
      <c r="JIX84" s="205"/>
      <c r="JIY84" s="205"/>
      <c r="JIZ84" s="204"/>
      <c r="JJA84" s="206"/>
      <c r="JJB84" s="205"/>
      <c r="JJC84" s="205"/>
      <c r="JJD84" s="204"/>
      <c r="JJE84" s="206"/>
      <c r="JJF84" s="205"/>
      <c r="JJG84" s="205"/>
      <c r="JJH84" s="204"/>
      <c r="JJI84" s="206"/>
      <c r="JJJ84" s="205"/>
      <c r="JJK84" s="205"/>
      <c r="JJL84" s="204"/>
      <c r="JJM84" s="206"/>
      <c r="JJN84" s="205"/>
      <c r="JJO84" s="205"/>
      <c r="JJP84" s="204"/>
      <c r="JJQ84" s="206"/>
      <c r="JJR84" s="205"/>
      <c r="JJS84" s="205"/>
      <c r="JJT84" s="204"/>
      <c r="JJU84" s="206"/>
      <c r="JJV84" s="205"/>
      <c r="JJW84" s="205"/>
      <c r="JJX84" s="204"/>
      <c r="JJY84" s="206"/>
      <c r="JJZ84" s="205"/>
      <c r="JKA84" s="205"/>
      <c r="JKB84" s="204"/>
      <c r="JKC84" s="206"/>
      <c r="JKD84" s="205"/>
      <c r="JKE84" s="205"/>
      <c r="JKF84" s="204"/>
      <c r="JKG84" s="206"/>
      <c r="JKH84" s="205"/>
      <c r="JKI84" s="205"/>
      <c r="JKJ84" s="204"/>
      <c r="JKK84" s="206"/>
      <c r="JKL84" s="205"/>
      <c r="JKM84" s="205"/>
      <c r="JKN84" s="204"/>
      <c r="JKO84" s="206"/>
      <c r="JKP84" s="205"/>
      <c r="JKQ84" s="205"/>
      <c r="JKR84" s="204"/>
      <c r="JKS84" s="206"/>
      <c r="JKT84" s="205"/>
      <c r="JKU84" s="205"/>
      <c r="JKV84" s="204"/>
      <c r="JKW84" s="206"/>
      <c r="JKX84" s="205"/>
      <c r="JKY84" s="205"/>
      <c r="JKZ84" s="204"/>
      <c r="JLA84" s="206"/>
      <c r="JLB84" s="205"/>
      <c r="JLC84" s="205"/>
      <c r="JLD84" s="204"/>
      <c r="JLE84" s="206"/>
      <c r="JLF84" s="205"/>
      <c r="JLG84" s="205"/>
      <c r="JLH84" s="204"/>
      <c r="JLI84" s="206"/>
      <c r="JLJ84" s="205"/>
      <c r="JLK84" s="205"/>
      <c r="JLL84" s="204"/>
      <c r="JLM84" s="206"/>
      <c r="JLN84" s="205"/>
      <c r="JLO84" s="205"/>
      <c r="JLP84" s="204"/>
      <c r="JLQ84" s="206"/>
      <c r="JLR84" s="205"/>
      <c r="JLS84" s="205"/>
      <c r="JLT84" s="204"/>
      <c r="JLU84" s="206"/>
      <c r="JLV84" s="205"/>
      <c r="JLW84" s="205"/>
      <c r="JLX84" s="204"/>
      <c r="JLY84" s="206"/>
      <c r="JLZ84" s="205"/>
      <c r="JMA84" s="205"/>
      <c r="JMB84" s="204"/>
      <c r="JMC84" s="206"/>
      <c r="JMD84" s="205"/>
      <c r="JME84" s="205"/>
      <c r="JMF84" s="204"/>
      <c r="JMG84" s="206"/>
      <c r="JMH84" s="205"/>
      <c r="JMI84" s="205"/>
      <c r="JMJ84" s="204"/>
      <c r="JMK84" s="206"/>
      <c r="JML84" s="205"/>
      <c r="JMM84" s="205"/>
      <c r="JMN84" s="204"/>
      <c r="JMO84" s="206"/>
      <c r="JMP84" s="205"/>
      <c r="JMQ84" s="205"/>
      <c r="JMR84" s="204"/>
      <c r="JMS84" s="206"/>
      <c r="JMT84" s="205"/>
      <c r="JMU84" s="205"/>
      <c r="JMV84" s="204"/>
      <c r="JMW84" s="206"/>
      <c r="JMX84" s="205"/>
      <c r="JMY84" s="205"/>
      <c r="JMZ84" s="204"/>
      <c r="JNA84" s="206"/>
      <c r="JNB84" s="205"/>
      <c r="JNC84" s="205"/>
      <c r="JND84" s="204"/>
      <c r="JNE84" s="206"/>
      <c r="JNF84" s="205"/>
      <c r="JNG84" s="205"/>
      <c r="JNH84" s="204"/>
      <c r="JNI84" s="206"/>
      <c r="JNJ84" s="205"/>
      <c r="JNK84" s="205"/>
      <c r="JNL84" s="204"/>
      <c r="JNM84" s="206"/>
      <c r="JNN84" s="205"/>
      <c r="JNO84" s="205"/>
      <c r="JNP84" s="204"/>
      <c r="JNQ84" s="206"/>
      <c r="JNR84" s="205"/>
      <c r="JNS84" s="205"/>
      <c r="JNT84" s="204"/>
      <c r="JNU84" s="206"/>
      <c r="JNV84" s="205"/>
      <c r="JNW84" s="205"/>
      <c r="JNX84" s="204"/>
      <c r="JNY84" s="206"/>
      <c r="JNZ84" s="205"/>
      <c r="JOA84" s="205"/>
      <c r="JOB84" s="204"/>
      <c r="JOC84" s="206"/>
      <c r="JOD84" s="205"/>
      <c r="JOE84" s="205"/>
      <c r="JOF84" s="204"/>
      <c r="JOG84" s="206"/>
      <c r="JOH84" s="205"/>
      <c r="JOI84" s="205"/>
      <c r="JOJ84" s="204"/>
      <c r="JOK84" s="206"/>
      <c r="JOL84" s="205"/>
      <c r="JOM84" s="205"/>
      <c r="JON84" s="204"/>
      <c r="JOO84" s="206"/>
      <c r="JOP84" s="205"/>
      <c r="JOQ84" s="205"/>
      <c r="JOR84" s="204"/>
      <c r="JOS84" s="206"/>
      <c r="JOT84" s="205"/>
      <c r="JOU84" s="205"/>
      <c r="JOV84" s="204"/>
      <c r="JOW84" s="206"/>
      <c r="JOX84" s="205"/>
      <c r="JOY84" s="205"/>
      <c r="JOZ84" s="204"/>
      <c r="JPA84" s="206"/>
      <c r="JPB84" s="205"/>
      <c r="JPC84" s="205"/>
      <c r="JPD84" s="204"/>
      <c r="JPE84" s="206"/>
      <c r="JPF84" s="205"/>
      <c r="JPG84" s="205"/>
      <c r="JPH84" s="204"/>
      <c r="JPI84" s="206"/>
      <c r="JPJ84" s="205"/>
      <c r="JPK84" s="205"/>
      <c r="JPL84" s="204"/>
      <c r="JPM84" s="206"/>
      <c r="JPN84" s="205"/>
      <c r="JPO84" s="205"/>
      <c r="JPP84" s="204"/>
      <c r="JPQ84" s="206"/>
      <c r="JPR84" s="205"/>
      <c r="JPS84" s="205"/>
      <c r="JPT84" s="204"/>
      <c r="JPU84" s="206"/>
      <c r="JPV84" s="205"/>
      <c r="JPW84" s="205"/>
      <c r="JPX84" s="204"/>
      <c r="JPY84" s="206"/>
      <c r="JPZ84" s="205"/>
      <c r="JQA84" s="205"/>
      <c r="JQB84" s="204"/>
      <c r="JQC84" s="206"/>
      <c r="JQD84" s="205"/>
      <c r="JQE84" s="205"/>
      <c r="JQF84" s="204"/>
      <c r="JQG84" s="206"/>
      <c r="JQH84" s="205"/>
      <c r="JQI84" s="205"/>
      <c r="JQJ84" s="204"/>
      <c r="JQK84" s="206"/>
      <c r="JQL84" s="205"/>
      <c r="JQM84" s="205"/>
      <c r="JQN84" s="204"/>
      <c r="JQO84" s="206"/>
      <c r="JQP84" s="205"/>
      <c r="JQQ84" s="205"/>
      <c r="JQR84" s="204"/>
      <c r="JQS84" s="206"/>
      <c r="JQT84" s="205"/>
      <c r="JQU84" s="205"/>
      <c r="JQV84" s="204"/>
      <c r="JQW84" s="206"/>
      <c r="JQX84" s="205"/>
      <c r="JQY84" s="205"/>
      <c r="JQZ84" s="204"/>
      <c r="JRA84" s="206"/>
      <c r="JRB84" s="205"/>
      <c r="JRC84" s="205"/>
      <c r="JRD84" s="204"/>
      <c r="JRE84" s="206"/>
      <c r="JRF84" s="205"/>
      <c r="JRG84" s="205"/>
      <c r="JRH84" s="204"/>
      <c r="JRI84" s="206"/>
      <c r="JRJ84" s="205"/>
      <c r="JRK84" s="205"/>
      <c r="JRL84" s="204"/>
      <c r="JRM84" s="206"/>
      <c r="JRN84" s="205"/>
      <c r="JRO84" s="205"/>
      <c r="JRP84" s="204"/>
      <c r="JRQ84" s="206"/>
      <c r="JRR84" s="205"/>
      <c r="JRS84" s="205"/>
      <c r="JRT84" s="204"/>
      <c r="JRU84" s="206"/>
      <c r="JRV84" s="205"/>
      <c r="JRW84" s="205"/>
      <c r="JRX84" s="204"/>
      <c r="JRY84" s="206"/>
      <c r="JRZ84" s="205"/>
      <c r="JSA84" s="205"/>
      <c r="JSB84" s="204"/>
      <c r="JSC84" s="206"/>
      <c r="JSD84" s="205"/>
      <c r="JSE84" s="205"/>
      <c r="JSF84" s="204"/>
      <c r="JSG84" s="206"/>
      <c r="JSH84" s="205"/>
      <c r="JSI84" s="205"/>
      <c r="JSJ84" s="204"/>
      <c r="JSK84" s="206"/>
      <c r="JSL84" s="205"/>
      <c r="JSM84" s="205"/>
      <c r="JSN84" s="204"/>
      <c r="JSO84" s="206"/>
      <c r="JSP84" s="205"/>
      <c r="JSQ84" s="205"/>
      <c r="JSR84" s="204"/>
      <c r="JSS84" s="206"/>
      <c r="JST84" s="205"/>
      <c r="JSU84" s="205"/>
      <c r="JSV84" s="204"/>
      <c r="JSW84" s="206"/>
      <c r="JSX84" s="205"/>
      <c r="JSY84" s="205"/>
      <c r="JSZ84" s="204"/>
      <c r="JTA84" s="206"/>
      <c r="JTB84" s="205"/>
      <c r="JTC84" s="205"/>
      <c r="JTD84" s="204"/>
      <c r="JTE84" s="206"/>
      <c r="JTF84" s="205"/>
      <c r="JTG84" s="205"/>
      <c r="JTH84" s="204"/>
      <c r="JTI84" s="206"/>
      <c r="JTJ84" s="205"/>
      <c r="JTK84" s="205"/>
      <c r="JTL84" s="204"/>
      <c r="JTM84" s="206"/>
      <c r="JTN84" s="205"/>
      <c r="JTO84" s="205"/>
      <c r="JTP84" s="204"/>
      <c r="JTQ84" s="206"/>
      <c r="JTR84" s="205"/>
      <c r="JTS84" s="205"/>
      <c r="JTT84" s="204"/>
      <c r="JTU84" s="206"/>
      <c r="JTV84" s="205"/>
      <c r="JTW84" s="205"/>
      <c r="JTX84" s="204"/>
      <c r="JTY84" s="206"/>
      <c r="JTZ84" s="205"/>
      <c r="JUA84" s="205"/>
      <c r="JUB84" s="204"/>
      <c r="JUC84" s="206"/>
      <c r="JUD84" s="205"/>
      <c r="JUE84" s="205"/>
      <c r="JUF84" s="204"/>
      <c r="JUG84" s="206"/>
      <c r="JUH84" s="205"/>
      <c r="JUI84" s="205"/>
      <c r="JUJ84" s="204"/>
      <c r="JUK84" s="206"/>
      <c r="JUL84" s="205"/>
      <c r="JUM84" s="205"/>
      <c r="JUN84" s="204"/>
      <c r="JUO84" s="206"/>
      <c r="JUP84" s="205"/>
      <c r="JUQ84" s="205"/>
      <c r="JUR84" s="204"/>
      <c r="JUS84" s="206"/>
      <c r="JUT84" s="205"/>
      <c r="JUU84" s="205"/>
      <c r="JUV84" s="204"/>
      <c r="JUW84" s="206"/>
      <c r="JUX84" s="205"/>
      <c r="JUY84" s="205"/>
      <c r="JUZ84" s="204"/>
      <c r="JVA84" s="206"/>
      <c r="JVB84" s="205"/>
      <c r="JVC84" s="205"/>
      <c r="JVD84" s="204"/>
      <c r="JVE84" s="206"/>
      <c r="JVF84" s="205"/>
      <c r="JVG84" s="205"/>
      <c r="JVH84" s="204"/>
      <c r="JVI84" s="206"/>
      <c r="JVJ84" s="205"/>
      <c r="JVK84" s="205"/>
      <c r="JVL84" s="204"/>
      <c r="JVM84" s="206"/>
      <c r="JVN84" s="205"/>
      <c r="JVO84" s="205"/>
      <c r="JVP84" s="204"/>
      <c r="JVQ84" s="206"/>
      <c r="JVR84" s="205"/>
      <c r="JVS84" s="205"/>
      <c r="JVT84" s="204"/>
      <c r="JVU84" s="206"/>
      <c r="JVV84" s="205"/>
      <c r="JVW84" s="205"/>
      <c r="JVX84" s="204"/>
      <c r="JVY84" s="206"/>
      <c r="JVZ84" s="205"/>
      <c r="JWA84" s="205"/>
      <c r="JWB84" s="204"/>
      <c r="JWC84" s="206"/>
      <c r="JWD84" s="205"/>
      <c r="JWE84" s="205"/>
      <c r="JWF84" s="204"/>
      <c r="JWG84" s="206"/>
      <c r="JWH84" s="205"/>
      <c r="JWI84" s="205"/>
      <c r="JWJ84" s="204"/>
      <c r="JWK84" s="206"/>
      <c r="JWL84" s="205"/>
      <c r="JWM84" s="205"/>
      <c r="JWN84" s="204"/>
      <c r="JWO84" s="206"/>
      <c r="JWP84" s="205"/>
      <c r="JWQ84" s="205"/>
      <c r="JWR84" s="204"/>
      <c r="JWS84" s="206"/>
      <c r="JWT84" s="205"/>
      <c r="JWU84" s="205"/>
      <c r="JWV84" s="204"/>
      <c r="JWW84" s="206"/>
      <c r="JWX84" s="205"/>
      <c r="JWY84" s="205"/>
      <c r="JWZ84" s="204"/>
      <c r="JXA84" s="206"/>
      <c r="JXB84" s="205"/>
      <c r="JXC84" s="205"/>
      <c r="JXD84" s="204"/>
      <c r="JXE84" s="206"/>
      <c r="JXF84" s="205"/>
      <c r="JXG84" s="205"/>
      <c r="JXH84" s="204"/>
      <c r="JXI84" s="206"/>
      <c r="JXJ84" s="205"/>
      <c r="JXK84" s="205"/>
      <c r="JXL84" s="204"/>
      <c r="JXM84" s="206"/>
      <c r="JXN84" s="205"/>
      <c r="JXO84" s="205"/>
      <c r="JXP84" s="204"/>
      <c r="JXQ84" s="206"/>
      <c r="JXR84" s="205"/>
      <c r="JXS84" s="205"/>
      <c r="JXT84" s="204"/>
      <c r="JXU84" s="206"/>
      <c r="JXV84" s="205"/>
      <c r="JXW84" s="205"/>
      <c r="JXX84" s="204"/>
      <c r="JXY84" s="206"/>
      <c r="JXZ84" s="205"/>
      <c r="JYA84" s="205"/>
      <c r="JYB84" s="204"/>
      <c r="JYC84" s="206"/>
      <c r="JYD84" s="205"/>
      <c r="JYE84" s="205"/>
      <c r="JYF84" s="204"/>
      <c r="JYG84" s="206"/>
      <c r="JYH84" s="205"/>
      <c r="JYI84" s="205"/>
      <c r="JYJ84" s="204"/>
      <c r="JYK84" s="206"/>
      <c r="JYL84" s="205"/>
      <c r="JYM84" s="205"/>
      <c r="JYN84" s="204"/>
      <c r="JYO84" s="206"/>
      <c r="JYP84" s="205"/>
      <c r="JYQ84" s="205"/>
      <c r="JYR84" s="204"/>
      <c r="JYS84" s="206"/>
      <c r="JYT84" s="205"/>
      <c r="JYU84" s="205"/>
      <c r="JYV84" s="204"/>
      <c r="JYW84" s="206"/>
      <c r="JYX84" s="205"/>
      <c r="JYY84" s="205"/>
      <c r="JYZ84" s="204"/>
      <c r="JZA84" s="206"/>
      <c r="JZB84" s="205"/>
      <c r="JZC84" s="205"/>
      <c r="JZD84" s="204"/>
      <c r="JZE84" s="206"/>
      <c r="JZF84" s="205"/>
      <c r="JZG84" s="205"/>
      <c r="JZH84" s="204"/>
      <c r="JZI84" s="206"/>
      <c r="JZJ84" s="205"/>
      <c r="JZK84" s="205"/>
      <c r="JZL84" s="204"/>
      <c r="JZM84" s="206"/>
      <c r="JZN84" s="205"/>
      <c r="JZO84" s="205"/>
      <c r="JZP84" s="204"/>
      <c r="JZQ84" s="206"/>
      <c r="JZR84" s="205"/>
      <c r="JZS84" s="205"/>
      <c r="JZT84" s="204"/>
      <c r="JZU84" s="206"/>
      <c r="JZV84" s="205"/>
      <c r="JZW84" s="205"/>
      <c r="JZX84" s="204"/>
      <c r="JZY84" s="206"/>
      <c r="JZZ84" s="205"/>
      <c r="KAA84" s="205"/>
      <c r="KAB84" s="204"/>
      <c r="KAC84" s="206"/>
      <c r="KAD84" s="205"/>
      <c r="KAE84" s="205"/>
      <c r="KAF84" s="204"/>
      <c r="KAG84" s="206"/>
      <c r="KAH84" s="205"/>
      <c r="KAI84" s="205"/>
      <c r="KAJ84" s="204"/>
      <c r="KAK84" s="206"/>
      <c r="KAL84" s="205"/>
      <c r="KAM84" s="205"/>
      <c r="KAN84" s="204"/>
      <c r="KAO84" s="206"/>
      <c r="KAP84" s="205"/>
      <c r="KAQ84" s="205"/>
      <c r="KAR84" s="204"/>
      <c r="KAS84" s="206"/>
      <c r="KAT84" s="205"/>
      <c r="KAU84" s="205"/>
      <c r="KAV84" s="204"/>
      <c r="KAW84" s="206"/>
      <c r="KAX84" s="205"/>
      <c r="KAY84" s="205"/>
      <c r="KAZ84" s="204"/>
      <c r="KBA84" s="206"/>
      <c r="KBB84" s="205"/>
      <c r="KBC84" s="205"/>
      <c r="KBD84" s="204"/>
      <c r="KBE84" s="206"/>
      <c r="KBF84" s="205"/>
      <c r="KBG84" s="205"/>
      <c r="KBH84" s="204"/>
      <c r="KBI84" s="206"/>
      <c r="KBJ84" s="205"/>
      <c r="KBK84" s="205"/>
      <c r="KBL84" s="204"/>
      <c r="KBM84" s="206"/>
      <c r="KBN84" s="205"/>
      <c r="KBO84" s="205"/>
      <c r="KBP84" s="204"/>
      <c r="KBQ84" s="206"/>
      <c r="KBR84" s="205"/>
      <c r="KBS84" s="205"/>
      <c r="KBT84" s="204"/>
      <c r="KBU84" s="206"/>
      <c r="KBV84" s="205"/>
      <c r="KBW84" s="205"/>
      <c r="KBX84" s="204"/>
      <c r="KBY84" s="206"/>
      <c r="KBZ84" s="205"/>
      <c r="KCA84" s="205"/>
      <c r="KCB84" s="204"/>
      <c r="KCC84" s="206"/>
      <c r="KCD84" s="205"/>
      <c r="KCE84" s="205"/>
      <c r="KCF84" s="204"/>
      <c r="KCG84" s="206"/>
      <c r="KCH84" s="205"/>
      <c r="KCI84" s="205"/>
      <c r="KCJ84" s="204"/>
      <c r="KCK84" s="206"/>
      <c r="KCL84" s="205"/>
      <c r="KCM84" s="205"/>
      <c r="KCN84" s="204"/>
      <c r="KCO84" s="206"/>
      <c r="KCP84" s="205"/>
      <c r="KCQ84" s="205"/>
      <c r="KCR84" s="204"/>
      <c r="KCS84" s="206"/>
      <c r="KCT84" s="205"/>
      <c r="KCU84" s="205"/>
      <c r="KCV84" s="204"/>
      <c r="KCW84" s="206"/>
      <c r="KCX84" s="205"/>
      <c r="KCY84" s="205"/>
      <c r="KCZ84" s="204"/>
      <c r="KDA84" s="206"/>
      <c r="KDB84" s="205"/>
      <c r="KDC84" s="205"/>
      <c r="KDD84" s="204"/>
      <c r="KDE84" s="206"/>
      <c r="KDF84" s="205"/>
      <c r="KDG84" s="205"/>
      <c r="KDH84" s="204"/>
      <c r="KDI84" s="206"/>
      <c r="KDJ84" s="205"/>
      <c r="KDK84" s="205"/>
      <c r="KDL84" s="204"/>
      <c r="KDM84" s="206"/>
      <c r="KDN84" s="205"/>
      <c r="KDO84" s="205"/>
      <c r="KDP84" s="204"/>
      <c r="KDQ84" s="206"/>
      <c r="KDR84" s="205"/>
      <c r="KDS84" s="205"/>
      <c r="KDT84" s="204"/>
      <c r="KDU84" s="206"/>
      <c r="KDV84" s="205"/>
      <c r="KDW84" s="205"/>
      <c r="KDX84" s="204"/>
      <c r="KDY84" s="206"/>
      <c r="KDZ84" s="205"/>
      <c r="KEA84" s="205"/>
      <c r="KEB84" s="204"/>
      <c r="KEC84" s="206"/>
      <c r="KED84" s="205"/>
      <c r="KEE84" s="205"/>
      <c r="KEF84" s="204"/>
      <c r="KEG84" s="206"/>
      <c r="KEH84" s="205"/>
      <c r="KEI84" s="205"/>
      <c r="KEJ84" s="204"/>
      <c r="KEK84" s="206"/>
      <c r="KEL84" s="205"/>
      <c r="KEM84" s="205"/>
      <c r="KEN84" s="204"/>
      <c r="KEO84" s="206"/>
      <c r="KEP84" s="205"/>
      <c r="KEQ84" s="205"/>
      <c r="KER84" s="204"/>
      <c r="KES84" s="206"/>
      <c r="KET84" s="205"/>
      <c r="KEU84" s="205"/>
      <c r="KEV84" s="204"/>
      <c r="KEW84" s="206"/>
      <c r="KEX84" s="205"/>
      <c r="KEY84" s="205"/>
      <c r="KEZ84" s="204"/>
      <c r="KFA84" s="206"/>
      <c r="KFB84" s="205"/>
      <c r="KFC84" s="205"/>
      <c r="KFD84" s="204"/>
      <c r="KFE84" s="206"/>
      <c r="KFF84" s="205"/>
      <c r="KFG84" s="205"/>
      <c r="KFH84" s="204"/>
      <c r="KFI84" s="206"/>
      <c r="KFJ84" s="205"/>
      <c r="KFK84" s="205"/>
      <c r="KFL84" s="204"/>
      <c r="KFM84" s="206"/>
      <c r="KFN84" s="205"/>
      <c r="KFO84" s="205"/>
      <c r="KFP84" s="204"/>
      <c r="KFQ84" s="206"/>
      <c r="KFR84" s="205"/>
      <c r="KFS84" s="205"/>
      <c r="KFT84" s="204"/>
      <c r="KFU84" s="206"/>
      <c r="KFV84" s="205"/>
      <c r="KFW84" s="205"/>
      <c r="KFX84" s="204"/>
      <c r="KFY84" s="206"/>
      <c r="KFZ84" s="205"/>
      <c r="KGA84" s="205"/>
      <c r="KGB84" s="204"/>
      <c r="KGC84" s="206"/>
      <c r="KGD84" s="205"/>
      <c r="KGE84" s="205"/>
      <c r="KGF84" s="204"/>
      <c r="KGG84" s="206"/>
      <c r="KGH84" s="205"/>
      <c r="KGI84" s="205"/>
      <c r="KGJ84" s="204"/>
      <c r="KGK84" s="206"/>
      <c r="KGL84" s="205"/>
      <c r="KGM84" s="205"/>
      <c r="KGN84" s="204"/>
      <c r="KGO84" s="206"/>
      <c r="KGP84" s="205"/>
      <c r="KGQ84" s="205"/>
      <c r="KGR84" s="204"/>
      <c r="KGS84" s="206"/>
      <c r="KGT84" s="205"/>
      <c r="KGU84" s="205"/>
      <c r="KGV84" s="204"/>
      <c r="KGW84" s="206"/>
      <c r="KGX84" s="205"/>
      <c r="KGY84" s="205"/>
      <c r="KGZ84" s="204"/>
      <c r="KHA84" s="206"/>
      <c r="KHB84" s="205"/>
      <c r="KHC84" s="205"/>
      <c r="KHD84" s="204"/>
      <c r="KHE84" s="206"/>
      <c r="KHF84" s="205"/>
      <c r="KHG84" s="205"/>
      <c r="KHH84" s="204"/>
      <c r="KHI84" s="206"/>
      <c r="KHJ84" s="205"/>
      <c r="KHK84" s="205"/>
      <c r="KHL84" s="204"/>
      <c r="KHM84" s="206"/>
      <c r="KHN84" s="205"/>
      <c r="KHO84" s="205"/>
      <c r="KHP84" s="204"/>
      <c r="KHQ84" s="206"/>
      <c r="KHR84" s="205"/>
      <c r="KHS84" s="205"/>
      <c r="KHT84" s="204"/>
      <c r="KHU84" s="206"/>
      <c r="KHV84" s="205"/>
      <c r="KHW84" s="205"/>
      <c r="KHX84" s="204"/>
      <c r="KHY84" s="206"/>
      <c r="KHZ84" s="205"/>
      <c r="KIA84" s="205"/>
      <c r="KIB84" s="204"/>
      <c r="KIC84" s="206"/>
      <c r="KID84" s="205"/>
      <c r="KIE84" s="205"/>
      <c r="KIF84" s="204"/>
      <c r="KIG84" s="206"/>
      <c r="KIH84" s="205"/>
      <c r="KII84" s="205"/>
      <c r="KIJ84" s="204"/>
      <c r="KIK84" s="206"/>
      <c r="KIL84" s="205"/>
      <c r="KIM84" s="205"/>
      <c r="KIN84" s="204"/>
      <c r="KIO84" s="206"/>
      <c r="KIP84" s="205"/>
      <c r="KIQ84" s="205"/>
      <c r="KIR84" s="204"/>
      <c r="KIS84" s="206"/>
      <c r="KIT84" s="205"/>
      <c r="KIU84" s="205"/>
      <c r="KIV84" s="204"/>
      <c r="KIW84" s="206"/>
      <c r="KIX84" s="205"/>
      <c r="KIY84" s="205"/>
      <c r="KIZ84" s="204"/>
      <c r="KJA84" s="206"/>
      <c r="KJB84" s="205"/>
      <c r="KJC84" s="205"/>
      <c r="KJD84" s="204"/>
      <c r="KJE84" s="206"/>
      <c r="KJF84" s="205"/>
      <c r="KJG84" s="205"/>
      <c r="KJH84" s="204"/>
      <c r="KJI84" s="206"/>
      <c r="KJJ84" s="205"/>
      <c r="KJK84" s="205"/>
      <c r="KJL84" s="204"/>
      <c r="KJM84" s="206"/>
      <c r="KJN84" s="205"/>
      <c r="KJO84" s="205"/>
      <c r="KJP84" s="204"/>
      <c r="KJQ84" s="206"/>
      <c r="KJR84" s="205"/>
      <c r="KJS84" s="205"/>
      <c r="KJT84" s="204"/>
      <c r="KJU84" s="206"/>
      <c r="KJV84" s="205"/>
      <c r="KJW84" s="205"/>
      <c r="KJX84" s="204"/>
      <c r="KJY84" s="206"/>
      <c r="KJZ84" s="205"/>
      <c r="KKA84" s="205"/>
      <c r="KKB84" s="204"/>
      <c r="KKC84" s="206"/>
      <c r="KKD84" s="205"/>
      <c r="KKE84" s="205"/>
      <c r="KKF84" s="204"/>
      <c r="KKG84" s="206"/>
      <c r="KKH84" s="205"/>
      <c r="KKI84" s="205"/>
      <c r="KKJ84" s="204"/>
      <c r="KKK84" s="206"/>
      <c r="KKL84" s="205"/>
      <c r="KKM84" s="205"/>
      <c r="KKN84" s="204"/>
      <c r="KKO84" s="206"/>
      <c r="KKP84" s="205"/>
      <c r="KKQ84" s="205"/>
      <c r="KKR84" s="204"/>
      <c r="KKS84" s="206"/>
      <c r="KKT84" s="205"/>
      <c r="KKU84" s="205"/>
      <c r="KKV84" s="204"/>
      <c r="KKW84" s="206"/>
      <c r="KKX84" s="205"/>
      <c r="KKY84" s="205"/>
      <c r="KKZ84" s="204"/>
      <c r="KLA84" s="206"/>
      <c r="KLB84" s="205"/>
      <c r="KLC84" s="205"/>
      <c r="KLD84" s="204"/>
      <c r="KLE84" s="206"/>
      <c r="KLF84" s="205"/>
      <c r="KLG84" s="205"/>
      <c r="KLH84" s="204"/>
      <c r="KLI84" s="206"/>
      <c r="KLJ84" s="205"/>
      <c r="KLK84" s="205"/>
      <c r="KLL84" s="204"/>
      <c r="KLM84" s="206"/>
      <c r="KLN84" s="205"/>
      <c r="KLO84" s="205"/>
      <c r="KLP84" s="204"/>
      <c r="KLQ84" s="206"/>
      <c r="KLR84" s="205"/>
      <c r="KLS84" s="205"/>
      <c r="KLT84" s="204"/>
      <c r="KLU84" s="206"/>
      <c r="KLV84" s="205"/>
      <c r="KLW84" s="205"/>
      <c r="KLX84" s="204"/>
      <c r="KLY84" s="206"/>
      <c r="KLZ84" s="205"/>
      <c r="KMA84" s="205"/>
      <c r="KMB84" s="204"/>
      <c r="KMC84" s="206"/>
      <c r="KMD84" s="205"/>
      <c r="KME84" s="205"/>
      <c r="KMF84" s="204"/>
      <c r="KMG84" s="206"/>
      <c r="KMH84" s="205"/>
      <c r="KMI84" s="205"/>
      <c r="KMJ84" s="204"/>
      <c r="KMK84" s="206"/>
      <c r="KML84" s="205"/>
      <c r="KMM84" s="205"/>
      <c r="KMN84" s="204"/>
      <c r="KMO84" s="206"/>
      <c r="KMP84" s="205"/>
      <c r="KMQ84" s="205"/>
      <c r="KMR84" s="204"/>
      <c r="KMS84" s="206"/>
      <c r="KMT84" s="205"/>
      <c r="KMU84" s="205"/>
      <c r="KMV84" s="204"/>
      <c r="KMW84" s="206"/>
      <c r="KMX84" s="205"/>
      <c r="KMY84" s="205"/>
      <c r="KMZ84" s="204"/>
      <c r="KNA84" s="206"/>
      <c r="KNB84" s="205"/>
      <c r="KNC84" s="205"/>
      <c r="KND84" s="204"/>
      <c r="KNE84" s="206"/>
      <c r="KNF84" s="205"/>
      <c r="KNG84" s="205"/>
      <c r="KNH84" s="204"/>
      <c r="KNI84" s="206"/>
      <c r="KNJ84" s="205"/>
      <c r="KNK84" s="205"/>
      <c r="KNL84" s="204"/>
      <c r="KNM84" s="206"/>
      <c r="KNN84" s="205"/>
      <c r="KNO84" s="205"/>
      <c r="KNP84" s="204"/>
      <c r="KNQ84" s="206"/>
      <c r="KNR84" s="205"/>
      <c r="KNS84" s="205"/>
      <c r="KNT84" s="204"/>
      <c r="KNU84" s="206"/>
      <c r="KNV84" s="205"/>
      <c r="KNW84" s="205"/>
      <c r="KNX84" s="204"/>
      <c r="KNY84" s="206"/>
      <c r="KNZ84" s="205"/>
      <c r="KOA84" s="205"/>
      <c r="KOB84" s="204"/>
      <c r="KOC84" s="206"/>
      <c r="KOD84" s="205"/>
      <c r="KOE84" s="205"/>
      <c r="KOF84" s="204"/>
      <c r="KOG84" s="206"/>
      <c r="KOH84" s="205"/>
      <c r="KOI84" s="205"/>
      <c r="KOJ84" s="204"/>
      <c r="KOK84" s="206"/>
      <c r="KOL84" s="205"/>
      <c r="KOM84" s="205"/>
      <c r="KON84" s="204"/>
      <c r="KOO84" s="206"/>
      <c r="KOP84" s="205"/>
      <c r="KOQ84" s="205"/>
      <c r="KOR84" s="204"/>
      <c r="KOS84" s="206"/>
      <c r="KOT84" s="205"/>
      <c r="KOU84" s="205"/>
      <c r="KOV84" s="204"/>
      <c r="KOW84" s="206"/>
      <c r="KOX84" s="205"/>
      <c r="KOY84" s="205"/>
      <c r="KOZ84" s="204"/>
      <c r="KPA84" s="206"/>
      <c r="KPB84" s="205"/>
      <c r="KPC84" s="205"/>
      <c r="KPD84" s="204"/>
      <c r="KPE84" s="206"/>
      <c r="KPF84" s="205"/>
      <c r="KPG84" s="205"/>
      <c r="KPH84" s="204"/>
      <c r="KPI84" s="206"/>
      <c r="KPJ84" s="205"/>
      <c r="KPK84" s="205"/>
      <c r="KPL84" s="204"/>
      <c r="KPM84" s="206"/>
      <c r="KPN84" s="205"/>
      <c r="KPO84" s="205"/>
      <c r="KPP84" s="204"/>
      <c r="KPQ84" s="206"/>
      <c r="KPR84" s="205"/>
      <c r="KPS84" s="205"/>
      <c r="KPT84" s="204"/>
      <c r="KPU84" s="206"/>
      <c r="KPV84" s="205"/>
      <c r="KPW84" s="205"/>
      <c r="KPX84" s="204"/>
      <c r="KPY84" s="206"/>
      <c r="KPZ84" s="205"/>
      <c r="KQA84" s="205"/>
      <c r="KQB84" s="204"/>
      <c r="KQC84" s="206"/>
      <c r="KQD84" s="205"/>
      <c r="KQE84" s="205"/>
      <c r="KQF84" s="204"/>
      <c r="KQG84" s="206"/>
      <c r="KQH84" s="205"/>
      <c r="KQI84" s="205"/>
      <c r="KQJ84" s="204"/>
      <c r="KQK84" s="206"/>
      <c r="KQL84" s="205"/>
      <c r="KQM84" s="205"/>
      <c r="KQN84" s="204"/>
      <c r="KQO84" s="206"/>
      <c r="KQP84" s="205"/>
      <c r="KQQ84" s="205"/>
      <c r="KQR84" s="204"/>
      <c r="KQS84" s="206"/>
      <c r="KQT84" s="205"/>
      <c r="KQU84" s="205"/>
      <c r="KQV84" s="204"/>
      <c r="KQW84" s="206"/>
      <c r="KQX84" s="205"/>
      <c r="KQY84" s="205"/>
      <c r="KQZ84" s="204"/>
      <c r="KRA84" s="206"/>
      <c r="KRB84" s="205"/>
      <c r="KRC84" s="205"/>
      <c r="KRD84" s="204"/>
      <c r="KRE84" s="206"/>
      <c r="KRF84" s="205"/>
      <c r="KRG84" s="205"/>
      <c r="KRH84" s="204"/>
      <c r="KRI84" s="206"/>
      <c r="KRJ84" s="205"/>
      <c r="KRK84" s="205"/>
      <c r="KRL84" s="204"/>
      <c r="KRM84" s="206"/>
      <c r="KRN84" s="205"/>
      <c r="KRO84" s="205"/>
      <c r="KRP84" s="204"/>
      <c r="KRQ84" s="206"/>
      <c r="KRR84" s="205"/>
      <c r="KRS84" s="205"/>
      <c r="KRT84" s="204"/>
      <c r="KRU84" s="206"/>
      <c r="KRV84" s="205"/>
      <c r="KRW84" s="205"/>
      <c r="KRX84" s="204"/>
      <c r="KRY84" s="206"/>
      <c r="KRZ84" s="205"/>
      <c r="KSA84" s="205"/>
      <c r="KSB84" s="204"/>
      <c r="KSC84" s="206"/>
      <c r="KSD84" s="205"/>
      <c r="KSE84" s="205"/>
      <c r="KSF84" s="204"/>
      <c r="KSG84" s="206"/>
      <c r="KSH84" s="205"/>
      <c r="KSI84" s="205"/>
      <c r="KSJ84" s="204"/>
      <c r="KSK84" s="206"/>
      <c r="KSL84" s="205"/>
      <c r="KSM84" s="205"/>
      <c r="KSN84" s="204"/>
      <c r="KSO84" s="206"/>
      <c r="KSP84" s="205"/>
      <c r="KSQ84" s="205"/>
      <c r="KSR84" s="204"/>
      <c r="KSS84" s="206"/>
      <c r="KST84" s="205"/>
      <c r="KSU84" s="205"/>
      <c r="KSV84" s="204"/>
      <c r="KSW84" s="206"/>
      <c r="KSX84" s="205"/>
      <c r="KSY84" s="205"/>
      <c r="KSZ84" s="204"/>
      <c r="KTA84" s="206"/>
      <c r="KTB84" s="205"/>
      <c r="KTC84" s="205"/>
      <c r="KTD84" s="204"/>
      <c r="KTE84" s="206"/>
      <c r="KTF84" s="205"/>
      <c r="KTG84" s="205"/>
      <c r="KTH84" s="204"/>
      <c r="KTI84" s="206"/>
      <c r="KTJ84" s="205"/>
      <c r="KTK84" s="205"/>
      <c r="KTL84" s="204"/>
      <c r="KTM84" s="206"/>
      <c r="KTN84" s="205"/>
      <c r="KTO84" s="205"/>
      <c r="KTP84" s="204"/>
      <c r="KTQ84" s="206"/>
      <c r="KTR84" s="205"/>
      <c r="KTS84" s="205"/>
      <c r="KTT84" s="204"/>
      <c r="KTU84" s="206"/>
      <c r="KTV84" s="205"/>
      <c r="KTW84" s="205"/>
      <c r="KTX84" s="204"/>
      <c r="KTY84" s="206"/>
      <c r="KTZ84" s="205"/>
      <c r="KUA84" s="205"/>
      <c r="KUB84" s="204"/>
      <c r="KUC84" s="206"/>
      <c r="KUD84" s="205"/>
      <c r="KUE84" s="205"/>
      <c r="KUF84" s="204"/>
      <c r="KUG84" s="206"/>
      <c r="KUH84" s="205"/>
      <c r="KUI84" s="205"/>
      <c r="KUJ84" s="204"/>
      <c r="KUK84" s="206"/>
      <c r="KUL84" s="205"/>
      <c r="KUM84" s="205"/>
      <c r="KUN84" s="204"/>
      <c r="KUO84" s="206"/>
      <c r="KUP84" s="205"/>
      <c r="KUQ84" s="205"/>
      <c r="KUR84" s="204"/>
      <c r="KUS84" s="206"/>
      <c r="KUT84" s="205"/>
      <c r="KUU84" s="205"/>
      <c r="KUV84" s="204"/>
      <c r="KUW84" s="206"/>
      <c r="KUX84" s="205"/>
      <c r="KUY84" s="205"/>
      <c r="KUZ84" s="204"/>
      <c r="KVA84" s="206"/>
      <c r="KVB84" s="205"/>
      <c r="KVC84" s="205"/>
      <c r="KVD84" s="204"/>
      <c r="KVE84" s="206"/>
      <c r="KVF84" s="205"/>
      <c r="KVG84" s="205"/>
      <c r="KVH84" s="204"/>
      <c r="KVI84" s="206"/>
      <c r="KVJ84" s="205"/>
      <c r="KVK84" s="205"/>
      <c r="KVL84" s="204"/>
      <c r="KVM84" s="206"/>
      <c r="KVN84" s="205"/>
      <c r="KVO84" s="205"/>
      <c r="KVP84" s="204"/>
      <c r="KVQ84" s="206"/>
      <c r="KVR84" s="205"/>
      <c r="KVS84" s="205"/>
      <c r="KVT84" s="204"/>
      <c r="KVU84" s="206"/>
      <c r="KVV84" s="205"/>
      <c r="KVW84" s="205"/>
      <c r="KVX84" s="204"/>
      <c r="KVY84" s="206"/>
      <c r="KVZ84" s="205"/>
      <c r="KWA84" s="205"/>
      <c r="KWB84" s="204"/>
      <c r="KWC84" s="206"/>
      <c r="KWD84" s="205"/>
      <c r="KWE84" s="205"/>
      <c r="KWF84" s="204"/>
      <c r="KWG84" s="206"/>
      <c r="KWH84" s="205"/>
      <c r="KWI84" s="205"/>
      <c r="KWJ84" s="204"/>
      <c r="KWK84" s="206"/>
      <c r="KWL84" s="205"/>
      <c r="KWM84" s="205"/>
      <c r="KWN84" s="204"/>
      <c r="KWO84" s="206"/>
      <c r="KWP84" s="205"/>
      <c r="KWQ84" s="205"/>
      <c r="KWR84" s="204"/>
      <c r="KWS84" s="206"/>
      <c r="KWT84" s="205"/>
      <c r="KWU84" s="205"/>
      <c r="KWV84" s="204"/>
      <c r="KWW84" s="206"/>
      <c r="KWX84" s="205"/>
      <c r="KWY84" s="205"/>
      <c r="KWZ84" s="204"/>
      <c r="KXA84" s="206"/>
      <c r="KXB84" s="205"/>
      <c r="KXC84" s="205"/>
      <c r="KXD84" s="204"/>
      <c r="KXE84" s="206"/>
      <c r="KXF84" s="205"/>
      <c r="KXG84" s="205"/>
      <c r="KXH84" s="204"/>
      <c r="KXI84" s="206"/>
      <c r="KXJ84" s="205"/>
      <c r="KXK84" s="205"/>
      <c r="KXL84" s="204"/>
      <c r="KXM84" s="206"/>
      <c r="KXN84" s="205"/>
      <c r="KXO84" s="205"/>
      <c r="KXP84" s="204"/>
      <c r="KXQ84" s="206"/>
      <c r="KXR84" s="205"/>
      <c r="KXS84" s="205"/>
      <c r="KXT84" s="204"/>
      <c r="KXU84" s="206"/>
      <c r="KXV84" s="205"/>
      <c r="KXW84" s="205"/>
      <c r="KXX84" s="204"/>
      <c r="KXY84" s="206"/>
      <c r="KXZ84" s="205"/>
      <c r="KYA84" s="205"/>
      <c r="KYB84" s="204"/>
      <c r="KYC84" s="206"/>
      <c r="KYD84" s="205"/>
      <c r="KYE84" s="205"/>
      <c r="KYF84" s="204"/>
      <c r="KYG84" s="206"/>
      <c r="KYH84" s="205"/>
      <c r="KYI84" s="205"/>
      <c r="KYJ84" s="204"/>
      <c r="KYK84" s="206"/>
      <c r="KYL84" s="205"/>
      <c r="KYM84" s="205"/>
      <c r="KYN84" s="204"/>
      <c r="KYO84" s="206"/>
      <c r="KYP84" s="205"/>
      <c r="KYQ84" s="205"/>
      <c r="KYR84" s="204"/>
      <c r="KYS84" s="206"/>
      <c r="KYT84" s="205"/>
      <c r="KYU84" s="205"/>
      <c r="KYV84" s="204"/>
      <c r="KYW84" s="206"/>
      <c r="KYX84" s="205"/>
      <c r="KYY84" s="205"/>
      <c r="KYZ84" s="204"/>
      <c r="KZA84" s="206"/>
      <c r="KZB84" s="205"/>
      <c r="KZC84" s="205"/>
      <c r="KZD84" s="204"/>
      <c r="KZE84" s="206"/>
      <c r="KZF84" s="205"/>
      <c r="KZG84" s="205"/>
      <c r="KZH84" s="204"/>
      <c r="KZI84" s="206"/>
      <c r="KZJ84" s="205"/>
      <c r="KZK84" s="205"/>
      <c r="KZL84" s="204"/>
      <c r="KZM84" s="206"/>
      <c r="KZN84" s="205"/>
      <c r="KZO84" s="205"/>
      <c r="KZP84" s="204"/>
      <c r="KZQ84" s="206"/>
      <c r="KZR84" s="205"/>
      <c r="KZS84" s="205"/>
      <c r="KZT84" s="204"/>
      <c r="KZU84" s="206"/>
      <c r="KZV84" s="205"/>
      <c r="KZW84" s="205"/>
      <c r="KZX84" s="204"/>
      <c r="KZY84" s="206"/>
      <c r="KZZ84" s="205"/>
      <c r="LAA84" s="205"/>
      <c r="LAB84" s="204"/>
      <c r="LAC84" s="206"/>
      <c r="LAD84" s="205"/>
      <c r="LAE84" s="205"/>
      <c r="LAF84" s="204"/>
      <c r="LAG84" s="206"/>
      <c r="LAH84" s="205"/>
      <c r="LAI84" s="205"/>
      <c r="LAJ84" s="204"/>
      <c r="LAK84" s="206"/>
      <c r="LAL84" s="205"/>
      <c r="LAM84" s="205"/>
      <c r="LAN84" s="204"/>
      <c r="LAO84" s="206"/>
      <c r="LAP84" s="205"/>
      <c r="LAQ84" s="205"/>
      <c r="LAR84" s="204"/>
      <c r="LAS84" s="206"/>
      <c r="LAT84" s="205"/>
      <c r="LAU84" s="205"/>
      <c r="LAV84" s="204"/>
      <c r="LAW84" s="206"/>
      <c r="LAX84" s="205"/>
      <c r="LAY84" s="205"/>
      <c r="LAZ84" s="204"/>
      <c r="LBA84" s="206"/>
      <c r="LBB84" s="205"/>
      <c r="LBC84" s="205"/>
      <c r="LBD84" s="204"/>
      <c r="LBE84" s="206"/>
      <c r="LBF84" s="205"/>
      <c r="LBG84" s="205"/>
      <c r="LBH84" s="204"/>
      <c r="LBI84" s="206"/>
      <c r="LBJ84" s="205"/>
      <c r="LBK84" s="205"/>
      <c r="LBL84" s="204"/>
      <c r="LBM84" s="206"/>
      <c r="LBN84" s="205"/>
      <c r="LBO84" s="205"/>
      <c r="LBP84" s="204"/>
      <c r="LBQ84" s="206"/>
      <c r="LBR84" s="205"/>
      <c r="LBS84" s="205"/>
      <c r="LBT84" s="204"/>
      <c r="LBU84" s="206"/>
      <c r="LBV84" s="205"/>
      <c r="LBW84" s="205"/>
      <c r="LBX84" s="204"/>
      <c r="LBY84" s="206"/>
      <c r="LBZ84" s="205"/>
      <c r="LCA84" s="205"/>
      <c r="LCB84" s="204"/>
      <c r="LCC84" s="206"/>
      <c r="LCD84" s="205"/>
      <c r="LCE84" s="205"/>
      <c r="LCF84" s="204"/>
      <c r="LCG84" s="206"/>
      <c r="LCH84" s="205"/>
      <c r="LCI84" s="205"/>
      <c r="LCJ84" s="204"/>
      <c r="LCK84" s="206"/>
      <c r="LCL84" s="205"/>
      <c r="LCM84" s="205"/>
      <c r="LCN84" s="204"/>
      <c r="LCO84" s="206"/>
      <c r="LCP84" s="205"/>
      <c r="LCQ84" s="205"/>
      <c r="LCR84" s="204"/>
      <c r="LCS84" s="206"/>
      <c r="LCT84" s="205"/>
      <c r="LCU84" s="205"/>
      <c r="LCV84" s="204"/>
      <c r="LCW84" s="206"/>
      <c r="LCX84" s="205"/>
      <c r="LCY84" s="205"/>
      <c r="LCZ84" s="204"/>
      <c r="LDA84" s="206"/>
      <c r="LDB84" s="205"/>
      <c r="LDC84" s="205"/>
      <c r="LDD84" s="204"/>
      <c r="LDE84" s="206"/>
      <c r="LDF84" s="205"/>
      <c r="LDG84" s="205"/>
      <c r="LDH84" s="204"/>
      <c r="LDI84" s="206"/>
      <c r="LDJ84" s="205"/>
      <c r="LDK84" s="205"/>
      <c r="LDL84" s="204"/>
      <c r="LDM84" s="206"/>
      <c r="LDN84" s="205"/>
      <c r="LDO84" s="205"/>
      <c r="LDP84" s="204"/>
      <c r="LDQ84" s="206"/>
      <c r="LDR84" s="205"/>
      <c r="LDS84" s="205"/>
      <c r="LDT84" s="204"/>
      <c r="LDU84" s="206"/>
      <c r="LDV84" s="205"/>
      <c r="LDW84" s="205"/>
      <c r="LDX84" s="204"/>
      <c r="LDY84" s="206"/>
      <c r="LDZ84" s="205"/>
      <c r="LEA84" s="205"/>
      <c r="LEB84" s="204"/>
      <c r="LEC84" s="206"/>
      <c r="LED84" s="205"/>
      <c r="LEE84" s="205"/>
      <c r="LEF84" s="204"/>
      <c r="LEG84" s="206"/>
      <c r="LEH84" s="205"/>
      <c r="LEI84" s="205"/>
      <c r="LEJ84" s="204"/>
      <c r="LEK84" s="206"/>
      <c r="LEL84" s="205"/>
      <c r="LEM84" s="205"/>
      <c r="LEN84" s="204"/>
      <c r="LEO84" s="206"/>
      <c r="LEP84" s="205"/>
      <c r="LEQ84" s="205"/>
      <c r="LER84" s="204"/>
      <c r="LES84" s="206"/>
      <c r="LET84" s="205"/>
      <c r="LEU84" s="205"/>
      <c r="LEV84" s="204"/>
      <c r="LEW84" s="206"/>
      <c r="LEX84" s="205"/>
      <c r="LEY84" s="205"/>
      <c r="LEZ84" s="204"/>
      <c r="LFA84" s="206"/>
      <c r="LFB84" s="205"/>
      <c r="LFC84" s="205"/>
      <c r="LFD84" s="204"/>
      <c r="LFE84" s="206"/>
      <c r="LFF84" s="205"/>
      <c r="LFG84" s="205"/>
      <c r="LFH84" s="204"/>
      <c r="LFI84" s="206"/>
      <c r="LFJ84" s="205"/>
      <c r="LFK84" s="205"/>
      <c r="LFL84" s="204"/>
      <c r="LFM84" s="206"/>
      <c r="LFN84" s="205"/>
      <c r="LFO84" s="205"/>
      <c r="LFP84" s="204"/>
      <c r="LFQ84" s="206"/>
      <c r="LFR84" s="205"/>
      <c r="LFS84" s="205"/>
      <c r="LFT84" s="204"/>
      <c r="LFU84" s="206"/>
      <c r="LFV84" s="205"/>
      <c r="LFW84" s="205"/>
      <c r="LFX84" s="204"/>
      <c r="LFY84" s="206"/>
      <c r="LFZ84" s="205"/>
      <c r="LGA84" s="205"/>
      <c r="LGB84" s="204"/>
      <c r="LGC84" s="206"/>
      <c r="LGD84" s="205"/>
      <c r="LGE84" s="205"/>
      <c r="LGF84" s="204"/>
      <c r="LGG84" s="206"/>
      <c r="LGH84" s="205"/>
      <c r="LGI84" s="205"/>
      <c r="LGJ84" s="204"/>
      <c r="LGK84" s="206"/>
      <c r="LGL84" s="205"/>
      <c r="LGM84" s="205"/>
      <c r="LGN84" s="204"/>
      <c r="LGO84" s="206"/>
      <c r="LGP84" s="205"/>
      <c r="LGQ84" s="205"/>
      <c r="LGR84" s="204"/>
      <c r="LGS84" s="206"/>
      <c r="LGT84" s="205"/>
      <c r="LGU84" s="205"/>
      <c r="LGV84" s="204"/>
      <c r="LGW84" s="206"/>
      <c r="LGX84" s="205"/>
      <c r="LGY84" s="205"/>
      <c r="LGZ84" s="204"/>
      <c r="LHA84" s="206"/>
      <c r="LHB84" s="205"/>
      <c r="LHC84" s="205"/>
      <c r="LHD84" s="204"/>
      <c r="LHE84" s="206"/>
      <c r="LHF84" s="205"/>
      <c r="LHG84" s="205"/>
      <c r="LHH84" s="204"/>
      <c r="LHI84" s="206"/>
      <c r="LHJ84" s="205"/>
      <c r="LHK84" s="205"/>
      <c r="LHL84" s="204"/>
      <c r="LHM84" s="206"/>
      <c r="LHN84" s="205"/>
      <c r="LHO84" s="205"/>
      <c r="LHP84" s="204"/>
      <c r="LHQ84" s="206"/>
      <c r="LHR84" s="205"/>
      <c r="LHS84" s="205"/>
      <c r="LHT84" s="204"/>
      <c r="LHU84" s="206"/>
      <c r="LHV84" s="205"/>
      <c r="LHW84" s="205"/>
      <c r="LHX84" s="204"/>
      <c r="LHY84" s="206"/>
      <c r="LHZ84" s="205"/>
      <c r="LIA84" s="205"/>
      <c r="LIB84" s="204"/>
      <c r="LIC84" s="206"/>
      <c r="LID84" s="205"/>
      <c r="LIE84" s="205"/>
      <c r="LIF84" s="204"/>
      <c r="LIG84" s="206"/>
      <c r="LIH84" s="205"/>
      <c r="LII84" s="205"/>
      <c r="LIJ84" s="204"/>
      <c r="LIK84" s="206"/>
      <c r="LIL84" s="205"/>
      <c r="LIM84" s="205"/>
      <c r="LIN84" s="204"/>
      <c r="LIO84" s="206"/>
      <c r="LIP84" s="205"/>
      <c r="LIQ84" s="205"/>
      <c r="LIR84" s="204"/>
      <c r="LIS84" s="206"/>
      <c r="LIT84" s="205"/>
      <c r="LIU84" s="205"/>
      <c r="LIV84" s="204"/>
      <c r="LIW84" s="206"/>
      <c r="LIX84" s="205"/>
      <c r="LIY84" s="205"/>
      <c r="LIZ84" s="204"/>
      <c r="LJA84" s="206"/>
      <c r="LJB84" s="205"/>
      <c r="LJC84" s="205"/>
      <c r="LJD84" s="204"/>
      <c r="LJE84" s="206"/>
      <c r="LJF84" s="205"/>
      <c r="LJG84" s="205"/>
      <c r="LJH84" s="204"/>
      <c r="LJI84" s="206"/>
      <c r="LJJ84" s="205"/>
      <c r="LJK84" s="205"/>
      <c r="LJL84" s="204"/>
      <c r="LJM84" s="206"/>
      <c r="LJN84" s="205"/>
      <c r="LJO84" s="205"/>
      <c r="LJP84" s="204"/>
      <c r="LJQ84" s="206"/>
      <c r="LJR84" s="205"/>
      <c r="LJS84" s="205"/>
      <c r="LJT84" s="204"/>
      <c r="LJU84" s="206"/>
      <c r="LJV84" s="205"/>
      <c r="LJW84" s="205"/>
      <c r="LJX84" s="204"/>
      <c r="LJY84" s="206"/>
      <c r="LJZ84" s="205"/>
      <c r="LKA84" s="205"/>
      <c r="LKB84" s="204"/>
      <c r="LKC84" s="206"/>
      <c r="LKD84" s="205"/>
      <c r="LKE84" s="205"/>
      <c r="LKF84" s="204"/>
      <c r="LKG84" s="206"/>
      <c r="LKH84" s="205"/>
      <c r="LKI84" s="205"/>
      <c r="LKJ84" s="204"/>
      <c r="LKK84" s="206"/>
      <c r="LKL84" s="205"/>
      <c r="LKM84" s="205"/>
      <c r="LKN84" s="204"/>
      <c r="LKO84" s="206"/>
      <c r="LKP84" s="205"/>
      <c r="LKQ84" s="205"/>
      <c r="LKR84" s="204"/>
      <c r="LKS84" s="206"/>
      <c r="LKT84" s="205"/>
      <c r="LKU84" s="205"/>
      <c r="LKV84" s="204"/>
      <c r="LKW84" s="206"/>
      <c r="LKX84" s="205"/>
      <c r="LKY84" s="205"/>
      <c r="LKZ84" s="204"/>
      <c r="LLA84" s="206"/>
      <c r="LLB84" s="205"/>
      <c r="LLC84" s="205"/>
      <c r="LLD84" s="204"/>
      <c r="LLE84" s="206"/>
      <c r="LLF84" s="205"/>
      <c r="LLG84" s="205"/>
      <c r="LLH84" s="204"/>
      <c r="LLI84" s="206"/>
      <c r="LLJ84" s="205"/>
      <c r="LLK84" s="205"/>
      <c r="LLL84" s="204"/>
      <c r="LLM84" s="206"/>
      <c r="LLN84" s="205"/>
      <c r="LLO84" s="205"/>
      <c r="LLP84" s="204"/>
      <c r="LLQ84" s="206"/>
      <c r="LLR84" s="205"/>
      <c r="LLS84" s="205"/>
      <c r="LLT84" s="204"/>
      <c r="LLU84" s="206"/>
      <c r="LLV84" s="205"/>
      <c r="LLW84" s="205"/>
      <c r="LLX84" s="204"/>
      <c r="LLY84" s="206"/>
      <c r="LLZ84" s="205"/>
      <c r="LMA84" s="205"/>
      <c r="LMB84" s="204"/>
      <c r="LMC84" s="206"/>
      <c r="LMD84" s="205"/>
      <c r="LME84" s="205"/>
      <c r="LMF84" s="204"/>
      <c r="LMG84" s="206"/>
      <c r="LMH84" s="205"/>
      <c r="LMI84" s="205"/>
      <c r="LMJ84" s="204"/>
      <c r="LMK84" s="206"/>
      <c r="LML84" s="205"/>
      <c r="LMM84" s="205"/>
      <c r="LMN84" s="204"/>
      <c r="LMO84" s="206"/>
      <c r="LMP84" s="205"/>
      <c r="LMQ84" s="205"/>
      <c r="LMR84" s="204"/>
      <c r="LMS84" s="206"/>
      <c r="LMT84" s="205"/>
      <c r="LMU84" s="205"/>
      <c r="LMV84" s="204"/>
      <c r="LMW84" s="206"/>
      <c r="LMX84" s="205"/>
      <c r="LMY84" s="205"/>
      <c r="LMZ84" s="204"/>
      <c r="LNA84" s="206"/>
      <c r="LNB84" s="205"/>
      <c r="LNC84" s="205"/>
      <c r="LND84" s="204"/>
      <c r="LNE84" s="206"/>
      <c r="LNF84" s="205"/>
      <c r="LNG84" s="205"/>
      <c r="LNH84" s="204"/>
      <c r="LNI84" s="206"/>
      <c r="LNJ84" s="205"/>
      <c r="LNK84" s="205"/>
      <c r="LNL84" s="204"/>
      <c r="LNM84" s="206"/>
      <c r="LNN84" s="205"/>
      <c r="LNO84" s="205"/>
      <c r="LNP84" s="204"/>
      <c r="LNQ84" s="206"/>
      <c r="LNR84" s="205"/>
      <c r="LNS84" s="205"/>
      <c r="LNT84" s="204"/>
      <c r="LNU84" s="206"/>
      <c r="LNV84" s="205"/>
      <c r="LNW84" s="205"/>
      <c r="LNX84" s="204"/>
      <c r="LNY84" s="206"/>
      <c r="LNZ84" s="205"/>
      <c r="LOA84" s="205"/>
      <c r="LOB84" s="204"/>
      <c r="LOC84" s="206"/>
      <c r="LOD84" s="205"/>
      <c r="LOE84" s="205"/>
      <c r="LOF84" s="204"/>
      <c r="LOG84" s="206"/>
      <c r="LOH84" s="205"/>
      <c r="LOI84" s="205"/>
      <c r="LOJ84" s="204"/>
      <c r="LOK84" s="206"/>
      <c r="LOL84" s="205"/>
      <c r="LOM84" s="205"/>
      <c r="LON84" s="204"/>
      <c r="LOO84" s="206"/>
      <c r="LOP84" s="205"/>
      <c r="LOQ84" s="205"/>
      <c r="LOR84" s="204"/>
      <c r="LOS84" s="206"/>
      <c r="LOT84" s="205"/>
      <c r="LOU84" s="205"/>
      <c r="LOV84" s="204"/>
      <c r="LOW84" s="206"/>
      <c r="LOX84" s="205"/>
      <c r="LOY84" s="205"/>
      <c r="LOZ84" s="204"/>
      <c r="LPA84" s="206"/>
      <c r="LPB84" s="205"/>
      <c r="LPC84" s="205"/>
      <c r="LPD84" s="204"/>
      <c r="LPE84" s="206"/>
      <c r="LPF84" s="205"/>
      <c r="LPG84" s="205"/>
      <c r="LPH84" s="204"/>
      <c r="LPI84" s="206"/>
      <c r="LPJ84" s="205"/>
      <c r="LPK84" s="205"/>
      <c r="LPL84" s="204"/>
      <c r="LPM84" s="206"/>
      <c r="LPN84" s="205"/>
      <c r="LPO84" s="205"/>
      <c r="LPP84" s="204"/>
      <c r="LPQ84" s="206"/>
      <c r="LPR84" s="205"/>
      <c r="LPS84" s="205"/>
      <c r="LPT84" s="204"/>
      <c r="LPU84" s="206"/>
      <c r="LPV84" s="205"/>
      <c r="LPW84" s="205"/>
      <c r="LPX84" s="204"/>
      <c r="LPY84" s="206"/>
      <c r="LPZ84" s="205"/>
      <c r="LQA84" s="205"/>
      <c r="LQB84" s="204"/>
      <c r="LQC84" s="206"/>
      <c r="LQD84" s="205"/>
      <c r="LQE84" s="205"/>
      <c r="LQF84" s="204"/>
      <c r="LQG84" s="206"/>
      <c r="LQH84" s="205"/>
      <c r="LQI84" s="205"/>
      <c r="LQJ84" s="204"/>
      <c r="LQK84" s="206"/>
      <c r="LQL84" s="205"/>
      <c r="LQM84" s="205"/>
      <c r="LQN84" s="204"/>
      <c r="LQO84" s="206"/>
      <c r="LQP84" s="205"/>
      <c r="LQQ84" s="205"/>
      <c r="LQR84" s="204"/>
      <c r="LQS84" s="206"/>
      <c r="LQT84" s="205"/>
      <c r="LQU84" s="205"/>
      <c r="LQV84" s="204"/>
      <c r="LQW84" s="206"/>
      <c r="LQX84" s="205"/>
      <c r="LQY84" s="205"/>
      <c r="LQZ84" s="204"/>
      <c r="LRA84" s="206"/>
      <c r="LRB84" s="205"/>
      <c r="LRC84" s="205"/>
      <c r="LRD84" s="204"/>
      <c r="LRE84" s="206"/>
      <c r="LRF84" s="205"/>
      <c r="LRG84" s="205"/>
      <c r="LRH84" s="204"/>
      <c r="LRI84" s="206"/>
      <c r="LRJ84" s="205"/>
      <c r="LRK84" s="205"/>
      <c r="LRL84" s="204"/>
      <c r="LRM84" s="206"/>
      <c r="LRN84" s="205"/>
      <c r="LRO84" s="205"/>
      <c r="LRP84" s="204"/>
      <c r="LRQ84" s="206"/>
      <c r="LRR84" s="205"/>
      <c r="LRS84" s="205"/>
      <c r="LRT84" s="204"/>
      <c r="LRU84" s="206"/>
      <c r="LRV84" s="205"/>
      <c r="LRW84" s="205"/>
      <c r="LRX84" s="204"/>
      <c r="LRY84" s="206"/>
      <c r="LRZ84" s="205"/>
      <c r="LSA84" s="205"/>
      <c r="LSB84" s="204"/>
      <c r="LSC84" s="206"/>
      <c r="LSD84" s="205"/>
      <c r="LSE84" s="205"/>
      <c r="LSF84" s="204"/>
      <c r="LSG84" s="206"/>
      <c r="LSH84" s="205"/>
      <c r="LSI84" s="205"/>
      <c r="LSJ84" s="204"/>
      <c r="LSK84" s="206"/>
      <c r="LSL84" s="205"/>
      <c r="LSM84" s="205"/>
      <c r="LSN84" s="204"/>
      <c r="LSO84" s="206"/>
      <c r="LSP84" s="205"/>
      <c r="LSQ84" s="205"/>
      <c r="LSR84" s="204"/>
      <c r="LSS84" s="206"/>
      <c r="LST84" s="205"/>
      <c r="LSU84" s="205"/>
      <c r="LSV84" s="204"/>
      <c r="LSW84" s="206"/>
      <c r="LSX84" s="205"/>
      <c r="LSY84" s="205"/>
      <c r="LSZ84" s="204"/>
      <c r="LTA84" s="206"/>
      <c r="LTB84" s="205"/>
      <c r="LTC84" s="205"/>
      <c r="LTD84" s="204"/>
      <c r="LTE84" s="206"/>
      <c r="LTF84" s="205"/>
      <c r="LTG84" s="205"/>
      <c r="LTH84" s="204"/>
      <c r="LTI84" s="206"/>
      <c r="LTJ84" s="205"/>
      <c r="LTK84" s="205"/>
      <c r="LTL84" s="204"/>
      <c r="LTM84" s="206"/>
      <c r="LTN84" s="205"/>
      <c r="LTO84" s="205"/>
      <c r="LTP84" s="204"/>
      <c r="LTQ84" s="206"/>
      <c r="LTR84" s="205"/>
      <c r="LTS84" s="205"/>
      <c r="LTT84" s="204"/>
      <c r="LTU84" s="206"/>
      <c r="LTV84" s="205"/>
      <c r="LTW84" s="205"/>
      <c r="LTX84" s="204"/>
      <c r="LTY84" s="206"/>
      <c r="LTZ84" s="205"/>
      <c r="LUA84" s="205"/>
      <c r="LUB84" s="204"/>
      <c r="LUC84" s="206"/>
      <c r="LUD84" s="205"/>
      <c r="LUE84" s="205"/>
      <c r="LUF84" s="204"/>
      <c r="LUG84" s="206"/>
      <c r="LUH84" s="205"/>
      <c r="LUI84" s="205"/>
      <c r="LUJ84" s="204"/>
      <c r="LUK84" s="206"/>
      <c r="LUL84" s="205"/>
      <c r="LUM84" s="205"/>
      <c r="LUN84" s="204"/>
      <c r="LUO84" s="206"/>
      <c r="LUP84" s="205"/>
      <c r="LUQ84" s="205"/>
      <c r="LUR84" s="204"/>
      <c r="LUS84" s="206"/>
      <c r="LUT84" s="205"/>
      <c r="LUU84" s="205"/>
      <c r="LUV84" s="204"/>
      <c r="LUW84" s="206"/>
      <c r="LUX84" s="205"/>
      <c r="LUY84" s="205"/>
      <c r="LUZ84" s="204"/>
      <c r="LVA84" s="206"/>
      <c r="LVB84" s="205"/>
      <c r="LVC84" s="205"/>
      <c r="LVD84" s="204"/>
      <c r="LVE84" s="206"/>
      <c r="LVF84" s="205"/>
      <c r="LVG84" s="205"/>
      <c r="LVH84" s="204"/>
      <c r="LVI84" s="206"/>
      <c r="LVJ84" s="205"/>
      <c r="LVK84" s="205"/>
      <c r="LVL84" s="204"/>
      <c r="LVM84" s="206"/>
      <c r="LVN84" s="205"/>
      <c r="LVO84" s="205"/>
      <c r="LVP84" s="204"/>
      <c r="LVQ84" s="206"/>
      <c r="LVR84" s="205"/>
      <c r="LVS84" s="205"/>
      <c r="LVT84" s="204"/>
      <c r="LVU84" s="206"/>
      <c r="LVV84" s="205"/>
      <c r="LVW84" s="205"/>
      <c r="LVX84" s="204"/>
      <c r="LVY84" s="206"/>
      <c r="LVZ84" s="205"/>
      <c r="LWA84" s="205"/>
      <c r="LWB84" s="204"/>
      <c r="LWC84" s="206"/>
      <c r="LWD84" s="205"/>
      <c r="LWE84" s="205"/>
      <c r="LWF84" s="204"/>
      <c r="LWG84" s="206"/>
      <c r="LWH84" s="205"/>
      <c r="LWI84" s="205"/>
      <c r="LWJ84" s="204"/>
      <c r="LWK84" s="206"/>
      <c r="LWL84" s="205"/>
      <c r="LWM84" s="205"/>
      <c r="LWN84" s="204"/>
      <c r="LWO84" s="206"/>
      <c r="LWP84" s="205"/>
      <c r="LWQ84" s="205"/>
      <c r="LWR84" s="204"/>
      <c r="LWS84" s="206"/>
      <c r="LWT84" s="205"/>
      <c r="LWU84" s="205"/>
      <c r="LWV84" s="204"/>
      <c r="LWW84" s="206"/>
      <c r="LWX84" s="205"/>
      <c r="LWY84" s="205"/>
      <c r="LWZ84" s="204"/>
      <c r="LXA84" s="206"/>
      <c r="LXB84" s="205"/>
      <c r="LXC84" s="205"/>
      <c r="LXD84" s="204"/>
      <c r="LXE84" s="206"/>
      <c r="LXF84" s="205"/>
      <c r="LXG84" s="205"/>
      <c r="LXH84" s="204"/>
      <c r="LXI84" s="206"/>
      <c r="LXJ84" s="205"/>
      <c r="LXK84" s="205"/>
      <c r="LXL84" s="204"/>
      <c r="LXM84" s="206"/>
      <c r="LXN84" s="205"/>
      <c r="LXO84" s="205"/>
      <c r="LXP84" s="204"/>
      <c r="LXQ84" s="206"/>
      <c r="LXR84" s="205"/>
      <c r="LXS84" s="205"/>
      <c r="LXT84" s="204"/>
      <c r="LXU84" s="206"/>
      <c r="LXV84" s="205"/>
      <c r="LXW84" s="205"/>
      <c r="LXX84" s="204"/>
      <c r="LXY84" s="206"/>
      <c r="LXZ84" s="205"/>
      <c r="LYA84" s="205"/>
      <c r="LYB84" s="204"/>
      <c r="LYC84" s="206"/>
      <c r="LYD84" s="205"/>
      <c r="LYE84" s="205"/>
      <c r="LYF84" s="204"/>
      <c r="LYG84" s="206"/>
      <c r="LYH84" s="205"/>
      <c r="LYI84" s="205"/>
      <c r="LYJ84" s="204"/>
      <c r="LYK84" s="206"/>
      <c r="LYL84" s="205"/>
      <c r="LYM84" s="205"/>
      <c r="LYN84" s="204"/>
      <c r="LYO84" s="206"/>
      <c r="LYP84" s="205"/>
      <c r="LYQ84" s="205"/>
      <c r="LYR84" s="204"/>
      <c r="LYS84" s="206"/>
      <c r="LYT84" s="205"/>
      <c r="LYU84" s="205"/>
      <c r="LYV84" s="204"/>
      <c r="LYW84" s="206"/>
      <c r="LYX84" s="205"/>
      <c r="LYY84" s="205"/>
      <c r="LYZ84" s="204"/>
      <c r="LZA84" s="206"/>
      <c r="LZB84" s="205"/>
      <c r="LZC84" s="205"/>
      <c r="LZD84" s="204"/>
      <c r="LZE84" s="206"/>
      <c r="LZF84" s="205"/>
      <c r="LZG84" s="205"/>
      <c r="LZH84" s="204"/>
      <c r="LZI84" s="206"/>
      <c r="LZJ84" s="205"/>
      <c r="LZK84" s="205"/>
      <c r="LZL84" s="204"/>
      <c r="LZM84" s="206"/>
      <c r="LZN84" s="205"/>
      <c r="LZO84" s="205"/>
      <c r="LZP84" s="204"/>
      <c r="LZQ84" s="206"/>
      <c r="LZR84" s="205"/>
      <c r="LZS84" s="205"/>
      <c r="LZT84" s="204"/>
      <c r="LZU84" s="206"/>
      <c r="LZV84" s="205"/>
      <c r="LZW84" s="205"/>
      <c r="LZX84" s="204"/>
      <c r="LZY84" s="206"/>
      <c r="LZZ84" s="205"/>
      <c r="MAA84" s="205"/>
      <c r="MAB84" s="204"/>
      <c r="MAC84" s="206"/>
      <c r="MAD84" s="205"/>
      <c r="MAE84" s="205"/>
      <c r="MAF84" s="204"/>
      <c r="MAG84" s="206"/>
      <c r="MAH84" s="205"/>
      <c r="MAI84" s="205"/>
      <c r="MAJ84" s="204"/>
      <c r="MAK84" s="206"/>
      <c r="MAL84" s="205"/>
      <c r="MAM84" s="205"/>
      <c r="MAN84" s="204"/>
      <c r="MAO84" s="206"/>
      <c r="MAP84" s="205"/>
      <c r="MAQ84" s="205"/>
      <c r="MAR84" s="204"/>
      <c r="MAS84" s="206"/>
      <c r="MAT84" s="205"/>
      <c r="MAU84" s="205"/>
      <c r="MAV84" s="204"/>
      <c r="MAW84" s="206"/>
      <c r="MAX84" s="205"/>
      <c r="MAY84" s="205"/>
      <c r="MAZ84" s="204"/>
      <c r="MBA84" s="206"/>
      <c r="MBB84" s="205"/>
      <c r="MBC84" s="205"/>
      <c r="MBD84" s="204"/>
      <c r="MBE84" s="206"/>
      <c r="MBF84" s="205"/>
      <c r="MBG84" s="205"/>
      <c r="MBH84" s="204"/>
      <c r="MBI84" s="206"/>
      <c r="MBJ84" s="205"/>
      <c r="MBK84" s="205"/>
      <c r="MBL84" s="204"/>
      <c r="MBM84" s="206"/>
      <c r="MBN84" s="205"/>
      <c r="MBO84" s="205"/>
      <c r="MBP84" s="204"/>
      <c r="MBQ84" s="206"/>
      <c r="MBR84" s="205"/>
      <c r="MBS84" s="205"/>
      <c r="MBT84" s="204"/>
      <c r="MBU84" s="206"/>
      <c r="MBV84" s="205"/>
      <c r="MBW84" s="205"/>
      <c r="MBX84" s="204"/>
      <c r="MBY84" s="206"/>
      <c r="MBZ84" s="205"/>
      <c r="MCA84" s="205"/>
      <c r="MCB84" s="204"/>
      <c r="MCC84" s="206"/>
      <c r="MCD84" s="205"/>
      <c r="MCE84" s="205"/>
      <c r="MCF84" s="204"/>
      <c r="MCG84" s="206"/>
      <c r="MCH84" s="205"/>
      <c r="MCI84" s="205"/>
      <c r="MCJ84" s="204"/>
      <c r="MCK84" s="206"/>
      <c r="MCL84" s="205"/>
      <c r="MCM84" s="205"/>
      <c r="MCN84" s="204"/>
      <c r="MCO84" s="206"/>
      <c r="MCP84" s="205"/>
      <c r="MCQ84" s="205"/>
      <c r="MCR84" s="204"/>
      <c r="MCS84" s="206"/>
      <c r="MCT84" s="205"/>
      <c r="MCU84" s="205"/>
      <c r="MCV84" s="204"/>
      <c r="MCW84" s="206"/>
      <c r="MCX84" s="205"/>
      <c r="MCY84" s="205"/>
      <c r="MCZ84" s="204"/>
      <c r="MDA84" s="206"/>
      <c r="MDB84" s="205"/>
      <c r="MDC84" s="205"/>
      <c r="MDD84" s="204"/>
      <c r="MDE84" s="206"/>
      <c r="MDF84" s="205"/>
      <c r="MDG84" s="205"/>
      <c r="MDH84" s="204"/>
      <c r="MDI84" s="206"/>
      <c r="MDJ84" s="205"/>
      <c r="MDK84" s="205"/>
      <c r="MDL84" s="204"/>
      <c r="MDM84" s="206"/>
      <c r="MDN84" s="205"/>
      <c r="MDO84" s="205"/>
      <c r="MDP84" s="204"/>
      <c r="MDQ84" s="206"/>
      <c r="MDR84" s="205"/>
      <c r="MDS84" s="205"/>
      <c r="MDT84" s="204"/>
      <c r="MDU84" s="206"/>
      <c r="MDV84" s="205"/>
      <c r="MDW84" s="205"/>
      <c r="MDX84" s="204"/>
      <c r="MDY84" s="206"/>
      <c r="MDZ84" s="205"/>
      <c r="MEA84" s="205"/>
      <c r="MEB84" s="204"/>
      <c r="MEC84" s="206"/>
      <c r="MED84" s="205"/>
      <c r="MEE84" s="205"/>
      <c r="MEF84" s="204"/>
      <c r="MEG84" s="206"/>
      <c r="MEH84" s="205"/>
      <c r="MEI84" s="205"/>
      <c r="MEJ84" s="204"/>
      <c r="MEK84" s="206"/>
      <c r="MEL84" s="205"/>
      <c r="MEM84" s="205"/>
      <c r="MEN84" s="204"/>
      <c r="MEO84" s="206"/>
      <c r="MEP84" s="205"/>
      <c r="MEQ84" s="205"/>
      <c r="MER84" s="204"/>
      <c r="MES84" s="206"/>
      <c r="MET84" s="205"/>
      <c r="MEU84" s="205"/>
      <c r="MEV84" s="204"/>
      <c r="MEW84" s="206"/>
      <c r="MEX84" s="205"/>
      <c r="MEY84" s="205"/>
      <c r="MEZ84" s="204"/>
      <c r="MFA84" s="206"/>
      <c r="MFB84" s="205"/>
      <c r="MFC84" s="205"/>
      <c r="MFD84" s="204"/>
      <c r="MFE84" s="206"/>
      <c r="MFF84" s="205"/>
      <c r="MFG84" s="205"/>
      <c r="MFH84" s="204"/>
      <c r="MFI84" s="206"/>
      <c r="MFJ84" s="205"/>
      <c r="MFK84" s="205"/>
      <c r="MFL84" s="204"/>
      <c r="MFM84" s="206"/>
      <c r="MFN84" s="205"/>
      <c r="MFO84" s="205"/>
      <c r="MFP84" s="204"/>
      <c r="MFQ84" s="206"/>
      <c r="MFR84" s="205"/>
      <c r="MFS84" s="205"/>
      <c r="MFT84" s="204"/>
      <c r="MFU84" s="206"/>
      <c r="MFV84" s="205"/>
      <c r="MFW84" s="205"/>
      <c r="MFX84" s="204"/>
      <c r="MFY84" s="206"/>
      <c r="MFZ84" s="205"/>
      <c r="MGA84" s="205"/>
      <c r="MGB84" s="204"/>
      <c r="MGC84" s="206"/>
      <c r="MGD84" s="205"/>
      <c r="MGE84" s="205"/>
      <c r="MGF84" s="204"/>
      <c r="MGG84" s="206"/>
      <c r="MGH84" s="205"/>
      <c r="MGI84" s="205"/>
      <c r="MGJ84" s="204"/>
      <c r="MGK84" s="206"/>
      <c r="MGL84" s="205"/>
      <c r="MGM84" s="205"/>
      <c r="MGN84" s="204"/>
      <c r="MGO84" s="206"/>
      <c r="MGP84" s="205"/>
      <c r="MGQ84" s="205"/>
      <c r="MGR84" s="204"/>
      <c r="MGS84" s="206"/>
      <c r="MGT84" s="205"/>
      <c r="MGU84" s="205"/>
      <c r="MGV84" s="204"/>
      <c r="MGW84" s="206"/>
      <c r="MGX84" s="205"/>
      <c r="MGY84" s="205"/>
      <c r="MGZ84" s="204"/>
      <c r="MHA84" s="206"/>
      <c r="MHB84" s="205"/>
      <c r="MHC84" s="205"/>
      <c r="MHD84" s="204"/>
      <c r="MHE84" s="206"/>
      <c r="MHF84" s="205"/>
      <c r="MHG84" s="205"/>
      <c r="MHH84" s="204"/>
      <c r="MHI84" s="206"/>
      <c r="MHJ84" s="205"/>
      <c r="MHK84" s="205"/>
      <c r="MHL84" s="204"/>
      <c r="MHM84" s="206"/>
      <c r="MHN84" s="205"/>
      <c r="MHO84" s="205"/>
      <c r="MHP84" s="204"/>
      <c r="MHQ84" s="206"/>
      <c r="MHR84" s="205"/>
      <c r="MHS84" s="205"/>
      <c r="MHT84" s="204"/>
      <c r="MHU84" s="206"/>
      <c r="MHV84" s="205"/>
      <c r="MHW84" s="205"/>
      <c r="MHX84" s="204"/>
      <c r="MHY84" s="206"/>
      <c r="MHZ84" s="205"/>
      <c r="MIA84" s="205"/>
      <c r="MIB84" s="204"/>
      <c r="MIC84" s="206"/>
      <c r="MID84" s="205"/>
      <c r="MIE84" s="205"/>
      <c r="MIF84" s="204"/>
      <c r="MIG84" s="206"/>
      <c r="MIH84" s="205"/>
      <c r="MII84" s="205"/>
      <c r="MIJ84" s="204"/>
      <c r="MIK84" s="206"/>
      <c r="MIL84" s="205"/>
      <c r="MIM84" s="205"/>
      <c r="MIN84" s="204"/>
      <c r="MIO84" s="206"/>
      <c r="MIP84" s="205"/>
      <c r="MIQ84" s="205"/>
      <c r="MIR84" s="204"/>
      <c r="MIS84" s="206"/>
      <c r="MIT84" s="205"/>
      <c r="MIU84" s="205"/>
      <c r="MIV84" s="204"/>
      <c r="MIW84" s="206"/>
      <c r="MIX84" s="205"/>
      <c r="MIY84" s="205"/>
      <c r="MIZ84" s="204"/>
      <c r="MJA84" s="206"/>
      <c r="MJB84" s="205"/>
      <c r="MJC84" s="205"/>
      <c r="MJD84" s="204"/>
      <c r="MJE84" s="206"/>
      <c r="MJF84" s="205"/>
      <c r="MJG84" s="205"/>
      <c r="MJH84" s="204"/>
      <c r="MJI84" s="206"/>
      <c r="MJJ84" s="205"/>
      <c r="MJK84" s="205"/>
      <c r="MJL84" s="204"/>
      <c r="MJM84" s="206"/>
      <c r="MJN84" s="205"/>
      <c r="MJO84" s="205"/>
      <c r="MJP84" s="204"/>
      <c r="MJQ84" s="206"/>
      <c r="MJR84" s="205"/>
      <c r="MJS84" s="205"/>
      <c r="MJT84" s="204"/>
      <c r="MJU84" s="206"/>
      <c r="MJV84" s="205"/>
      <c r="MJW84" s="205"/>
      <c r="MJX84" s="204"/>
      <c r="MJY84" s="206"/>
      <c r="MJZ84" s="205"/>
      <c r="MKA84" s="205"/>
      <c r="MKB84" s="204"/>
      <c r="MKC84" s="206"/>
      <c r="MKD84" s="205"/>
      <c r="MKE84" s="205"/>
      <c r="MKF84" s="204"/>
      <c r="MKG84" s="206"/>
      <c r="MKH84" s="205"/>
      <c r="MKI84" s="205"/>
      <c r="MKJ84" s="204"/>
      <c r="MKK84" s="206"/>
      <c r="MKL84" s="205"/>
      <c r="MKM84" s="205"/>
      <c r="MKN84" s="204"/>
      <c r="MKO84" s="206"/>
      <c r="MKP84" s="205"/>
      <c r="MKQ84" s="205"/>
      <c r="MKR84" s="204"/>
      <c r="MKS84" s="206"/>
      <c r="MKT84" s="205"/>
      <c r="MKU84" s="205"/>
      <c r="MKV84" s="204"/>
      <c r="MKW84" s="206"/>
      <c r="MKX84" s="205"/>
      <c r="MKY84" s="205"/>
      <c r="MKZ84" s="204"/>
      <c r="MLA84" s="206"/>
      <c r="MLB84" s="205"/>
      <c r="MLC84" s="205"/>
      <c r="MLD84" s="204"/>
      <c r="MLE84" s="206"/>
      <c r="MLF84" s="205"/>
      <c r="MLG84" s="205"/>
      <c r="MLH84" s="204"/>
      <c r="MLI84" s="206"/>
      <c r="MLJ84" s="205"/>
      <c r="MLK84" s="205"/>
      <c r="MLL84" s="204"/>
      <c r="MLM84" s="206"/>
      <c r="MLN84" s="205"/>
      <c r="MLO84" s="205"/>
      <c r="MLP84" s="204"/>
      <c r="MLQ84" s="206"/>
      <c r="MLR84" s="205"/>
      <c r="MLS84" s="205"/>
      <c r="MLT84" s="204"/>
      <c r="MLU84" s="206"/>
      <c r="MLV84" s="205"/>
      <c r="MLW84" s="205"/>
      <c r="MLX84" s="204"/>
      <c r="MLY84" s="206"/>
      <c r="MLZ84" s="205"/>
      <c r="MMA84" s="205"/>
      <c r="MMB84" s="204"/>
      <c r="MMC84" s="206"/>
      <c r="MMD84" s="205"/>
      <c r="MME84" s="205"/>
      <c r="MMF84" s="204"/>
      <c r="MMG84" s="206"/>
      <c r="MMH84" s="205"/>
      <c r="MMI84" s="205"/>
      <c r="MMJ84" s="204"/>
      <c r="MMK84" s="206"/>
      <c r="MML84" s="205"/>
      <c r="MMM84" s="205"/>
      <c r="MMN84" s="204"/>
      <c r="MMO84" s="206"/>
      <c r="MMP84" s="205"/>
      <c r="MMQ84" s="205"/>
      <c r="MMR84" s="204"/>
      <c r="MMS84" s="206"/>
      <c r="MMT84" s="205"/>
      <c r="MMU84" s="205"/>
      <c r="MMV84" s="204"/>
      <c r="MMW84" s="206"/>
      <c r="MMX84" s="205"/>
      <c r="MMY84" s="205"/>
      <c r="MMZ84" s="204"/>
      <c r="MNA84" s="206"/>
      <c r="MNB84" s="205"/>
      <c r="MNC84" s="205"/>
      <c r="MND84" s="204"/>
      <c r="MNE84" s="206"/>
      <c r="MNF84" s="205"/>
      <c r="MNG84" s="205"/>
      <c r="MNH84" s="204"/>
      <c r="MNI84" s="206"/>
      <c r="MNJ84" s="205"/>
      <c r="MNK84" s="205"/>
      <c r="MNL84" s="204"/>
      <c r="MNM84" s="206"/>
      <c r="MNN84" s="205"/>
      <c r="MNO84" s="205"/>
      <c r="MNP84" s="204"/>
      <c r="MNQ84" s="206"/>
      <c r="MNR84" s="205"/>
      <c r="MNS84" s="205"/>
      <c r="MNT84" s="204"/>
      <c r="MNU84" s="206"/>
      <c r="MNV84" s="205"/>
      <c r="MNW84" s="205"/>
      <c r="MNX84" s="204"/>
      <c r="MNY84" s="206"/>
      <c r="MNZ84" s="205"/>
      <c r="MOA84" s="205"/>
      <c r="MOB84" s="204"/>
      <c r="MOC84" s="206"/>
      <c r="MOD84" s="205"/>
      <c r="MOE84" s="205"/>
      <c r="MOF84" s="204"/>
      <c r="MOG84" s="206"/>
      <c r="MOH84" s="205"/>
      <c r="MOI84" s="205"/>
      <c r="MOJ84" s="204"/>
      <c r="MOK84" s="206"/>
      <c r="MOL84" s="205"/>
      <c r="MOM84" s="205"/>
      <c r="MON84" s="204"/>
      <c r="MOO84" s="206"/>
      <c r="MOP84" s="205"/>
      <c r="MOQ84" s="205"/>
      <c r="MOR84" s="204"/>
      <c r="MOS84" s="206"/>
      <c r="MOT84" s="205"/>
      <c r="MOU84" s="205"/>
      <c r="MOV84" s="204"/>
      <c r="MOW84" s="206"/>
      <c r="MOX84" s="205"/>
      <c r="MOY84" s="205"/>
      <c r="MOZ84" s="204"/>
      <c r="MPA84" s="206"/>
      <c r="MPB84" s="205"/>
      <c r="MPC84" s="205"/>
      <c r="MPD84" s="204"/>
      <c r="MPE84" s="206"/>
      <c r="MPF84" s="205"/>
      <c r="MPG84" s="205"/>
      <c r="MPH84" s="204"/>
      <c r="MPI84" s="206"/>
      <c r="MPJ84" s="205"/>
      <c r="MPK84" s="205"/>
      <c r="MPL84" s="204"/>
      <c r="MPM84" s="206"/>
      <c r="MPN84" s="205"/>
      <c r="MPO84" s="205"/>
      <c r="MPP84" s="204"/>
      <c r="MPQ84" s="206"/>
      <c r="MPR84" s="205"/>
      <c r="MPS84" s="205"/>
      <c r="MPT84" s="204"/>
      <c r="MPU84" s="206"/>
      <c r="MPV84" s="205"/>
      <c r="MPW84" s="205"/>
      <c r="MPX84" s="204"/>
      <c r="MPY84" s="206"/>
      <c r="MPZ84" s="205"/>
      <c r="MQA84" s="205"/>
      <c r="MQB84" s="204"/>
      <c r="MQC84" s="206"/>
      <c r="MQD84" s="205"/>
      <c r="MQE84" s="205"/>
      <c r="MQF84" s="204"/>
      <c r="MQG84" s="206"/>
      <c r="MQH84" s="205"/>
      <c r="MQI84" s="205"/>
      <c r="MQJ84" s="204"/>
      <c r="MQK84" s="206"/>
      <c r="MQL84" s="205"/>
      <c r="MQM84" s="205"/>
      <c r="MQN84" s="204"/>
      <c r="MQO84" s="206"/>
      <c r="MQP84" s="205"/>
      <c r="MQQ84" s="205"/>
      <c r="MQR84" s="204"/>
      <c r="MQS84" s="206"/>
      <c r="MQT84" s="205"/>
      <c r="MQU84" s="205"/>
      <c r="MQV84" s="204"/>
      <c r="MQW84" s="206"/>
      <c r="MQX84" s="205"/>
      <c r="MQY84" s="205"/>
      <c r="MQZ84" s="204"/>
      <c r="MRA84" s="206"/>
      <c r="MRB84" s="205"/>
      <c r="MRC84" s="205"/>
      <c r="MRD84" s="204"/>
      <c r="MRE84" s="206"/>
      <c r="MRF84" s="205"/>
      <c r="MRG84" s="205"/>
      <c r="MRH84" s="204"/>
      <c r="MRI84" s="206"/>
      <c r="MRJ84" s="205"/>
      <c r="MRK84" s="205"/>
      <c r="MRL84" s="204"/>
      <c r="MRM84" s="206"/>
      <c r="MRN84" s="205"/>
      <c r="MRO84" s="205"/>
      <c r="MRP84" s="204"/>
      <c r="MRQ84" s="206"/>
      <c r="MRR84" s="205"/>
      <c r="MRS84" s="205"/>
      <c r="MRT84" s="204"/>
      <c r="MRU84" s="206"/>
      <c r="MRV84" s="205"/>
      <c r="MRW84" s="205"/>
      <c r="MRX84" s="204"/>
      <c r="MRY84" s="206"/>
      <c r="MRZ84" s="205"/>
      <c r="MSA84" s="205"/>
      <c r="MSB84" s="204"/>
      <c r="MSC84" s="206"/>
      <c r="MSD84" s="205"/>
      <c r="MSE84" s="205"/>
      <c r="MSF84" s="204"/>
      <c r="MSG84" s="206"/>
      <c r="MSH84" s="205"/>
      <c r="MSI84" s="205"/>
      <c r="MSJ84" s="204"/>
      <c r="MSK84" s="206"/>
      <c r="MSL84" s="205"/>
      <c r="MSM84" s="205"/>
      <c r="MSN84" s="204"/>
      <c r="MSO84" s="206"/>
      <c r="MSP84" s="205"/>
      <c r="MSQ84" s="205"/>
      <c r="MSR84" s="204"/>
      <c r="MSS84" s="206"/>
      <c r="MST84" s="205"/>
      <c r="MSU84" s="205"/>
      <c r="MSV84" s="204"/>
      <c r="MSW84" s="206"/>
      <c r="MSX84" s="205"/>
      <c r="MSY84" s="205"/>
      <c r="MSZ84" s="204"/>
      <c r="MTA84" s="206"/>
      <c r="MTB84" s="205"/>
      <c r="MTC84" s="205"/>
      <c r="MTD84" s="204"/>
      <c r="MTE84" s="206"/>
      <c r="MTF84" s="205"/>
      <c r="MTG84" s="205"/>
      <c r="MTH84" s="204"/>
      <c r="MTI84" s="206"/>
      <c r="MTJ84" s="205"/>
      <c r="MTK84" s="205"/>
      <c r="MTL84" s="204"/>
      <c r="MTM84" s="206"/>
      <c r="MTN84" s="205"/>
      <c r="MTO84" s="205"/>
      <c r="MTP84" s="204"/>
      <c r="MTQ84" s="206"/>
      <c r="MTR84" s="205"/>
      <c r="MTS84" s="205"/>
      <c r="MTT84" s="204"/>
      <c r="MTU84" s="206"/>
      <c r="MTV84" s="205"/>
      <c r="MTW84" s="205"/>
      <c r="MTX84" s="204"/>
      <c r="MTY84" s="206"/>
      <c r="MTZ84" s="205"/>
      <c r="MUA84" s="205"/>
      <c r="MUB84" s="204"/>
      <c r="MUC84" s="206"/>
      <c r="MUD84" s="205"/>
      <c r="MUE84" s="205"/>
      <c r="MUF84" s="204"/>
      <c r="MUG84" s="206"/>
      <c r="MUH84" s="205"/>
      <c r="MUI84" s="205"/>
      <c r="MUJ84" s="204"/>
      <c r="MUK84" s="206"/>
      <c r="MUL84" s="205"/>
      <c r="MUM84" s="205"/>
      <c r="MUN84" s="204"/>
      <c r="MUO84" s="206"/>
      <c r="MUP84" s="205"/>
      <c r="MUQ84" s="205"/>
      <c r="MUR84" s="204"/>
      <c r="MUS84" s="206"/>
      <c r="MUT84" s="205"/>
      <c r="MUU84" s="205"/>
      <c r="MUV84" s="204"/>
      <c r="MUW84" s="206"/>
      <c r="MUX84" s="205"/>
      <c r="MUY84" s="205"/>
      <c r="MUZ84" s="204"/>
      <c r="MVA84" s="206"/>
      <c r="MVB84" s="205"/>
      <c r="MVC84" s="205"/>
      <c r="MVD84" s="204"/>
      <c r="MVE84" s="206"/>
      <c r="MVF84" s="205"/>
      <c r="MVG84" s="205"/>
      <c r="MVH84" s="204"/>
      <c r="MVI84" s="206"/>
      <c r="MVJ84" s="205"/>
      <c r="MVK84" s="205"/>
      <c r="MVL84" s="204"/>
      <c r="MVM84" s="206"/>
      <c r="MVN84" s="205"/>
      <c r="MVO84" s="205"/>
      <c r="MVP84" s="204"/>
      <c r="MVQ84" s="206"/>
      <c r="MVR84" s="205"/>
      <c r="MVS84" s="205"/>
      <c r="MVT84" s="204"/>
      <c r="MVU84" s="206"/>
      <c r="MVV84" s="205"/>
      <c r="MVW84" s="205"/>
      <c r="MVX84" s="204"/>
      <c r="MVY84" s="206"/>
      <c r="MVZ84" s="205"/>
      <c r="MWA84" s="205"/>
      <c r="MWB84" s="204"/>
      <c r="MWC84" s="206"/>
      <c r="MWD84" s="205"/>
      <c r="MWE84" s="205"/>
      <c r="MWF84" s="204"/>
      <c r="MWG84" s="206"/>
      <c r="MWH84" s="205"/>
      <c r="MWI84" s="205"/>
      <c r="MWJ84" s="204"/>
      <c r="MWK84" s="206"/>
      <c r="MWL84" s="205"/>
      <c r="MWM84" s="205"/>
      <c r="MWN84" s="204"/>
      <c r="MWO84" s="206"/>
      <c r="MWP84" s="205"/>
      <c r="MWQ84" s="205"/>
      <c r="MWR84" s="204"/>
      <c r="MWS84" s="206"/>
      <c r="MWT84" s="205"/>
      <c r="MWU84" s="205"/>
      <c r="MWV84" s="204"/>
      <c r="MWW84" s="206"/>
      <c r="MWX84" s="205"/>
      <c r="MWY84" s="205"/>
      <c r="MWZ84" s="204"/>
      <c r="MXA84" s="206"/>
      <c r="MXB84" s="205"/>
      <c r="MXC84" s="205"/>
      <c r="MXD84" s="204"/>
      <c r="MXE84" s="206"/>
      <c r="MXF84" s="205"/>
      <c r="MXG84" s="205"/>
      <c r="MXH84" s="204"/>
      <c r="MXI84" s="206"/>
      <c r="MXJ84" s="205"/>
      <c r="MXK84" s="205"/>
      <c r="MXL84" s="204"/>
      <c r="MXM84" s="206"/>
      <c r="MXN84" s="205"/>
      <c r="MXO84" s="205"/>
      <c r="MXP84" s="204"/>
      <c r="MXQ84" s="206"/>
      <c r="MXR84" s="205"/>
      <c r="MXS84" s="205"/>
      <c r="MXT84" s="204"/>
      <c r="MXU84" s="206"/>
      <c r="MXV84" s="205"/>
      <c r="MXW84" s="205"/>
      <c r="MXX84" s="204"/>
      <c r="MXY84" s="206"/>
      <c r="MXZ84" s="205"/>
      <c r="MYA84" s="205"/>
      <c r="MYB84" s="204"/>
      <c r="MYC84" s="206"/>
      <c r="MYD84" s="205"/>
      <c r="MYE84" s="205"/>
      <c r="MYF84" s="204"/>
      <c r="MYG84" s="206"/>
      <c r="MYH84" s="205"/>
      <c r="MYI84" s="205"/>
      <c r="MYJ84" s="204"/>
      <c r="MYK84" s="206"/>
      <c r="MYL84" s="205"/>
      <c r="MYM84" s="205"/>
      <c r="MYN84" s="204"/>
      <c r="MYO84" s="206"/>
      <c r="MYP84" s="205"/>
      <c r="MYQ84" s="205"/>
      <c r="MYR84" s="204"/>
      <c r="MYS84" s="206"/>
      <c r="MYT84" s="205"/>
      <c r="MYU84" s="205"/>
      <c r="MYV84" s="204"/>
      <c r="MYW84" s="206"/>
      <c r="MYX84" s="205"/>
      <c r="MYY84" s="205"/>
      <c r="MYZ84" s="204"/>
      <c r="MZA84" s="206"/>
      <c r="MZB84" s="205"/>
      <c r="MZC84" s="205"/>
      <c r="MZD84" s="204"/>
      <c r="MZE84" s="206"/>
      <c r="MZF84" s="205"/>
      <c r="MZG84" s="205"/>
      <c r="MZH84" s="204"/>
      <c r="MZI84" s="206"/>
      <c r="MZJ84" s="205"/>
      <c r="MZK84" s="205"/>
      <c r="MZL84" s="204"/>
      <c r="MZM84" s="206"/>
      <c r="MZN84" s="205"/>
      <c r="MZO84" s="205"/>
      <c r="MZP84" s="204"/>
      <c r="MZQ84" s="206"/>
      <c r="MZR84" s="205"/>
      <c r="MZS84" s="205"/>
      <c r="MZT84" s="204"/>
      <c r="MZU84" s="206"/>
      <c r="MZV84" s="205"/>
      <c r="MZW84" s="205"/>
      <c r="MZX84" s="204"/>
      <c r="MZY84" s="206"/>
      <c r="MZZ84" s="205"/>
      <c r="NAA84" s="205"/>
      <c r="NAB84" s="204"/>
      <c r="NAC84" s="206"/>
      <c r="NAD84" s="205"/>
      <c r="NAE84" s="205"/>
      <c r="NAF84" s="204"/>
      <c r="NAG84" s="206"/>
      <c r="NAH84" s="205"/>
      <c r="NAI84" s="205"/>
      <c r="NAJ84" s="204"/>
      <c r="NAK84" s="206"/>
      <c r="NAL84" s="205"/>
      <c r="NAM84" s="205"/>
      <c r="NAN84" s="204"/>
      <c r="NAO84" s="206"/>
      <c r="NAP84" s="205"/>
      <c r="NAQ84" s="205"/>
      <c r="NAR84" s="204"/>
      <c r="NAS84" s="206"/>
      <c r="NAT84" s="205"/>
      <c r="NAU84" s="205"/>
      <c r="NAV84" s="204"/>
      <c r="NAW84" s="206"/>
      <c r="NAX84" s="205"/>
      <c r="NAY84" s="205"/>
      <c r="NAZ84" s="204"/>
      <c r="NBA84" s="206"/>
      <c r="NBB84" s="205"/>
      <c r="NBC84" s="205"/>
      <c r="NBD84" s="204"/>
      <c r="NBE84" s="206"/>
      <c r="NBF84" s="205"/>
      <c r="NBG84" s="205"/>
      <c r="NBH84" s="204"/>
      <c r="NBI84" s="206"/>
      <c r="NBJ84" s="205"/>
      <c r="NBK84" s="205"/>
      <c r="NBL84" s="204"/>
      <c r="NBM84" s="206"/>
      <c r="NBN84" s="205"/>
      <c r="NBO84" s="205"/>
      <c r="NBP84" s="204"/>
      <c r="NBQ84" s="206"/>
      <c r="NBR84" s="205"/>
      <c r="NBS84" s="205"/>
      <c r="NBT84" s="204"/>
      <c r="NBU84" s="206"/>
      <c r="NBV84" s="205"/>
      <c r="NBW84" s="205"/>
      <c r="NBX84" s="204"/>
      <c r="NBY84" s="206"/>
      <c r="NBZ84" s="205"/>
      <c r="NCA84" s="205"/>
      <c r="NCB84" s="204"/>
      <c r="NCC84" s="206"/>
      <c r="NCD84" s="205"/>
      <c r="NCE84" s="205"/>
      <c r="NCF84" s="204"/>
      <c r="NCG84" s="206"/>
      <c r="NCH84" s="205"/>
      <c r="NCI84" s="205"/>
      <c r="NCJ84" s="204"/>
      <c r="NCK84" s="206"/>
      <c r="NCL84" s="205"/>
      <c r="NCM84" s="205"/>
      <c r="NCN84" s="204"/>
      <c r="NCO84" s="206"/>
      <c r="NCP84" s="205"/>
      <c r="NCQ84" s="205"/>
      <c r="NCR84" s="204"/>
      <c r="NCS84" s="206"/>
      <c r="NCT84" s="205"/>
      <c r="NCU84" s="205"/>
      <c r="NCV84" s="204"/>
      <c r="NCW84" s="206"/>
      <c r="NCX84" s="205"/>
      <c r="NCY84" s="205"/>
      <c r="NCZ84" s="204"/>
      <c r="NDA84" s="206"/>
      <c r="NDB84" s="205"/>
      <c r="NDC84" s="205"/>
      <c r="NDD84" s="204"/>
      <c r="NDE84" s="206"/>
      <c r="NDF84" s="205"/>
      <c r="NDG84" s="205"/>
      <c r="NDH84" s="204"/>
      <c r="NDI84" s="206"/>
      <c r="NDJ84" s="205"/>
      <c r="NDK84" s="205"/>
      <c r="NDL84" s="204"/>
      <c r="NDM84" s="206"/>
      <c r="NDN84" s="205"/>
      <c r="NDO84" s="205"/>
      <c r="NDP84" s="204"/>
      <c r="NDQ84" s="206"/>
      <c r="NDR84" s="205"/>
      <c r="NDS84" s="205"/>
      <c r="NDT84" s="204"/>
      <c r="NDU84" s="206"/>
      <c r="NDV84" s="205"/>
      <c r="NDW84" s="205"/>
      <c r="NDX84" s="204"/>
      <c r="NDY84" s="206"/>
      <c r="NDZ84" s="205"/>
      <c r="NEA84" s="205"/>
      <c r="NEB84" s="204"/>
      <c r="NEC84" s="206"/>
      <c r="NED84" s="205"/>
      <c r="NEE84" s="205"/>
      <c r="NEF84" s="204"/>
      <c r="NEG84" s="206"/>
      <c r="NEH84" s="205"/>
      <c r="NEI84" s="205"/>
      <c r="NEJ84" s="204"/>
      <c r="NEK84" s="206"/>
      <c r="NEL84" s="205"/>
      <c r="NEM84" s="205"/>
      <c r="NEN84" s="204"/>
      <c r="NEO84" s="206"/>
      <c r="NEP84" s="205"/>
      <c r="NEQ84" s="205"/>
      <c r="NER84" s="204"/>
      <c r="NES84" s="206"/>
      <c r="NET84" s="205"/>
      <c r="NEU84" s="205"/>
      <c r="NEV84" s="204"/>
      <c r="NEW84" s="206"/>
      <c r="NEX84" s="205"/>
      <c r="NEY84" s="205"/>
      <c r="NEZ84" s="204"/>
      <c r="NFA84" s="206"/>
      <c r="NFB84" s="205"/>
      <c r="NFC84" s="205"/>
      <c r="NFD84" s="204"/>
      <c r="NFE84" s="206"/>
      <c r="NFF84" s="205"/>
      <c r="NFG84" s="205"/>
      <c r="NFH84" s="204"/>
      <c r="NFI84" s="206"/>
      <c r="NFJ84" s="205"/>
      <c r="NFK84" s="205"/>
      <c r="NFL84" s="204"/>
      <c r="NFM84" s="206"/>
      <c r="NFN84" s="205"/>
      <c r="NFO84" s="205"/>
      <c r="NFP84" s="204"/>
      <c r="NFQ84" s="206"/>
      <c r="NFR84" s="205"/>
      <c r="NFS84" s="205"/>
      <c r="NFT84" s="204"/>
      <c r="NFU84" s="206"/>
      <c r="NFV84" s="205"/>
      <c r="NFW84" s="205"/>
      <c r="NFX84" s="204"/>
      <c r="NFY84" s="206"/>
      <c r="NFZ84" s="205"/>
      <c r="NGA84" s="205"/>
      <c r="NGB84" s="204"/>
      <c r="NGC84" s="206"/>
      <c r="NGD84" s="205"/>
      <c r="NGE84" s="205"/>
      <c r="NGF84" s="204"/>
      <c r="NGG84" s="206"/>
      <c r="NGH84" s="205"/>
      <c r="NGI84" s="205"/>
      <c r="NGJ84" s="204"/>
      <c r="NGK84" s="206"/>
      <c r="NGL84" s="205"/>
      <c r="NGM84" s="205"/>
      <c r="NGN84" s="204"/>
      <c r="NGO84" s="206"/>
      <c r="NGP84" s="205"/>
      <c r="NGQ84" s="205"/>
      <c r="NGR84" s="204"/>
      <c r="NGS84" s="206"/>
      <c r="NGT84" s="205"/>
      <c r="NGU84" s="205"/>
      <c r="NGV84" s="204"/>
      <c r="NGW84" s="206"/>
      <c r="NGX84" s="205"/>
      <c r="NGY84" s="205"/>
      <c r="NGZ84" s="204"/>
      <c r="NHA84" s="206"/>
      <c r="NHB84" s="205"/>
      <c r="NHC84" s="205"/>
      <c r="NHD84" s="204"/>
      <c r="NHE84" s="206"/>
      <c r="NHF84" s="205"/>
      <c r="NHG84" s="205"/>
      <c r="NHH84" s="204"/>
      <c r="NHI84" s="206"/>
      <c r="NHJ84" s="205"/>
      <c r="NHK84" s="205"/>
      <c r="NHL84" s="204"/>
      <c r="NHM84" s="206"/>
      <c r="NHN84" s="205"/>
      <c r="NHO84" s="205"/>
      <c r="NHP84" s="204"/>
      <c r="NHQ84" s="206"/>
      <c r="NHR84" s="205"/>
      <c r="NHS84" s="205"/>
      <c r="NHT84" s="204"/>
      <c r="NHU84" s="206"/>
      <c r="NHV84" s="205"/>
      <c r="NHW84" s="205"/>
      <c r="NHX84" s="204"/>
      <c r="NHY84" s="206"/>
      <c r="NHZ84" s="205"/>
      <c r="NIA84" s="205"/>
      <c r="NIB84" s="204"/>
      <c r="NIC84" s="206"/>
      <c r="NID84" s="205"/>
      <c r="NIE84" s="205"/>
      <c r="NIF84" s="204"/>
      <c r="NIG84" s="206"/>
      <c r="NIH84" s="205"/>
      <c r="NII84" s="205"/>
      <c r="NIJ84" s="204"/>
      <c r="NIK84" s="206"/>
      <c r="NIL84" s="205"/>
      <c r="NIM84" s="205"/>
      <c r="NIN84" s="204"/>
      <c r="NIO84" s="206"/>
      <c r="NIP84" s="205"/>
      <c r="NIQ84" s="205"/>
      <c r="NIR84" s="204"/>
      <c r="NIS84" s="206"/>
      <c r="NIT84" s="205"/>
      <c r="NIU84" s="205"/>
      <c r="NIV84" s="204"/>
      <c r="NIW84" s="206"/>
      <c r="NIX84" s="205"/>
      <c r="NIY84" s="205"/>
      <c r="NIZ84" s="204"/>
      <c r="NJA84" s="206"/>
      <c r="NJB84" s="205"/>
      <c r="NJC84" s="205"/>
      <c r="NJD84" s="204"/>
      <c r="NJE84" s="206"/>
      <c r="NJF84" s="205"/>
      <c r="NJG84" s="205"/>
      <c r="NJH84" s="204"/>
      <c r="NJI84" s="206"/>
      <c r="NJJ84" s="205"/>
      <c r="NJK84" s="205"/>
      <c r="NJL84" s="204"/>
      <c r="NJM84" s="206"/>
      <c r="NJN84" s="205"/>
      <c r="NJO84" s="205"/>
      <c r="NJP84" s="204"/>
      <c r="NJQ84" s="206"/>
      <c r="NJR84" s="205"/>
      <c r="NJS84" s="205"/>
      <c r="NJT84" s="204"/>
      <c r="NJU84" s="206"/>
      <c r="NJV84" s="205"/>
      <c r="NJW84" s="205"/>
      <c r="NJX84" s="204"/>
      <c r="NJY84" s="206"/>
      <c r="NJZ84" s="205"/>
      <c r="NKA84" s="205"/>
      <c r="NKB84" s="204"/>
      <c r="NKC84" s="206"/>
      <c r="NKD84" s="205"/>
      <c r="NKE84" s="205"/>
      <c r="NKF84" s="204"/>
      <c r="NKG84" s="206"/>
      <c r="NKH84" s="205"/>
      <c r="NKI84" s="205"/>
      <c r="NKJ84" s="204"/>
      <c r="NKK84" s="206"/>
      <c r="NKL84" s="205"/>
      <c r="NKM84" s="205"/>
      <c r="NKN84" s="204"/>
      <c r="NKO84" s="206"/>
      <c r="NKP84" s="205"/>
      <c r="NKQ84" s="205"/>
      <c r="NKR84" s="204"/>
      <c r="NKS84" s="206"/>
      <c r="NKT84" s="205"/>
      <c r="NKU84" s="205"/>
      <c r="NKV84" s="204"/>
      <c r="NKW84" s="206"/>
      <c r="NKX84" s="205"/>
      <c r="NKY84" s="205"/>
      <c r="NKZ84" s="204"/>
      <c r="NLA84" s="206"/>
      <c r="NLB84" s="205"/>
      <c r="NLC84" s="205"/>
      <c r="NLD84" s="204"/>
      <c r="NLE84" s="206"/>
      <c r="NLF84" s="205"/>
      <c r="NLG84" s="205"/>
      <c r="NLH84" s="204"/>
      <c r="NLI84" s="206"/>
      <c r="NLJ84" s="205"/>
      <c r="NLK84" s="205"/>
      <c r="NLL84" s="204"/>
      <c r="NLM84" s="206"/>
      <c r="NLN84" s="205"/>
      <c r="NLO84" s="205"/>
      <c r="NLP84" s="204"/>
      <c r="NLQ84" s="206"/>
      <c r="NLR84" s="205"/>
      <c r="NLS84" s="205"/>
      <c r="NLT84" s="204"/>
      <c r="NLU84" s="206"/>
      <c r="NLV84" s="205"/>
      <c r="NLW84" s="205"/>
      <c r="NLX84" s="204"/>
      <c r="NLY84" s="206"/>
      <c r="NLZ84" s="205"/>
      <c r="NMA84" s="205"/>
      <c r="NMB84" s="204"/>
      <c r="NMC84" s="206"/>
      <c r="NMD84" s="205"/>
      <c r="NME84" s="205"/>
      <c r="NMF84" s="204"/>
      <c r="NMG84" s="206"/>
      <c r="NMH84" s="205"/>
      <c r="NMI84" s="205"/>
      <c r="NMJ84" s="204"/>
      <c r="NMK84" s="206"/>
      <c r="NML84" s="205"/>
      <c r="NMM84" s="205"/>
      <c r="NMN84" s="204"/>
      <c r="NMO84" s="206"/>
      <c r="NMP84" s="205"/>
      <c r="NMQ84" s="205"/>
      <c r="NMR84" s="204"/>
      <c r="NMS84" s="206"/>
      <c r="NMT84" s="205"/>
      <c r="NMU84" s="205"/>
      <c r="NMV84" s="204"/>
      <c r="NMW84" s="206"/>
      <c r="NMX84" s="205"/>
      <c r="NMY84" s="205"/>
      <c r="NMZ84" s="204"/>
      <c r="NNA84" s="206"/>
      <c r="NNB84" s="205"/>
      <c r="NNC84" s="205"/>
      <c r="NND84" s="204"/>
      <c r="NNE84" s="206"/>
      <c r="NNF84" s="205"/>
      <c r="NNG84" s="205"/>
      <c r="NNH84" s="204"/>
      <c r="NNI84" s="206"/>
      <c r="NNJ84" s="205"/>
      <c r="NNK84" s="205"/>
      <c r="NNL84" s="204"/>
      <c r="NNM84" s="206"/>
      <c r="NNN84" s="205"/>
      <c r="NNO84" s="205"/>
      <c r="NNP84" s="204"/>
      <c r="NNQ84" s="206"/>
      <c r="NNR84" s="205"/>
      <c r="NNS84" s="205"/>
      <c r="NNT84" s="204"/>
      <c r="NNU84" s="206"/>
      <c r="NNV84" s="205"/>
      <c r="NNW84" s="205"/>
      <c r="NNX84" s="204"/>
      <c r="NNY84" s="206"/>
      <c r="NNZ84" s="205"/>
      <c r="NOA84" s="205"/>
      <c r="NOB84" s="204"/>
      <c r="NOC84" s="206"/>
      <c r="NOD84" s="205"/>
      <c r="NOE84" s="205"/>
      <c r="NOF84" s="204"/>
      <c r="NOG84" s="206"/>
      <c r="NOH84" s="205"/>
      <c r="NOI84" s="205"/>
      <c r="NOJ84" s="204"/>
      <c r="NOK84" s="206"/>
      <c r="NOL84" s="205"/>
      <c r="NOM84" s="205"/>
      <c r="NON84" s="204"/>
      <c r="NOO84" s="206"/>
      <c r="NOP84" s="205"/>
      <c r="NOQ84" s="205"/>
      <c r="NOR84" s="204"/>
      <c r="NOS84" s="206"/>
      <c r="NOT84" s="205"/>
      <c r="NOU84" s="205"/>
      <c r="NOV84" s="204"/>
      <c r="NOW84" s="206"/>
      <c r="NOX84" s="205"/>
      <c r="NOY84" s="205"/>
      <c r="NOZ84" s="204"/>
      <c r="NPA84" s="206"/>
      <c r="NPB84" s="205"/>
      <c r="NPC84" s="205"/>
      <c r="NPD84" s="204"/>
      <c r="NPE84" s="206"/>
      <c r="NPF84" s="205"/>
      <c r="NPG84" s="205"/>
      <c r="NPH84" s="204"/>
      <c r="NPI84" s="206"/>
      <c r="NPJ84" s="205"/>
      <c r="NPK84" s="205"/>
      <c r="NPL84" s="204"/>
      <c r="NPM84" s="206"/>
      <c r="NPN84" s="205"/>
      <c r="NPO84" s="205"/>
      <c r="NPP84" s="204"/>
      <c r="NPQ84" s="206"/>
      <c r="NPR84" s="205"/>
      <c r="NPS84" s="205"/>
      <c r="NPT84" s="204"/>
      <c r="NPU84" s="206"/>
      <c r="NPV84" s="205"/>
      <c r="NPW84" s="205"/>
      <c r="NPX84" s="204"/>
      <c r="NPY84" s="206"/>
      <c r="NPZ84" s="205"/>
      <c r="NQA84" s="205"/>
      <c r="NQB84" s="204"/>
      <c r="NQC84" s="206"/>
      <c r="NQD84" s="205"/>
      <c r="NQE84" s="205"/>
      <c r="NQF84" s="204"/>
      <c r="NQG84" s="206"/>
      <c r="NQH84" s="205"/>
      <c r="NQI84" s="205"/>
      <c r="NQJ84" s="204"/>
      <c r="NQK84" s="206"/>
      <c r="NQL84" s="205"/>
      <c r="NQM84" s="205"/>
      <c r="NQN84" s="204"/>
      <c r="NQO84" s="206"/>
      <c r="NQP84" s="205"/>
      <c r="NQQ84" s="205"/>
      <c r="NQR84" s="204"/>
      <c r="NQS84" s="206"/>
      <c r="NQT84" s="205"/>
      <c r="NQU84" s="205"/>
      <c r="NQV84" s="204"/>
      <c r="NQW84" s="206"/>
      <c r="NQX84" s="205"/>
      <c r="NQY84" s="205"/>
      <c r="NQZ84" s="204"/>
      <c r="NRA84" s="206"/>
      <c r="NRB84" s="205"/>
      <c r="NRC84" s="205"/>
      <c r="NRD84" s="204"/>
      <c r="NRE84" s="206"/>
      <c r="NRF84" s="205"/>
      <c r="NRG84" s="205"/>
      <c r="NRH84" s="204"/>
      <c r="NRI84" s="206"/>
      <c r="NRJ84" s="205"/>
      <c r="NRK84" s="205"/>
      <c r="NRL84" s="204"/>
      <c r="NRM84" s="206"/>
      <c r="NRN84" s="205"/>
      <c r="NRO84" s="205"/>
      <c r="NRP84" s="204"/>
      <c r="NRQ84" s="206"/>
      <c r="NRR84" s="205"/>
      <c r="NRS84" s="205"/>
      <c r="NRT84" s="204"/>
      <c r="NRU84" s="206"/>
      <c r="NRV84" s="205"/>
      <c r="NRW84" s="205"/>
      <c r="NRX84" s="204"/>
      <c r="NRY84" s="206"/>
      <c r="NRZ84" s="205"/>
      <c r="NSA84" s="205"/>
      <c r="NSB84" s="204"/>
      <c r="NSC84" s="206"/>
      <c r="NSD84" s="205"/>
      <c r="NSE84" s="205"/>
      <c r="NSF84" s="204"/>
      <c r="NSG84" s="206"/>
      <c r="NSH84" s="205"/>
      <c r="NSI84" s="205"/>
      <c r="NSJ84" s="204"/>
      <c r="NSK84" s="206"/>
      <c r="NSL84" s="205"/>
      <c r="NSM84" s="205"/>
      <c r="NSN84" s="204"/>
      <c r="NSO84" s="206"/>
      <c r="NSP84" s="205"/>
      <c r="NSQ84" s="205"/>
      <c r="NSR84" s="204"/>
      <c r="NSS84" s="206"/>
      <c r="NST84" s="205"/>
      <c r="NSU84" s="205"/>
      <c r="NSV84" s="204"/>
      <c r="NSW84" s="206"/>
      <c r="NSX84" s="205"/>
      <c r="NSY84" s="205"/>
      <c r="NSZ84" s="204"/>
      <c r="NTA84" s="206"/>
      <c r="NTB84" s="205"/>
      <c r="NTC84" s="205"/>
      <c r="NTD84" s="204"/>
      <c r="NTE84" s="206"/>
      <c r="NTF84" s="205"/>
      <c r="NTG84" s="205"/>
      <c r="NTH84" s="204"/>
      <c r="NTI84" s="206"/>
      <c r="NTJ84" s="205"/>
      <c r="NTK84" s="205"/>
      <c r="NTL84" s="204"/>
      <c r="NTM84" s="206"/>
      <c r="NTN84" s="205"/>
      <c r="NTO84" s="205"/>
      <c r="NTP84" s="204"/>
      <c r="NTQ84" s="206"/>
      <c r="NTR84" s="205"/>
      <c r="NTS84" s="205"/>
      <c r="NTT84" s="204"/>
      <c r="NTU84" s="206"/>
      <c r="NTV84" s="205"/>
      <c r="NTW84" s="205"/>
      <c r="NTX84" s="204"/>
      <c r="NTY84" s="206"/>
      <c r="NTZ84" s="205"/>
      <c r="NUA84" s="205"/>
      <c r="NUB84" s="204"/>
      <c r="NUC84" s="206"/>
      <c r="NUD84" s="205"/>
      <c r="NUE84" s="205"/>
      <c r="NUF84" s="204"/>
      <c r="NUG84" s="206"/>
      <c r="NUH84" s="205"/>
      <c r="NUI84" s="205"/>
      <c r="NUJ84" s="204"/>
      <c r="NUK84" s="206"/>
      <c r="NUL84" s="205"/>
      <c r="NUM84" s="205"/>
      <c r="NUN84" s="204"/>
      <c r="NUO84" s="206"/>
      <c r="NUP84" s="205"/>
      <c r="NUQ84" s="205"/>
      <c r="NUR84" s="204"/>
      <c r="NUS84" s="206"/>
      <c r="NUT84" s="205"/>
      <c r="NUU84" s="205"/>
      <c r="NUV84" s="204"/>
      <c r="NUW84" s="206"/>
      <c r="NUX84" s="205"/>
      <c r="NUY84" s="205"/>
      <c r="NUZ84" s="204"/>
      <c r="NVA84" s="206"/>
      <c r="NVB84" s="205"/>
      <c r="NVC84" s="205"/>
      <c r="NVD84" s="204"/>
      <c r="NVE84" s="206"/>
      <c r="NVF84" s="205"/>
      <c r="NVG84" s="205"/>
      <c r="NVH84" s="204"/>
      <c r="NVI84" s="206"/>
      <c r="NVJ84" s="205"/>
      <c r="NVK84" s="205"/>
      <c r="NVL84" s="204"/>
      <c r="NVM84" s="206"/>
      <c r="NVN84" s="205"/>
      <c r="NVO84" s="205"/>
      <c r="NVP84" s="204"/>
      <c r="NVQ84" s="206"/>
      <c r="NVR84" s="205"/>
      <c r="NVS84" s="205"/>
      <c r="NVT84" s="204"/>
      <c r="NVU84" s="206"/>
      <c r="NVV84" s="205"/>
      <c r="NVW84" s="205"/>
      <c r="NVX84" s="204"/>
      <c r="NVY84" s="206"/>
      <c r="NVZ84" s="205"/>
      <c r="NWA84" s="205"/>
      <c r="NWB84" s="204"/>
      <c r="NWC84" s="206"/>
      <c r="NWD84" s="205"/>
      <c r="NWE84" s="205"/>
      <c r="NWF84" s="204"/>
      <c r="NWG84" s="206"/>
      <c r="NWH84" s="205"/>
      <c r="NWI84" s="205"/>
      <c r="NWJ84" s="204"/>
      <c r="NWK84" s="206"/>
      <c r="NWL84" s="205"/>
      <c r="NWM84" s="205"/>
      <c r="NWN84" s="204"/>
      <c r="NWO84" s="206"/>
      <c r="NWP84" s="205"/>
      <c r="NWQ84" s="205"/>
      <c r="NWR84" s="204"/>
      <c r="NWS84" s="206"/>
      <c r="NWT84" s="205"/>
      <c r="NWU84" s="205"/>
      <c r="NWV84" s="204"/>
      <c r="NWW84" s="206"/>
      <c r="NWX84" s="205"/>
      <c r="NWY84" s="205"/>
      <c r="NWZ84" s="204"/>
      <c r="NXA84" s="206"/>
      <c r="NXB84" s="205"/>
      <c r="NXC84" s="205"/>
      <c r="NXD84" s="204"/>
      <c r="NXE84" s="206"/>
      <c r="NXF84" s="205"/>
      <c r="NXG84" s="205"/>
      <c r="NXH84" s="204"/>
      <c r="NXI84" s="206"/>
      <c r="NXJ84" s="205"/>
      <c r="NXK84" s="205"/>
      <c r="NXL84" s="204"/>
      <c r="NXM84" s="206"/>
      <c r="NXN84" s="205"/>
      <c r="NXO84" s="205"/>
      <c r="NXP84" s="204"/>
      <c r="NXQ84" s="206"/>
      <c r="NXR84" s="205"/>
      <c r="NXS84" s="205"/>
      <c r="NXT84" s="204"/>
      <c r="NXU84" s="206"/>
      <c r="NXV84" s="205"/>
      <c r="NXW84" s="205"/>
      <c r="NXX84" s="204"/>
      <c r="NXY84" s="206"/>
      <c r="NXZ84" s="205"/>
      <c r="NYA84" s="205"/>
      <c r="NYB84" s="204"/>
      <c r="NYC84" s="206"/>
      <c r="NYD84" s="205"/>
      <c r="NYE84" s="205"/>
      <c r="NYF84" s="204"/>
      <c r="NYG84" s="206"/>
      <c r="NYH84" s="205"/>
      <c r="NYI84" s="205"/>
      <c r="NYJ84" s="204"/>
      <c r="NYK84" s="206"/>
      <c r="NYL84" s="205"/>
      <c r="NYM84" s="205"/>
      <c r="NYN84" s="204"/>
      <c r="NYO84" s="206"/>
      <c r="NYP84" s="205"/>
      <c r="NYQ84" s="205"/>
      <c r="NYR84" s="204"/>
      <c r="NYS84" s="206"/>
      <c r="NYT84" s="205"/>
      <c r="NYU84" s="205"/>
      <c r="NYV84" s="204"/>
      <c r="NYW84" s="206"/>
      <c r="NYX84" s="205"/>
      <c r="NYY84" s="205"/>
      <c r="NYZ84" s="204"/>
      <c r="NZA84" s="206"/>
      <c r="NZB84" s="205"/>
      <c r="NZC84" s="205"/>
      <c r="NZD84" s="204"/>
      <c r="NZE84" s="206"/>
      <c r="NZF84" s="205"/>
      <c r="NZG84" s="205"/>
      <c r="NZH84" s="204"/>
      <c r="NZI84" s="206"/>
      <c r="NZJ84" s="205"/>
      <c r="NZK84" s="205"/>
      <c r="NZL84" s="204"/>
      <c r="NZM84" s="206"/>
      <c r="NZN84" s="205"/>
      <c r="NZO84" s="205"/>
      <c r="NZP84" s="204"/>
      <c r="NZQ84" s="206"/>
      <c r="NZR84" s="205"/>
      <c r="NZS84" s="205"/>
      <c r="NZT84" s="204"/>
      <c r="NZU84" s="206"/>
      <c r="NZV84" s="205"/>
      <c r="NZW84" s="205"/>
      <c r="NZX84" s="204"/>
      <c r="NZY84" s="206"/>
      <c r="NZZ84" s="205"/>
      <c r="OAA84" s="205"/>
      <c r="OAB84" s="204"/>
      <c r="OAC84" s="206"/>
      <c r="OAD84" s="205"/>
      <c r="OAE84" s="205"/>
      <c r="OAF84" s="204"/>
      <c r="OAG84" s="206"/>
      <c r="OAH84" s="205"/>
      <c r="OAI84" s="205"/>
      <c r="OAJ84" s="204"/>
      <c r="OAK84" s="206"/>
      <c r="OAL84" s="205"/>
      <c r="OAM84" s="205"/>
      <c r="OAN84" s="204"/>
      <c r="OAO84" s="206"/>
      <c r="OAP84" s="205"/>
      <c r="OAQ84" s="205"/>
      <c r="OAR84" s="204"/>
      <c r="OAS84" s="206"/>
      <c r="OAT84" s="205"/>
      <c r="OAU84" s="205"/>
      <c r="OAV84" s="204"/>
      <c r="OAW84" s="206"/>
      <c r="OAX84" s="205"/>
      <c r="OAY84" s="205"/>
      <c r="OAZ84" s="204"/>
      <c r="OBA84" s="206"/>
      <c r="OBB84" s="205"/>
      <c r="OBC84" s="205"/>
      <c r="OBD84" s="204"/>
      <c r="OBE84" s="206"/>
      <c r="OBF84" s="205"/>
      <c r="OBG84" s="205"/>
      <c r="OBH84" s="204"/>
      <c r="OBI84" s="206"/>
      <c r="OBJ84" s="205"/>
      <c r="OBK84" s="205"/>
      <c r="OBL84" s="204"/>
      <c r="OBM84" s="206"/>
      <c r="OBN84" s="205"/>
      <c r="OBO84" s="205"/>
      <c r="OBP84" s="204"/>
      <c r="OBQ84" s="206"/>
      <c r="OBR84" s="205"/>
      <c r="OBS84" s="205"/>
      <c r="OBT84" s="204"/>
      <c r="OBU84" s="206"/>
      <c r="OBV84" s="205"/>
      <c r="OBW84" s="205"/>
      <c r="OBX84" s="204"/>
      <c r="OBY84" s="206"/>
      <c r="OBZ84" s="205"/>
      <c r="OCA84" s="205"/>
      <c r="OCB84" s="204"/>
      <c r="OCC84" s="206"/>
      <c r="OCD84" s="205"/>
      <c r="OCE84" s="205"/>
      <c r="OCF84" s="204"/>
      <c r="OCG84" s="206"/>
      <c r="OCH84" s="205"/>
      <c r="OCI84" s="205"/>
      <c r="OCJ84" s="204"/>
      <c r="OCK84" s="206"/>
      <c r="OCL84" s="205"/>
      <c r="OCM84" s="205"/>
      <c r="OCN84" s="204"/>
      <c r="OCO84" s="206"/>
      <c r="OCP84" s="205"/>
      <c r="OCQ84" s="205"/>
      <c r="OCR84" s="204"/>
      <c r="OCS84" s="206"/>
      <c r="OCT84" s="205"/>
      <c r="OCU84" s="205"/>
      <c r="OCV84" s="204"/>
      <c r="OCW84" s="206"/>
      <c r="OCX84" s="205"/>
      <c r="OCY84" s="205"/>
      <c r="OCZ84" s="204"/>
      <c r="ODA84" s="206"/>
      <c r="ODB84" s="205"/>
      <c r="ODC84" s="205"/>
      <c r="ODD84" s="204"/>
      <c r="ODE84" s="206"/>
      <c r="ODF84" s="205"/>
      <c r="ODG84" s="205"/>
      <c r="ODH84" s="204"/>
      <c r="ODI84" s="206"/>
      <c r="ODJ84" s="205"/>
      <c r="ODK84" s="205"/>
      <c r="ODL84" s="204"/>
      <c r="ODM84" s="206"/>
      <c r="ODN84" s="205"/>
      <c r="ODO84" s="205"/>
      <c r="ODP84" s="204"/>
      <c r="ODQ84" s="206"/>
      <c r="ODR84" s="205"/>
      <c r="ODS84" s="205"/>
      <c r="ODT84" s="204"/>
      <c r="ODU84" s="206"/>
      <c r="ODV84" s="205"/>
      <c r="ODW84" s="205"/>
      <c r="ODX84" s="204"/>
      <c r="ODY84" s="206"/>
      <c r="ODZ84" s="205"/>
      <c r="OEA84" s="205"/>
      <c r="OEB84" s="204"/>
      <c r="OEC84" s="206"/>
      <c r="OED84" s="205"/>
      <c r="OEE84" s="205"/>
      <c r="OEF84" s="204"/>
      <c r="OEG84" s="206"/>
      <c r="OEH84" s="205"/>
      <c r="OEI84" s="205"/>
      <c r="OEJ84" s="204"/>
      <c r="OEK84" s="206"/>
      <c r="OEL84" s="205"/>
      <c r="OEM84" s="205"/>
      <c r="OEN84" s="204"/>
      <c r="OEO84" s="206"/>
      <c r="OEP84" s="205"/>
      <c r="OEQ84" s="205"/>
      <c r="OER84" s="204"/>
      <c r="OES84" s="206"/>
      <c r="OET84" s="205"/>
      <c r="OEU84" s="205"/>
      <c r="OEV84" s="204"/>
      <c r="OEW84" s="206"/>
      <c r="OEX84" s="205"/>
      <c r="OEY84" s="205"/>
      <c r="OEZ84" s="204"/>
      <c r="OFA84" s="206"/>
      <c r="OFB84" s="205"/>
      <c r="OFC84" s="205"/>
      <c r="OFD84" s="204"/>
      <c r="OFE84" s="206"/>
      <c r="OFF84" s="205"/>
      <c r="OFG84" s="205"/>
      <c r="OFH84" s="204"/>
      <c r="OFI84" s="206"/>
      <c r="OFJ84" s="205"/>
      <c r="OFK84" s="205"/>
      <c r="OFL84" s="204"/>
      <c r="OFM84" s="206"/>
      <c r="OFN84" s="205"/>
      <c r="OFO84" s="205"/>
      <c r="OFP84" s="204"/>
      <c r="OFQ84" s="206"/>
      <c r="OFR84" s="205"/>
      <c r="OFS84" s="205"/>
      <c r="OFT84" s="204"/>
      <c r="OFU84" s="206"/>
      <c r="OFV84" s="205"/>
      <c r="OFW84" s="205"/>
      <c r="OFX84" s="204"/>
      <c r="OFY84" s="206"/>
      <c r="OFZ84" s="205"/>
      <c r="OGA84" s="205"/>
      <c r="OGB84" s="204"/>
      <c r="OGC84" s="206"/>
      <c r="OGD84" s="205"/>
      <c r="OGE84" s="205"/>
      <c r="OGF84" s="204"/>
      <c r="OGG84" s="206"/>
      <c r="OGH84" s="205"/>
      <c r="OGI84" s="205"/>
      <c r="OGJ84" s="204"/>
      <c r="OGK84" s="206"/>
      <c r="OGL84" s="205"/>
      <c r="OGM84" s="205"/>
      <c r="OGN84" s="204"/>
      <c r="OGO84" s="206"/>
      <c r="OGP84" s="205"/>
      <c r="OGQ84" s="205"/>
      <c r="OGR84" s="204"/>
      <c r="OGS84" s="206"/>
      <c r="OGT84" s="205"/>
      <c r="OGU84" s="205"/>
      <c r="OGV84" s="204"/>
      <c r="OGW84" s="206"/>
      <c r="OGX84" s="205"/>
      <c r="OGY84" s="205"/>
      <c r="OGZ84" s="204"/>
      <c r="OHA84" s="206"/>
      <c r="OHB84" s="205"/>
      <c r="OHC84" s="205"/>
      <c r="OHD84" s="204"/>
      <c r="OHE84" s="206"/>
      <c r="OHF84" s="205"/>
      <c r="OHG84" s="205"/>
      <c r="OHH84" s="204"/>
      <c r="OHI84" s="206"/>
      <c r="OHJ84" s="205"/>
      <c r="OHK84" s="205"/>
      <c r="OHL84" s="204"/>
      <c r="OHM84" s="206"/>
      <c r="OHN84" s="205"/>
      <c r="OHO84" s="205"/>
      <c r="OHP84" s="204"/>
      <c r="OHQ84" s="206"/>
      <c r="OHR84" s="205"/>
      <c r="OHS84" s="205"/>
      <c r="OHT84" s="204"/>
      <c r="OHU84" s="206"/>
      <c r="OHV84" s="205"/>
      <c r="OHW84" s="205"/>
      <c r="OHX84" s="204"/>
      <c r="OHY84" s="206"/>
      <c r="OHZ84" s="205"/>
      <c r="OIA84" s="205"/>
      <c r="OIB84" s="204"/>
      <c r="OIC84" s="206"/>
      <c r="OID84" s="205"/>
      <c r="OIE84" s="205"/>
      <c r="OIF84" s="204"/>
      <c r="OIG84" s="206"/>
      <c r="OIH84" s="205"/>
      <c r="OII84" s="205"/>
      <c r="OIJ84" s="204"/>
      <c r="OIK84" s="206"/>
      <c r="OIL84" s="205"/>
      <c r="OIM84" s="205"/>
      <c r="OIN84" s="204"/>
      <c r="OIO84" s="206"/>
      <c r="OIP84" s="205"/>
      <c r="OIQ84" s="205"/>
      <c r="OIR84" s="204"/>
      <c r="OIS84" s="206"/>
      <c r="OIT84" s="205"/>
      <c r="OIU84" s="205"/>
      <c r="OIV84" s="204"/>
      <c r="OIW84" s="206"/>
      <c r="OIX84" s="205"/>
      <c r="OIY84" s="205"/>
      <c r="OIZ84" s="204"/>
      <c r="OJA84" s="206"/>
      <c r="OJB84" s="205"/>
      <c r="OJC84" s="205"/>
      <c r="OJD84" s="204"/>
      <c r="OJE84" s="206"/>
      <c r="OJF84" s="205"/>
      <c r="OJG84" s="205"/>
      <c r="OJH84" s="204"/>
      <c r="OJI84" s="206"/>
      <c r="OJJ84" s="205"/>
      <c r="OJK84" s="205"/>
      <c r="OJL84" s="204"/>
      <c r="OJM84" s="206"/>
      <c r="OJN84" s="205"/>
      <c r="OJO84" s="205"/>
      <c r="OJP84" s="204"/>
      <c r="OJQ84" s="206"/>
      <c r="OJR84" s="205"/>
      <c r="OJS84" s="205"/>
      <c r="OJT84" s="204"/>
      <c r="OJU84" s="206"/>
      <c r="OJV84" s="205"/>
      <c r="OJW84" s="205"/>
      <c r="OJX84" s="204"/>
      <c r="OJY84" s="206"/>
      <c r="OJZ84" s="205"/>
      <c r="OKA84" s="205"/>
      <c r="OKB84" s="204"/>
      <c r="OKC84" s="206"/>
      <c r="OKD84" s="205"/>
      <c r="OKE84" s="205"/>
      <c r="OKF84" s="204"/>
      <c r="OKG84" s="206"/>
      <c r="OKH84" s="205"/>
      <c r="OKI84" s="205"/>
      <c r="OKJ84" s="204"/>
      <c r="OKK84" s="206"/>
      <c r="OKL84" s="205"/>
      <c r="OKM84" s="205"/>
      <c r="OKN84" s="204"/>
      <c r="OKO84" s="206"/>
      <c r="OKP84" s="205"/>
      <c r="OKQ84" s="205"/>
      <c r="OKR84" s="204"/>
      <c r="OKS84" s="206"/>
      <c r="OKT84" s="205"/>
      <c r="OKU84" s="205"/>
      <c r="OKV84" s="204"/>
      <c r="OKW84" s="206"/>
      <c r="OKX84" s="205"/>
      <c r="OKY84" s="205"/>
      <c r="OKZ84" s="204"/>
      <c r="OLA84" s="206"/>
      <c r="OLB84" s="205"/>
      <c r="OLC84" s="205"/>
      <c r="OLD84" s="204"/>
      <c r="OLE84" s="206"/>
      <c r="OLF84" s="205"/>
      <c r="OLG84" s="205"/>
      <c r="OLH84" s="204"/>
      <c r="OLI84" s="206"/>
      <c r="OLJ84" s="205"/>
      <c r="OLK84" s="205"/>
      <c r="OLL84" s="204"/>
      <c r="OLM84" s="206"/>
      <c r="OLN84" s="205"/>
      <c r="OLO84" s="205"/>
      <c r="OLP84" s="204"/>
      <c r="OLQ84" s="206"/>
      <c r="OLR84" s="205"/>
      <c r="OLS84" s="205"/>
      <c r="OLT84" s="204"/>
      <c r="OLU84" s="206"/>
      <c r="OLV84" s="205"/>
      <c r="OLW84" s="205"/>
      <c r="OLX84" s="204"/>
      <c r="OLY84" s="206"/>
      <c r="OLZ84" s="205"/>
      <c r="OMA84" s="205"/>
      <c r="OMB84" s="204"/>
      <c r="OMC84" s="206"/>
      <c r="OMD84" s="205"/>
      <c r="OME84" s="205"/>
      <c r="OMF84" s="204"/>
      <c r="OMG84" s="206"/>
      <c r="OMH84" s="205"/>
      <c r="OMI84" s="205"/>
      <c r="OMJ84" s="204"/>
      <c r="OMK84" s="206"/>
      <c r="OML84" s="205"/>
      <c r="OMM84" s="205"/>
      <c r="OMN84" s="204"/>
      <c r="OMO84" s="206"/>
      <c r="OMP84" s="205"/>
      <c r="OMQ84" s="205"/>
      <c r="OMR84" s="204"/>
      <c r="OMS84" s="206"/>
      <c r="OMT84" s="205"/>
      <c r="OMU84" s="205"/>
      <c r="OMV84" s="204"/>
      <c r="OMW84" s="206"/>
      <c r="OMX84" s="205"/>
      <c r="OMY84" s="205"/>
      <c r="OMZ84" s="204"/>
      <c r="ONA84" s="206"/>
      <c r="ONB84" s="205"/>
      <c r="ONC84" s="205"/>
      <c r="OND84" s="204"/>
      <c r="ONE84" s="206"/>
      <c r="ONF84" s="205"/>
      <c r="ONG84" s="205"/>
      <c r="ONH84" s="204"/>
      <c r="ONI84" s="206"/>
      <c r="ONJ84" s="205"/>
      <c r="ONK84" s="205"/>
      <c r="ONL84" s="204"/>
      <c r="ONM84" s="206"/>
      <c r="ONN84" s="205"/>
      <c r="ONO84" s="205"/>
      <c r="ONP84" s="204"/>
      <c r="ONQ84" s="206"/>
      <c r="ONR84" s="205"/>
      <c r="ONS84" s="205"/>
      <c r="ONT84" s="204"/>
      <c r="ONU84" s="206"/>
      <c r="ONV84" s="205"/>
      <c r="ONW84" s="205"/>
      <c r="ONX84" s="204"/>
      <c r="ONY84" s="206"/>
      <c r="ONZ84" s="205"/>
      <c r="OOA84" s="205"/>
      <c r="OOB84" s="204"/>
      <c r="OOC84" s="206"/>
      <c r="OOD84" s="205"/>
      <c r="OOE84" s="205"/>
      <c r="OOF84" s="204"/>
      <c r="OOG84" s="206"/>
      <c r="OOH84" s="205"/>
      <c r="OOI84" s="205"/>
      <c r="OOJ84" s="204"/>
      <c r="OOK84" s="206"/>
      <c r="OOL84" s="205"/>
      <c r="OOM84" s="205"/>
      <c r="OON84" s="204"/>
      <c r="OOO84" s="206"/>
      <c r="OOP84" s="205"/>
      <c r="OOQ84" s="205"/>
      <c r="OOR84" s="204"/>
      <c r="OOS84" s="206"/>
      <c r="OOT84" s="205"/>
      <c r="OOU84" s="205"/>
      <c r="OOV84" s="204"/>
      <c r="OOW84" s="206"/>
      <c r="OOX84" s="205"/>
      <c r="OOY84" s="205"/>
      <c r="OOZ84" s="204"/>
      <c r="OPA84" s="206"/>
      <c r="OPB84" s="205"/>
      <c r="OPC84" s="205"/>
      <c r="OPD84" s="204"/>
      <c r="OPE84" s="206"/>
      <c r="OPF84" s="205"/>
      <c r="OPG84" s="205"/>
      <c r="OPH84" s="204"/>
      <c r="OPI84" s="206"/>
      <c r="OPJ84" s="205"/>
      <c r="OPK84" s="205"/>
      <c r="OPL84" s="204"/>
      <c r="OPM84" s="206"/>
      <c r="OPN84" s="205"/>
      <c r="OPO84" s="205"/>
      <c r="OPP84" s="204"/>
      <c r="OPQ84" s="206"/>
      <c r="OPR84" s="205"/>
      <c r="OPS84" s="205"/>
      <c r="OPT84" s="204"/>
      <c r="OPU84" s="206"/>
      <c r="OPV84" s="205"/>
      <c r="OPW84" s="205"/>
      <c r="OPX84" s="204"/>
      <c r="OPY84" s="206"/>
      <c r="OPZ84" s="205"/>
      <c r="OQA84" s="205"/>
      <c r="OQB84" s="204"/>
      <c r="OQC84" s="206"/>
      <c r="OQD84" s="205"/>
      <c r="OQE84" s="205"/>
      <c r="OQF84" s="204"/>
      <c r="OQG84" s="206"/>
      <c r="OQH84" s="205"/>
      <c r="OQI84" s="205"/>
      <c r="OQJ84" s="204"/>
      <c r="OQK84" s="206"/>
      <c r="OQL84" s="205"/>
      <c r="OQM84" s="205"/>
      <c r="OQN84" s="204"/>
      <c r="OQO84" s="206"/>
      <c r="OQP84" s="205"/>
      <c r="OQQ84" s="205"/>
      <c r="OQR84" s="204"/>
      <c r="OQS84" s="206"/>
      <c r="OQT84" s="205"/>
      <c r="OQU84" s="205"/>
      <c r="OQV84" s="204"/>
      <c r="OQW84" s="206"/>
      <c r="OQX84" s="205"/>
      <c r="OQY84" s="205"/>
      <c r="OQZ84" s="204"/>
      <c r="ORA84" s="206"/>
      <c r="ORB84" s="205"/>
      <c r="ORC84" s="205"/>
      <c r="ORD84" s="204"/>
      <c r="ORE84" s="206"/>
      <c r="ORF84" s="205"/>
      <c r="ORG84" s="205"/>
      <c r="ORH84" s="204"/>
      <c r="ORI84" s="206"/>
      <c r="ORJ84" s="205"/>
      <c r="ORK84" s="205"/>
      <c r="ORL84" s="204"/>
      <c r="ORM84" s="206"/>
      <c r="ORN84" s="205"/>
      <c r="ORO84" s="205"/>
      <c r="ORP84" s="204"/>
      <c r="ORQ84" s="206"/>
      <c r="ORR84" s="205"/>
      <c r="ORS84" s="205"/>
      <c r="ORT84" s="204"/>
      <c r="ORU84" s="206"/>
      <c r="ORV84" s="205"/>
      <c r="ORW84" s="205"/>
      <c r="ORX84" s="204"/>
      <c r="ORY84" s="206"/>
      <c r="ORZ84" s="205"/>
      <c r="OSA84" s="205"/>
      <c r="OSB84" s="204"/>
      <c r="OSC84" s="206"/>
      <c r="OSD84" s="205"/>
      <c r="OSE84" s="205"/>
      <c r="OSF84" s="204"/>
      <c r="OSG84" s="206"/>
      <c r="OSH84" s="205"/>
      <c r="OSI84" s="205"/>
      <c r="OSJ84" s="204"/>
      <c r="OSK84" s="206"/>
      <c r="OSL84" s="205"/>
      <c r="OSM84" s="205"/>
      <c r="OSN84" s="204"/>
      <c r="OSO84" s="206"/>
      <c r="OSP84" s="205"/>
      <c r="OSQ84" s="205"/>
      <c r="OSR84" s="204"/>
      <c r="OSS84" s="206"/>
      <c r="OST84" s="205"/>
      <c r="OSU84" s="205"/>
      <c r="OSV84" s="204"/>
      <c r="OSW84" s="206"/>
      <c r="OSX84" s="205"/>
      <c r="OSY84" s="205"/>
      <c r="OSZ84" s="204"/>
      <c r="OTA84" s="206"/>
      <c r="OTB84" s="205"/>
      <c r="OTC84" s="205"/>
      <c r="OTD84" s="204"/>
      <c r="OTE84" s="206"/>
      <c r="OTF84" s="205"/>
      <c r="OTG84" s="205"/>
      <c r="OTH84" s="204"/>
      <c r="OTI84" s="206"/>
      <c r="OTJ84" s="205"/>
      <c r="OTK84" s="205"/>
      <c r="OTL84" s="204"/>
      <c r="OTM84" s="206"/>
      <c r="OTN84" s="205"/>
      <c r="OTO84" s="205"/>
      <c r="OTP84" s="204"/>
      <c r="OTQ84" s="206"/>
      <c r="OTR84" s="205"/>
      <c r="OTS84" s="205"/>
      <c r="OTT84" s="204"/>
      <c r="OTU84" s="206"/>
      <c r="OTV84" s="205"/>
      <c r="OTW84" s="205"/>
      <c r="OTX84" s="204"/>
      <c r="OTY84" s="206"/>
      <c r="OTZ84" s="205"/>
      <c r="OUA84" s="205"/>
      <c r="OUB84" s="204"/>
      <c r="OUC84" s="206"/>
      <c r="OUD84" s="205"/>
      <c r="OUE84" s="205"/>
      <c r="OUF84" s="204"/>
      <c r="OUG84" s="206"/>
      <c r="OUH84" s="205"/>
      <c r="OUI84" s="205"/>
      <c r="OUJ84" s="204"/>
      <c r="OUK84" s="206"/>
      <c r="OUL84" s="205"/>
      <c r="OUM84" s="205"/>
      <c r="OUN84" s="204"/>
      <c r="OUO84" s="206"/>
      <c r="OUP84" s="205"/>
      <c r="OUQ84" s="205"/>
      <c r="OUR84" s="204"/>
      <c r="OUS84" s="206"/>
      <c r="OUT84" s="205"/>
      <c r="OUU84" s="205"/>
      <c r="OUV84" s="204"/>
      <c r="OUW84" s="206"/>
      <c r="OUX84" s="205"/>
      <c r="OUY84" s="205"/>
      <c r="OUZ84" s="204"/>
      <c r="OVA84" s="206"/>
      <c r="OVB84" s="205"/>
      <c r="OVC84" s="205"/>
      <c r="OVD84" s="204"/>
      <c r="OVE84" s="206"/>
      <c r="OVF84" s="205"/>
      <c r="OVG84" s="205"/>
      <c r="OVH84" s="204"/>
      <c r="OVI84" s="206"/>
      <c r="OVJ84" s="205"/>
      <c r="OVK84" s="205"/>
      <c r="OVL84" s="204"/>
      <c r="OVM84" s="206"/>
      <c r="OVN84" s="205"/>
      <c r="OVO84" s="205"/>
      <c r="OVP84" s="204"/>
      <c r="OVQ84" s="206"/>
      <c r="OVR84" s="205"/>
      <c r="OVS84" s="205"/>
      <c r="OVT84" s="204"/>
      <c r="OVU84" s="206"/>
      <c r="OVV84" s="205"/>
      <c r="OVW84" s="205"/>
      <c r="OVX84" s="204"/>
      <c r="OVY84" s="206"/>
      <c r="OVZ84" s="205"/>
      <c r="OWA84" s="205"/>
      <c r="OWB84" s="204"/>
      <c r="OWC84" s="206"/>
      <c r="OWD84" s="205"/>
      <c r="OWE84" s="205"/>
      <c r="OWF84" s="204"/>
      <c r="OWG84" s="206"/>
      <c r="OWH84" s="205"/>
      <c r="OWI84" s="205"/>
      <c r="OWJ84" s="204"/>
      <c r="OWK84" s="206"/>
      <c r="OWL84" s="205"/>
      <c r="OWM84" s="205"/>
      <c r="OWN84" s="204"/>
      <c r="OWO84" s="206"/>
      <c r="OWP84" s="205"/>
      <c r="OWQ84" s="205"/>
      <c r="OWR84" s="204"/>
      <c r="OWS84" s="206"/>
      <c r="OWT84" s="205"/>
      <c r="OWU84" s="205"/>
      <c r="OWV84" s="204"/>
      <c r="OWW84" s="206"/>
      <c r="OWX84" s="205"/>
      <c r="OWY84" s="205"/>
      <c r="OWZ84" s="204"/>
      <c r="OXA84" s="206"/>
      <c r="OXB84" s="205"/>
      <c r="OXC84" s="205"/>
      <c r="OXD84" s="204"/>
      <c r="OXE84" s="206"/>
      <c r="OXF84" s="205"/>
      <c r="OXG84" s="205"/>
      <c r="OXH84" s="204"/>
      <c r="OXI84" s="206"/>
      <c r="OXJ84" s="205"/>
      <c r="OXK84" s="205"/>
      <c r="OXL84" s="204"/>
      <c r="OXM84" s="206"/>
      <c r="OXN84" s="205"/>
      <c r="OXO84" s="205"/>
      <c r="OXP84" s="204"/>
      <c r="OXQ84" s="206"/>
      <c r="OXR84" s="205"/>
      <c r="OXS84" s="205"/>
      <c r="OXT84" s="204"/>
      <c r="OXU84" s="206"/>
      <c r="OXV84" s="205"/>
      <c r="OXW84" s="205"/>
      <c r="OXX84" s="204"/>
      <c r="OXY84" s="206"/>
      <c r="OXZ84" s="205"/>
      <c r="OYA84" s="205"/>
      <c r="OYB84" s="204"/>
      <c r="OYC84" s="206"/>
      <c r="OYD84" s="205"/>
      <c r="OYE84" s="205"/>
      <c r="OYF84" s="204"/>
      <c r="OYG84" s="206"/>
      <c r="OYH84" s="205"/>
      <c r="OYI84" s="205"/>
      <c r="OYJ84" s="204"/>
      <c r="OYK84" s="206"/>
      <c r="OYL84" s="205"/>
      <c r="OYM84" s="205"/>
      <c r="OYN84" s="204"/>
      <c r="OYO84" s="206"/>
      <c r="OYP84" s="205"/>
      <c r="OYQ84" s="205"/>
      <c r="OYR84" s="204"/>
      <c r="OYS84" s="206"/>
      <c r="OYT84" s="205"/>
      <c r="OYU84" s="205"/>
      <c r="OYV84" s="204"/>
      <c r="OYW84" s="206"/>
      <c r="OYX84" s="205"/>
      <c r="OYY84" s="205"/>
      <c r="OYZ84" s="204"/>
      <c r="OZA84" s="206"/>
      <c r="OZB84" s="205"/>
      <c r="OZC84" s="205"/>
      <c r="OZD84" s="204"/>
      <c r="OZE84" s="206"/>
      <c r="OZF84" s="205"/>
      <c r="OZG84" s="205"/>
      <c r="OZH84" s="204"/>
      <c r="OZI84" s="206"/>
      <c r="OZJ84" s="205"/>
      <c r="OZK84" s="205"/>
      <c r="OZL84" s="204"/>
      <c r="OZM84" s="206"/>
      <c r="OZN84" s="205"/>
      <c r="OZO84" s="205"/>
      <c r="OZP84" s="204"/>
      <c r="OZQ84" s="206"/>
      <c r="OZR84" s="205"/>
      <c r="OZS84" s="205"/>
      <c r="OZT84" s="204"/>
      <c r="OZU84" s="206"/>
      <c r="OZV84" s="205"/>
      <c r="OZW84" s="205"/>
      <c r="OZX84" s="204"/>
      <c r="OZY84" s="206"/>
      <c r="OZZ84" s="205"/>
      <c r="PAA84" s="205"/>
      <c r="PAB84" s="204"/>
      <c r="PAC84" s="206"/>
      <c r="PAD84" s="205"/>
      <c r="PAE84" s="205"/>
      <c r="PAF84" s="204"/>
      <c r="PAG84" s="206"/>
      <c r="PAH84" s="205"/>
      <c r="PAI84" s="205"/>
      <c r="PAJ84" s="204"/>
      <c r="PAK84" s="206"/>
      <c r="PAL84" s="205"/>
      <c r="PAM84" s="205"/>
      <c r="PAN84" s="204"/>
      <c r="PAO84" s="206"/>
      <c r="PAP84" s="205"/>
      <c r="PAQ84" s="205"/>
      <c r="PAR84" s="204"/>
      <c r="PAS84" s="206"/>
      <c r="PAT84" s="205"/>
      <c r="PAU84" s="205"/>
      <c r="PAV84" s="204"/>
      <c r="PAW84" s="206"/>
      <c r="PAX84" s="205"/>
      <c r="PAY84" s="205"/>
      <c r="PAZ84" s="204"/>
      <c r="PBA84" s="206"/>
      <c r="PBB84" s="205"/>
      <c r="PBC84" s="205"/>
      <c r="PBD84" s="204"/>
      <c r="PBE84" s="206"/>
      <c r="PBF84" s="205"/>
      <c r="PBG84" s="205"/>
      <c r="PBH84" s="204"/>
      <c r="PBI84" s="206"/>
      <c r="PBJ84" s="205"/>
      <c r="PBK84" s="205"/>
      <c r="PBL84" s="204"/>
      <c r="PBM84" s="206"/>
      <c r="PBN84" s="205"/>
      <c r="PBO84" s="205"/>
      <c r="PBP84" s="204"/>
      <c r="PBQ84" s="206"/>
      <c r="PBR84" s="205"/>
      <c r="PBS84" s="205"/>
      <c r="PBT84" s="204"/>
      <c r="PBU84" s="206"/>
      <c r="PBV84" s="205"/>
      <c r="PBW84" s="205"/>
      <c r="PBX84" s="204"/>
      <c r="PBY84" s="206"/>
      <c r="PBZ84" s="205"/>
      <c r="PCA84" s="205"/>
      <c r="PCB84" s="204"/>
      <c r="PCC84" s="206"/>
      <c r="PCD84" s="205"/>
      <c r="PCE84" s="205"/>
      <c r="PCF84" s="204"/>
      <c r="PCG84" s="206"/>
      <c r="PCH84" s="205"/>
      <c r="PCI84" s="205"/>
      <c r="PCJ84" s="204"/>
      <c r="PCK84" s="206"/>
      <c r="PCL84" s="205"/>
      <c r="PCM84" s="205"/>
      <c r="PCN84" s="204"/>
      <c r="PCO84" s="206"/>
      <c r="PCP84" s="205"/>
      <c r="PCQ84" s="205"/>
      <c r="PCR84" s="204"/>
      <c r="PCS84" s="206"/>
      <c r="PCT84" s="205"/>
      <c r="PCU84" s="205"/>
      <c r="PCV84" s="204"/>
      <c r="PCW84" s="206"/>
      <c r="PCX84" s="205"/>
      <c r="PCY84" s="205"/>
      <c r="PCZ84" s="204"/>
      <c r="PDA84" s="206"/>
      <c r="PDB84" s="205"/>
      <c r="PDC84" s="205"/>
      <c r="PDD84" s="204"/>
      <c r="PDE84" s="206"/>
      <c r="PDF84" s="205"/>
      <c r="PDG84" s="205"/>
      <c r="PDH84" s="204"/>
      <c r="PDI84" s="206"/>
      <c r="PDJ84" s="205"/>
      <c r="PDK84" s="205"/>
      <c r="PDL84" s="204"/>
      <c r="PDM84" s="206"/>
      <c r="PDN84" s="205"/>
      <c r="PDO84" s="205"/>
      <c r="PDP84" s="204"/>
      <c r="PDQ84" s="206"/>
      <c r="PDR84" s="205"/>
      <c r="PDS84" s="205"/>
      <c r="PDT84" s="204"/>
      <c r="PDU84" s="206"/>
      <c r="PDV84" s="205"/>
      <c r="PDW84" s="205"/>
      <c r="PDX84" s="204"/>
      <c r="PDY84" s="206"/>
      <c r="PDZ84" s="205"/>
      <c r="PEA84" s="205"/>
      <c r="PEB84" s="204"/>
      <c r="PEC84" s="206"/>
      <c r="PED84" s="205"/>
      <c r="PEE84" s="205"/>
      <c r="PEF84" s="204"/>
      <c r="PEG84" s="206"/>
      <c r="PEH84" s="205"/>
      <c r="PEI84" s="205"/>
      <c r="PEJ84" s="204"/>
      <c r="PEK84" s="206"/>
      <c r="PEL84" s="205"/>
      <c r="PEM84" s="205"/>
      <c r="PEN84" s="204"/>
      <c r="PEO84" s="206"/>
      <c r="PEP84" s="205"/>
      <c r="PEQ84" s="205"/>
      <c r="PER84" s="204"/>
      <c r="PES84" s="206"/>
      <c r="PET84" s="205"/>
      <c r="PEU84" s="205"/>
      <c r="PEV84" s="204"/>
      <c r="PEW84" s="206"/>
      <c r="PEX84" s="205"/>
      <c r="PEY84" s="205"/>
      <c r="PEZ84" s="204"/>
      <c r="PFA84" s="206"/>
      <c r="PFB84" s="205"/>
      <c r="PFC84" s="205"/>
      <c r="PFD84" s="204"/>
      <c r="PFE84" s="206"/>
      <c r="PFF84" s="205"/>
      <c r="PFG84" s="205"/>
      <c r="PFH84" s="204"/>
      <c r="PFI84" s="206"/>
      <c r="PFJ84" s="205"/>
      <c r="PFK84" s="205"/>
      <c r="PFL84" s="204"/>
      <c r="PFM84" s="206"/>
      <c r="PFN84" s="205"/>
      <c r="PFO84" s="205"/>
      <c r="PFP84" s="204"/>
      <c r="PFQ84" s="206"/>
      <c r="PFR84" s="205"/>
      <c r="PFS84" s="205"/>
      <c r="PFT84" s="204"/>
      <c r="PFU84" s="206"/>
      <c r="PFV84" s="205"/>
      <c r="PFW84" s="205"/>
      <c r="PFX84" s="204"/>
      <c r="PFY84" s="206"/>
      <c r="PFZ84" s="205"/>
      <c r="PGA84" s="205"/>
      <c r="PGB84" s="204"/>
      <c r="PGC84" s="206"/>
      <c r="PGD84" s="205"/>
      <c r="PGE84" s="205"/>
      <c r="PGF84" s="204"/>
      <c r="PGG84" s="206"/>
      <c r="PGH84" s="205"/>
      <c r="PGI84" s="205"/>
      <c r="PGJ84" s="204"/>
      <c r="PGK84" s="206"/>
      <c r="PGL84" s="205"/>
      <c r="PGM84" s="205"/>
      <c r="PGN84" s="204"/>
      <c r="PGO84" s="206"/>
      <c r="PGP84" s="205"/>
      <c r="PGQ84" s="205"/>
      <c r="PGR84" s="204"/>
      <c r="PGS84" s="206"/>
      <c r="PGT84" s="205"/>
      <c r="PGU84" s="205"/>
      <c r="PGV84" s="204"/>
      <c r="PGW84" s="206"/>
      <c r="PGX84" s="205"/>
      <c r="PGY84" s="205"/>
      <c r="PGZ84" s="204"/>
      <c r="PHA84" s="206"/>
      <c r="PHB84" s="205"/>
      <c r="PHC84" s="205"/>
      <c r="PHD84" s="204"/>
      <c r="PHE84" s="206"/>
      <c r="PHF84" s="205"/>
      <c r="PHG84" s="205"/>
      <c r="PHH84" s="204"/>
      <c r="PHI84" s="206"/>
      <c r="PHJ84" s="205"/>
      <c r="PHK84" s="205"/>
      <c r="PHL84" s="204"/>
      <c r="PHM84" s="206"/>
      <c r="PHN84" s="205"/>
      <c r="PHO84" s="205"/>
      <c r="PHP84" s="204"/>
      <c r="PHQ84" s="206"/>
      <c r="PHR84" s="205"/>
      <c r="PHS84" s="205"/>
      <c r="PHT84" s="204"/>
      <c r="PHU84" s="206"/>
      <c r="PHV84" s="205"/>
      <c r="PHW84" s="205"/>
      <c r="PHX84" s="204"/>
      <c r="PHY84" s="206"/>
      <c r="PHZ84" s="205"/>
      <c r="PIA84" s="205"/>
      <c r="PIB84" s="204"/>
      <c r="PIC84" s="206"/>
      <c r="PID84" s="205"/>
      <c r="PIE84" s="205"/>
      <c r="PIF84" s="204"/>
      <c r="PIG84" s="206"/>
      <c r="PIH84" s="205"/>
      <c r="PII84" s="205"/>
      <c r="PIJ84" s="204"/>
      <c r="PIK84" s="206"/>
      <c r="PIL84" s="205"/>
      <c r="PIM84" s="205"/>
      <c r="PIN84" s="204"/>
      <c r="PIO84" s="206"/>
      <c r="PIP84" s="205"/>
      <c r="PIQ84" s="205"/>
      <c r="PIR84" s="204"/>
      <c r="PIS84" s="206"/>
      <c r="PIT84" s="205"/>
      <c r="PIU84" s="205"/>
      <c r="PIV84" s="204"/>
      <c r="PIW84" s="206"/>
      <c r="PIX84" s="205"/>
      <c r="PIY84" s="205"/>
      <c r="PIZ84" s="204"/>
      <c r="PJA84" s="206"/>
      <c r="PJB84" s="205"/>
      <c r="PJC84" s="205"/>
      <c r="PJD84" s="204"/>
      <c r="PJE84" s="206"/>
      <c r="PJF84" s="205"/>
      <c r="PJG84" s="205"/>
      <c r="PJH84" s="204"/>
      <c r="PJI84" s="206"/>
      <c r="PJJ84" s="205"/>
      <c r="PJK84" s="205"/>
      <c r="PJL84" s="204"/>
      <c r="PJM84" s="206"/>
      <c r="PJN84" s="205"/>
      <c r="PJO84" s="205"/>
      <c r="PJP84" s="204"/>
      <c r="PJQ84" s="206"/>
      <c r="PJR84" s="205"/>
      <c r="PJS84" s="205"/>
      <c r="PJT84" s="204"/>
      <c r="PJU84" s="206"/>
      <c r="PJV84" s="205"/>
      <c r="PJW84" s="205"/>
      <c r="PJX84" s="204"/>
      <c r="PJY84" s="206"/>
      <c r="PJZ84" s="205"/>
      <c r="PKA84" s="205"/>
      <c r="PKB84" s="204"/>
      <c r="PKC84" s="206"/>
      <c r="PKD84" s="205"/>
      <c r="PKE84" s="205"/>
      <c r="PKF84" s="204"/>
      <c r="PKG84" s="206"/>
      <c r="PKH84" s="205"/>
      <c r="PKI84" s="205"/>
      <c r="PKJ84" s="204"/>
      <c r="PKK84" s="206"/>
      <c r="PKL84" s="205"/>
      <c r="PKM84" s="205"/>
      <c r="PKN84" s="204"/>
      <c r="PKO84" s="206"/>
      <c r="PKP84" s="205"/>
      <c r="PKQ84" s="205"/>
      <c r="PKR84" s="204"/>
      <c r="PKS84" s="206"/>
      <c r="PKT84" s="205"/>
      <c r="PKU84" s="205"/>
      <c r="PKV84" s="204"/>
      <c r="PKW84" s="206"/>
      <c r="PKX84" s="205"/>
      <c r="PKY84" s="205"/>
      <c r="PKZ84" s="204"/>
      <c r="PLA84" s="206"/>
      <c r="PLB84" s="205"/>
      <c r="PLC84" s="205"/>
      <c r="PLD84" s="204"/>
      <c r="PLE84" s="206"/>
      <c r="PLF84" s="205"/>
      <c r="PLG84" s="205"/>
      <c r="PLH84" s="204"/>
      <c r="PLI84" s="206"/>
      <c r="PLJ84" s="205"/>
      <c r="PLK84" s="205"/>
      <c r="PLL84" s="204"/>
      <c r="PLM84" s="206"/>
      <c r="PLN84" s="205"/>
      <c r="PLO84" s="205"/>
      <c r="PLP84" s="204"/>
      <c r="PLQ84" s="206"/>
      <c r="PLR84" s="205"/>
      <c r="PLS84" s="205"/>
      <c r="PLT84" s="204"/>
      <c r="PLU84" s="206"/>
      <c r="PLV84" s="205"/>
      <c r="PLW84" s="205"/>
      <c r="PLX84" s="204"/>
      <c r="PLY84" s="206"/>
      <c r="PLZ84" s="205"/>
      <c r="PMA84" s="205"/>
      <c r="PMB84" s="204"/>
      <c r="PMC84" s="206"/>
      <c r="PMD84" s="205"/>
      <c r="PME84" s="205"/>
      <c r="PMF84" s="204"/>
      <c r="PMG84" s="206"/>
      <c r="PMH84" s="205"/>
      <c r="PMI84" s="205"/>
      <c r="PMJ84" s="204"/>
      <c r="PMK84" s="206"/>
      <c r="PML84" s="205"/>
      <c r="PMM84" s="205"/>
      <c r="PMN84" s="204"/>
      <c r="PMO84" s="206"/>
      <c r="PMP84" s="205"/>
      <c r="PMQ84" s="205"/>
      <c r="PMR84" s="204"/>
      <c r="PMS84" s="206"/>
      <c r="PMT84" s="205"/>
      <c r="PMU84" s="205"/>
      <c r="PMV84" s="204"/>
      <c r="PMW84" s="206"/>
      <c r="PMX84" s="205"/>
      <c r="PMY84" s="205"/>
      <c r="PMZ84" s="204"/>
      <c r="PNA84" s="206"/>
      <c r="PNB84" s="205"/>
      <c r="PNC84" s="205"/>
      <c r="PND84" s="204"/>
      <c r="PNE84" s="206"/>
      <c r="PNF84" s="205"/>
      <c r="PNG84" s="205"/>
      <c r="PNH84" s="204"/>
      <c r="PNI84" s="206"/>
      <c r="PNJ84" s="205"/>
      <c r="PNK84" s="205"/>
      <c r="PNL84" s="204"/>
      <c r="PNM84" s="206"/>
      <c r="PNN84" s="205"/>
      <c r="PNO84" s="205"/>
      <c r="PNP84" s="204"/>
      <c r="PNQ84" s="206"/>
      <c r="PNR84" s="205"/>
      <c r="PNS84" s="205"/>
      <c r="PNT84" s="204"/>
      <c r="PNU84" s="206"/>
      <c r="PNV84" s="205"/>
      <c r="PNW84" s="205"/>
      <c r="PNX84" s="204"/>
      <c r="PNY84" s="206"/>
      <c r="PNZ84" s="205"/>
      <c r="POA84" s="205"/>
      <c r="POB84" s="204"/>
      <c r="POC84" s="206"/>
      <c r="POD84" s="205"/>
      <c r="POE84" s="205"/>
      <c r="POF84" s="204"/>
      <c r="POG84" s="206"/>
      <c r="POH84" s="205"/>
      <c r="POI84" s="205"/>
      <c r="POJ84" s="204"/>
      <c r="POK84" s="206"/>
      <c r="POL84" s="205"/>
      <c r="POM84" s="205"/>
      <c r="PON84" s="204"/>
      <c r="POO84" s="206"/>
      <c r="POP84" s="205"/>
      <c r="POQ84" s="205"/>
      <c r="POR84" s="204"/>
      <c r="POS84" s="206"/>
      <c r="POT84" s="205"/>
      <c r="POU84" s="205"/>
      <c r="POV84" s="204"/>
      <c r="POW84" s="206"/>
      <c r="POX84" s="205"/>
      <c r="POY84" s="205"/>
      <c r="POZ84" s="204"/>
      <c r="PPA84" s="206"/>
      <c r="PPB84" s="205"/>
      <c r="PPC84" s="205"/>
      <c r="PPD84" s="204"/>
      <c r="PPE84" s="206"/>
      <c r="PPF84" s="205"/>
      <c r="PPG84" s="205"/>
      <c r="PPH84" s="204"/>
      <c r="PPI84" s="206"/>
      <c r="PPJ84" s="205"/>
      <c r="PPK84" s="205"/>
      <c r="PPL84" s="204"/>
      <c r="PPM84" s="206"/>
      <c r="PPN84" s="205"/>
      <c r="PPO84" s="205"/>
      <c r="PPP84" s="204"/>
      <c r="PPQ84" s="206"/>
      <c r="PPR84" s="205"/>
      <c r="PPS84" s="205"/>
      <c r="PPT84" s="204"/>
      <c r="PPU84" s="206"/>
      <c r="PPV84" s="205"/>
      <c r="PPW84" s="205"/>
      <c r="PPX84" s="204"/>
      <c r="PPY84" s="206"/>
      <c r="PPZ84" s="205"/>
      <c r="PQA84" s="205"/>
      <c r="PQB84" s="204"/>
      <c r="PQC84" s="206"/>
      <c r="PQD84" s="205"/>
      <c r="PQE84" s="205"/>
      <c r="PQF84" s="204"/>
      <c r="PQG84" s="206"/>
      <c r="PQH84" s="205"/>
      <c r="PQI84" s="205"/>
      <c r="PQJ84" s="204"/>
      <c r="PQK84" s="206"/>
      <c r="PQL84" s="205"/>
      <c r="PQM84" s="205"/>
      <c r="PQN84" s="204"/>
      <c r="PQO84" s="206"/>
      <c r="PQP84" s="205"/>
      <c r="PQQ84" s="205"/>
      <c r="PQR84" s="204"/>
      <c r="PQS84" s="206"/>
      <c r="PQT84" s="205"/>
      <c r="PQU84" s="205"/>
      <c r="PQV84" s="204"/>
      <c r="PQW84" s="206"/>
      <c r="PQX84" s="205"/>
      <c r="PQY84" s="205"/>
      <c r="PQZ84" s="204"/>
      <c r="PRA84" s="206"/>
      <c r="PRB84" s="205"/>
      <c r="PRC84" s="205"/>
      <c r="PRD84" s="204"/>
      <c r="PRE84" s="206"/>
      <c r="PRF84" s="205"/>
      <c r="PRG84" s="205"/>
      <c r="PRH84" s="204"/>
      <c r="PRI84" s="206"/>
      <c r="PRJ84" s="205"/>
      <c r="PRK84" s="205"/>
      <c r="PRL84" s="204"/>
      <c r="PRM84" s="206"/>
      <c r="PRN84" s="205"/>
      <c r="PRO84" s="205"/>
      <c r="PRP84" s="204"/>
      <c r="PRQ84" s="206"/>
      <c r="PRR84" s="205"/>
      <c r="PRS84" s="205"/>
      <c r="PRT84" s="204"/>
      <c r="PRU84" s="206"/>
      <c r="PRV84" s="205"/>
      <c r="PRW84" s="205"/>
      <c r="PRX84" s="204"/>
      <c r="PRY84" s="206"/>
      <c r="PRZ84" s="205"/>
      <c r="PSA84" s="205"/>
      <c r="PSB84" s="204"/>
      <c r="PSC84" s="206"/>
      <c r="PSD84" s="205"/>
      <c r="PSE84" s="205"/>
      <c r="PSF84" s="204"/>
      <c r="PSG84" s="206"/>
      <c r="PSH84" s="205"/>
      <c r="PSI84" s="205"/>
      <c r="PSJ84" s="204"/>
      <c r="PSK84" s="206"/>
      <c r="PSL84" s="205"/>
      <c r="PSM84" s="205"/>
      <c r="PSN84" s="204"/>
      <c r="PSO84" s="206"/>
      <c r="PSP84" s="205"/>
      <c r="PSQ84" s="205"/>
      <c r="PSR84" s="204"/>
      <c r="PSS84" s="206"/>
      <c r="PST84" s="205"/>
      <c r="PSU84" s="205"/>
      <c r="PSV84" s="204"/>
      <c r="PSW84" s="206"/>
      <c r="PSX84" s="205"/>
      <c r="PSY84" s="205"/>
      <c r="PSZ84" s="204"/>
      <c r="PTA84" s="206"/>
      <c r="PTB84" s="205"/>
      <c r="PTC84" s="205"/>
      <c r="PTD84" s="204"/>
      <c r="PTE84" s="206"/>
      <c r="PTF84" s="205"/>
      <c r="PTG84" s="205"/>
      <c r="PTH84" s="204"/>
      <c r="PTI84" s="206"/>
      <c r="PTJ84" s="205"/>
      <c r="PTK84" s="205"/>
      <c r="PTL84" s="204"/>
      <c r="PTM84" s="206"/>
      <c r="PTN84" s="205"/>
      <c r="PTO84" s="205"/>
      <c r="PTP84" s="204"/>
      <c r="PTQ84" s="206"/>
      <c r="PTR84" s="205"/>
      <c r="PTS84" s="205"/>
      <c r="PTT84" s="204"/>
      <c r="PTU84" s="206"/>
      <c r="PTV84" s="205"/>
      <c r="PTW84" s="205"/>
      <c r="PTX84" s="204"/>
      <c r="PTY84" s="206"/>
      <c r="PTZ84" s="205"/>
      <c r="PUA84" s="205"/>
      <c r="PUB84" s="204"/>
      <c r="PUC84" s="206"/>
      <c r="PUD84" s="205"/>
      <c r="PUE84" s="205"/>
      <c r="PUF84" s="204"/>
      <c r="PUG84" s="206"/>
      <c r="PUH84" s="205"/>
      <c r="PUI84" s="205"/>
      <c r="PUJ84" s="204"/>
      <c r="PUK84" s="206"/>
      <c r="PUL84" s="205"/>
      <c r="PUM84" s="205"/>
      <c r="PUN84" s="204"/>
      <c r="PUO84" s="206"/>
      <c r="PUP84" s="205"/>
      <c r="PUQ84" s="205"/>
      <c r="PUR84" s="204"/>
      <c r="PUS84" s="206"/>
      <c r="PUT84" s="205"/>
      <c r="PUU84" s="205"/>
      <c r="PUV84" s="204"/>
      <c r="PUW84" s="206"/>
      <c r="PUX84" s="205"/>
      <c r="PUY84" s="205"/>
      <c r="PUZ84" s="204"/>
      <c r="PVA84" s="206"/>
      <c r="PVB84" s="205"/>
      <c r="PVC84" s="205"/>
      <c r="PVD84" s="204"/>
      <c r="PVE84" s="206"/>
      <c r="PVF84" s="205"/>
      <c r="PVG84" s="205"/>
      <c r="PVH84" s="204"/>
      <c r="PVI84" s="206"/>
      <c r="PVJ84" s="205"/>
      <c r="PVK84" s="205"/>
      <c r="PVL84" s="204"/>
      <c r="PVM84" s="206"/>
      <c r="PVN84" s="205"/>
      <c r="PVO84" s="205"/>
      <c r="PVP84" s="204"/>
      <c r="PVQ84" s="206"/>
      <c r="PVR84" s="205"/>
      <c r="PVS84" s="205"/>
      <c r="PVT84" s="204"/>
      <c r="PVU84" s="206"/>
      <c r="PVV84" s="205"/>
      <c r="PVW84" s="205"/>
      <c r="PVX84" s="204"/>
      <c r="PVY84" s="206"/>
      <c r="PVZ84" s="205"/>
      <c r="PWA84" s="205"/>
      <c r="PWB84" s="204"/>
      <c r="PWC84" s="206"/>
      <c r="PWD84" s="205"/>
      <c r="PWE84" s="205"/>
      <c r="PWF84" s="204"/>
      <c r="PWG84" s="206"/>
      <c r="PWH84" s="205"/>
      <c r="PWI84" s="205"/>
      <c r="PWJ84" s="204"/>
      <c r="PWK84" s="206"/>
      <c r="PWL84" s="205"/>
      <c r="PWM84" s="205"/>
      <c r="PWN84" s="204"/>
      <c r="PWO84" s="206"/>
      <c r="PWP84" s="205"/>
      <c r="PWQ84" s="205"/>
      <c r="PWR84" s="204"/>
      <c r="PWS84" s="206"/>
      <c r="PWT84" s="205"/>
      <c r="PWU84" s="205"/>
      <c r="PWV84" s="204"/>
      <c r="PWW84" s="206"/>
      <c r="PWX84" s="205"/>
      <c r="PWY84" s="205"/>
      <c r="PWZ84" s="204"/>
      <c r="PXA84" s="206"/>
      <c r="PXB84" s="205"/>
      <c r="PXC84" s="205"/>
      <c r="PXD84" s="204"/>
      <c r="PXE84" s="206"/>
      <c r="PXF84" s="205"/>
      <c r="PXG84" s="205"/>
      <c r="PXH84" s="204"/>
      <c r="PXI84" s="206"/>
      <c r="PXJ84" s="205"/>
      <c r="PXK84" s="205"/>
      <c r="PXL84" s="204"/>
      <c r="PXM84" s="206"/>
      <c r="PXN84" s="205"/>
      <c r="PXO84" s="205"/>
      <c r="PXP84" s="204"/>
      <c r="PXQ84" s="206"/>
      <c r="PXR84" s="205"/>
      <c r="PXS84" s="205"/>
      <c r="PXT84" s="204"/>
      <c r="PXU84" s="206"/>
      <c r="PXV84" s="205"/>
      <c r="PXW84" s="205"/>
      <c r="PXX84" s="204"/>
      <c r="PXY84" s="206"/>
      <c r="PXZ84" s="205"/>
      <c r="PYA84" s="205"/>
      <c r="PYB84" s="204"/>
      <c r="PYC84" s="206"/>
      <c r="PYD84" s="205"/>
      <c r="PYE84" s="205"/>
      <c r="PYF84" s="204"/>
      <c r="PYG84" s="206"/>
      <c r="PYH84" s="205"/>
      <c r="PYI84" s="205"/>
      <c r="PYJ84" s="204"/>
      <c r="PYK84" s="206"/>
      <c r="PYL84" s="205"/>
      <c r="PYM84" s="205"/>
      <c r="PYN84" s="204"/>
      <c r="PYO84" s="206"/>
      <c r="PYP84" s="205"/>
      <c r="PYQ84" s="205"/>
      <c r="PYR84" s="204"/>
      <c r="PYS84" s="206"/>
      <c r="PYT84" s="205"/>
      <c r="PYU84" s="205"/>
      <c r="PYV84" s="204"/>
      <c r="PYW84" s="206"/>
      <c r="PYX84" s="205"/>
      <c r="PYY84" s="205"/>
      <c r="PYZ84" s="204"/>
      <c r="PZA84" s="206"/>
      <c r="PZB84" s="205"/>
      <c r="PZC84" s="205"/>
      <c r="PZD84" s="204"/>
      <c r="PZE84" s="206"/>
      <c r="PZF84" s="205"/>
      <c r="PZG84" s="205"/>
      <c r="PZH84" s="204"/>
      <c r="PZI84" s="206"/>
      <c r="PZJ84" s="205"/>
      <c r="PZK84" s="205"/>
      <c r="PZL84" s="204"/>
      <c r="PZM84" s="206"/>
      <c r="PZN84" s="205"/>
      <c r="PZO84" s="205"/>
      <c r="PZP84" s="204"/>
      <c r="PZQ84" s="206"/>
      <c r="PZR84" s="205"/>
      <c r="PZS84" s="205"/>
      <c r="PZT84" s="204"/>
      <c r="PZU84" s="206"/>
      <c r="PZV84" s="205"/>
      <c r="PZW84" s="205"/>
      <c r="PZX84" s="204"/>
      <c r="PZY84" s="206"/>
      <c r="PZZ84" s="205"/>
      <c r="QAA84" s="205"/>
      <c r="QAB84" s="204"/>
      <c r="QAC84" s="206"/>
      <c r="QAD84" s="205"/>
      <c r="QAE84" s="205"/>
      <c r="QAF84" s="204"/>
      <c r="QAG84" s="206"/>
      <c r="QAH84" s="205"/>
      <c r="QAI84" s="205"/>
      <c r="QAJ84" s="204"/>
      <c r="QAK84" s="206"/>
      <c r="QAL84" s="205"/>
      <c r="QAM84" s="205"/>
      <c r="QAN84" s="204"/>
      <c r="QAO84" s="206"/>
      <c r="QAP84" s="205"/>
      <c r="QAQ84" s="205"/>
      <c r="QAR84" s="204"/>
      <c r="QAS84" s="206"/>
      <c r="QAT84" s="205"/>
      <c r="QAU84" s="205"/>
      <c r="QAV84" s="204"/>
      <c r="QAW84" s="206"/>
      <c r="QAX84" s="205"/>
      <c r="QAY84" s="205"/>
      <c r="QAZ84" s="204"/>
      <c r="QBA84" s="206"/>
      <c r="QBB84" s="205"/>
      <c r="QBC84" s="205"/>
      <c r="QBD84" s="204"/>
      <c r="QBE84" s="206"/>
      <c r="QBF84" s="205"/>
      <c r="QBG84" s="205"/>
      <c r="QBH84" s="204"/>
      <c r="QBI84" s="206"/>
      <c r="QBJ84" s="205"/>
      <c r="QBK84" s="205"/>
      <c r="QBL84" s="204"/>
      <c r="QBM84" s="206"/>
      <c r="QBN84" s="205"/>
      <c r="QBO84" s="205"/>
      <c r="QBP84" s="204"/>
      <c r="QBQ84" s="206"/>
      <c r="QBR84" s="205"/>
      <c r="QBS84" s="205"/>
      <c r="QBT84" s="204"/>
      <c r="QBU84" s="206"/>
      <c r="QBV84" s="205"/>
      <c r="QBW84" s="205"/>
      <c r="QBX84" s="204"/>
      <c r="QBY84" s="206"/>
      <c r="QBZ84" s="205"/>
      <c r="QCA84" s="205"/>
      <c r="QCB84" s="204"/>
      <c r="QCC84" s="206"/>
      <c r="QCD84" s="205"/>
      <c r="QCE84" s="205"/>
      <c r="QCF84" s="204"/>
      <c r="QCG84" s="206"/>
      <c r="QCH84" s="205"/>
      <c r="QCI84" s="205"/>
      <c r="QCJ84" s="204"/>
      <c r="QCK84" s="206"/>
      <c r="QCL84" s="205"/>
      <c r="QCM84" s="205"/>
      <c r="QCN84" s="204"/>
      <c r="QCO84" s="206"/>
      <c r="QCP84" s="205"/>
      <c r="QCQ84" s="205"/>
      <c r="QCR84" s="204"/>
      <c r="QCS84" s="206"/>
      <c r="QCT84" s="205"/>
      <c r="QCU84" s="205"/>
      <c r="QCV84" s="204"/>
      <c r="QCW84" s="206"/>
      <c r="QCX84" s="205"/>
      <c r="QCY84" s="205"/>
      <c r="QCZ84" s="204"/>
      <c r="QDA84" s="206"/>
      <c r="QDB84" s="205"/>
      <c r="QDC84" s="205"/>
      <c r="QDD84" s="204"/>
      <c r="QDE84" s="206"/>
      <c r="QDF84" s="205"/>
      <c r="QDG84" s="205"/>
      <c r="QDH84" s="204"/>
      <c r="QDI84" s="206"/>
      <c r="QDJ84" s="205"/>
      <c r="QDK84" s="205"/>
      <c r="QDL84" s="204"/>
      <c r="QDM84" s="206"/>
      <c r="QDN84" s="205"/>
      <c r="QDO84" s="205"/>
      <c r="QDP84" s="204"/>
      <c r="QDQ84" s="206"/>
      <c r="QDR84" s="205"/>
      <c r="QDS84" s="205"/>
      <c r="QDT84" s="204"/>
      <c r="QDU84" s="206"/>
      <c r="QDV84" s="205"/>
      <c r="QDW84" s="205"/>
      <c r="QDX84" s="204"/>
      <c r="QDY84" s="206"/>
      <c r="QDZ84" s="205"/>
      <c r="QEA84" s="205"/>
      <c r="QEB84" s="204"/>
      <c r="QEC84" s="206"/>
      <c r="QED84" s="205"/>
      <c r="QEE84" s="205"/>
      <c r="QEF84" s="204"/>
      <c r="QEG84" s="206"/>
      <c r="QEH84" s="205"/>
      <c r="QEI84" s="205"/>
      <c r="QEJ84" s="204"/>
      <c r="QEK84" s="206"/>
      <c r="QEL84" s="205"/>
      <c r="QEM84" s="205"/>
      <c r="QEN84" s="204"/>
      <c r="QEO84" s="206"/>
      <c r="QEP84" s="205"/>
      <c r="QEQ84" s="205"/>
      <c r="QER84" s="204"/>
      <c r="QES84" s="206"/>
      <c r="QET84" s="205"/>
      <c r="QEU84" s="205"/>
      <c r="QEV84" s="204"/>
      <c r="QEW84" s="206"/>
      <c r="QEX84" s="205"/>
      <c r="QEY84" s="205"/>
      <c r="QEZ84" s="204"/>
      <c r="QFA84" s="206"/>
      <c r="QFB84" s="205"/>
      <c r="QFC84" s="205"/>
      <c r="QFD84" s="204"/>
      <c r="QFE84" s="206"/>
      <c r="QFF84" s="205"/>
      <c r="QFG84" s="205"/>
      <c r="QFH84" s="204"/>
      <c r="QFI84" s="206"/>
      <c r="QFJ84" s="205"/>
      <c r="QFK84" s="205"/>
      <c r="QFL84" s="204"/>
      <c r="QFM84" s="206"/>
      <c r="QFN84" s="205"/>
      <c r="QFO84" s="205"/>
      <c r="QFP84" s="204"/>
      <c r="QFQ84" s="206"/>
      <c r="QFR84" s="205"/>
      <c r="QFS84" s="205"/>
      <c r="QFT84" s="204"/>
      <c r="QFU84" s="206"/>
      <c r="QFV84" s="205"/>
      <c r="QFW84" s="205"/>
      <c r="QFX84" s="204"/>
      <c r="QFY84" s="206"/>
      <c r="QFZ84" s="205"/>
      <c r="QGA84" s="205"/>
      <c r="QGB84" s="204"/>
      <c r="QGC84" s="206"/>
      <c r="QGD84" s="205"/>
      <c r="QGE84" s="205"/>
      <c r="QGF84" s="204"/>
      <c r="QGG84" s="206"/>
      <c r="QGH84" s="205"/>
      <c r="QGI84" s="205"/>
      <c r="QGJ84" s="204"/>
      <c r="QGK84" s="206"/>
      <c r="QGL84" s="205"/>
      <c r="QGM84" s="205"/>
      <c r="QGN84" s="204"/>
      <c r="QGO84" s="206"/>
      <c r="QGP84" s="205"/>
      <c r="QGQ84" s="205"/>
      <c r="QGR84" s="204"/>
      <c r="QGS84" s="206"/>
      <c r="QGT84" s="205"/>
      <c r="QGU84" s="205"/>
      <c r="QGV84" s="204"/>
      <c r="QGW84" s="206"/>
      <c r="QGX84" s="205"/>
      <c r="QGY84" s="205"/>
      <c r="QGZ84" s="204"/>
      <c r="QHA84" s="206"/>
      <c r="QHB84" s="205"/>
      <c r="QHC84" s="205"/>
      <c r="QHD84" s="204"/>
      <c r="QHE84" s="206"/>
      <c r="QHF84" s="205"/>
      <c r="QHG84" s="205"/>
      <c r="QHH84" s="204"/>
      <c r="QHI84" s="206"/>
      <c r="QHJ84" s="205"/>
      <c r="QHK84" s="205"/>
      <c r="QHL84" s="204"/>
      <c r="QHM84" s="206"/>
      <c r="QHN84" s="205"/>
      <c r="QHO84" s="205"/>
      <c r="QHP84" s="204"/>
      <c r="QHQ84" s="206"/>
      <c r="QHR84" s="205"/>
      <c r="QHS84" s="205"/>
      <c r="QHT84" s="204"/>
      <c r="QHU84" s="206"/>
      <c r="QHV84" s="205"/>
      <c r="QHW84" s="205"/>
      <c r="QHX84" s="204"/>
      <c r="QHY84" s="206"/>
      <c r="QHZ84" s="205"/>
      <c r="QIA84" s="205"/>
      <c r="QIB84" s="204"/>
      <c r="QIC84" s="206"/>
      <c r="QID84" s="205"/>
      <c r="QIE84" s="205"/>
      <c r="QIF84" s="204"/>
      <c r="QIG84" s="206"/>
      <c r="QIH84" s="205"/>
      <c r="QII84" s="205"/>
      <c r="QIJ84" s="204"/>
      <c r="QIK84" s="206"/>
      <c r="QIL84" s="205"/>
      <c r="QIM84" s="205"/>
      <c r="QIN84" s="204"/>
      <c r="QIO84" s="206"/>
      <c r="QIP84" s="205"/>
      <c r="QIQ84" s="205"/>
      <c r="QIR84" s="204"/>
      <c r="QIS84" s="206"/>
      <c r="QIT84" s="205"/>
      <c r="QIU84" s="205"/>
      <c r="QIV84" s="204"/>
      <c r="QIW84" s="206"/>
      <c r="QIX84" s="205"/>
      <c r="QIY84" s="205"/>
      <c r="QIZ84" s="204"/>
      <c r="QJA84" s="206"/>
      <c r="QJB84" s="205"/>
      <c r="QJC84" s="205"/>
      <c r="QJD84" s="204"/>
      <c r="QJE84" s="206"/>
      <c r="QJF84" s="205"/>
      <c r="QJG84" s="205"/>
      <c r="QJH84" s="204"/>
      <c r="QJI84" s="206"/>
      <c r="QJJ84" s="205"/>
      <c r="QJK84" s="205"/>
      <c r="QJL84" s="204"/>
      <c r="QJM84" s="206"/>
      <c r="QJN84" s="205"/>
      <c r="QJO84" s="205"/>
      <c r="QJP84" s="204"/>
      <c r="QJQ84" s="206"/>
      <c r="QJR84" s="205"/>
      <c r="QJS84" s="205"/>
      <c r="QJT84" s="204"/>
      <c r="QJU84" s="206"/>
      <c r="QJV84" s="205"/>
      <c r="QJW84" s="205"/>
      <c r="QJX84" s="204"/>
      <c r="QJY84" s="206"/>
      <c r="QJZ84" s="205"/>
      <c r="QKA84" s="205"/>
      <c r="QKB84" s="204"/>
      <c r="QKC84" s="206"/>
      <c r="QKD84" s="205"/>
      <c r="QKE84" s="205"/>
      <c r="QKF84" s="204"/>
      <c r="QKG84" s="206"/>
      <c r="QKH84" s="205"/>
      <c r="QKI84" s="205"/>
      <c r="QKJ84" s="204"/>
      <c r="QKK84" s="206"/>
      <c r="QKL84" s="205"/>
      <c r="QKM84" s="205"/>
      <c r="QKN84" s="204"/>
      <c r="QKO84" s="206"/>
      <c r="QKP84" s="205"/>
      <c r="QKQ84" s="205"/>
      <c r="QKR84" s="204"/>
      <c r="QKS84" s="206"/>
      <c r="QKT84" s="205"/>
      <c r="QKU84" s="205"/>
      <c r="QKV84" s="204"/>
      <c r="QKW84" s="206"/>
      <c r="QKX84" s="205"/>
      <c r="QKY84" s="205"/>
      <c r="QKZ84" s="204"/>
      <c r="QLA84" s="206"/>
      <c r="QLB84" s="205"/>
      <c r="QLC84" s="205"/>
      <c r="QLD84" s="204"/>
      <c r="QLE84" s="206"/>
      <c r="QLF84" s="205"/>
      <c r="QLG84" s="205"/>
      <c r="QLH84" s="204"/>
      <c r="QLI84" s="206"/>
      <c r="QLJ84" s="205"/>
      <c r="QLK84" s="205"/>
      <c r="QLL84" s="204"/>
      <c r="QLM84" s="206"/>
      <c r="QLN84" s="205"/>
      <c r="QLO84" s="205"/>
      <c r="QLP84" s="204"/>
      <c r="QLQ84" s="206"/>
      <c r="QLR84" s="205"/>
      <c r="QLS84" s="205"/>
      <c r="QLT84" s="204"/>
      <c r="QLU84" s="206"/>
      <c r="QLV84" s="205"/>
      <c r="QLW84" s="205"/>
      <c r="QLX84" s="204"/>
      <c r="QLY84" s="206"/>
      <c r="QLZ84" s="205"/>
      <c r="QMA84" s="205"/>
      <c r="QMB84" s="204"/>
      <c r="QMC84" s="206"/>
      <c r="QMD84" s="205"/>
      <c r="QME84" s="205"/>
      <c r="QMF84" s="204"/>
      <c r="QMG84" s="206"/>
      <c r="QMH84" s="205"/>
      <c r="QMI84" s="205"/>
      <c r="QMJ84" s="204"/>
      <c r="QMK84" s="206"/>
      <c r="QML84" s="205"/>
      <c r="QMM84" s="205"/>
      <c r="QMN84" s="204"/>
      <c r="QMO84" s="206"/>
      <c r="QMP84" s="205"/>
      <c r="QMQ84" s="205"/>
      <c r="QMR84" s="204"/>
      <c r="QMS84" s="206"/>
      <c r="QMT84" s="205"/>
      <c r="QMU84" s="205"/>
      <c r="QMV84" s="204"/>
      <c r="QMW84" s="206"/>
      <c r="QMX84" s="205"/>
      <c r="QMY84" s="205"/>
      <c r="QMZ84" s="204"/>
      <c r="QNA84" s="206"/>
      <c r="QNB84" s="205"/>
      <c r="QNC84" s="205"/>
      <c r="QND84" s="204"/>
      <c r="QNE84" s="206"/>
      <c r="QNF84" s="205"/>
      <c r="QNG84" s="205"/>
      <c r="QNH84" s="204"/>
      <c r="QNI84" s="206"/>
      <c r="QNJ84" s="205"/>
      <c r="QNK84" s="205"/>
      <c r="QNL84" s="204"/>
      <c r="QNM84" s="206"/>
      <c r="QNN84" s="205"/>
      <c r="QNO84" s="205"/>
      <c r="QNP84" s="204"/>
      <c r="QNQ84" s="206"/>
      <c r="QNR84" s="205"/>
      <c r="QNS84" s="205"/>
      <c r="QNT84" s="204"/>
      <c r="QNU84" s="206"/>
      <c r="QNV84" s="205"/>
      <c r="QNW84" s="205"/>
      <c r="QNX84" s="204"/>
      <c r="QNY84" s="206"/>
      <c r="QNZ84" s="205"/>
      <c r="QOA84" s="205"/>
      <c r="QOB84" s="204"/>
      <c r="QOC84" s="206"/>
      <c r="QOD84" s="205"/>
      <c r="QOE84" s="205"/>
      <c r="QOF84" s="204"/>
      <c r="QOG84" s="206"/>
      <c r="QOH84" s="205"/>
      <c r="QOI84" s="205"/>
      <c r="QOJ84" s="204"/>
      <c r="QOK84" s="206"/>
      <c r="QOL84" s="205"/>
      <c r="QOM84" s="205"/>
      <c r="QON84" s="204"/>
      <c r="QOO84" s="206"/>
      <c r="QOP84" s="205"/>
      <c r="QOQ84" s="205"/>
      <c r="QOR84" s="204"/>
      <c r="QOS84" s="206"/>
      <c r="QOT84" s="205"/>
      <c r="QOU84" s="205"/>
      <c r="QOV84" s="204"/>
      <c r="QOW84" s="206"/>
      <c r="QOX84" s="205"/>
      <c r="QOY84" s="205"/>
      <c r="QOZ84" s="204"/>
      <c r="QPA84" s="206"/>
      <c r="QPB84" s="205"/>
      <c r="QPC84" s="205"/>
      <c r="QPD84" s="204"/>
      <c r="QPE84" s="206"/>
      <c r="QPF84" s="205"/>
      <c r="QPG84" s="205"/>
      <c r="QPH84" s="204"/>
      <c r="QPI84" s="206"/>
      <c r="QPJ84" s="205"/>
      <c r="QPK84" s="205"/>
      <c r="QPL84" s="204"/>
      <c r="QPM84" s="206"/>
      <c r="QPN84" s="205"/>
      <c r="QPO84" s="205"/>
      <c r="QPP84" s="204"/>
      <c r="QPQ84" s="206"/>
      <c r="QPR84" s="205"/>
      <c r="QPS84" s="205"/>
      <c r="QPT84" s="204"/>
      <c r="QPU84" s="206"/>
      <c r="QPV84" s="205"/>
      <c r="QPW84" s="205"/>
      <c r="QPX84" s="204"/>
      <c r="QPY84" s="206"/>
      <c r="QPZ84" s="205"/>
      <c r="QQA84" s="205"/>
      <c r="QQB84" s="204"/>
      <c r="QQC84" s="206"/>
      <c r="QQD84" s="205"/>
      <c r="QQE84" s="205"/>
      <c r="QQF84" s="204"/>
      <c r="QQG84" s="206"/>
      <c r="QQH84" s="205"/>
      <c r="QQI84" s="205"/>
      <c r="QQJ84" s="204"/>
      <c r="QQK84" s="206"/>
      <c r="QQL84" s="205"/>
      <c r="QQM84" s="205"/>
      <c r="QQN84" s="204"/>
      <c r="QQO84" s="206"/>
      <c r="QQP84" s="205"/>
      <c r="QQQ84" s="205"/>
      <c r="QQR84" s="204"/>
      <c r="QQS84" s="206"/>
      <c r="QQT84" s="205"/>
      <c r="QQU84" s="205"/>
      <c r="QQV84" s="204"/>
      <c r="QQW84" s="206"/>
      <c r="QQX84" s="205"/>
      <c r="QQY84" s="205"/>
      <c r="QQZ84" s="204"/>
      <c r="QRA84" s="206"/>
      <c r="QRB84" s="205"/>
      <c r="QRC84" s="205"/>
      <c r="QRD84" s="204"/>
      <c r="QRE84" s="206"/>
      <c r="QRF84" s="205"/>
      <c r="QRG84" s="205"/>
      <c r="QRH84" s="204"/>
      <c r="QRI84" s="206"/>
      <c r="QRJ84" s="205"/>
      <c r="QRK84" s="205"/>
      <c r="QRL84" s="204"/>
      <c r="QRM84" s="206"/>
      <c r="QRN84" s="205"/>
      <c r="QRO84" s="205"/>
      <c r="QRP84" s="204"/>
      <c r="QRQ84" s="206"/>
      <c r="QRR84" s="205"/>
      <c r="QRS84" s="205"/>
      <c r="QRT84" s="204"/>
      <c r="QRU84" s="206"/>
      <c r="QRV84" s="205"/>
      <c r="QRW84" s="205"/>
      <c r="QRX84" s="204"/>
      <c r="QRY84" s="206"/>
      <c r="QRZ84" s="205"/>
      <c r="QSA84" s="205"/>
      <c r="QSB84" s="204"/>
      <c r="QSC84" s="206"/>
      <c r="QSD84" s="205"/>
      <c r="QSE84" s="205"/>
      <c r="QSF84" s="204"/>
      <c r="QSG84" s="206"/>
      <c r="QSH84" s="205"/>
      <c r="QSI84" s="205"/>
      <c r="QSJ84" s="204"/>
      <c r="QSK84" s="206"/>
      <c r="QSL84" s="205"/>
      <c r="QSM84" s="205"/>
      <c r="QSN84" s="204"/>
      <c r="QSO84" s="206"/>
      <c r="QSP84" s="205"/>
      <c r="QSQ84" s="205"/>
      <c r="QSR84" s="204"/>
      <c r="QSS84" s="206"/>
      <c r="QST84" s="205"/>
      <c r="QSU84" s="205"/>
      <c r="QSV84" s="204"/>
      <c r="QSW84" s="206"/>
      <c r="QSX84" s="205"/>
      <c r="QSY84" s="205"/>
      <c r="QSZ84" s="204"/>
      <c r="QTA84" s="206"/>
      <c r="QTB84" s="205"/>
      <c r="QTC84" s="205"/>
      <c r="QTD84" s="204"/>
      <c r="QTE84" s="206"/>
      <c r="QTF84" s="205"/>
      <c r="QTG84" s="205"/>
      <c r="QTH84" s="204"/>
      <c r="QTI84" s="206"/>
      <c r="QTJ84" s="205"/>
      <c r="QTK84" s="205"/>
      <c r="QTL84" s="204"/>
      <c r="QTM84" s="206"/>
      <c r="QTN84" s="205"/>
      <c r="QTO84" s="205"/>
      <c r="QTP84" s="204"/>
      <c r="QTQ84" s="206"/>
      <c r="QTR84" s="205"/>
      <c r="QTS84" s="205"/>
      <c r="QTT84" s="204"/>
      <c r="QTU84" s="206"/>
      <c r="QTV84" s="205"/>
      <c r="QTW84" s="205"/>
      <c r="QTX84" s="204"/>
      <c r="QTY84" s="206"/>
      <c r="QTZ84" s="205"/>
      <c r="QUA84" s="205"/>
      <c r="QUB84" s="204"/>
      <c r="QUC84" s="206"/>
      <c r="QUD84" s="205"/>
      <c r="QUE84" s="205"/>
      <c r="QUF84" s="204"/>
      <c r="QUG84" s="206"/>
      <c r="QUH84" s="205"/>
      <c r="QUI84" s="205"/>
      <c r="QUJ84" s="204"/>
      <c r="QUK84" s="206"/>
      <c r="QUL84" s="205"/>
      <c r="QUM84" s="205"/>
      <c r="QUN84" s="204"/>
      <c r="QUO84" s="206"/>
      <c r="QUP84" s="205"/>
      <c r="QUQ84" s="205"/>
      <c r="QUR84" s="204"/>
      <c r="QUS84" s="206"/>
      <c r="QUT84" s="205"/>
      <c r="QUU84" s="205"/>
      <c r="QUV84" s="204"/>
      <c r="QUW84" s="206"/>
      <c r="QUX84" s="205"/>
      <c r="QUY84" s="205"/>
      <c r="QUZ84" s="204"/>
      <c r="QVA84" s="206"/>
      <c r="QVB84" s="205"/>
      <c r="QVC84" s="205"/>
      <c r="QVD84" s="204"/>
      <c r="QVE84" s="206"/>
      <c r="QVF84" s="205"/>
      <c r="QVG84" s="205"/>
      <c r="QVH84" s="204"/>
      <c r="QVI84" s="206"/>
      <c r="QVJ84" s="205"/>
      <c r="QVK84" s="205"/>
      <c r="QVL84" s="204"/>
      <c r="QVM84" s="206"/>
      <c r="QVN84" s="205"/>
      <c r="QVO84" s="205"/>
      <c r="QVP84" s="204"/>
      <c r="QVQ84" s="206"/>
      <c r="QVR84" s="205"/>
      <c r="QVS84" s="205"/>
      <c r="QVT84" s="204"/>
      <c r="QVU84" s="206"/>
      <c r="QVV84" s="205"/>
      <c r="QVW84" s="205"/>
      <c r="QVX84" s="204"/>
      <c r="QVY84" s="206"/>
      <c r="QVZ84" s="205"/>
      <c r="QWA84" s="205"/>
      <c r="QWB84" s="204"/>
      <c r="QWC84" s="206"/>
      <c r="QWD84" s="205"/>
      <c r="QWE84" s="205"/>
      <c r="QWF84" s="204"/>
      <c r="QWG84" s="206"/>
      <c r="QWH84" s="205"/>
      <c r="QWI84" s="205"/>
      <c r="QWJ84" s="204"/>
      <c r="QWK84" s="206"/>
      <c r="QWL84" s="205"/>
      <c r="QWM84" s="205"/>
      <c r="QWN84" s="204"/>
      <c r="QWO84" s="206"/>
      <c r="QWP84" s="205"/>
      <c r="QWQ84" s="205"/>
      <c r="QWR84" s="204"/>
      <c r="QWS84" s="206"/>
      <c r="QWT84" s="205"/>
      <c r="QWU84" s="205"/>
      <c r="QWV84" s="204"/>
      <c r="QWW84" s="206"/>
      <c r="QWX84" s="205"/>
      <c r="QWY84" s="205"/>
      <c r="QWZ84" s="204"/>
      <c r="QXA84" s="206"/>
      <c r="QXB84" s="205"/>
      <c r="QXC84" s="205"/>
      <c r="QXD84" s="204"/>
      <c r="QXE84" s="206"/>
      <c r="QXF84" s="205"/>
      <c r="QXG84" s="205"/>
      <c r="QXH84" s="204"/>
      <c r="QXI84" s="206"/>
      <c r="QXJ84" s="205"/>
      <c r="QXK84" s="205"/>
      <c r="QXL84" s="204"/>
      <c r="QXM84" s="206"/>
      <c r="QXN84" s="205"/>
      <c r="QXO84" s="205"/>
      <c r="QXP84" s="204"/>
      <c r="QXQ84" s="206"/>
      <c r="QXR84" s="205"/>
      <c r="QXS84" s="205"/>
      <c r="QXT84" s="204"/>
      <c r="QXU84" s="206"/>
      <c r="QXV84" s="205"/>
      <c r="QXW84" s="205"/>
      <c r="QXX84" s="204"/>
      <c r="QXY84" s="206"/>
      <c r="QXZ84" s="205"/>
      <c r="QYA84" s="205"/>
      <c r="QYB84" s="204"/>
      <c r="QYC84" s="206"/>
      <c r="QYD84" s="205"/>
      <c r="QYE84" s="205"/>
      <c r="QYF84" s="204"/>
      <c r="QYG84" s="206"/>
      <c r="QYH84" s="205"/>
      <c r="QYI84" s="205"/>
      <c r="QYJ84" s="204"/>
      <c r="QYK84" s="206"/>
      <c r="QYL84" s="205"/>
      <c r="QYM84" s="205"/>
      <c r="QYN84" s="204"/>
      <c r="QYO84" s="206"/>
      <c r="QYP84" s="205"/>
      <c r="QYQ84" s="205"/>
      <c r="QYR84" s="204"/>
      <c r="QYS84" s="206"/>
      <c r="QYT84" s="205"/>
      <c r="QYU84" s="205"/>
      <c r="QYV84" s="204"/>
      <c r="QYW84" s="206"/>
      <c r="QYX84" s="205"/>
      <c r="QYY84" s="205"/>
      <c r="QYZ84" s="204"/>
      <c r="QZA84" s="206"/>
      <c r="QZB84" s="205"/>
      <c r="QZC84" s="205"/>
      <c r="QZD84" s="204"/>
      <c r="QZE84" s="206"/>
      <c r="QZF84" s="205"/>
      <c r="QZG84" s="205"/>
      <c r="QZH84" s="204"/>
      <c r="QZI84" s="206"/>
      <c r="QZJ84" s="205"/>
      <c r="QZK84" s="205"/>
      <c r="QZL84" s="204"/>
      <c r="QZM84" s="206"/>
      <c r="QZN84" s="205"/>
      <c r="QZO84" s="205"/>
      <c r="QZP84" s="204"/>
      <c r="QZQ84" s="206"/>
      <c r="QZR84" s="205"/>
      <c r="QZS84" s="205"/>
      <c r="QZT84" s="204"/>
      <c r="QZU84" s="206"/>
      <c r="QZV84" s="205"/>
      <c r="QZW84" s="205"/>
      <c r="QZX84" s="204"/>
      <c r="QZY84" s="206"/>
      <c r="QZZ84" s="205"/>
      <c r="RAA84" s="205"/>
      <c r="RAB84" s="204"/>
      <c r="RAC84" s="206"/>
      <c r="RAD84" s="205"/>
      <c r="RAE84" s="205"/>
      <c r="RAF84" s="204"/>
      <c r="RAG84" s="206"/>
      <c r="RAH84" s="205"/>
      <c r="RAI84" s="205"/>
      <c r="RAJ84" s="204"/>
      <c r="RAK84" s="206"/>
      <c r="RAL84" s="205"/>
      <c r="RAM84" s="205"/>
      <c r="RAN84" s="204"/>
      <c r="RAO84" s="206"/>
      <c r="RAP84" s="205"/>
      <c r="RAQ84" s="205"/>
      <c r="RAR84" s="204"/>
      <c r="RAS84" s="206"/>
      <c r="RAT84" s="205"/>
      <c r="RAU84" s="205"/>
      <c r="RAV84" s="204"/>
      <c r="RAW84" s="206"/>
      <c r="RAX84" s="205"/>
      <c r="RAY84" s="205"/>
      <c r="RAZ84" s="204"/>
      <c r="RBA84" s="206"/>
      <c r="RBB84" s="205"/>
      <c r="RBC84" s="205"/>
      <c r="RBD84" s="204"/>
      <c r="RBE84" s="206"/>
      <c r="RBF84" s="205"/>
      <c r="RBG84" s="205"/>
      <c r="RBH84" s="204"/>
      <c r="RBI84" s="206"/>
      <c r="RBJ84" s="205"/>
      <c r="RBK84" s="205"/>
      <c r="RBL84" s="204"/>
      <c r="RBM84" s="206"/>
      <c r="RBN84" s="205"/>
      <c r="RBO84" s="205"/>
      <c r="RBP84" s="204"/>
      <c r="RBQ84" s="206"/>
      <c r="RBR84" s="205"/>
      <c r="RBS84" s="205"/>
      <c r="RBT84" s="204"/>
      <c r="RBU84" s="206"/>
      <c r="RBV84" s="205"/>
      <c r="RBW84" s="205"/>
      <c r="RBX84" s="204"/>
      <c r="RBY84" s="206"/>
      <c r="RBZ84" s="205"/>
      <c r="RCA84" s="205"/>
      <c r="RCB84" s="204"/>
      <c r="RCC84" s="206"/>
      <c r="RCD84" s="205"/>
      <c r="RCE84" s="205"/>
      <c r="RCF84" s="204"/>
      <c r="RCG84" s="206"/>
      <c r="RCH84" s="205"/>
      <c r="RCI84" s="205"/>
      <c r="RCJ84" s="204"/>
      <c r="RCK84" s="206"/>
      <c r="RCL84" s="205"/>
      <c r="RCM84" s="205"/>
      <c r="RCN84" s="204"/>
      <c r="RCO84" s="206"/>
      <c r="RCP84" s="205"/>
      <c r="RCQ84" s="205"/>
      <c r="RCR84" s="204"/>
      <c r="RCS84" s="206"/>
      <c r="RCT84" s="205"/>
      <c r="RCU84" s="205"/>
      <c r="RCV84" s="204"/>
      <c r="RCW84" s="206"/>
      <c r="RCX84" s="205"/>
      <c r="RCY84" s="205"/>
      <c r="RCZ84" s="204"/>
      <c r="RDA84" s="206"/>
      <c r="RDB84" s="205"/>
      <c r="RDC84" s="205"/>
      <c r="RDD84" s="204"/>
      <c r="RDE84" s="206"/>
      <c r="RDF84" s="205"/>
      <c r="RDG84" s="205"/>
      <c r="RDH84" s="204"/>
      <c r="RDI84" s="206"/>
      <c r="RDJ84" s="205"/>
      <c r="RDK84" s="205"/>
      <c r="RDL84" s="204"/>
      <c r="RDM84" s="206"/>
      <c r="RDN84" s="205"/>
      <c r="RDO84" s="205"/>
      <c r="RDP84" s="204"/>
      <c r="RDQ84" s="206"/>
      <c r="RDR84" s="205"/>
      <c r="RDS84" s="205"/>
      <c r="RDT84" s="204"/>
      <c r="RDU84" s="206"/>
      <c r="RDV84" s="205"/>
      <c r="RDW84" s="205"/>
      <c r="RDX84" s="204"/>
      <c r="RDY84" s="206"/>
      <c r="RDZ84" s="205"/>
      <c r="REA84" s="205"/>
      <c r="REB84" s="204"/>
      <c r="REC84" s="206"/>
      <c r="RED84" s="205"/>
      <c r="REE84" s="205"/>
      <c r="REF84" s="204"/>
      <c r="REG84" s="206"/>
      <c r="REH84" s="205"/>
      <c r="REI84" s="205"/>
      <c r="REJ84" s="204"/>
      <c r="REK84" s="206"/>
      <c r="REL84" s="205"/>
      <c r="REM84" s="205"/>
      <c r="REN84" s="204"/>
      <c r="REO84" s="206"/>
      <c r="REP84" s="205"/>
      <c r="REQ84" s="205"/>
      <c r="RER84" s="204"/>
      <c r="RES84" s="206"/>
      <c r="RET84" s="205"/>
      <c r="REU84" s="205"/>
      <c r="REV84" s="204"/>
      <c r="REW84" s="206"/>
      <c r="REX84" s="205"/>
      <c r="REY84" s="205"/>
      <c r="REZ84" s="204"/>
      <c r="RFA84" s="206"/>
      <c r="RFB84" s="205"/>
      <c r="RFC84" s="205"/>
      <c r="RFD84" s="204"/>
      <c r="RFE84" s="206"/>
      <c r="RFF84" s="205"/>
      <c r="RFG84" s="205"/>
      <c r="RFH84" s="204"/>
      <c r="RFI84" s="206"/>
      <c r="RFJ84" s="205"/>
      <c r="RFK84" s="205"/>
      <c r="RFL84" s="204"/>
      <c r="RFM84" s="206"/>
      <c r="RFN84" s="205"/>
      <c r="RFO84" s="205"/>
      <c r="RFP84" s="204"/>
      <c r="RFQ84" s="206"/>
      <c r="RFR84" s="205"/>
      <c r="RFS84" s="205"/>
      <c r="RFT84" s="204"/>
      <c r="RFU84" s="206"/>
      <c r="RFV84" s="205"/>
      <c r="RFW84" s="205"/>
      <c r="RFX84" s="204"/>
      <c r="RFY84" s="206"/>
      <c r="RFZ84" s="205"/>
      <c r="RGA84" s="205"/>
      <c r="RGB84" s="204"/>
      <c r="RGC84" s="206"/>
      <c r="RGD84" s="205"/>
      <c r="RGE84" s="205"/>
      <c r="RGF84" s="204"/>
      <c r="RGG84" s="206"/>
      <c r="RGH84" s="205"/>
      <c r="RGI84" s="205"/>
      <c r="RGJ84" s="204"/>
      <c r="RGK84" s="206"/>
      <c r="RGL84" s="205"/>
      <c r="RGM84" s="205"/>
      <c r="RGN84" s="204"/>
      <c r="RGO84" s="206"/>
      <c r="RGP84" s="205"/>
      <c r="RGQ84" s="205"/>
      <c r="RGR84" s="204"/>
      <c r="RGS84" s="206"/>
      <c r="RGT84" s="205"/>
      <c r="RGU84" s="205"/>
      <c r="RGV84" s="204"/>
      <c r="RGW84" s="206"/>
      <c r="RGX84" s="205"/>
      <c r="RGY84" s="205"/>
      <c r="RGZ84" s="204"/>
      <c r="RHA84" s="206"/>
      <c r="RHB84" s="205"/>
      <c r="RHC84" s="205"/>
      <c r="RHD84" s="204"/>
      <c r="RHE84" s="206"/>
      <c r="RHF84" s="205"/>
      <c r="RHG84" s="205"/>
      <c r="RHH84" s="204"/>
      <c r="RHI84" s="206"/>
      <c r="RHJ84" s="205"/>
      <c r="RHK84" s="205"/>
      <c r="RHL84" s="204"/>
      <c r="RHM84" s="206"/>
      <c r="RHN84" s="205"/>
      <c r="RHO84" s="205"/>
      <c r="RHP84" s="204"/>
      <c r="RHQ84" s="206"/>
      <c r="RHR84" s="205"/>
      <c r="RHS84" s="205"/>
      <c r="RHT84" s="204"/>
      <c r="RHU84" s="206"/>
      <c r="RHV84" s="205"/>
      <c r="RHW84" s="205"/>
      <c r="RHX84" s="204"/>
      <c r="RHY84" s="206"/>
      <c r="RHZ84" s="205"/>
      <c r="RIA84" s="205"/>
      <c r="RIB84" s="204"/>
      <c r="RIC84" s="206"/>
      <c r="RID84" s="205"/>
      <c r="RIE84" s="205"/>
      <c r="RIF84" s="204"/>
      <c r="RIG84" s="206"/>
      <c r="RIH84" s="205"/>
      <c r="RII84" s="205"/>
      <c r="RIJ84" s="204"/>
      <c r="RIK84" s="206"/>
      <c r="RIL84" s="205"/>
      <c r="RIM84" s="205"/>
      <c r="RIN84" s="204"/>
      <c r="RIO84" s="206"/>
      <c r="RIP84" s="205"/>
      <c r="RIQ84" s="205"/>
      <c r="RIR84" s="204"/>
      <c r="RIS84" s="206"/>
      <c r="RIT84" s="205"/>
      <c r="RIU84" s="205"/>
      <c r="RIV84" s="204"/>
      <c r="RIW84" s="206"/>
      <c r="RIX84" s="205"/>
      <c r="RIY84" s="205"/>
      <c r="RIZ84" s="204"/>
      <c r="RJA84" s="206"/>
      <c r="RJB84" s="205"/>
      <c r="RJC84" s="205"/>
      <c r="RJD84" s="204"/>
      <c r="RJE84" s="206"/>
      <c r="RJF84" s="205"/>
      <c r="RJG84" s="205"/>
      <c r="RJH84" s="204"/>
      <c r="RJI84" s="206"/>
      <c r="RJJ84" s="205"/>
      <c r="RJK84" s="205"/>
      <c r="RJL84" s="204"/>
      <c r="RJM84" s="206"/>
      <c r="RJN84" s="205"/>
      <c r="RJO84" s="205"/>
      <c r="RJP84" s="204"/>
      <c r="RJQ84" s="206"/>
      <c r="RJR84" s="205"/>
      <c r="RJS84" s="205"/>
      <c r="RJT84" s="204"/>
      <c r="RJU84" s="206"/>
      <c r="RJV84" s="205"/>
      <c r="RJW84" s="205"/>
      <c r="RJX84" s="204"/>
      <c r="RJY84" s="206"/>
      <c r="RJZ84" s="205"/>
      <c r="RKA84" s="205"/>
      <c r="RKB84" s="204"/>
      <c r="RKC84" s="206"/>
      <c r="RKD84" s="205"/>
      <c r="RKE84" s="205"/>
      <c r="RKF84" s="204"/>
      <c r="RKG84" s="206"/>
      <c r="RKH84" s="205"/>
      <c r="RKI84" s="205"/>
      <c r="RKJ84" s="204"/>
      <c r="RKK84" s="206"/>
      <c r="RKL84" s="205"/>
      <c r="RKM84" s="205"/>
      <c r="RKN84" s="204"/>
      <c r="RKO84" s="206"/>
      <c r="RKP84" s="205"/>
      <c r="RKQ84" s="205"/>
      <c r="RKR84" s="204"/>
      <c r="RKS84" s="206"/>
      <c r="RKT84" s="205"/>
      <c r="RKU84" s="205"/>
      <c r="RKV84" s="204"/>
      <c r="RKW84" s="206"/>
      <c r="RKX84" s="205"/>
      <c r="RKY84" s="205"/>
      <c r="RKZ84" s="204"/>
      <c r="RLA84" s="206"/>
      <c r="RLB84" s="205"/>
      <c r="RLC84" s="205"/>
      <c r="RLD84" s="204"/>
      <c r="RLE84" s="206"/>
      <c r="RLF84" s="205"/>
      <c r="RLG84" s="205"/>
      <c r="RLH84" s="204"/>
      <c r="RLI84" s="206"/>
      <c r="RLJ84" s="205"/>
      <c r="RLK84" s="205"/>
      <c r="RLL84" s="204"/>
      <c r="RLM84" s="206"/>
      <c r="RLN84" s="205"/>
      <c r="RLO84" s="205"/>
      <c r="RLP84" s="204"/>
      <c r="RLQ84" s="206"/>
      <c r="RLR84" s="205"/>
      <c r="RLS84" s="205"/>
      <c r="RLT84" s="204"/>
      <c r="RLU84" s="206"/>
      <c r="RLV84" s="205"/>
      <c r="RLW84" s="205"/>
      <c r="RLX84" s="204"/>
      <c r="RLY84" s="206"/>
      <c r="RLZ84" s="205"/>
      <c r="RMA84" s="205"/>
      <c r="RMB84" s="204"/>
      <c r="RMC84" s="206"/>
      <c r="RMD84" s="205"/>
      <c r="RME84" s="205"/>
      <c r="RMF84" s="204"/>
      <c r="RMG84" s="206"/>
      <c r="RMH84" s="205"/>
      <c r="RMI84" s="205"/>
      <c r="RMJ84" s="204"/>
      <c r="RMK84" s="206"/>
      <c r="RML84" s="205"/>
      <c r="RMM84" s="205"/>
      <c r="RMN84" s="204"/>
      <c r="RMO84" s="206"/>
      <c r="RMP84" s="205"/>
      <c r="RMQ84" s="205"/>
      <c r="RMR84" s="204"/>
      <c r="RMS84" s="206"/>
      <c r="RMT84" s="205"/>
      <c r="RMU84" s="205"/>
      <c r="RMV84" s="204"/>
      <c r="RMW84" s="206"/>
      <c r="RMX84" s="205"/>
      <c r="RMY84" s="205"/>
      <c r="RMZ84" s="204"/>
      <c r="RNA84" s="206"/>
      <c r="RNB84" s="205"/>
      <c r="RNC84" s="205"/>
      <c r="RND84" s="204"/>
      <c r="RNE84" s="206"/>
      <c r="RNF84" s="205"/>
      <c r="RNG84" s="205"/>
      <c r="RNH84" s="204"/>
      <c r="RNI84" s="206"/>
      <c r="RNJ84" s="205"/>
      <c r="RNK84" s="205"/>
      <c r="RNL84" s="204"/>
      <c r="RNM84" s="206"/>
      <c r="RNN84" s="205"/>
      <c r="RNO84" s="205"/>
      <c r="RNP84" s="204"/>
      <c r="RNQ84" s="206"/>
      <c r="RNR84" s="205"/>
      <c r="RNS84" s="205"/>
      <c r="RNT84" s="204"/>
      <c r="RNU84" s="206"/>
      <c r="RNV84" s="205"/>
      <c r="RNW84" s="205"/>
      <c r="RNX84" s="204"/>
      <c r="RNY84" s="206"/>
      <c r="RNZ84" s="205"/>
      <c r="ROA84" s="205"/>
      <c r="ROB84" s="204"/>
      <c r="ROC84" s="206"/>
      <c r="ROD84" s="205"/>
      <c r="ROE84" s="205"/>
      <c r="ROF84" s="204"/>
      <c r="ROG84" s="206"/>
      <c r="ROH84" s="205"/>
      <c r="ROI84" s="205"/>
      <c r="ROJ84" s="204"/>
      <c r="ROK84" s="206"/>
      <c r="ROL84" s="205"/>
      <c r="ROM84" s="205"/>
      <c r="RON84" s="204"/>
      <c r="ROO84" s="206"/>
      <c r="ROP84" s="205"/>
      <c r="ROQ84" s="205"/>
      <c r="ROR84" s="204"/>
      <c r="ROS84" s="206"/>
      <c r="ROT84" s="205"/>
      <c r="ROU84" s="205"/>
      <c r="ROV84" s="204"/>
      <c r="ROW84" s="206"/>
      <c r="ROX84" s="205"/>
      <c r="ROY84" s="205"/>
      <c r="ROZ84" s="204"/>
      <c r="RPA84" s="206"/>
      <c r="RPB84" s="205"/>
      <c r="RPC84" s="205"/>
      <c r="RPD84" s="204"/>
      <c r="RPE84" s="206"/>
      <c r="RPF84" s="205"/>
      <c r="RPG84" s="205"/>
      <c r="RPH84" s="204"/>
      <c r="RPI84" s="206"/>
      <c r="RPJ84" s="205"/>
      <c r="RPK84" s="205"/>
      <c r="RPL84" s="204"/>
      <c r="RPM84" s="206"/>
      <c r="RPN84" s="205"/>
      <c r="RPO84" s="205"/>
      <c r="RPP84" s="204"/>
      <c r="RPQ84" s="206"/>
      <c r="RPR84" s="205"/>
      <c r="RPS84" s="205"/>
      <c r="RPT84" s="204"/>
      <c r="RPU84" s="206"/>
      <c r="RPV84" s="205"/>
      <c r="RPW84" s="205"/>
      <c r="RPX84" s="204"/>
      <c r="RPY84" s="206"/>
      <c r="RPZ84" s="205"/>
      <c r="RQA84" s="205"/>
      <c r="RQB84" s="204"/>
      <c r="RQC84" s="206"/>
      <c r="RQD84" s="205"/>
      <c r="RQE84" s="205"/>
      <c r="RQF84" s="204"/>
      <c r="RQG84" s="206"/>
      <c r="RQH84" s="205"/>
      <c r="RQI84" s="205"/>
      <c r="RQJ84" s="204"/>
      <c r="RQK84" s="206"/>
      <c r="RQL84" s="205"/>
      <c r="RQM84" s="205"/>
      <c r="RQN84" s="204"/>
      <c r="RQO84" s="206"/>
      <c r="RQP84" s="205"/>
      <c r="RQQ84" s="205"/>
      <c r="RQR84" s="204"/>
      <c r="RQS84" s="206"/>
      <c r="RQT84" s="205"/>
      <c r="RQU84" s="205"/>
      <c r="RQV84" s="204"/>
      <c r="RQW84" s="206"/>
      <c r="RQX84" s="205"/>
      <c r="RQY84" s="205"/>
      <c r="RQZ84" s="204"/>
      <c r="RRA84" s="206"/>
      <c r="RRB84" s="205"/>
      <c r="RRC84" s="205"/>
      <c r="RRD84" s="204"/>
      <c r="RRE84" s="206"/>
      <c r="RRF84" s="205"/>
      <c r="RRG84" s="205"/>
      <c r="RRH84" s="204"/>
      <c r="RRI84" s="206"/>
      <c r="RRJ84" s="205"/>
      <c r="RRK84" s="205"/>
      <c r="RRL84" s="204"/>
      <c r="RRM84" s="206"/>
      <c r="RRN84" s="205"/>
      <c r="RRO84" s="205"/>
      <c r="RRP84" s="204"/>
      <c r="RRQ84" s="206"/>
      <c r="RRR84" s="205"/>
      <c r="RRS84" s="205"/>
      <c r="RRT84" s="204"/>
      <c r="RRU84" s="206"/>
      <c r="RRV84" s="205"/>
      <c r="RRW84" s="205"/>
      <c r="RRX84" s="204"/>
      <c r="RRY84" s="206"/>
      <c r="RRZ84" s="205"/>
      <c r="RSA84" s="205"/>
      <c r="RSB84" s="204"/>
      <c r="RSC84" s="206"/>
      <c r="RSD84" s="205"/>
      <c r="RSE84" s="205"/>
      <c r="RSF84" s="204"/>
      <c r="RSG84" s="206"/>
      <c r="RSH84" s="205"/>
      <c r="RSI84" s="205"/>
      <c r="RSJ84" s="204"/>
      <c r="RSK84" s="206"/>
      <c r="RSL84" s="205"/>
      <c r="RSM84" s="205"/>
      <c r="RSN84" s="204"/>
      <c r="RSO84" s="206"/>
      <c r="RSP84" s="205"/>
      <c r="RSQ84" s="205"/>
      <c r="RSR84" s="204"/>
      <c r="RSS84" s="206"/>
      <c r="RST84" s="205"/>
      <c r="RSU84" s="205"/>
      <c r="RSV84" s="204"/>
      <c r="RSW84" s="206"/>
      <c r="RSX84" s="205"/>
      <c r="RSY84" s="205"/>
      <c r="RSZ84" s="204"/>
      <c r="RTA84" s="206"/>
      <c r="RTB84" s="205"/>
      <c r="RTC84" s="205"/>
      <c r="RTD84" s="204"/>
      <c r="RTE84" s="206"/>
      <c r="RTF84" s="205"/>
      <c r="RTG84" s="205"/>
      <c r="RTH84" s="204"/>
      <c r="RTI84" s="206"/>
      <c r="RTJ84" s="205"/>
      <c r="RTK84" s="205"/>
      <c r="RTL84" s="204"/>
      <c r="RTM84" s="206"/>
      <c r="RTN84" s="205"/>
      <c r="RTO84" s="205"/>
      <c r="RTP84" s="204"/>
      <c r="RTQ84" s="206"/>
      <c r="RTR84" s="205"/>
      <c r="RTS84" s="205"/>
      <c r="RTT84" s="204"/>
      <c r="RTU84" s="206"/>
      <c r="RTV84" s="205"/>
      <c r="RTW84" s="205"/>
      <c r="RTX84" s="204"/>
      <c r="RTY84" s="206"/>
      <c r="RTZ84" s="205"/>
      <c r="RUA84" s="205"/>
      <c r="RUB84" s="204"/>
      <c r="RUC84" s="206"/>
      <c r="RUD84" s="205"/>
      <c r="RUE84" s="205"/>
      <c r="RUF84" s="204"/>
      <c r="RUG84" s="206"/>
      <c r="RUH84" s="205"/>
      <c r="RUI84" s="205"/>
      <c r="RUJ84" s="204"/>
      <c r="RUK84" s="206"/>
      <c r="RUL84" s="205"/>
      <c r="RUM84" s="205"/>
      <c r="RUN84" s="204"/>
      <c r="RUO84" s="206"/>
      <c r="RUP84" s="205"/>
      <c r="RUQ84" s="205"/>
      <c r="RUR84" s="204"/>
      <c r="RUS84" s="206"/>
      <c r="RUT84" s="205"/>
      <c r="RUU84" s="205"/>
      <c r="RUV84" s="204"/>
      <c r="RUW84" s="206"/>
      <c r="RUX84" s="205"/>
      <c r="RUY84" s="205"/>
      <c r="RUZ84" s="204"/>
      <c r="RVA84" s="206"/>
      <c r="RVB84" s="205"/>
      <c r="RVC84" s="205"/>
      <c r="RVD84" s="204"/>
      <c r="RVE84" s="206"/>
      <c r="RVF84" s="205"/>
      <c r="RVG84" s="205"/>
      <c r="RVH84" s="204"/>
      <c r="RVI84" s="206"/>
      <c r="RVJ84" s="205"/>
      <c r="RVK84" s="205"/>
      <c r="RVL84" s="204"/>
      <c r="RVM84" s="206"/>
      <c r="RVN84" s="205"/>
      <c r="RVO84" s="205"/>
      <c r="RVP84" s="204"/>
      <c r="RVQ84" s="206"/>
      <c r="RVR84" s="205"/>
      <c r="RVS84" s="205"/>
      <c r="RVT84" s="204"/>
      <c r="RVU84" s="206"/>
      <c r="RVV84" s="205"/>
      <c r="RVW84" s="205"/>
      <c r="RVX84" s="204"/>
      <c r="RVY84" s="206"/>
      <c r="RVZ84" s="205"/>
      <c r="RWA84" s="205"/>
      <c r="RWB84" s="204"/>
      <c r="RWC84" s="206"/>
      <c r="RWD84" s="205"/>
      <c r="RWE84" s="205"/>
      <c r="RWF84" s="204"/>
      <c r="RWG84" s="206"/>
      <c r="RWH84" s="205"/>
      <c r="RWI84" s="205"/>
      <c r="RWJ84" s="204"/>
      <c r="RWK84" s="206"/>
      <c r="RWL84" s="205"/>
      <c r="RWM84" s="205"/>
      <c r="RWN84" s="204"/>
      <c r="RWO84" s="206"/>
      <c r="RWP84" s="205"/>
      <c r="RWQ84" s="205"/>
      <c r="RWR84" s="204"/>
      <c r="RWS84" s="206"/>
      <c r="RWT84" s="205"/>
      <c r="RWU84" s="205"/>
      <c r="RWV84" s="204"/>
      <c r="RWW84" s="206"/>
      <c r="RWX84" s="205"/>
      <c r="RWY84" s="205"/>
      <c r="RWZ84" s="204"/>
      <c r="RXA84" s="206"/>
      <c r="RXB84" s="205"/>
      <c r="RXC84" s="205"/>
      <c r="RXD84" s="204"/>
      <c r="RXE84" s="206"/>
      <c r="RXF84" s="205"/>
      <c r="RXG84" s="205"/>
      <c r="RXH84" s="204"/>
      <c r="RXI84" s="206"/>
      <c r="RXJ84" s="205"/>
      <c r="RXK84" s="205"/>
      <c r="RXL84" s="204"/>
      <c r="RXM84" s="206"/>
      <c r="RXN84" s="205"/>
      <c r="RXO84" s="205"/>
      <c r="RXP84" s="204"/>
      <c r="RXQ84" s="206"/>
      <c r="RXR84" s="205"/>
      <c r="RXS84" s="205"/>
      <c r="RXT84" s="204"/>
      <c r="RXU84" s="206"/>
      <c r="RXV84" s="205"/>
      <c r="RXW84" s="205"/>
      <c r="RXX84" s="204"/>
      <c r="RXY84" s="206"/>
      <c r="RXZ84" s="205"/>
      <c r="RYA84" s="205"/>
      <c r="RYB84" s="204"/>
      <c r="RYC84" s="206"/>
      <c r="RYD84" s="205"/>
      <c r="RYE84" s="205"/>
      <c r="RYF84" s="204"/>
      <c r="RYG84" s="206"/>
      <c r="RYH84" s="205"/>
      <c r="RYI84" s="205"/>
      <c r="RYJ84" s="204"/>
      <c r="RYK84" s="206"/>
      <c r="RYL84" s="205"/>
      <c r="RYM84" s="205"/>
      <c r="RYN84" s="204"/>
      <c r="RYO84" s="206"/>
      <c r="RYP84" s="205"/>
      <c r="RYQ84" s="205"/>
      <c r="RYR84" s="204"/>
      <c r="RYS84" s="206"/>
      <c r="RYT84" s="205"/>
      <c r="RYU84" s="205"/>
      <c r="RYV84" s="204"/>
      <c r="RYW84" s="206"/>
      <c r="RYX84" s="205"/>
      <c r="RYY84" s="205"/>
      <c r="RYZ84" s="204"/>
      <c r="RZA84" s="206"/>
      <c r="RZB84" s="205"/>
      <c r="RZC84" s="205"/>
      <c r="RZD84" s="204"/>
      <c r="RZE84" s="206"/>
      <c r="RZF84" s="205"/>
      <c r="RZG84" s="205"/>
      <c r="RZH84" s="204"/>
      <c r="RZI84" s="206"/>
      <c r="RZJ84" s="205"/>
      <c r="RZK84" s="205"/>
      <c r="RZL84" s="204"/>
      <c r="RZM84" s="206"/>
      <c r="RZN84" s="205"/>
      <c r="RZO84" s="205"/>
      <c r="RZP84" s="204"/>
      <c r="RZQ84" s="206"/>
      <c r="RZR84" s="205"/>
      <c r="RZS84" s="205"/>
      <c r="RZT84" s="204"/>
      <c r="RZU84" s="206"/>
      <c r="RZV84" s="205"/>
      <c r="RZW84" s="205"/>
      <c r="RZX84" s="204"/>
      <c r="RZY84" s="206"/>
      <c r="RZZ84" s="205"/>
      <c r="SAA84" s="205"/>
      <c r="SAB84" s="204"/>
      <c r="SAC84" s="206"/>
      <c r="SAD84" s="205"/>
      <c r="SAE84" s="205"/>
      <c r="SAF84" s="204"/>
      <c r="SAG84" s="206"/>
      <c r="SAH84" s="205"/>
      <c r="SAI84" s="205"/>
      <c r="SAJ84" s="204"/>
      <c r="SAK84" s="206"/>
      <c r="SAL84" s="205"/>
      <c r="SAM84" s="205"/>
      <c r="SAN84" s="204"/>
      <c r="SAO84" s="206"/>
      <c r="SAP84" s="205"/>
      <c r="SAQ84" s="205"/>
      <c r="SAR84" s="204"/>
      <c r="SAS84" s="206"/>
      <c r="SAT84" s="205"/>
      <c r="SAU84" s="205"/>
      <c r="SAV84" s="204"/>
      <c r="SAW84" s="206"/>
      <c r="SAX84" s="205"/>
      <c r="SAY84" s="205"/>
      <c r="SAZ84" s="204"/>
      <c r="SBA84" s="206"/>
      <c r="SBB84" s="205"/>
      <c r="SBC84" s="205"/>
      <c r="SBD84" s="204"/>
      <c r="SBE84" s="206"/>
      <c r="SBF84" s="205"/>
      <c r="SBG84" s="205"/>
      <c r="SBH84" s="204"/>
      <c r="SBI84" s="206"/>
      <c r="SBJ84" s="205"/>
      <c r="SBK84" s="205"/>
      <c r="SBL84" s="204"/>
      <c r="SBM84" s="206"/>
      <c r="SBN84" s="205"/>
      <c r="SBO84" s="205"/>
      <c r="SBP84" s="204"/>
      <c r="SBQ84" s="206"/>
      <c r="SBR84" s="205"/>
      <c r="SBS84" s="205"/>
      <c r="SBT84" s="204"/>
      <c r="SBU84" s="206"/>
      <c r="SBV84" s="205"/>
      <c r="SBW84" s="205"/>
      <c r="SBX84" s="204"/>
      <c r="SBY84" s="206"/>
      <c r="SBZ84" s="205"/>
      <c r="SCA84" s="205"/>
      <c r="SCB84" s="204"/>
      <c r="SCC84" s="206"/>
      <c r="SCD84" s="205"/>
      <c r="SCE84" s="205"/>
      <c r="SCF84" s="204"/>
      <c r="SCG84" s="206"/>
      <c r="SCH84" s="205"/>
      <c r="SCI84" s="205"/>
      <c r="SCJ84" s="204"/>
      <c r="SCK84" s="206"/>
      <c r="SCL84" s="205"/>
      <c r="SCM84" s="205"/>
      <c r="SCN84" s="204"/>
      <c r="SCO84" s="206"/>
      <c r="SCP84" s="205"/>
      <c r="SCQ84" s="205"/>
      <c r="SCR84" s="204"/>
      <c r="SCS84" s="206"/>
      <c r="SCT84" s="205"/>
      <c r="SCU84" s="205"/>
      <c r="SCV84" s="204"/>
      <c r="SCW84" s="206"/>
      <c r="SCX84" s="205"/>
      <c r="SCY84" s="205"/>
      <c r="SCZ84" s="204"/>
      <c r="SDA84" s="206"/>
      <c r="SDB84" s="205"/>
      <c r="SDC84" s="205"/>
      <c r="SDD84" s="204"/>
      <c r="SDE84" s="206"/>
      <c r="SDF84" s="205"/>
      <c r="SDG84" s="205"/>
      <c r="SDH84" s="204"/>
      <c r="SDI84" s="206"/>
      <c r="SDJ84" s="205"/>
      <c r="SDK84" s="205"/>
      <c r="SDL84" s="204"/>
      <c r="SDM84" s="206"/>
      <c r="SDN84" s="205"/>
      <c r="SDO84" s="205"/>
      <c r="SDP84" s="204"/>
      <c r="SDQ84" s="206"/>
      <c r="SDR84" s="205"/>
      <c r="SDS84" s="205"/>
      <c r="SDT84" s="204"/>
      <c r="SDU84" s="206"/>
      <c r="SDV84" s="205"/>
      <c r="SDW84" s="205"/>
      <c r="SDX84" s="204"/>
      <c r="SDY84" s="206"/>
      <c r="SDZ84" s="205"/>
      <c r="SEA84" s="205"/>
      <c r="SEB84" s="204"/>
      <c r="SEC84" s="206"/>
      <c r="SED84" s="205"/>
      <c r="SEE84" s="205"/>
      <c r="SEF84" s="204"/>
      <c r="SEG84" s="206"/>
      <c r="SEH84" s="205"/>
      <c r="SEI84" s="205"/>
      <c r="SEJ84" s="204"/>
      <c r="SEK84" s="206"/>
      <c r="SEL84" s="205"/>
      <c r="SEM84" s="205"/>
      <c r="SEN84" s="204"/>
      <c r="SEO84" s="206"/>
      <c r="SEP84" s="205"/>
      <c r="SEQ84" s="205"/>
      <c r="SER84" s="204"/>
      <c r="SES84" s="206"/>
      <c r="SET84" s="205"/>
      <c r="SEU84" s="205"/>
      <c r="SEV84" s="204"/>
      <c r="SEW84" s="206"/>
      <c r="SEX84" s="205"/>
      <c r="SEY84" s="205"/>
      <c r="SEZ84" s="204"/>
      <c r="SFA84" s="206"/>
      <c r="SFB84" s="205"/>
      <c r="SFC84" s="205"/>
      <c r="SFD84" s="204"/>
      <c r="SFE84" s="206"/>
      <c r="SFF84" s="205"/>
      <c r="SFG84" s="205"/>
      <c r="SFH84" s="204"/>
      <c r="SFI84" s="206"/>
      <c r="SFJ84" s="205"/>
      <c r="SFK84" s="205"/>
      <c r="SFL84" s="204"/>
      <c r="SFM84" s="206"/>
      <c r="SFN84" s="205"/>
      <c r="SFO84" s="205"/>
      <c r="SFP84" s="204"/>
      <c r="SFQ84" s="206"/>
      <c r="SFR84" s="205"/>
      <c r="SFS84" s="205"/>
      <c r="SFT84" s="204"/>
      <c r="SFU84" s="206"/>
      <c r="SFV84" s="205"/>
      <c r="SFW84" s="205"/>
      <c r="SFX84" s="204"/>
      <c r="SFY84" s="206"/>
      <c r="SFZ84" s="205"/>
      <c r="SGA84" s="205"/>
      <c r="SGB84" s="204"/>
      <c r="SGC84" s="206"/>
      <c r="SGD84" s="205"/>
      <c r="SGE84" s="205"/>
      <c r="SGF84" s="204"/>
      <c r="SGG84" s="206"/>
      <c r="SGH84" s="205"/>
      <c r="SGI84" s="205"/>
      <c r="SGJ84" s="204"/>
      <c r="SGK84" s="206"/>
      <c r="SGL84" s="205"/>
      <c r="SGM84" s="205"/>
      <c r="SGN84" s="204"/>
      <c r="SGO84" s="206"/>
      <c r="SGP84" s="205"/>
      <c r="SGQ84" s="205"/>
      <c r="SGR84" s="204"/>
      <c r="SGS84" s="206"/>
      <c r="SGT84" s="205"/>
      <c r="SGU84" s="205"/>
      <c r="SGV84" s="204"/>
      <c r="SGW84" s="206"/>
      <c r="SGX84" s="205"/>
      <c r="SGY84" s="205"/>
      <c r="SGZ84" s="204"/>
      <c r="SHA84" s="206"/>
      <c r="SHB84" s="205"/>
      <c r="SHC84" s="205"/>
      <c r="SHD84" s="204"/>
      <c r="SHE84" s="206"/>
      <c r="SHF84" s="205"/>
      <c r="SHG84" s="205"/>
      <c r="SHH84" s="204"/>
      <c r="SHI84" s="206"/>
      <c r="SHJ84" s="205"/>
      <c r="SHK84" s="205"/>
      <c r="SHL84" s="204"/>
      <c r="SHM84" s="206"/>
      <c r="SHN84" s="205"/>
      <c r="SHO84" s="205"/>
      <c r="SHP84" s="204"/>
      <c r="SHQ84" s="206"/>
      <c r="SHR84" s="205"/>
      <c r="SHS84" s="205"/>
      <c r="SHT84" s="204"/>
      <c r="SHU84" s="206"/>
      <c r="SHV84" s="205"/>
      <c r="SHW84" s="205"/>
      <c r="SHX84" s="204"/>
      <c r="SHY84" s="206"/>
      <c r="SHZ84" s="205"/>
      <c r="SIA84" s="205"/>
      <c r="SIB84" s="204"/>
      <c r="SIC84" s="206"/>
      <c r="SID84" s="205"/>
      <c r="SIE84" s="205"/>
      <c r="SIF84" s="204"/>
      <c r="SIG84" s="206"/>
      <c r="SIH84" s="205"/>
      <c r="SII84" s="205"/>
      <c r="SIJ84" s="204"/>
      <c r="SIK84" s="206"/>
      <c r="SIL84" s="205"/>
      <c r="SIM84" s="205"/>
      <c r="SIN84" s="204"/>
      <c r="SIO84" s="206"/>
      <c r="SIP84" s="205"/>
      <c r="SIQ84" s="205"/>
      <c r="SIR84" s="204"/>
      <c r="SIS84" s="206"/>
      <c r="SIT84" s="205"/>
      <c r="SIU84" s="205"/>
      <c r="SIV84" s="204"/>
      <c r="SIW84" s="206"/>
      <c r="SIX84" s="205"/>
      <c r="SIY84" s="205"/>
      <c r="SIZ84" s="204"/>
      <c r="SJA84" s="206"/>
      <c r="SJB84" s="205"/>
      <c r="SJC84" s="205"/>
      <c r="SJD84" s="204"/>
      <c r="SJE84" s="206"/>
      <c r="SJF84" s="205"/>
      <c r="SJG84" s="205"/>
      <c r="SJH84" s="204"/>
      <c r="SJI84" s="206"/>
      <c r="SJJ84" s="205"/>
      <c r="SJK84" s="205"/>
      <c r="SJL84" s="204"/>
      <c r="SJM84" s="206"/>
      <c r="SJN84" s="205"/>
      <c r="SJO84" s="205"/>
      <c r="SJP84" s="204"/>
      <c r="SJQ84" s="206"/>
      <c r="SJR84" s="205"/>
      <c r="SJS84" s="205"/>
      <c r="SJT84" s="204"/>
      <c r="SJU84" s="206"/>
      <c r="SJV84" s="205"/>
      <c r="SJW84" s="205"/>
      <c r="SJX84" s="204"/>
      <c r="SJY84" s="206"/>
      <c r="SJZ84" s="205"/>
      <c r="SKA84" s="205"/>
      <c r="SKB84" s="204"/>
      <c r="SKC84" s="206"/>
      <c r="SKD84" s="205"/>
      <c r="SKE84" s="205"/>
      <c r="SKF84" s="204"/>
      <c r="SKG84" s="206"/>
      <c r="SKH84" s="205"/>
      <c r="SKI84" s="205"/>
      <c r="SKJ84" s="204"/>
      <c r="SKK84" s="206"/>
      <c r="SKL84" s="205"/>
      <c r="SKM84" s="205"/>
      <c r="SKN84" s="204"/>
      <c r="SKO84" s="206"/>
      <c r="SKP84" s="205"/>
      <c r="SKQ84" s="205"/>
      <c r="SKR84" s="204"/>
      <c r="SKS84" s="206"/>
      <c r="SKT84" s="205"/>
      <c r="SKU84" s="205"/>
      <c r="SKV84" s="204"/>
      <c r="SKW84" s="206"/>
      <c r="SKX84" s="205"/>
      <c r="SKY84" s="205"/>
      <c r="SKZ84" s="204"/>
      <c r="SLA84" s="206"/>
      <c r="SLB84" s="205"/>
      <c r="SLC84" s="205"/>
      <c r="SLD84" s="204"/>
      <c r="SLE84" s="206"/>
      <c r="SLF84" s="205"/>
      <c r="SLG84" s="205"/>
      <c r="SLH84" s="204"/>
      <c r="SLI84" s="206"/>
      <c r="SLJ84" s="205"/>
      <c r="SLK84" s="205"/>
      <c r="SLL84" s="204"/>
      <c r="SLM84" s="206"/>
      <c r="SLN84" s="205"/>
      <c r="SLO84" s="205"/>
      <c r="SLP84" s="204"/>
      <c r="SLQ84" s="206"/>
      <c r="SLR84" s="205"/>
      <c r="SLS84" s="205"/>
      <c r="SLT84" s="204"/>
      <c r="SLU84" s="206"/>
      <c r="SLV84" s="205"/>
      <c r="SLW84" s="205"/>
      <c r="SLX84" s="204"/>
      <c r="SLY84" s="206"/>
      <c r="SLZ84" s="205"/>
      <c r="SMA84" s="205"/>
      <c r="SMB84" s="204"/>
      <c r="SMC84" s="206"/>
      <c r="SMD84" s="205"/>
      <c r="SME84" s="205"/>
      <c r="SMF84" s="204"/>
      <c r="SMG84" s="206"/>
      <c r="SMH84" s="205"/>
      <c r="SMI84" s="205"/>
      <c r="SMJ84" s="204"/>
      <c r="SMK84" s="206"/>
      <c r="SML84" s="205"/>
      <c r="SMM84" s="205"/>
      <c r="SMN84" s="204"/>
      <c r="SMO84" s="206"/>
      <c r="SMP84" s="205"/>
      <c r="SMQ84" s="205"/>
      <c r="SMR84" s="204"/>
      <c r="SMS84" s="206"/>
      <c r="SMT84" s="205"/>
      <c r="SMU84" s="205"/>
      <c r="SMV84" s="204"/>
      <c r="SMW84" s="206"/>
      <c r="SMX84" s="205"/>
      <c r="SMY84" s="205"/>
      <c r="SMZ84" s="204"/>
      <c r="SNA84" s="206"/>
      <c r="SNB84" s="205"/>
      <c r="SNC84" s="205"/>
      <c r="SND84" s="204"/>
      <c r="SNE84" s="206"/>
      <c r="SNF84" s="205"/>
      <c r="SNG84" s="205"/>
      <c r="SNH84" s="204"/>
      <c r="SNI84" s="206"/>
      <c r="SNJ84" s="205"/>
      <c r="SNK84" s="205"/>
      <c r="SNL84" s="204"/>
      <c r="SNM84" s="206"/>
      <c r="SNN84" s="205"/>
      <c r="SNO84" s="205"/>
      <c r="SNP84" s="204"/>
      <c r="SNQ84" s="206"/>
      <c r="SNR84" s="205"/>
      <c r="SNS84" s="205"/>
      <c r="SNT84" s="204"/>
      <c r="SNU84" s="206"/>
      <c r="SNV84" s="205"/>
      <c r="SNW84" s="205"/>
      <c r="SNX84" s="204"/>
      <c r="SNY84" s="206"/>
      <c r="SNZ84" s="205"/>
      <c r="SOA84" s="205"/>
      <c r="SOB84" s="204"/>
      <c r="SOC84" s="206"/>
      <c r="SOD84" s="205"/>
      <c r="SOE84" s="205"/>
      <c r="SOF84" s="204"/>
      <c r="SOG84" s="206"/>
      <c r="SOH84" s="205"/>
      <c r="SOI84" s="205"/>
      <c r="SOJ84" s="204"/>
      <c r="SOK84" s="206"/>
      <c r="SOL84" s="205"/>
      <c r="SOM84" s="205"/>
      <c r="SON84" s="204"/>
      <c r="SOO84" s="206"/>
      <c r="SOP84" s="205"/>
      <c r="SOQ84" s="205"/>
      <c r="SOR84" s="204"/>
      <c r="SOS84" s="206"/>
      <c r="SOT84" s="205"/>
      <c r="SOU84" s="205"/>
      <c r="SOV84" s="204"/>
      <c r="SOW84" s="206"/>
      <c r="SOX84" s="205"/>
      <c r="SOY84" s="205"/>
      <c r="SOZ84" s="204"/>
      <c r="SPA84" s="206"/>
      <c r="SPB84" s="205"/>
      <c r="SPC84" s="205"/>
      <c r="SPD84" s="204"/>
      <c r="SPE84" s="206"/>
      <c r="SPF84" s="205"/>
      <c r="SPG84" s="205"/>
      <c r="SPH84" s="204"/>
      <c r="SPI84" s="206"/>
      <c r="SPJ84" s="205"/>
      <c r="SPK84" s="205"/>
      <c r="SPL84" s="204"/>
      <c r="SPM84" s="206"/>
      <c r="SPN84" s="205"/>
      <c r="SPO84" s="205"/>
      <c r="SPP84" s="204"/>
      <c r="SPQ84" s="206"/>
      <c r="SPR84" s="205"/>
      <c r="SPS84" s="205"/>
      <c r="SPT84" s="204"/>
      <c r="SPU84" s="206"/>
      <c r="SPV84" s="205"/>
      <c r="SPW84" s="205"/>
      <c r="SPX84" s="204"/>
      <c r="SPY84" s="206"/>
      <c r="SPZ84" s="205"/>
      <c r="SQA84" s="205"/>
      <c r="SQB84" s="204"/>
      <c r="SQC84" s="206"/>
      <c r="SQD84" s="205"/>
      <c r="SQE84" s="205"/>
      <c r="SQF84" s="204"/>
      <c r="SQG84" s="206"/>
      <c r="SQH84" s="205"/>
      <c r="SQI84" s="205"/>
      <c r="SQJ84" s="204"/>
      <c r="SQK84" s="206"/>
      <c r="SQL84" s="205"/>
      <c r="SQM84" s="205"/>
      <c r="SQN84" s="204"/>
      <c r="SQO84" s="206"/>
      <c r="SQP84" s="205"/>
      <c r="SQQ84" s="205"/>
      <c r="SQR84" s="204"/>
      <c r="SQS84" s="206"/>
      <c r="SQT84" s="205"/>
      <c r="SQU84" s="205"/>
      <c r="SQV84" s="204"/>
      <c r="SQW84" s="206"/>
      <c r="SQX84" s="205"/>
      <c r="SQY84" s="205"/>
      <c r="SQZ84" s="204"/>
      <c r="SRA84" s="206"/>
      <c r="SRB84" s="205"/>
      <c r="SRC84" s="205"/>
      <c r="SRD84" s="204"/>
      <c r="SRE84" s="206"/>
      <c r="SRF84" s="205"/>
      <c r="SRG84" s="205"/>
      <c r="SRH84" s="204"/>
      <c r="SRI84" s="206"/>
      <c r="SRJ84" s="205"/>
      <c r="SRK84" s="205"/>
      <c r="SRL84" s="204"/>
      <c r="SRM84" s="206"/>
      <c r="SRN84" s="205"/>
      <c r="SRO84" s="205"/>
      <c r="SRP84" s="204"/>
      <c r="SRQ84" s="206"/>
      <c r="SRR84" s="205"/>
      <c r="SRS84" s="205"/>
      <c r="SRT84" s="204"/>
      <c r="SRU84" s="206"/>
      <c r="SRV84" s="205"/>
      <c r="SRW84" s="205"/>
      <c r="SRX84" s="204"/>
      <c r="SRY84" s="206"/>
      <c r="SRZ84" s="205"/>
      <c r="SSA84" s="205"/>
      <c r="SSB84" s="204"/>
      <c r="SSC84" s="206"/>
      <c r="SSD84" s="205"/>
      <c r="SSE84" s="205"/>
      <c r="SSF84" s="204"/>
      <c r="SSG84" s="206"/>
      <c r="SSH84" s="205"/>
      <c r="SSI84" s="205"/>
      <c r="SSJ84" s="204"/>
      <c r="SSK84" s="206"/>
      <c r="SSL84" s="205"/>
      <c r="SSM84" s="205"/>
      <c r="SSN84" s="204"/>
      <c r="SSO84" s="206"/>
      <c r="SSP84" s="205"/>
      <c r="SSQ84" s="205"/>
      <c r="SSR84" s="204"/>
      <c r="SSS84" s="206"/>
      <c r="SST84" s="205"/>
      <c r="SSU84" s="205"/>
      <c r="SSV84" s="204"/>
      <c r="SSW84" s="206"/>
      <c r="SSX84" s="205"/>
      <c r="SSY84" s="205"/>
      <c r="SSZ84" s="204"/>
      <c r="STA84" s="206"/>
      <c r="STB84" s="205"/>
      <c r="STC84" s="205"/>
      <c r="STD84" s="204"/>
      <c r="STE84" s="206"/>
      <c r="STF84" s="205"/>
      <c r="STG84" s="205"/>
      <c r="STH84" s="204"/>
      <c r="STI84" s="206"/>
      <c r="STJ84" s="205"/>
      <c r="STK84" s="205"/>
      <c r="STL84" s="204"/>
      <c r="STM84" s="206"/>
      <c r="STN84" s="205"/>
      <c r="STO84" s="205"/>
      <c r="STP84" s="204"/>
      <c r="STQ84" s="206"/>
      <c r="STR84" s="205"/>
      <c r="STS84" s="205"/>
      <c r="STT84" s="204"/>
      <c r="STU84" s="206"/>
      <c r="STV84" s="205"/>
      <c r="STW84" s="205"/>
      <c r="STX84" s="204"/>
      <c r="STY84" s="206"/>
      <c r="STZ84" s="205"/>
      <c r="SUA84" s="205"/>
      <c r="SUB84" s="204"/>
      <c r="SUC84" s="206"/>
      <c r="SUD84" s="205"/>
      <c r="SUE84" s="205"/>
      <c r="SUF84" s="204"/>
      <c r="SUG84" s="206"/>
      <c r="SUH84" s="205"/>
      <c r="SUI84" s="205"/>
      <c r="SUJ84" s="204"/>
      <c r="SUK84" s="206"/>
      <c r="SUL84" s="205"/>
      <c r="SUM84" s="205"/>
      <c r="SUN84" s="204"/>
      <c r="SUO84" s="206"/>
      <c r="SUP84" s="205"/>
      <c r="SUQ84" s="205"/>
      <c r="SUR84" s="204"/>
      <c r="SUS84" s="206"/>
      <c r="SUT84" s="205"/>
      <c r="SUU84" s="205"/>
      <c r="SUV84" s="204"/>
      <c r="SUW84" s="206"/>
      <c r="SUX84" s="205"/>
      <c r="SUY84" s="205"/>
      <c r="SUZ84" s="204"/>
      <c r="SVA84" s="206"/>
      <c r="SVB84" s="205"/>
      <c r="SVC84" s="205"/>
      <c r="SVD84" s="204"/>
      <c r="SVE84" s="206"/>
      <c r="SVF84" s="205"/>
      <c r="SVG84" s="205"/>
      <c r="SVH84" s="204"/>
      <c r="SVI84" s="206"/>
      <c r="SVJ84" s="205"/>
      <c r="SVK84" s="205"/>
      <c r="SVL84" s="204"/>
      <c r="SVM84" s="206"/>
      <c r="SVN84" s="205"/>
      <c r="SVO84" s="205"/>
      <c r="SVP84" s="204"/>
      <c r="SVQ84" s="206"/>
      <c r="SVR84" s="205"/>
      <c r="SVS84" s="205"/>
      <c r="SVT84" s="204"/>
      <c r="SVU84" s="206"/>
      <c r="SVV84" s="205"/>
      <c r="SVW84" s="205"/>
      <c r="SVX84" s="204"/>
      <c r="SVY84" s="206"/>
      <c r="SVZ84" s="205"/>
      <c r="SWA84" s="205"/>
      <c r="SWB84" s="204"/>
      <c r="SWC84" s="206"/>
      <c r="SWD84" s="205"/>
      <c r="SWE84" s="205"/>
      <c r="SWF84" s="204"/>
      <c r="SWG84" s="206"/>
      <c r="SWH84" s="205"/>
      <c r="SWI84" s="205"/>
      <c r="SWJ84" s="204"/>
      <c r="SWK84" s="206"/>
      <c r="SWL84" s="205"/>
      <c r="SWM84" s="205"/>
      <c r="SWN84" s="204"/>
      <c r="SWO84" s="206"/>
      <c r="SWP84" s="205"/>
      <c r="SWQ84" s="205"/>
      <c r="SWR84" s="204"/>
      <c r="SWS84" s="206"/>
      <c r="SWT84" s="205"/>
      <c r="SWU84" s="205"/>
      <c r="SWV84" s="204"/>
      <c r="SWW84" s="206"/>
      <c r="SWX84" s="205"/>
      <c r="SWY84" s="205"/>
      <c r="SWZ84" s="204"/>
      <c r="SXA84" s="206"/>
      <c r="SXB84" s="205"/>
      <c r="SXC84" s="205"/>
      <c r="SXD84" s="204"/>
      <c r="SXE84" s="206"/>
      <c r="SXF84" s="205"/>
      <c r="SXG84" s="205"/>
      <c r="SXH84" s="204"/>
      <c r="SXI84" s="206"/>
      <c r="SXJ84" s="205"/>
      <c r="SXK84" s="205"/>
      <c r="SXL84" s="204"/>
      <c r="SXM84" s="206"/>
      <c r="SXN84" s="205"/>
      <c r="SXO84" s="205"/>
      <c r="SXP84" s="204"/>
      <c r="SXQ84" s="206"/>
      <c r="SXR84" s="205"/>
      <c r="SXS84" s="205"/>
      <c r="SXT84" s="204"/>
      <c r="SXU84" s="206"/>
      <c r="SXV84" s="205"/>
      <c r="SXW84" s="205"/>
      <c r="SXX84" s="204"/>
      <c r="SXY84" s="206"/>
      <c r="SXZ84" s="205"/>
      <c r="SYA84" s="205"/>
      <c r="SYB84" s="204"/>
      <c r="SYC84" s="206"/>
      <c r="SYD84" s="205"/>
      <c r="SYE84" s="205"/>
      <c r="SYF84" s="204"/>
      <c r="SYG84" s="206"/>
      <c r="SYH84" s="205"/>
      <c r="SYI84" s="205"/>
      <c r="SYJ84" s="204"/>
      <c r="SYK84" s="206"/>
      <c r="SYL84" s="205"/>
      <c r="SYM84" s="205"/>
      <c r="SYN84" s="204"/>
      <c r="SYO84" s="206"/>
      <c r="SYP84" s="205"/>
      <c r="SYQ84" s="205"/>
      <c r="SYR84" s="204"/>
      <c r="SYS84" s="206"/>
      <c r="SYT84" s="205"/>
      <c r="SYU84" s="205"/>
      <c r="SYV84" s="204"/>
      <c r="SYW84" s="206"/>
      <c r="SYX84" s="205"/>
      <c r="SYY84" s="205"/>
      <c r="SYZ84" s="204"/>
      <c r="SZA84" s="206"/>
      <c r="SZB84" s="205"/>
      <c r="SZC84" s="205"/>
      <c r="SZD84" s="204"/>
      <c r="SZE84" s="206"/>
      <c r="SZF84" s="205"/>
      <c r="SZG84" s="205"/>
      <c r="SZH84" s="204"/>
      <c r="SZI84" s="206"/>
      <c r="SZJ84" s="205"/>
      <c r="SZK84" s="205"/>
      <c r="SZL84" s="204"/>
      <c r="SZM84" s="206"/>
      <c r="SZN84" s="205"/>
      <c r="SZO84" s="205"/>
      <c r="SZP84" s="204"/>
      <c r="SZQ84" s="206"/>
      <c r="SZR84" s="205"/>
      <c r="SZS84" s="205"/>
      <c r="SZT84" s="204"/>
      <c r="SZU84" s="206"/>
      <c r="SZV84" s="205"/>
      <c r="SZW84" s="205"/>
      <c r="SZX84" s="204"/>
      <c r="SZY84" s="206"/>
      <c r="SZZ84" s="205"/>
      <c r="TAA84" s="205"/>
      <c r="TAB84" s="204"/>
      <c r="TAC84" s="206"/>
      <c r="TAD84" s="205"/>
      <c r="TAE84" s="205"/>
      <c r="TAF84" s="204"/>
      <c r="TAG84" s="206"/>
      <c r="TAH84" s="205"/>
      <c r="TAI84" s="205"/>
      <c r="TAJ84" s="204"/>
      <c r="TAK84" s="206"/>
      <c r="TAL84" s="205"/>
      <c r="TAM84" s="205"/>
      <c r="TAN84" s="204"/>
      <c r="TAO84" s="206"/>
      <c r="TAP84" s="205"/>
      <c r="TAQ84" s="205"/>
      <c r="TAR84" s="204"/>
      <c r="TAS84" s="206"/>
      <c r="TAT84" s="205"/>
      <c r="TAU84" s="205"/>
      <c r="TAV84" s="204"/>
      <c r="TAW84" s="206"/>
      <c r="TAX84" s="205"/>
      <c r="TAY84" s="205"/>
      <c r="TAZ84" s="204"/>
      <c r="TBA84" s="206"/>
      <c r="TBB84" s="205"/>
      <c r="TBC84" s="205"/>
      <c r="TBD84" s="204"/>
      <c r="TBE84" s="206"/>
      <c r="TBF84" s="205"/>
      <c r="TBG84" s="205"/>
      <c r="TBH84" s="204"/>
      <c r="TBI84" s="206"/>
      <c r="TBJ84" s="205"/>
      <c r="TBK84" s="205"/>
      <c r="TBL84" s="204"/>
      <c r="TBM84" s="206"/>
      <c r="TBN84" s="205"/>
      <c r="TBO84" s="205"/>
      <c r="TBP84" s="204"/>
      <c r="TBQ84" s="206"/>
      <c r="TBR84" s="205"/>
      <c r="TBS84" s="205"/>
      <c r="TBT84" s="204"/>
      <c r="TBU84" s="206"/>
      <c r="TBV84" s="205"/>
      <c r="TBW84" s="205"/>
      <c r="TBX84" s="204"/>
      <c r="TBY84" s="206"/>
      <c r="TBZ84" s="205"/>
      <c r="TCA84" s="205"/>
      <c r="TCB84" s="204"/>
      <c r="TCC84" s="206"/>
      <c r="TCD84" s="205"/>
      <c r="TCE84" s="205"/>
      <c r="TCF84" s="204"/>
      <c r="TCG84" s="206"/>
      <c r="TCH84" s="205"/>
      <c r="TCI84" s="205"/>
      <c r="TCJ84" s="204"/>
      <c r="TCK84" s="206"/>
      <c r="TCL84" s="205"/>
      <c r="TCM84" s="205"/>
      <c r="TCN84" s="204"/>
      <c r="TCO84" s="206"/>
      <c r="TCP84" s="205"/>
      <c r="TCQ84" s="205"/>
      <c r="TCR84" s="204"/>
      <c r="TCS84" s="206"/>
      <c r="TCT84" s="205"/>
      <c r="TCU84" s="205"/>
      <c r="TCV84" s="204"/>
      <c r="TCW84" s="206"/>
      <c r="TCX84" s="205"/>
      <c r="TCY84" s="205"/>
      <c r="TCZ84" s="204"/>
      <c r="TDA84" s="206"/>
      <c r="TDB84" s="205"/>
      <c r="TDC84" s="205"/>
      <c r="TDD84" s="204"/>
      <c r="TDE84" s="206"/>
      <c r="TDF84" s="205"/>
      <c r="TDG84" s="205"/>
      <c r="TDH84" s="204"/>
      <c r="TDI84" s="206"/>
      <c r="TDJ84" s="205"/>
      <c r="TDK84" s="205"/>
      <c r="TDL84" s="204"/>
      <c r="TDM84" s="206"/>
      <c r="TDN84" s="205"/>
      <c r="TDO84" s="205"/>
      <c r="TDP84" s="204"/>
      <c r="TDQ84" s="206"/>
      <c r="TDR84" s="205"/>
      <c r="TDS84" s="205"/>
      <c r="TDT84" s="204"/>
      <c r="TDU84" s="206"/>
      <c r="TDV84" s="205"/>
      <c r="TDW84" s="205"/>
      <c r="TDX84" s="204"/>
      <c r="TDY84" s="206"/>
      <c r="TDZ84" s="205"/>
      <c r="TEA84" s="205"/>
      <c r="TEB84" s="204"/>
      <c r="TEC84" s="206"/>
      <c r="TED84" s="205"/>
      <c r="TEE84" s="205"/>
      <c r="TEF84" s="204"/>
      <c r="TEG84" s="206"/>
      <c r="TEH84" s="205"/>
      <c r="TEI84" s="205"/>
      <c r="TEJ84" s="204"/>
      <c r="TEK84" s="206"/>
      <c r="TEL84" s="205"/>
      <c r="TEM84" s="205"/>
      <c r="TEN84" s="204"/>
      <c r="TEO84" s="206"/>
      <c r="TEP84" s="205"/>
      <c r="TEQ84" s="205"/>
      <c r="TER84" s="204"/>
      <c r="TES84" s="206"/>
      <c r="TET84" s="205"/>
      <c r="TEU84" s="205"/>
      <c r="TEV84" s="204"/>
      <c r="TEW84" s="206"/>
      <c r="TEX84" s="205"/>
      <c r="TEY84" s="205"/>
      <c r="TEZ84" s="204"/>
      <c r="TFA84" s="206"/>
      <c r="TFB84" s="205"/>
      <c r="TFC84" s="205"/>
      <c r="TFD84" s="204"/>
      <c r="TFE84" s="206"/>
      <c r="TFF84" s="205"/>
      <c r="TFG84" s="205"/>
      <c r="TFH84" s="204"/>
      <c r="TFI84" s="206"/>
      <c r="TFJ84" s="205"/>
      <c r="TFK84" s="205"/>
      <c r="TFL84" s="204"/>
      <c r="TFM84" s="206"/>
      <c r="TFN84" s="205"/>
      <c r="TFO84" s="205"/>
      <c r="TFP84" s="204"/>
      <c r="TFQ84" s="206"/>
      <c r="TFR84" s="205"/>
      <c r="TFS84" s="205"/>
      <c r="TFT84" s="204"/>
      <c r="TFU84" s="206"/>
      <c r="TFV84" s="205"/>
      <c r="TFW84" s="205"/>
      <c r="TFX84" s="204"/>
      <c r="TFY84" s="206"/>
      <c r="TFZ84" s="205"/>
      <c r="TGA84" s="205"/>
      <c r="TGB84" s="204"/>
      <c r="TGC84" s="206"/>
      <c r="TGD84" s="205"/>
      <c r="TGE84" s="205"/>
      <c r="TGF84" s="204"/>
      <c r="TGG84" s="206"/>
      <c r="TGH84" s="205"/>
      <c r="TGI84" s="205"/>
      <c r="TGJ84" s="204"/>
      <c r="TGK84" s="206"/>
      <c r="TGL84" s="205"/>
      <c r="TGM84" s="205"/>
      <c r="TGN84" s="204"/>
      <c r="TGO84" s="206"/>
      <c r="TGP84" s="205"/>
      <c r="TGQ84" s="205"/>
      <c r="TGR84" s="204"/>
      <c r="TGS84" s="206"/>
      <c r="TGT84" s="205"/>
      <c r="TGU84" s="205"/>
      <c r="TGV84" s="204"/>
      <c r="TGW84" s="206"/>
      <c r="TGX84" s="205"/>
      <c r="TGY84" s="205"/>
      <c r="TGZ84" s="204"/>
      <c r="THA84" s="206"/>
      <c r="THB84" s="205"/>
      <c r="THC84" s="205"/>
      <c r="THD84" s="204"/>
      <c r="THE84" s="206"/>
      <c r="THF84" s="205"/>
      <c r="THG84" s="205"/>
      <c r="THH84" s="204"/>
      <c r="THI84" s="206"/>
      <c r="THJ84" s="205"/>
      <c r="THK84" s="205"/>
      <c r="THL84" s="204"/>
      <c r="THM84" s="206"/>
      <c r="THN84" s="205"/>
      <c r="THO84" s="205"/>
      <c r="THP84" s="204"/>
      <c r="THQ84" s="206"/>
      <c r="THR84" s="205"/>
      <c r="THS84" s="205"/>
      <c r="THT84" s="204"/>
      <c r="THU84" s="206"/>
      <c r="THV84" s="205"/>
      <c r="THW84" s="205"/>
      <c r="THX84" s="204"/>
      <c r="THY84" s="206"/>
      <c r="THZ84" s="205"/>
      <c r="TIA84" s="205"/>
      <c r="TIB84" s="204"/>
      <c r="TIC84" s="206"/>
      <c r="TID84" s="205"/>
      <c r="TIE84" s="205"/>
      <c r="TIF84" s="204"/>
      <c r="TIG84" s="206"/>
      <c r="TIH84" s="205"/>
      <c r="TII84" s="205"/>
      <c r="TIJ84" s="204"/>
      <c r="TIK84" s="206"/>
      <c r="TIL84" s="205"/>
      <c r="TIM84" s="205"/>
      <c r="TIN84" s="204"/>
      <c r="TIO84" s="206"/>
      <c r="TIP84" s="205"/>
      <c r="TIQ84" s="205"/>
      <c r="TIR84" s="204"/>
      <c r="TIS84" s="206"/>
      <c r="TIT84" s="205"/>
      <c r="TIU84" s="205"/>
      <c r="TIV84" s="204"/>
      <c r="TIW84" s="206"/>
      <c r="TIX84" s="205"/>
      <c r="TIY84" s="205"/>
      <c r="TIZ84" s="204"/>
      <c r="TJA84" s="206"/>
      <c r="TJB84" s="205"/>
      <c r="TJC84" s="205"/>
      <c r="TJD84" s="204"/>
      <c r="TJE84" s="206"/>
      <c r="TJF84" s="205"/>
      <c r="TJG84" s="205"/>
      <c r="TJH84" s="204"/>
      <c r="TJI84" s="206"/>
      <c r="TJJ84" s="205"/>
      <c r="TJK84" s="205"/>
      <c r="TJL84" s="204"/>
      <c r="TJM84" s="206"/>
      <c r="TJN84" s="205"/>
      <c r="TJO84" s="205"/>
      <c r="TJP84" s="204"/>
      <c r="TJQ84" s="206"/>
      <c r="TJR84" s="205"/>
      <c r="TJS84" s="205"/>
      <c r="TJT84" s="204"/>
      <c r="TJU84" s="206"/>
      <c r="TJV84" s="205"/>
      <c r="TJW84" s="205"/>
      <c r="TJX84" s="204"/>
      <c r="TJY84" s="206"/>
      <c r="TJZ84" s="205"/>
      <c r="TKA84" s="205"/>
      <c r="TKB84" s="204"/>
      <c r="TKC84" s="206"/>
      <c r="TKD84" s="205"/>
      <c r="TKE84" s="205"/>
      <c r="TKF84" s="204"/>
      <c r="TKG84" s="206"/>
      <c r="TKH84" s="205"/>
      <c r="TKI84" s="205"/>
      <c r="TKJ84" s="204"/>
      <c r="TKK84" s="206"/>
      <c r="TKL84" s="205"/>
      <c r="TKM84" s="205"/>
      <c r="TKN84" s="204"/>
      <c r="TKO84" s="206"/>
      <c r="TKP84" s="205"/>
      <c r="TKQ84" s="205"/>
      <c r="TKR84" s="204"/>
      <c r="TKS84" s="206"/>
      <c r="TKT84" s="205"/>
      <c r="TKU84" s="205"/>
      <c r="TKV84" s="204"/>
      <c r="TKW84" s="206"/>
      <c r="TKX84" s="205"/>
      <c r="TKY84" s="205"/>
      <c r="TKZ84" s="204"/>
      <c r="TLA84" s="206"/>
      <c r="TLB84" s="205"/>
      <c r="TLC84" s="205"/>
      <c r="TLD84" s="204"/>
      <c r="TLE84" s="206"/>
      <c r="TLF84" s="205"/>
      <c r="TLG84" s="205"/>
      <c r="TLH84" s="204"/>
      <c r="TLI84" s="206"/>
      <c r="TLJ84" s="205"/>
      <c r="TLK84" s="205"/>
      <c r="TLL84" s="204"/>
      <c r="TLM84" s="206"/>
      <c r="TLN84" s="205"/>
      <c r="TLO84" s="205"/>
      <c r="TLP84" s="204"/>
      <c r="TLQ84" s="206"/>
      <c r="TLR84" s="205"/>
      <c r="TLS84" s="205"/>
      <c r="TLT84" s="204"/>
      <c r="TLU84" s="206"/>
      <c r="TLV84" s="205"/>
      <c r="TLW84" s="205"/>
      <c r="TLX84" s="204"/>
      <c r="TLY84" s="206"/>
      <c r="TLZ84" s="205"/>
      <c r="TMA84" s="205"/>
      <c r="TMB84" s="204"/>
      <c r="TMC84" s="206"/>
      <c r="TMD84" s="205"/>
      <c r="TME84" s="205"/>
      <c r="TMF84" s="204"/>
      <c r="TMG84" s="206"/>
      <c r="TMH84" s="205"/>
      <c r="TMI84" s="205"/>
      <c r="TMJ84" s="204"/>
      <c r="TMK84" s="206"/>
      <c r="TML84" s="205"/>
      <c r="TMM84" s="205"/>
      <c r="TMN84" s="204"/>
      <c r="TMO84" s="206"/>
      <c r="TMP84" s="205"/>
      <c r="TMQ84" s="205"/>
      <c r="TMR84" s="204"/>
      <c r="TMS84" s="206"/>
      <c r="TMT84" s="205"/>
      <c r="TMU84" s="205"/>
      <c r="TMV84" s="204"/>
      <c r="TMW84" s="206"/>
      <c r="TMX84" s="205"/>
      <c r="TMY84" s="205"/>
      <c r="TMZ84" s="204"/>
      <c r="TNA84" s="206"/>
      <c r="TNB84" s="205"/>
      <c r="TNC84" s="205"/>
      <c r="TND84" s="204"/>
      <c r="TNE84" s="206"/>
      <c r="TNF84" s="205"/>
      <c r="TNG84" s="205"/>
      <c r="TNH84" s="204"/>
      <c r="TNI84" s="206"/>
      <c r="TNJ84" s="205"/>
      <c r="TNK84" s="205"/>
      <c r="TNL84" s="204"/>
      <c r="TNM84" s="206"/>
      <c r="TNN84" s="205"/>
      <c r="TNO84" s="205"/>
      <c r="TNP84" s="204"/>
      <c r="TNQ84" s="206"/>
      <c r="TNR84" s="205"/>
      <c r="TNS84" s="205"/>
      <c r="TNT84" s="204"/>
      <c r="TNU84" s="206"/>
      <c r="TNV84" s="205"/>
      <c r="TNW84" s="205"/>
      <c r="TNX84" s="204"/>
      <c r="TNY84" s="206"/>
      <c r="TNZ84" s="205"/>
      <c r="TOA84" s="205"/>
      <c r="TOB84" s="204"/>
      <c r="TOC84" s="206"/>
      <c r="TOD84" s="205"/>
      <c r="TOE84" s="205"/>
      <c r="TOF84" s="204"/>
      <c r="TOG84" s="206"/>
      <c r="TOH84" s="205"/>
      <c r="TOI84" s="205"/>
      <c r="TOJ84" s="204"/>
      <c r="TOK84" s="206"/>
      <c r="TOL84" s="205"/>
      <c r="TOM84" s="205"/>
      <c r="TON84" s="204"/>
      <c r="TOO84" s="206"/>
      <c r="TOP84" s="205"/>
      <c r="TOQ84" s="205"/>
      <c r="TOR84" s="204"/>
      <c r="TOS84" s="206"/>
      <c r="TOT84" s="205"/>
      <c r="TOU84" s="205"/>
      <c r="TOV84" s="204"/>
      <c r="TOW84" s="206"/>
      <c r="TOX84" s="205"/>
      <c r="TOY84" s="205"/>
      <c r="TOZ84" s="204"/>
      <c r="TPA84" s="206"/>
      <c r="TPB84" s="205"/>
      <c r="TPC84" s="205"/>
      <c r="TPD84" s="204"/>
      <c r="TPE84" s="206"/>
      <c r="TPF84" s="205"/>
      <c r="TPG84" s="205"/>
      <c r="TPH84" s="204"/>
      <c r="TPI84" s="206"/>
      <c r="TPJ84" s="205"/>
      <c r="TPK84" s="205"/>
      <c r="TPL84" s="204"/>
      <c r="TPM84" s="206"/>
      <c r="TPN84" s="205"/>
      <c r="TPO84" s="205"/>
      <c r="TPP84" s="204"/>
      <c r="TPQ84" s="206"/>
      <c r="TPR84" s="205"/>
      <c r="TPS84" s="205"/>
      <c r="TPT84" s="204"/>
      <c r="TPU84" s="206"/>
      <c r="TPV84" s="205"/>
      <c r="TPW84" s="205"/>
      <c r="TPX84" s="204"/>
      <c r="TPY84" s="206"/>
      <c r="TPZ84" s="205"/>
      <c r="TQA84" s="205"/>
      <c r="TQB84" s="204"/>
      <c r="TQC84" s="206"/>
      <c r="TQD84" s="205"/>
      <c r="TQE84" s="205"/>
      <c r="TQF84" s="204"/>
      <c r="TQG84" s="206"/>
      <c r="TQH84" s="205"/>
      <c r="TQI84" s="205"/>
      <c r="TQJ84" s="204"/>
      <c r="TQK84" s="206"/>
      <c r="TQL84" s="205"/>
      <c r="TQM84" s="205"/>
      <c r="TQN84" s="204"/>
      <c r="TQO84" s="206"/>
      <c r="TQP84" s="205"/>
      <c r="TQQ84" s="205"/>
      <c r="TQR84" s="204"/>
      <c r="TQS84" s="206"/>
      <c r="TQT84" s="205"/>
      <c r="TQU84" s="205"/>
      <c r="TQV84" s="204"/>
      <c r="TQW84" s="206"/>
      <c r="TQX84" s="205"/>
      <c r="TQY84" s="205"/>
      <c r="TQZ84" s="204"/>
      <c r="TRA84" s="206"/>
      <c r="TRB84" s="205"/>
      <c r="TRC84" s="205"/>
      <c r="TRD84" s="204"/>
      <c r="TRE84" s="206"/>
      <c r="TRF84" s="205"/>
      <c r="TRG84" s="205"/>
      <c r="TRH84" s="204"/>
      <c r="TRI84" s="206"/>
      <c r="TRJ84" s="205"/>
      <c r="TRK84" s="205"/>
      <c r="TRL84" s="204"/>
      <c r="TRM84" s="206"/>
      <c r="TRN84" s="205"/>
      <c r="TRO84" s="205"/>
      <c r="TRP84" s="204"/>
      <c r="TRQ84" s="206"/>
      <c r="TRR84" s="205"/>
      <c r="TRS84" s="205"/>
      <c r="TRT84" s="204"/>
      <c r="TRU84" s="206"/>
      <c r="TRV84" s="205"/>
      <c r="TRW84" s="205"/>
      <c r="TRX84" s="204"/>
      <c r="TRY84" s="206"/>
      <c r="TRZ84" s="205"/>
      <c r="TSA84" s="205"/>
      <c r="TSB84" s="204"/>
      <c r="TSC84" s="206"/>
      <c r="TSD84" s="205"/>
      <c r="TSE84" s="205"/>
      <c r="TSF84" s="204"/>
      <c r="TSG84" s="206"/>
      <c r="TSH84" s="205"/>
      <c r="TSI84" s="205"/>
      <c r="TSJ84" s="204"/>
      <c r="TSK84" s="206"/>
      <c r="TSL84" s="205"/>
      <c r="TSM84" s="205"/>
      <c r="TSN84" s="204"/>
      <c r="TSO84" s="206"/>
      <c r="TSP84" s="205"/>
      <c r="TSQ84" s="205"/>
      <c r="TSR84" s="204"/>
      <c r="TSS84" s="206"/>
      <c r="TST84" s="205"/>
      <c r="TSU84" s="205"/>
      <c r="TSV84" s="204"/>
      <c r="TSW84" s="206"/>
      <c r="TSX84" s="205"/>
      <c r="TSY84" s="205"/>
      <c r="TSZ84" s="204"/>
      <c r="TTA84" s="206"/>
      <c r="TTB84" s="205"/>
      <c r="TTC84" s="205"/>
      <c r="TTD84" s="204"/>
      <c r="TTE84" s="206"/>
      <c r="TTF84" s="205"/>
      <c r="TTG84" s="205"/>
      <c r="TTH84" s="204"/>
      <c r="TTI84" s="206"/>
      <c r="TTJ84" s="205"/>
      <c r="TTK84" s="205"/>
      <c r="TTL84" s="204"/>
      <c r="TTM84" s="206"/>
      <c r="TTN84" s="205"/>
      <c r="TTO84" s="205"/>
      <c r="TTP84" s="204"/>
      <c r="TTQ84" s="206"/>
      <c r="TTR84" s="205"/>
      <c r="TTS84" s="205"/>
      <c r="TTT84" s="204"/>
      <c r="TTU84" s="206"/>
      <c r="TTV84" s="205"/>
      <c r="TTW84" s="205"/>
      <c r="TTX84" s="204"/>
      <c r="TTY84" s="206"/>
      <c r="TTZ84" s="205"/>
      <c r="TUA84" s="205"/>
      <c r="TUB84" s="204"/>
      <c r="TUC84" s="206"/>
      <c r="TUD84" s="205"/>
      <c r="TUE84" s="205"/>
      <c r="TUF84" s="204"/>
      <c r="TUG84" s="206"/>
      <c r="TUH84" s="205"/>
      <c r="TUI84" s="205"/>
      <c r="TUJ84" s="204"/>
      <c r="TUK84" s="206"/>
      <c r="TUL84" s="205"/>
      <c r="TUM84" s="205"/>
      <c r="TUN84" s="204"/>
      <c r="TUO84" s="206"/>
      <c r="TUP84" s="205"/>
      <c r="TUQ84" s="205"/>
      <c r="TUR84" s="204"/>
      <c r="TUS84" s="206"/>
      <c r="TUT84" s="205"/>
      <c r="TUU84" s="205"/>
      <c r="TUV84" s="204"/>
      <c r="TUW84" s="206"/>
      <c r="TUX84" s="205"/>
      <c r="TUY84" s="205"/>
      <c r="TUZ84" s="204"/>
      <c r="TVA84" s="206"/>
      <c r="TVB84" s="205"/>
      <c r="TVC84" s="205"/>
      <c r="TVD84" s="204"/>
      <c r="TVE84" s="206"/>
      <c r="TVF84" s="205"/>
      <c r="TVG84" s="205"/>
      <c r="TVH84" s="204"/>
      <c r="TVI84" s="206"/>
      <c r="TVJ84" s="205"/>
      <c r="TVK84" s="205"/>
      <c r="TVL84" s="204"/>
      <c r="TVM84" s="206"/>
      <c r="TVN84" s="205"/>
      <c r="TVO84" s="205"/>
      <c r="TVP84" s="204"/>
      <c r="TVQ84" s="206"/>
      <c r="TVR84" s="205"/>
      <c r="TVS84" s="205"/>
      <c r="TVT84" s="204"/>
      <c r="TVU84" s="206"/>
      <c r="TVV84" s="205"/>
      <c r="TVW84" s="205"/>
      <c r="TVX84" s="204"/>
      <c r="TVY84" s="206"/>
      <c r="TVZ84" s="205"/>
      <c r="TWA84" s="205"/>
      <c r="TWB84" s="204"/>
      <c r="TWC84" s="206"/>
      <c r="TWD84" s="205"/>
      <c r="TWE84" s="205"/>
      <c r="TWF84" s="204"/>
      <c r="TWG84" s="206"/>
      <c r="TWH84" s="205"/>
      <c r="TWI84" s="205"/>
      <c r="TWJ84" s="204"/>
      <c r="TWK84" s="206"/>
      <c r="TWL84" s="205"/>
      <c r="TWM84" s="205"/>
      <c r="TWN84" s="204"/>
      <c r="TWO84" s="206"/>
      <c r="TWP84" s="205"/>
      <c r="TWQ84" s="205"/>
      <c r="TWR84" s="204"/>
      <c r="TWS84" s="206"/>
      <c r="TWT84" s="205"/>
      <c r="TWU84" s="205"/>
      <c r="TWV84" s="204"/>
      <c r="TWW84" s="206"/>
      <c r="TWX84" s="205"/>
      <c r="TWY84" s="205"/>
      <c r="TWZ84" s="204"/>
      <c r="TXA84" s="206"/>
      <c r="TXB84" s="205"/>
      <c r="TXC84" s="205"/>
      <c r="TXD84" s="204"/>
      <c r="TXE84" s="206"/>
      <c r="TXF84" s="205"/>
      <c r="TXG84" s="205"/>
      <c r="TXH84" s="204"/>
      <c r="TXI84" s="206"/>
      <c r="TXJ84" s="205"/>
      <c r="TXK84" s="205"/>
      <c r="TXL84" s="204"/>
      <c r="TXM84" s="206"/>
      <c r="TXN84" s="205"/>
      <c r="TXO84" s="205"/>
      <c r="TXP84" s="204"/>
      <c r="TXQ84" s="206"/>
      <c r="TXR84" s="205"/>
      <c r="TXS84" s="205"/>
      <c r="TXT84" s="204"/>
      <c r="TXU84" s="206"/>
      <c r="TXV84" s="205"/>
      <c r="TXW84" s="205"/>
      <c r="TXX84" s="204"/>
      <c r="TXY84" s="206"/>
      <c r="TXZ84" s="205"/>
      <c r="TYA84" s="205"/>
      <c r="TYB84" s="204"/>
      <c r="TYC84" s="206"/>
      <c r="TYD84" s="205"/>
      <c r="TYE84" s="205"/>
      <c r="TYF84" s="204"/>
      <c r="TYG84" s="206"/>
      <c r="TYH84" s="205"/>
      <c r="TYI84" s="205"/>
      <c r="TYJ84" s="204"/>
      <c r="TYK84" s="206"/>
      <c r="TYL84" s="205"/>
      <c r="TYM84" s="205"/>
      <c r="TYN84" s="204"/>
      <c r="TYO84" s="206"/>
      <c r="TYP84" s="205"/>
      <c r="TYQ84" s="205"/>
      <c r="TYR84" s="204"/>
      <c r="TYS84" s="206"/>
      <c r="TYT84" s="205"/>
      <c r="TYU84" s="205"/>
      <c r="TYV84" s="204"/>
      <c r="TYW84" s="206"/>
      <c r="TYX84" s="205"/>
      <c r="TYY84" s="205"/>
      <c r="TYZ84" s="204"/>
      <c r="TZA84" s="206"/>
      <c r="TZB84" s="205"/>
      <c r="TZC84" s="205"/>
      <c r="TZD84" s="204"/>
      <c r="TZE84" s="206"/>
      <c r="TZF84" s="205"/>
      <c r="TZG84" s="205"/>
      <c r="TZH84" s="204"/>
      <c r="TZI84" s="206"/>
      <c r="TZJ84" s="205"/>
      <c r="TZK84" s="205"/>
      <c r="TZL84" s="204"/>
      <c r="TZM84" s="206"/>
      <c r="TZN84" s="205"/>
      <c r="TZO84" s="205"/>
      <c r="TZP84" s="204"/>
      <c r="TZQ84" s="206"/>
      <c r="TZR84" s="205"/>
      <c r="TZS84" s="205"/>
      <c r="TZT84" s="204"/>
      <c r="TZU84" s="206"/>
      <c r="TZV84" s="205"/>
      <c r="TZW84" s="205"/>
      <c r="TZX84" s="204"/>
      <c r="TZY84" s="206"/>
      <c r="TZZ84" s="205"/>
      <c r="UAA84" s="205"/>
      <c r="UAB84" s="204"/>
      <c r="UAC84" s="206"/>
      <c r="UAD84" s="205"/>
      <c r="UAE84" s="205"/>
      <c r="UAF84" s="204"/>
      <c r="UAG84" s="206"/>
      <c r="UAH84" s="205"/>
      <c r="UAI84" s="205"/>
      <c r="UAJ84" s="204"/>
      <c r="UAK84" s="206"/>
      <c r="UAL84" s="205"/>
      <c r="UAM84" s="205"/>
      <c r="UAN84" s="204"/>
      <c r="UAO84" s="206"/>
      <c r="UAP84" s="205"/>
      <c r="UAQ84" s="205"/>
      <c r="UAR84" s="204"/>
      <c r="UAS84" s="206"/>
      <c r="UAT84" s="205"/>
      <c r="UAU84" s="205"/>
      <c r="UAV84" s="204"/>
      <c r="UAW84" s="206"/>
      <c r="UAX84" s="205"/>
      <c r="UAY84" s="205"/>
      <c r="UAZ84" s="204"/>
      <c r="UBA84" s="206"/>
      <c r="UBB84" s="205"/>
      <c r="UBC84" s="205"/>
      <c r="UBD84" s="204"/>
      <c r="UBE84" s="206"/>
      <c r="UBF84" s="205"/>
      <c r="UBG84" s="205"/>
      <c r="UBH84" s="204"/>
      <c r="UBI84" s="206"/>
      <c r="UBJ84" s="205"/>
      <c r="UBK84" s="205"/>
      <c r="UBL84" s="204"/>
      <c r="UBM84" s="206"/>
      <c r="UBN84" s="205"/>
      <c r="UBO84" s="205"/>
      <c r="UBP84" s="204"/>
      <c r="UBQ84" s="206"/>
      <c r="UBR84" s="205"/>
      <c r="UBS84" s="205"/>
      <c r="UBT84" s="204"/>
      <c r="UBU84" s="206"/>
      <c r="UBV84" s="205"/>
      <c r="UBW84" s="205"/>
      <c r="UBX84" s="204"/>
      <c r="UBY84" s="206"/>
      <c r="UBZ84" s="205"/>
      <c r="UCA84" s="205"/>
      <c r="UCB84" s="204"/>
      <c r="UCC84" s="206"/>
      <c r="UCD84" s="205"/>
      <c r="UCE84" s="205"/>
      <c r="UCF84" s="204"/>
      <c r="UCG84" s="206"/>
      <c r="UCH84" s="205"/>
      <c r="UCI84" s="205"/>
      <c r="UCJ84" s="204"/>
      <c r="UCK84" s="206"/>
      <c r="UCL84" s="205"/>
      <c r="UCM84" s="205"/>
      <c r="UCN84" s="204"/>
      <c r="UCO84" s="206"/>
      <c r="UCP84" s="205"/>
      <c r="UCQ84" s="205"/>
      <c r="UCR84" s="204"/>
      <c r="UCS84" s="206"/>
      <c r="UCT84" s="205"/>
      <c r="UCU84" s="205"/>
      <c r="UCV84" s="204"/>
      <c r="UCW84" s="206"/>
      <c r="UCX84" s="205"/>
      <c r="UCY84" s="205"/>
      <c r="UCZ84" s="204"/>
      <c r="UDA84" s="206"/>
      <c r="UDB84" s="205"/>
      <c r="UDC84" s="205"/>
      <c r="UDD84" s="204"/>
      <c r="UDE84" s="206"/>
      <c r="UDF84" s="205"/>
      <c r="UDG84" s="205"/>
      <c r="UDH84" s="204"/>
      <c r="UDI84" s="206"/>
      <c r="UDJ84" s="205"/>
      <c r="UDK84" s="205"/>
      <c r="UDL84" s="204"/>
      <c r="UDM84" s="206"/>
      <c r="UDN84" s="205"/>
      <c r="UDO84" s="205"/>
      <c r="UDP84" s="204"/>
      <c r="UDQ84" s="206"/>
      <c r="UDR84" s="205"/>
      <c r="UDS84" s="205"/>
      <c r="UDT84" s="204"/>
      <c r="UDU84" s="206"/>
      <c r="UDV84" s="205"/>
      <c r="UDW84" s="205"/>
      <c r="UDX84" s="204"/>
      <c r="UDY84" s="206"/>
      <c r="UDZ84" s="205"/>
      <c r="UEA84" s="205"/>
      <c r="UEB84" s="204"/>
      <c r="UEC84" s="206"/>
      <c r="UED84" s="205"/>
      <c r="UEE84" s="205"/>
      <c r="UEF84" s="204"/>
      <c r="UEG84" s="206"/>
      <c r="UEH84" s="205"/>
      <c r="UEI84" s="205"/>
      <c r="UEJ84" s="204"/>
      <c r="UEK84" s="206"/>
      <c r="UEL84" s="205"/>
      <c r="UEM84" s="205"/>
      <c r="UEN84" s="204"/>
      <c r="UEO84" s="206"/>
      <c r="UEP84" s="205"/>
      <c r="UEQ84" s="205"/>
      <c r="UER84" s="204"/>
      <c r="UES84" s="206"/>
      <c r="UET84" s="205"/>
      <c r="UEU84" s="205"/>
      <c r="UEV84" s="204"/>
      <c r="UEW84" s="206"/>
      <c r="UEX84" s="205"/>
      <c r="UEY84" s="205"/>
      <c r="UEZ84" s="204"/>
      <c r="UFA84" s="206"/>
      <c r="UFB84" s="205"/>
      <c r="UFC84" s="205"/>
      <c r="UFD84" s="204"/>
      <c r="UFE84" s="206"/>
      <c r="UFF84" s="205"/>
      <c r="UFG84" s="205"/>
      <c r="UFH84" s="204"/>
      <c r="UFI84" s="206"/>
      <c r="UFJ84" s="205"/>
      <c r="UFK84" s="205"/>
      <c r="UFL84" s="204"/>
      <c r="UFM84" s="206"/>
      <c r="UFN84" s="205"/>
      <c r="UFO84" s="205"/>
      <c r="UFP84" s="204"/>
      <c r="UFQ84" s="206"/>
      <c r="UFR84" s="205"/>
      <c r="UFS84" s="205"/>
      <c r="UFT84" s="204"/>
      <c r="UFU84" s="206"/>
      <c r="UFV84" s="205"/>
      <c r="UFW84" s="205"/>
      <c r="UFX84" s="204"/>
      <c r="UFY84" s="206"/>
      <c r="UFZ84" s="205"/>
      <c r="UGA84" s="205"/>
      <c r="UGB84" s="204"/>
      <c r="UGC84" s="206"/>
      <c r="UGD84" s="205"/>
      <c r="UGE84" s="205"/>
      <c r="UGF84" s="204"/>
      <c r="UGG84" s="206"/>
      <c r="UGH84" s="205"/>
      <c r="UGI84" s="205"/>
      <c r="UGJ84" s="204"/>
      <c r="UGK84" s="206"/>
      <c r="UGL84" s="205"/>
      <c r="UGM84" s="205"/>
      <c r="UGN84" s="204"/>
      <c r="UGO84" s="206"/>
      <c r="UGP84" s="205"/>
      <c r="UGQ84" s="205"/>
      <c r="UGR84" s="204"/>
      <c r="UGS84" s="206"/>
      <c r="UGT84" s="205"/>
      <c r="UGU84" s="205"/>
      <c r="UGV84" s="204"/>
      <c r="UGW84" s="206"/>
      <c r="UGX84" s="205"/>
      <c r="UGY84" s="205"/>
      <c r="UGZ84" s="204"/>
      <c r="UHA84" s="206"/>
      <c r="UHB84" s="205"/>
      <c r="UHC84" s="205"/>
      <c r="UHD84" s="204"/>
      <c r="UHE84" s="206"/>
      <c r="UHF84" s="205"/>
      <c r="UHG84" s="205"/>
      <c r="UHH84" s="204"/>
      <c r="UHI84" s="206"/>
      <c r="UHJ84" s="205"/>
      <c r="UHK84" s="205"/>
      <c r="UHL84" s="204"/>
      <c r="UHM84" s="206"/>
      <c r="UHN84" s="205"/>
      <c r="UHO84" s="205"/>
      <c r="UHP84" s="204"/>
      <c r="UHQ84" s="206"/>
      <c r="UHR84" s="205"/>
      <c r="UHS84" s="205"/>
      <c r="UHT84" s="204"/>
      <c r="UHU84" s="206"/>
      <c r="UHV84" s="205"/>
      <c r="UHW84" s="205"/>
      <c r="UHX84" s="204"/>
      <c r="UHY84" s="206"/>
      <c r="UHZ84" s="205"/>
      <c r="UIA84" s="205"/>
      <c r="UIB84" s="204"/>
      <c r="UIC84" s="206"/>
      <c r="UID84" s="205"/>
      <c r="UIE84" s="205"/>
      <c r="UIF84" s="204"/>
      <c r="UIG84" s="206"/>
      <c r="UIH84" s="205"/>
      <c r="UII84" s="205"/>
      <c r="UIJ84" s="204"/>
      <c r="UIK84" s="206"/>
      <c r="UIL84" s="205"/>
      <c r="UIM84" s="205"/>
      <c r="UIN84" s="204"/>
      <c r="UIO84" s="206"/>
      <c r="UIP84" s="205"/>
      <c r="UIQ84" s="205"/>
      <c r="UIR84" s="204"/>
      <c r="UIS84" s="206"/>
      <c r="UIT84" s="205"/>
      <c r="UIU84" s="205"/>
      <c r="UIV84" s="204"/>
      <c r="UIW84" s="206"/>
      <c r="UIX84" s="205"/>
      <c r="UIY84" s="205"/>
      <c r="UIZ84" s="204"/>
      <c r="UJA84" s="206"/>
      <c r="UJB84" s="205"/>
      <c r="UJC84" s="205"/>
      <c r="UJD84" s="204"/>
      <c r="UJE84" s="206"/>
      <c r="UJF84" s="205"/>
      <c r="UJG84" s="205"/>
      <c r="UJH84" s="204"/>
      <c r="UJI84" s="206"/>
      <c r="UJJ84" s="205"/>
      <c r="UJK84" s="205"/>
      <c r="UJL84" s="204"/>
      <c r="UJM84" s="206"/>
      <c r="UJN84" s="205"/>
      <c r="UJO84" s="205"/>
      <c r="UJP84" s="204"/>
      <c r="UJQ84" s="206"/>
      <c r="UJR84" s="205"/>
      <c r="UJS84" s="205"/>
      <c r="UJT84" s="204"/>
      <c r="UJU84" s="206"/>
      <c r="UJV84" s="205"/>
      <c r="UJW84" s="205"/>
      <c r="UJX84" s="204"/>
      <c r="UJY84" s="206"/>
      <c r="UJZ84" s="205"/>
      <c r="UKA84" s="205"/>
      <c r="UKB84" s="204"/>
      <c r="UKC84" s="206"/>
      <c r="UKD84" s="205"/>
      <c r="UKE84" s="205"/>
      <c r="UKF84" s="204"/>
      <c r="UKG84" s="206"/>
      <c r="UKH84" s="205"/>
      <c r="UKI84" s="205"/>
      <c r="UKJ84" s="204"/>
      <c r="UKK84" s="206"/>
      <c r="UKL84" s="205"/>
      <c r="UKM84" s="205"/>
      <c r="UKN84" s="204"/>
      <c r="UKO84" s="206"/>
      <c r="UKP84" s="205"/>
      <c r="UKQ84" s="205"/>
      <c r="UKR84" s="204"/>
      <c r="UKS84" s="206"/>
      <c r="UKT84" s="205"/>
      <c r="UKU84" s="205"/>
      <c r="UKV84" s="204"/>
      <c r="UKW84" s="206"/>
      <c r="UKX84" s="205"/>
      <c r="UKY84" s="205"/>
      <c r="UKZ84" s="204"/>
      <c r="ULA84" s="206"/>
      <c r="ULB84" s="205"/>
      <c r="ULC84" s="205"/>
      <c r="ULD84" s="204"/>
      <c r="ULE84" s="206"/>
      <c r="ULF84" s="205"/>
      <c r="ULG84" s="205"/>
      <c r="ULH84" s="204"/>
      <c r="ULI84" s="206"/>
      <c r="ULJ84" s="205"/>
      <c r="ULK84" s="205"/>
      <c r="ULL84" s="204"/>
      <c r="ULM84" s="206"/>
      <c r="ULN84" s="205"/>
      <c r="ULO84" s="205"/>
      <c r="ULP84" s="204"/>
      <c r="ULQ84" s="206"/>
      <c r="ULR84" s="205"/>
      <c r="ULS84" s="205"/>
      <c r="ULT84" s="204"/>
      <c r="ULU84" s="206"/>
      <c r="ULV84" s="205"/>
      <c r="ULW84" s="205"/>
      <c r="ULX84" s="204"/>
      <c r="ULY84" s="206"/>
      <c r="ULZ84" s="205"/>
      <c r="UMA84" s="205"/>
      <c r="UMB84" s="204"/>
      <c r="UMC84" s="206"/>
      <c r="UMD84" s="205"/>
      <c r="UME84" s="205"/>
      <c r="UMF84" s="204"/>
      <c r="UMG84" s="206"/>
      <c r="UMH84" s="205"/>
      <c r="UMI84" s="205"/>
      <c r="UMJ84" s="204"/>
      <c r="UMK84" s="206"/>
      <c r="UML84" s="205"/>
      <c r="UMM84" s="205"/>
      <c r="UMN84" s="204"/>
      <c r="UMO84" s="206"/>
      <c r="UMP84" s="205"/>
      <c r="UMQ84" s="205"/>
      <c r="UMR84" s="204"/>
      <c r="UMS84" s="206"/>
      <c r="UMT84" s="205"/>
      <c r="UMU84" s="205"/>
      <c r="UMV84" s="204"/>
      <c r="UMW84" s="206"/>
      <c r="UMX84" s="205"/>
      <c r="UMY84" s="205"/>
      <c r="UMZ84" s="204"/>
      <c r="UNA84" s="206"/>
      <c r="UNB84" s="205"/>
      <c r="UNC84" s="205"/>
      <c r="UND84" s="204"/>
      <c r="UNE84" s="206"/>
      <c r="UNF84" s="205"/>
      <c r="UNG84" s="205"/>
      <c r="UNH84" s="204"/>
      <c r="UNI84" s="206"/>
      <c r="UNJ84" s="205"/>
      <c r="UNK84" s="205"/>
      <c r="UNL84" s="204"/>
      <c r="UNM84" s="206"/>
      <c r="UNN84" s="205"/>
      <c r="UNO84" s="205"/>
      <c r="UNP84" s="204"/>
      <c r="UNQ84" s="206"/>
      <c r="UNR84" s="205"/>
      <c r="UNS84" s="205"/>
      <c r="UNT84" s="204"/>
      <c r="UNU84" s="206"/>
      <c r="UNV84" s="205"/>
      <c r="UNW84" s="205"/>
      <c r="UNX84" s="204"/>
      <c r="UNY84" s="206"/>
      <c r="UNZ84" s="205"/>
      <c r="UOA84" s="205"/>
      <c r="UOB84" s="204"/>
      <c r="UOC84" s="206"/>
      <c r="UOD84" s="205"/>
      <c r="UOE84" s="205"/>
      <c r="UOF84" s="204"/>
      <c r="UOG84" s="206"/>
      <c r="UOH84" s="205"/>
      <c r="UOI84" s="205"/>
      <c r="UOJ84" s="204"/>
      <c r="UOK84" s="206"/>
      <c r="UOL84" s="205"/>
      <c r="UOM84" s="205"/>
      <c r="UON84" s="204"/>
      <c r="UOO84" s="206"/>
      <c r="UOP84" s="205"/>
      <c r="UOQ84" s="205"/>
      <c r="UOR84" s="204"/>
      <c r="UOS84" s="206"/>
      <c r="UOT84" s="205"/>
      <c r="UOU84" s="205"/>
      <c r="UOV84" s="204"/>
      <c r="UOW84" s="206"/>
      <c r="UOX84" s="205"/>
      <c r="UOY84" s="205"/>
      <c r="UOZ84" s="204"/>
      <c r="UPA84" s="206"/>
      <c r="UPB84" s="205"/>
      <c r="UPC84" s="205"/>
      <c r="UPD84" s="204"/>
      <c r="UPE84" s="206"/>
      <c r="UPF84" s="205"/>
      <c r="UPG84" s="205"/>
      <c r="UPH84" s="204"/>
      <c r="UPI84" s="206"/>
      <c r="UPJ84" s="205"/>
      <c r="UPK84" s="205"/>
      <c r="UPL84" s="204"/>
      <c r="UPM84" s="206"/>
      <c r="UPN84" s="205"/>
      <c r="UPO84" s="205"/>
      <c r="UPP84" s="204"/>
      <c r="UPQ84" s="206"/>
      <c r="UPR84" s="205"/>
      <c r="UPS84" s="205"/>
      <c r="UPT84" s="204"/>
      <c r="UPU84" s="206"/>
      <c r="UPV84" s="205"/>
      <c r="UPW84" s="205"/>
      <c r="UPX84" s="204"/>
      <c r="UPY84" s="206"/>
      <c r="UPZ84" s="205"/>
      <c r="UQA84" s="205"/>
      <c r="UQB84" s="204"/>
      <c r="UQC84" s="206"/>
      <c r="UQD84" s="205"/>
      <c r="UQE84" s="205"/>
      <c r="UQF84" s="204"/>
      <c r="UQG84" s="206"/>
      <c r="UQH84" s="205"/>
      <c r="UQI84" s="205"/>
      <c r="UQJ84" s="204"/>
      <c r="UQK84" s="206"/>
      <c r="UQL84" s="205"/>
      <c r="UQM84" s="205"/>
      <c r="UQN84" s="204"/>
      <c r="UQO84" s="206"/>
      <c r="UQP84" s="205"/>
      <c r="UQQ84" s="205"/>
      <c r="UQR84" s="204"/>
      <c r="UQS84" s="206"/>
      <c r="UQT84" s="205"/>
      <c r="UQU84" s="205"/>
      <c r="UQV84" s="204"/>
      <c r="UQW84" s="206"/>
      <c r="UQX84" s="205"/>
      <c r="UQY84" s="205"/>
      <c r="UQZ84" s="204"/>
      <c r="URA84" s="206"/>
      <c r="URB84" s="205"/>
      <c r="URC84" s="205"/>
      <c r="URD84" s="204"/>
      <c r="URE84" s="206"/>
      <c r="URF84" s="205"/>
      <c r="URG84" s="205"/>
      <c r="URH84" s="204"/>
      <c r="URI84" s="206"/>
      <c r="URJ84" s="205"/>
      <c r="URK84" s="205"/>
      <c r="URL84" s="204"/>
      <c r="URM84" s="206"/>
      <c r="URN84" s="205"/>
      <c r="URO84" s="205"/>
      <c r="URP84" s="204"/>
      <c r="URQ84" s="206"/>
      <c r="URR84" s="205"/>
      <c r="URS84" s="205"/>
      <c r="URT84" s="204"/>
      <c r="URU84" s="206"/>
      <c r="URV84" s="205"/>
      <c r="URW84" s="205"/>
      <c r="URX84" s="204"/>
      <c r="URY84" s="206"/>
      <c r="URZ84" s="205"/>
      <c r="USA84" s="205"/>
      <c r="USB84" s="204"/>
      <c r="USC84" s="206"/>
      <c r="USD84" s="205"/>
      <c r="USE84" s="205"/>
      <c r="USF84" s="204"/>
      <c r="USG84" s="206"/>
      <c r="USH84" s="205"/>
      <c r="USI84" s="205"/>
      <c r="USJ84" s="204"/>
      <c r="USK84" s="206"/>
      <c r="USL84" s="205"/>
      <c r="USM84" s="205"/>
      <c r="USN84" s="204"/>
      <c r="USO84" s="206"/>
      <c r="USP84" s="205"/>
      <c r="USQ84" s="205"/>
      <c r="USR84" s="204"/>
      <c r="USS84" s="206"/>
      <c r="UST84" s="205"/>
      <c r="USU84" s="205"/>
      <c r="USV84" s="204"/>
      <c r="USW84" s="206"/>
      <c r="USX84" s="205"/>
      <c r="USY84" s="205"/>
      <c r="USZ84" s="204"/>
      <c r="UTA84" s="206"/>
      <c r="UTB84" s="205"/>
      <c r="UTC84" s="205"/>
      <c r="UTD84" s="204"/>
      <c r="UTE84" s="206"/>
      <c r="UTF84" s="205"/>
      <c r="UTG84" s="205"/>
      <c r="UTH84" s="204"/>
      <c r="UTI84" s="206"/>
      <c r="UTJ84" s="205"/>
      <c r="UTK84" s="205"/>
      <c r="UTL84" s="204"/>
      <c r="UTM84" s="206"/>
      <c r="UTN84" s="205"/>
      <c r="UTO84" s="205"/>
      <c r="UTP84" s="204"/>
      <c r="UTQ84" s="206"/>
      <c r="UTR84" s="205"/>
      <c r="UTS84" s="205"/>
      <c r="UTT84" s="204"/>
      <c r="UTU84" s="206"/>
      <c r="UTV84" s="205"/>
      <c r="UTW84" s="205"/>
      <c r="UTX84" s="204"/>
      <c r="UTY84" s="206"/>
      <c r="UTZ84" s="205"/>
      <c r="UUA84" s="205"/>
      <c r="UUB84" s="204"/>
      <c r="UUC84" s="206"/>
      <c r="UUD84" s="205"/>
      <c r="UUE84" s="205"/>
      <c r="UUF84" s="204"/>
      <c r="UUG84" s="206"/>
      <c r="UUH84" s="205"/>
      <c r="UUI84" s="205"/>
      <c r="UUJ84" s="204"/>
      <c r="UUK84" s="206"/>
      <c r="UUL84" s="205"/>
      <c r="UUM84" s="205"/>
      <c r="UUN84" s="204"/>
      <c r="UUO84" s="206"/>
      <c r="UUP84" s="205"/>
      <c r="UUQ84" s="205"/>
      <c r="UUR84" s="204"/>
      <c r="UUS84" s="206"/>
      <c r="UUT84" s="205"/>
      <c r="UUU84" s="205"/>
      <c r="UUV84" s="204"/>
      <c r="UUW84" s="206"/>
      <c r="UUX84" s="205"/>
      <c r="UUY84" s="205"/>
      <c r="UUZ84" s="204"/>
      <c r="UVA84" s="206"/>
      <c r="UVB84" s="205"/>
      <c r="UVC84" s="205"/>
      <c r="UVD84" s="204"/>
      <c r="UVE84" s="206"/>
      <c r="UVF84" s="205"/>
      <c r="UVG84" s="205"/>
      <c r="UVH84" s="204"/>
      <c r="UVI84" s="206"/>
      <c r="UVJ84" s="205"/>
      <c r="UVK84" s="205"/>
      <c r="UVL84" s="204"/>
      <c r="UVM84" s="206"/>
      <c r="UVN84" s="205"/>
      <c r="UVO84" s="205"/>
      <c r="UVP84" s="204"/>
      <c r="UVQ84" s="206"/>
      <c r="UVR84" s="205"/>
      <c r="UVS84" s="205"/>
      <c r="UVT84" s="204"/>
      <c r="UVU84" s="206"/>
      <c r="UVV84" s="205"/>
      <c r="UVW84" s="205"/>
      <c r="UVX84" s="204"/>
      <c r="UVY84" s="206"/>
      <c r="UVZ84" s="205"/>
      <c r="UWA84" s="205"/>
      <c r="UWB84" s="204"/>
      <c r="UWC84" s="206"/>
      <c r="UWD84" s="205"/>
      <c r="UWE84" s="205"/>
      <c r="UWF84" s="204"/>
      <c r="UWG84" s="206"/>
      <c r="UWH84" s="205"/>
      <c r="UWI84" s="205"/>
      <c r="UWJ84" s="204"/>
      <c r="UWK84" s="206"/>
      <c r="UWL84" s="205"/>
      <c r="UWM84" s="205"/>
      <c r="UWN84" s="204"/>
      <c r="UWO84" s="206"/>
      <c r="UWP84" s="205"/>
      <c r="UWQ84" s="205"/>
      <c r="UWR84" s="204"/>
      <c r="UWS84" s="206"/>
      <c r="UWT84" s="205"/>
      <c r="UWU84" s="205"/>
      <c r="UWV84" s="204"/>
      <c r="UWW84" s="206"/>
      <c r="UWX84" s="205"/>
      <c r="UWY84" s="205"/>
      <c r="UWZ84" s="204"/>
      <c r="UXA84" s="206"/>
      <c r="UXB84" s="205"/>
      <c r="UXC84" s="205"/>
      <c r="UXD84" s="204"/>
      <c r="UXE84" s="206"/>
      <c r="UXF84" s="205"/>
      <c r="UXG84" s="205"/>
      <c r="UXH84" s="204"/>
      <c r="UXI84" s="206"/>
      <c r="UXJ84" s="205"/>
      <c r="UXK84" s="205"/>
      <c r="UXL84" s="204"/>
      <c r="UXM84" s="206"/>
      <c r="UXN84" s="205"/>
      <c r="UXO84" s="205"/>
      <c r="UXP84" s="204"/>
      <c r="UXQ84" s="206"/>
      <c r="UXR84" s="205"/>
      <c r="UXS84" s="205"/>
      <c r="UXT84" s="204"/>
      <c r="UXU84" s="206"/>
      <c r="UXV84" s="205"/>
      <c r="UXW84" s="205"/>
      <c r="UXX84" s="204"/>
      <c r="UXY84" s="206"/>
      <c r="UXZ84" s="205"/>
      <c r="UYA84" s="205"/>
      <c r="UYB84" s="204"/>
      <c r="UYC84" s="206"/>
      <c r="UYD84" s="205"/>
      <c r="UYE84" s="205"/>
      <c r="UYF84" s="204"/>
      <c r="UYG84" s="206"/>
      <c r="UYH84" s="205"/>
      <c r="UYI84" s="205"/>
      <c r="UYJ84" s="204"/>
      <c r="UYK84" s="206"/>
      <c r="UYL84" s="205"/>
      <c r="UYM84" s="205"/>
      <c r="UYN84" s="204"/>
      <c r="UYO84" s="206"/>
      <c r="UYP84" s="205"/>
      <c r="UYQ84" s="205"/>
      <c r="UYR84" s="204"/>
      <c r="UYS84" s="206"/>
      <c r="UYT84" s="205"/>
      <c r="UYU84" s="205"/>
      <c r="UYV84" s="204"/>
      <c r="UYW84" s="206"/>
      <c r="UYX84" s="205"/>
      <c r="UYY84" s="205"/>
      <c r="UYZ84" s="204"/>
      <c r="UZA84" s="206"/>
      <c r="UZB84" s="205"/>
      <c r="UZC84" s="205"/>
      <c r="UZD84" s="204"/>
      <c r="UZE84" s="206"/>
      <c r="UZF84" s="205"/>
      <c r="UZG84" s="205"/>
      <c r="UZH84" s="204"/>
      <c r="UZI84" s="206"/>
      <c r="UZJ84" s="205"/>
      <c r="UZK84" s="205"/>
      <c r="UZL84" s="204"/>
      <c r="UZM84" s="206"/>
      <c r="UZN84" s="205"/>
      <c r="UZO84" s="205"/>
      <c r="UZP84" s="204"/>
      <c r="UZQ84" s="206"/>
      <c r="UZR84" s="205"/>
      <c r="UZS84" s="205"/>
      <c r="UZT84" s="204"/>
      <c r="UZU84" s="206"/>
      <c r="UZV84" s="205"/>
      <c r="UZW84" s="205"/>
      <c r="UZX84" s="204"/>
      <c r="UZY84" s="206"/>
      <c r="UZZ84" s="205"/>
      <c r="VAA84" s="205"/>
      <c r="VAB84" s="204"/>
      <c r="VAC84" s="206"/>
      <c r="VAD84" s="205"/>
      <c r="VAE84" s="205"/>
      <c r="VAF84" s="204"/>
      <c r="VAG84" s="206"/>
      <c r="VAH84" s="205"/>
      <c r="VAI84" s="205"/>
      <c r="VAJ84" s="204"/>
      <c r="VAK84" s="206"/>
      <c r="VAL84" s="205"/>
      <c r="VAM84" s="205"/>
      <c r="VAN84" s="204"/>
      <c r="VAO84" s="206"/>
      <c r="VAP84" s="205"/>
      <c r="VAQ84" s="205"/>
      <c r="VAR84" s="204"/>
      <c r="VAS84" s="206"/>
      <c r="VAT84" s="205"/>
      <c r="VAU84" s="205"/>
      <c r="VAV84" s="204"/>
      <c r="VAW84" s="206"/>
      <c r="VAX84" s="205"/>
      <c r="VAY84" s="205"/>
      <c r="VAZ84" s="204"/>
      <c r="VBA84" s="206"/>
      <c r="VBB84" s="205"/>
      <c r="VBC84" s="205"/>
      <c r="VBD84" s="204"/>
      <c r="VBE84" s="206"/>
      <c r="VBF84" s="205"/>
      <c r="VBG84" s="205"/>
      <c r="VBH84" s="204"/>
      <c r="VBI84" s="206"/>
      <c r="VBJ84" s="205"/>
      <c r="VBK84" s="205"/>
      <c r="VBL84" s="204"/>
      <c r="VBM84" s="206"/>
      <c r="VBN84" s="205"/>
      <c r="VBO84" s="205"/>
      <c r="VBP84" s="204"/>
      <c r="VBQ84" s="206"/>
      <c r="VBR84" s="205"/>
      <c r="VBS84" s="205"/>
      <c r="VBT84" s="204"/>
      <c r="VBU84" s="206"/>
      <c r="VBV84" s="205"/>
      <c r="VBW84" s="205"/>
      <c r="VBX84" s="204"/>
      <c r="VBY84" s="206"/>
      <c r="VBZ84" s="205"/>
      <c r="VCA84" s="205"/>
      <c r="VCB84" s="204"/>
      <c r="VCC84" s="206"/>
      <c r="VCD84" s="205"/>
      <c r="VCE84" s="205"/>
      <c r="VCF84" s="204"/>
      <c r="VCG84" s="206"/>
      <c r="VCH84" s="205"/>
      <c r="VCI84" s="205"/>
      <c r="VCJ84" s="204"/>
      <c r="VCK84" s="206"/>
      <c r="VCL84" s="205"/>
      <c r="VCM84" s="205"/>
      <c r="VCN84" s="204"/>
      <c r="VCO84" s="206"/>
      <c r="VCP84" s="205"/>
      <c r="VCQ84" s="205"/>
      <c r="VCR84" s="204"/>
      <c r="VCS84" s="206"/>
      <c r="VCT84" s="205"/>
      <c r="VCU84" s="205"/>
      <c r="VCV84" s="204"/>
      <c r="VCW84" s="206"/>
      <c r="VCX84" s="205"/>
      <c r="VCY84" s="205"/>
      <c r="VCZ84" s="204"/>
      <c r="VDA84" s="206"/>
      <c r="VDB84" s="205"/>
      <c r="VDC84" s="205"/>
      <c r="VDD84" s="204"/>
      <c r="VDE84" s="206"/>
      <c r="VDF84" s="205"/>
      <c r="VDG84" s="205"/>
      <c r="VDH84" s="204"/>
      <c r="VDI84" s="206"/>
      <c r="VDJ84" s="205"/>
      <c r="VDK84" s="205"/>
      <c r="VDL84" s="204"/>
      <c r="VDM84" s="206"/>
      <c r="VDN84" s="205"/>
      <c r="VDO84" s="205"/>
      <c r="VDP84" s="204"/>
      <c r="VDQ84" s="206"/>
      <c r="VDR84" s="205"/>
      <c r="VDS84" s="205"/>
      <c r="VDT84" s="204"/>
      <c r="VDU84" s="206"/>
      <c r="VDV84" s="205"/>
      <c r="VDW84" s="205"/>
      <c r="VDX84" s="204"/>
      <c r="VDY84" s="206"/>
      <c r="VDZ84" s="205"/>
      <c r="VEA84" s="205"/>
      <c r="VEB84" s="204"/>
      <c r="VEC84" s="206"/>
      <c r="VED84" s="205"/>
      <c r="VEE84" s="205"/>
      <c r="VEF84" s="204"/>
      <c r="VEG84" s="206"/>
      <c r="VEH84" s="205"/>
      <c r="VEI84" s="205"/>
      <c r="VEJ84" s="204"/>
      <c r="VEK84" s="206"/>
      <c r="VEL84" s="205"/>
      <c r="VEM84" s="205"/>
      <c r="VEN84" s="204"/>
      <c r="VEO84" s="206"/>
      <c r="VEP84" s="205"/>
      <c r="VEQ84" s="205"/>
      <c r="VER84" s="204"/>
      <c r="VES84" s="206"/>
      <c r="VET84" s="205"/>
      <c r="VEU84" s="205"/>
      <c r="VEV84" s="204"/>
      <c r="VEW84" s="206"/>
      <c r="VEX84" s="205"/>
      <c r="VEY84" s="205"/>
      <c r="VEZ84" s="204"/>
      <c r="VFA84" s="206"/>
      <c r="VFB84" s="205"/>
      <c r="VFC84" s="205"/>
      <c r="VFD84" s="204"/>
      <c r="VFE84" s="206"/>
      <c r="VFF84" s="205"/>
      <c r="VFG84" s="205"/>
      <c r="VFH84" s="204"/>
      <c r="VFI84" s="206"/>
      <c r="VFJ84" s="205"/>
      <c r="VFK84" s="205"/>
      <c r="VFL84" s="204"/>
      <c r="VFM84" s="206"/>
      <c r="VFN84" s="205"/>
      <c r="VFO84" s="205"/>
      <c r="VFP84" s="204"/>
      <c r="VFQ84" s="206"/>
      <c r="VFR84" s="205"/>
      <c r="VFS84" s="205"/>
      <c r="VFT84" s="204"/>
      <c r="VFU84" s="206"/>
      <c r="VFV84" s="205"/>
      <c r="VFW84" s="205"/>
      <c r="VFX84" s="204"/>
      <c r="VFY84" s="206"/>
      <c r="VFZ84" s="205"/>
      <c r="VGA84" s="205"/>
      <c r="VGB84" s="204"/>
      <c r="VGC84" s="206"/>
      <c r="VGD84" s="205"/>
      <c r="VGE84" s="205"/>
      <c r="VGF84" s="204"/>
      <c r="VGG84" s="206"/>
      <c r="VGH84" s="205"/>
      <c r="VGI84" s="205"/>
      <c r="VGJ84" s="204"/>
      <c r="VGK84" s="206"/>
      <c r="VGL84" s="205"/>
      <c r="VGM84" s="205"/>
      <c r="VGN84" s="204"/>
      <c r="VGO84" s="206"/>
      <c r="VGP84" s="205"/>
      <c r="VGQ84" s="205"/>
      <c r="VGR84" s="204"/>
      <c r="VGS84" s="206"/>
      <c r="VGT84" s="205"/>
      <c r="VGU84" s="205"/>
      <c r="VGV84" s="204"/>
      <c r="VGW84" s="206"/>
      <c r="VGX84" s="205"/>
      <c r="VGY84" s="205"/>
      <c r="VGZ84" s="204"/>
      <c r="VHA84" s="206"/>
      <c r="VHB84" s="205"/>
      <c r="VHC84" s="205"/>
      <c r="VHD84" s="204"/>
      <c r="VHE84" s="206"/>
      <c r="VHF84" s="205"/>
      <c r="VHG84" s="205"/>
      <c r="VHH84" s="204"/>
      <c r="VHI84" s="206"/>
      <c r="VHJ84" s="205"/>
      <c r="VHK84" s="205"/>
      <c r="VHL84" s="204"/>
      <c r="VHM84" s="206"/>
      <c r="VHN84" s="205"/>
      <c r="VHO84" s="205"/>
      <c r="VHP84" s="204"/>
      <c r="VHQ84" s="206"/>
      <c r="VHR84" s="205"/>
      <c r="VHS84" s="205"/>
      <c r="VHT84" s="204"/>
      <c r="VHU84" s="206"/>
      <c r="VHV84" s="205"/>
      <c r="VHW84" s="205"/>
      <c r="VHX84" s="204"/>
      <c r="VHY84" s="206"/>
      <c r="VHZ84" s="205"/>
      <c r="VIA84" s="205"/>
      <c r="VIB84" s="204"/>
      <c r="VIC84" s="206"/>
      <c r="VID84" s="205"/>
      <c r="VIE84" s="205"/>
      <c r="VIF84" s="204"/>
      <c r="VIG84" s="206"/>
      <c r="VIH84" s="205"/>
      <c r="VII84" s="205"/>
      <c r="VIJ84" s="204"/>
      <c r="VIK84" s="206"/>
      <c r="VIL84" s="205"/>
      <c r="VIM84" s="205"/>
      <c r="VIN84" s="204"/>
      <c r="VIO84" s="206"/>
      <c r="VIP84" s="205"/>
      <c r="VIQ84" s="205"/>
      <c r="VIR84" s="204"/>
      <c r="VIS84" s="206"/>
      <c r="VIT84" s="205"/>
      <c r="VIU84" s="205"/>
      <c r="VIV84" s="204"/>
      <c r="VIW84" s="206"/>
      <c r="VIX84" s="205"/>
      <c r="VIY84" s="205"/>
      <c r="VIZ84" s="204"/>
      <c r="VJA84" s="206"/>
      <c r="VJB84" s="205"/>
      <c r="VJC84" s="205"/>
      <c r="VJD84" s="204"/>
      <c r="VJE84" s="206"/>
      <c r="VJF84" s="205"/>
      <c r="VJG84" s="205"/>
      <c r="VJH84" s="204"/>
      <c r="VJI84" s="206"/>
      <c r="VJJ84" s="205"/>
      <c r="VJK84" s="205"/>
      <c r="VJL84" s="204"/>
      <c r="VJM84" s="206"/>
      <c r="VJN84" s="205"/>
      <c r="VJO84" s="205"/>
      <c r="VJP84" s="204"/>
      <c r="VJQ84" s="206"/>
      <c r="VJR84" s="205"/>
      <c r="VJS84" s="205"/>
      <c r="VJT84" s="204"/>
      <c r="VJU84" s="206"/>
      <c r="VJV84" s="205"/>
      <c r="VJW84" s="205"/>
      <c r="VJX84" s="204"/>
      <c r="VJY84" s="206"/>
      <c r="VJZ84" s="205"/>
      <c r="VKA84" s="205"/>
      <c r="VKB84" s="204"/>
      <c r="VKC84" s="206"/>
      <c r="VKD84" s="205"/>
      <c r="VKE84" s="205"/>
      <c r="VKF84" s="204"/>
      <c r="VKG84" s="206"/>
      <c r="VKH84" s="205"/>
      <c r="VKI84" s="205"/>
      <c r="VKJ84" s="204"/>
      <c r="VKK84" s="206"/>
      <c r="VKL84" s="205"/>
      <c r="VKM84" s="205"/>
      <c r="VKN84" s="204"/>
      <c r="VKO84" s="206"/>
      <c r="VKP84" s="205"/>
      <c r="VKQ84" s="205"/>
      <c r="VKR84" s="204"/>
      <c r="VKS84" s="206"/>
      <c r="VKT84" s="205"/>
      <c r="VKU84" s="205"/>
      <c r="VKV84" s="204"/>
      <c r="VKW84" s="206"/>
      <c r="VKX84" s="205"/>
      <c r="VKY84" s="205"/>
      <c r="VKZ84" s="204"/>
      <c r="VLA84" s="206"/>
      <c r="VLB84" s="205"/>
      <c r="VLC84" s="205"/>
      <c r="VLD84" s="204"/>
      <c r="VLE84" s="206"/>
      <c r="VLF84" s="205"/>
      <c r="VLG84" s="205"/>
      <c r="VLH84" s="204"/>
      <c r="VLI84" s="206"/>
      <c r="VLJ84" s="205"/>
      <c r="VLK84" s="205"/>
      <c r="VLL84" s="204"/>
      <c r="VLM84" s="206"/>
      <c r="VLN84" s="205"/>
      <c r="VLO84" s="205"/>
      <c r="VLP84" s="204"/>
      <c r="VLQ84" s="206"/>
      <c r="VLR84" s="205"/>
      <c r="VLS84" s="205"/>
      <c r="VLT84" s="204"/>
      <c r="VLU84" s="206"/>
      <c r="VLV84" s="205"/>
      <c r="VLW84" s="205"/>
      <c r="VLX84" s="204"/>
      <c r="VLY84" s="206"/>
      <c r="VLZ84" s="205"/>
      <c r="VMA84" s="205"/>
      <c r="VMB84" s="204"/>
      <c r="VMC84" s="206"/>
      <c r="VMD84" s="205"/>
      <c r="VME84" s="205"/>
      <c r="VMF84" s="204"/>
      <c r="VMG84" s="206"/>
      <c r="VMH84" s="205"/>
      <c r="VMI84" s="205"/>
      <c r="VMJ84" s="204"/>
      <c r="VMK84" s="206"/>
      <c r="VML84" s="205"/>
      <c r="VMM84" s="205"/>
      <c r="VMN84" s="204"/>
      <c r="VMO84" s="206"/>
      <c r="VMP84" s="205"/>
      <c r="VMQ84" s="205"/>
      <c r="VMR84" s="204"/>
      <c r="VMS84" s="206"/>
      <c r="VMT84" s="205"/>
      <c r="VMU84" s="205"/>
      <c r="VMV84" s="204"/>
      <c r="VMW84" s="206"/>
      <c r="VMX84" s="205"/>
      <c r="VMY84" s="205"/>
      <c r="VMZ84" s="204"/>
      <c r="VNA84" s="206"/>
      <c r="VNB84" s="205"/>
      <c r="VNC84" s="205"/>
      <c r="VND84" s="204"/>
      <c r="VNE84" s="206"/>
      <c r="VNF84" s="205"/>
      <c r="VNG84" s="205"/>
      <c r="VNH84" s="204"/>
      <c r="VNI84" s="206"/>
      <c r="VNJ84" s="205"/>
      <c r="VNK84" s="205"/>
      <c r="VNL84" s="204"/>
      <c r="VNM84" s="206"/>
      <c r="VNN84" s="205"/>
      <c r="VNO84" s="205"/>
      <c r="VNP84" s="204"/>
      <c r="VNQ84" s="206"/>
      <c r="VNR84" s="205"/>
      <c r="VNS84" s="205"/>
      <c r="VNT84" s="204"/>
      <c r="VNU84" s="206"/>
      <c r="VNV84" s="205"/>
      <c r="VNW84" s="205"/>
      <c r="VNX84" s="204"/>
      <c r="VNY84" s="206"/>
      <c r="VNZ84" s="205"/>
      <c r="VOA84" s="205"/>
      <c r="VOB84" s="204"/>
      <c r="VOC84" s="206"/>
      <c r="VOD84" s="205"/>
      <c r="VOE84" s="205"/>
      <c r="VOF84" s="204"/>
      <c r="VOG84" s="206"/>
      <c r="VOH84" s="205"/>
      <c r="VOI84" s="205"/>
      <c r="VOJ84" s="204"/>
      <c r="VOK84" s="206"/>
      <c r="VOL84" s="205"/>
      <c r="VOM84" s="205"/>
      <c r="VON84" s="204"/>
      <c r="VOO84" s="206"/>
      <c r="VOP84" s="205"/>
      <c r="VOQ84" s="205"/>
      <c r="VOR84" s="204"/>
      <c r="VOS84" s="206"/>
      <c r="VOT84" s="205"/>
      <c r="VOU84" s="205"/>
      <c r="VOV84" s="204"/>
      <c r="VOW84" s="206"/>
      <c r="VOX84" s="205"/>
      <c r="VOY84" s="205"/>
      <c r="VOZ84" s="204"/>
      <c r="VPA84" s="206"/>
      <c r="VPB84" s="205"/>
      <c r="VPC84" s="205"/>
      <c r="VPD84" s="204"/>
      <c r="VPE84" s="206"/>
      <c r="VPF84" s="205"/>
      <c r="VPG84" s="205"/>
      <c r="VPH84" s="204"/>
      <c r="VPI84" s="206"/>
      <c r="VPJ84" s="205"/>
      <c r="VPK84" s="205"/>
      <c r="VPL84" s="204"/>
      <c r="VPM84" s="206"/>
      <c r="VPN84" s="205"/>
      <c r="VPO84" s="205"/>
      <c r="VPP84" s="204"/>
      <c r="VPQ84" s="206"/>
      <c r="VPR84" s="205"/>
      <c r="VPS84" s="205"/>
      <c r="VPT84" s="204"/>
      <c r="VPU84" s="206"/>
      <c r="VPV84" s="205"/>
      <c r="VPW84" s="205"/>
      <c r="VPX84" s="204"/>
      <c r="VPY84" s="206"/>
      <c r="VPZ84" s="205"/>
      <c r="VQA84" s="205"/>
      <c r="VQB84" s="204"/>
      <c r="VQC84" s="206"/>
      <c r="VQD84" s="205"/>
      <c r="VQE84" s="205"/>
      <c r="VQF84" s="204"/>
      <c r="VQG84" s="206"/>
      <c r="VQH84" s="205"/>
      <c r="VQI84" s="205"/>
      <c r="VQJ84" s="204"/>
      <c r="VQK84" s="206"/>
      <c r="VQL84" s="205"/>
      <c r="VQM84" s="205"/>
      <c r="VQN84" s="204"/>
      <c r="VQO84" s="206"/>
      <c r="VQP84" s="205"/>
      <c r="VQQ84" s="205"/>
      <c r="VQR84" s="204"/>
      <c r="VQS84" s="206"/>
      <c r="VQT84" s="205"/>
      <c r="VQU84" s="205"/>
      <c r="VQV84" s="204"/>
      <c r="VQW84" s="206"/>
      <c r="VQX84" s="205"/>
      <c r="VQY84" s="205"/>
      <c r="VQZ84" s="204"/>
      <c r="VRA84" s="206"/>
      <c r="VRB84" s="205"/>
      <c r="VRC84" s="205"/>
      <c r="VRD84" s="204"/>
      <c r="VRE84" s="206"/>
      <c r="VRF84" s="205"/>
      <c r="VRG84" s="205"/>
      <c r="VRH84" s="204"/>
      <c r="VRI84" s="206"/>
      <c r="VRJ84" s="205"/>
      <c r="VRK84" s="205"/>
      <c r="VRL84" s="204"/>
      <c r="VRM84" s="206"/>
      <c r="VRN84" s="205"/>
      <c r="VRO84" s="205"/>
      <c r="VRP84" s="204"/>
      <c r="VRQ84" s="206"/>
      <c r="VRR84" s="205"/>
      <c r="VRS84" s="205"/>
      <c r="VRT84" s="204"/>
      <c r="VRU84" s="206"/>
      <c r="VRV84" s="205"/>
      <c r="VRW84" s="205"/>
      <c r="VRX84" s="204"/>
      <c r="VRY84" s="206"/>
      <c r="VRZ84" s="205"/>
      <c r="VSA84" s="205"/>
      <c r="VSB84" s="204"/>
      <c r="VSC84" s="206"/>
      <c r="VSD84" s="205"/>
      <c r="VSE84" s="205"/>
      <c r="VSF84" s="204"/>
      <c r="VSG84" s="206"/>
      <c r="VSH84" s="205"/>
      <c r="VSI84" s="205"/>
      <c r="VSJ84" s="204"/>
      <c r="VSK84" s="206"/>
      <c r="VSL84" s="205"/>
      <c r="VSM84" s="205"/>
      <c r="VSN84" s="204"/>
      <c r="VSO84" s="206"/>
      <c r="VSP84" s="205"/>
      <c r="VSQ84" s="205"/>
      <c r="VSR84" s="204"/>
      <c r="VSS84" s="206"/>
      <c r="VST84" s="205"/>
      <c r="VSU84" s="205"/>
      <c r="VSV84" s="204"/>
      <c r="VSW84" s="206"/>
      <c r="VSX84" s="205"/>
      <c r="VSY84" s="205"/>
      <c r="VSZ84" s="204"/>
      <c r="VTA84" s="206"/>
      <c r="VTB84" s="205"/>
      <c r="VTC84" s="205"/>
      <c r="VTD84" s="204"/>
      <c r="VTE84" s="206"/>
      <c r="VTF84" s="205"/>
      <c r="VTG84" s="205"/>
      <c r="VTH84" s="204"/>
      <c r="VTI84" s="206"/>
      <c r="VTJ84" s="205"/>
      <c r="VTK84" s="205"/>
      <c r="VTL84" s="204"/>
      <c r="VTM84" s="206"/>
      <c r="VTN84" s="205"/>
      <c r="VTO84" s="205"/>
      <c r="VTP84" s="204"/>
      <c r="VTQ84" s="206"/>
      <c r="VTR84" s="205"/>
      <c r="VTS84" s="205"/>
      <c r="VTT84" s="204"/>
      <c r="VTU84" s="206"/>
      <c r="VTV84" s="205"/>
      <c r="VTW84" s="205"/>
      <c r="VTX84" s="204"/>
      <c r="VTY84" s="206"/>
      <c r="VTZ84" s="205"/>
      <c r="VUA84" s="205"/>
      <c r="VUB84" s="204"/>
      <c r="VUC84" s="206"/>
      <c r="VUD84" s="205"/>
      <c r="VUE84" s="205"/>
      <c r="VUF84" s="204"/>
      <c r="VUG84" s="206"/>
      <c r="VUH84" s="205"/>
      <c r="VUI84" s="205"/>
      <c r="VUJ84" s="204"/>
      <c r="VUK84" s="206"/>
      <c r="VUL84" s="205"/>
      <c r="VUM84" s="205"/>
      <c r="VUN84" s="204"/>
      <c r="VUO84" s="206"/>
      <c r="VUP84" s="205"/>
      <c r="VUQ84" s="205"/>
      <c r="VUR84" s="204"/>
      <c r="VUS84" s="206"/>
      <c r="VUT84" s="205"/>
      <c r="VUU84" s="205"/>
      <c r="VUV84" s="204"/>
      <c r="VUW84" s="206"/>
      <c r="VUX84" s="205"/>
      <c r="VUY84" s="205"/>
      <c r="VUZ84" s="204"/>
      <c r="VVA84" s="206"/>
      <c r="VVB84" s="205"/>
      <c r="VVC84" s="205"/>
      <c r="VVD84" s="204"/>
      <c r="VVE84" s="206"/>
      <c r="VVF84" s="205"/>
      <c r="VVG84" s="205"/>
      <c r="VVH84" s="204"/>
      <c r="VVI84" s="206"/>
      <c r="VVJ84" s="205"/>
      <c r="VVK84" s="205"/>
      <c r="VVL84" s="204"/>
      <c r="VVM84" s="206"/>
      <c r="VVN84" s="205"/>
      <c r="VVO84" s="205"/>
      <c r="VVP84" s="204"/>
      <c r="VVQ84" s="206"/>
      <c r="VVR84" s="205"/>
      <c r="VVS84" s="205"/>
      <c r="VVT84" s="204"/>
      <c r="VVU84" s="206"/>
      <c r="VVV84" s="205"/>
      <c r="VVW84" s="205"/>
      <c r="VVX84" s="204"/>
      <c r="VVY84" s="206"/>
      <c r="VVZ84" s="205"/>
      <c r="VWA84" s="205"/>
      <c r="VWB84" s="204"/>
      <c r="VWC84" s="206"/>
      <c r="VWD84" s="205"/>
      <c r="VWE84" s="205"/>
      <c r="VWF84" s="204"/>
      <c r="VWG84" s="206"/>
      <c r="VWH84" s="205"/>
      <c r="VWI84" s="205"/>
      <c r="VWJ84" s="204"/>
      <c r="VWK84" s="206"/>
      <c r="VWL84" s="205"/>
      <c r="VWM84" s="205"/>
      <c r="VWN84" s="204"/>
      <c r="VWO84" s="206"/>
      <c r="VWP84" s="205"/>
      <c r="VWQ84" s="205"/>
      <c r="VWR84" s="204"/>
      <c r="VWS84" s="206"/>
      <c r="VWT84" s="205"/>
      <c r="VWU84" s="205"/>
      <c r="VWV84" s="204"/>
      <c r="VWW84" s="206"/>
      <c r="VWX84" s="205"/>
      <c r="VWY84" s="205"/>
      <c r="VWZ84" s="204"/>
      <c r="VXA84" s="206"/>
      <c r="VXB84" s="205"/>
      <c r="VXC84" s="205"/>
      <c r="VXD84" s="204"/>
      <c r="VXE84" s="206"/>
      <c r="VXF84" s="205"/>
      <c r="VXG84" s="205"/>
      <c r="VXH84" s="204"/>
      <c r="VXI84" s="206"/>
      <c r="VXJ84" s="205"/>
      <c r="VXK84" s="205"/>
      <c r="VXL84" s="204"/>
      <c r="VXM84" s="206"/>
      <c r="VXN84" s="205"/>
      <c r="VXO84" s="205"/>
      <c r="VXP84" s="204"/>
      <c r="VXQ84" s="206"/>
      <c r="VXR84" s="205"/>
      <c r="VXS84" s="205"/>
      <c r="VXT84" s="204"/>
      <c r="VXU84" s="206"/>
      <c r="VXV84" s="205"/>
      <c r="VXW84" s="205"/>
      <c r="VXX84" s="204"/>
      <c r="VXY84" s="206"/>
      <c r="VXZ84" s="205"/>
      <c r="VYA84" s="205"/>
      <c r="VYB84" s="204"/>
      <c r="VYC84" s="206"/>
      <c r="VYD84" s="205"/>
      <c r="VYE84" s="205"/>
      <c r="VYF84" s="204"/>
      <c r="VYG84" s="206"/>
      <c r="VYH84" s="205"/>
      <c r="VYI84" s="205"/>
      <c r="VYJ84" s="204"/>
      <c r="VYK84" s="206"/>
      <c r="VYL84" s="205"/>
      <c r="VYM84" s="205"/>
      <c r="VYN84" s="204"/>
      <c r="VYO84" s="206"/>
      <c r="VYP84" s="205"/>
      <c r="VYQ84" s="205"/>
      <c r="VYR84" s="204"/>
      <c r="VYS84" s="206"/>
      <c r="VYT84" s="205"/>
      <c r="VYU84" s="205"/>
      <c r="VYV84" s="204"/>
      <c r="VYW84" s="206"/>
      <c r="VYX84" s="205"/>
      <c r="VYY84" s="205"/>
      <c r="VYZ84" s="204"/>
      <c r="VZA84" s="206"/>
      <c r="VZB84" s="205"/>
      <c r="VZC84" s="205"/>
      <c r="VZD84" s="204"/>
      <c r="VZE84" s="206"/>
      <c r="VZF84" s="205"/>
      <c r="VZG84" s="205"/>
      <c r="VZH84" s="204"/>
      <c r="VZI84" s="206"/>
      <c r="VZJ84" s="205"/>
      <c r="VZK84" s="205"/>
      <c r="VZL84" s="204"/>
      <c r="VZM84" s="206"/>
      <c r="VZN84" s="205"/>
      <c r="VZO84" s="205"/>
      <c r="VZP84" s="204"/>
      <c r="VZQ84" s="206"/>
      <c r="VZR84" s="205"/>
      <c r="VZS84" s="205"/>
      <c r="VZT84" s="204"/>
      <c r="VZU84" s="206"/>
      <c r="VZV84" s="205"/>
      <c r="VZW84" s="205"/>
      <c r="VZX84" s="204"/>
      <c r="VZY84" s="206"/>
      <c r="VZZ84" s="205"/>
      <c r="WAA84" s="205"/>
      <c r="WAB84" s="204"/>
      <c r="WAC84" s="206"/>
      <c r="WAD84" s="205"/>
      <c r="WAE84" s="205"/>
      <c r="WAF84" s="204"/>
      <c r="WAG84" s="206"/>
      <c r="WAH84" s="205"/>
      <c r="WAI84" s="205"/>
      <c r="WAJ84" s="204"/>
      <c r="WAK84" s="206"/>
      <c r="WAL84" s="205"/>
      <c r="WAM84" s="205"/>
      <c r="WAN84" s="204"/>
      <c r="WAO84" s="206"/>
      <c r="WAP84" s="205"/>
      <c r="WAQ84" s="205"/>
      <c r="WAR84" s="204"/>
      <c r="WAS84" s="206"/>
      <c r="WAT84" s="205"/>
      <c r="WAU84" s="205"/>
      <c r="WAV84" s="204"/>
      <c r="WAW84" s="206"/>
      <c r="WAX84" s="205"/>
      <c r="WAY84" s="205"/>
      <c r="WAZ84" s="204"/>
      <c r="WBA84" s="206"/>
      <c r="WBB84" s="205"/>
      <c r="WBC84" s="205"/>
      <c r="WBD84" s="204"/>
      <c r="WBE84" s="206"/>
      <c r="WBF84" s="205"/>
      <c r="WBG84" s="205"/>
      <c r="WBH84" s="204"/>
      <c r="WBI84" s="206"/>
      <c r="WBJ84" s="205"/>
      <c r="WBK84" s="205"/>
      <c r="WBL84" s="204"/>
      <c r="WBM84" s="206"/>
      <c r="WBN84" s="205"/>
      <c r="WBO84" s="205"/>
      <c r="WBP84" s="204"/>
      <c r="WBQ84" s="206"/>
      <c r="WBR84" s="205"/>
      <c r="WBS84" s="205"/>
      <c r="WBT84" s="204"/>
      <c r="WBU84" s="206"/>
      <c r="WBV84" s="205"/>
      <c r="WBW84" s="205"/>
      <c r="WBX84" s="204"/>
      <c r="WBY84" s="206"/>
      <c r="WBZ84" s="205"/>
      <c r="WCA84" s="205"/>
      <c r="WCB84" s="204"/>
      <c r="WCC84" s="206"/>
      <c r="WCD84" s="205"/>
      <c r="WCE84" s="205"/>
      <c r="WCF84" s="204"/>
      <c r="WCG84" s="206"/>
      <c r="WCH84" s="205"/>
      <c r="WCI84" s="205"/>
      <c r="WCJ84" s="204"/>
      <c r="WCK84" s="206"/>
      <c r="WCL84" s="205"/>
      <c r="WCM84" s="205"/>
      <c r="WCN84" s="204"/>
      <c r="WCO84" s="206"/>
      <c r="WCP84" s="205"/>
      <c r="WCQ84" s="205"/>
      <c r="WCR84" s="204"/>
      <c r="WCS84" s="206"/>
      <c r="WCT84" s="205"/>
      <c r="WCU84" s="205"/>
      <c r="WCV84" s="204"/>
      <c r="WCW84" s="206"/>
      <c r="WCX84" s="205"/>
      <c r="WCY84" s="205"/>
      <c r="WCZ84" s="204"/>
      <c r="WDA84" s="206"/>
      <c r="WDB84" s="205"/>
      <c r="WDC84" s="205"/>
      <c r="WDD84" s="204"/>
      <c r="WDE84" s="206"/>
      <c r="WDF84" s="205"/>
      <c r="WDG84" s="205"/>
      <c r="WDH84" s="204"/>
      <c r="WDI84" s="206"/>
      <c r="WDJ84" s="205"/>
      <c r="WDK84" s="205"/>
      <c r="WDL84" s="204"/>
      <c r="WDM84" s="206"/>
      <c r="WDN84" s="205"/>
      <c r="WDO84" s="205"/>
      <c r="WDP84" s="204"/>
      <c r="WDQ84" s="206"/>
      <c r="WDR84" s="205"/>
      <c r="WDS84" s="205"/>
      <c r="WDT84" s="204"/>
      <c r="WDU84" s="206"/>
      <c r="WDV84" s="205"/>
      <c r="WDW84" s="205"/>
      <c r="WDX84" s="204"/>
      <c r="WDY84" s="206"/>
      <c r="WDZ84" s="205"/>
      <c r="WEA84" s="205"/>
      <c r="WEB84" s="204"/>
      <c r="WEC84" s="206"/>
      <c r="WED84" s="205"/>
      <c r="WEE84" s="205"/>
      <c r="WEF84" s="204"/>
      <c r="WEG84" s="206"/>
      <c r="WEH84" s="205"/>
      <c r="WEI84" s="205"/>
      <c r="WEJ84" s="204"/>
      <c r="WEK84" s="206"/>
      <c r="WEL84" s="205"/>
      <c r="WEM84" s="205"/>
      <c r="WEN84" s="204"/>
      <c r="WEO84" s="206"/>
      <c r="WEP84" s="205"/>
      <c r="WEQ84" s="205"/>
      <c r="WER84" s="204"/>
      <c r="WES84" s="206"/>
      <c r="WET84" s="205"/>
      <c r="WEU84" s="205"/>
      <c r="WEV84" s="204"/>
      <c r="WEW84" s="206"/>
      <c r="WEX84" s="205"/>
      <c r="WEY84" s="205"/>
      <c r="WEZ84" s="204"/>
      <c r="WFA84" s="206"/>
      <c r="WFB84" s="205"/>
      <c r="WFC84" s="205"/>
      <c r="WFD84" s="204"/>
      <c r="WFE84" s="206"/>
      <c r="WFF84" s="205"/>
      <c r="WFG84" s="205"/>
      <c r="WFH84" s="204"/>
      <c r="WFI84" s="206"/>
      <c r="WFJ84" s="205"/>
      <c r="WFK84" s="205"/>
      <c r="WFL84" s="204"/>
      <c r="WFM84" s="206"/>
      <c r="WFN84" s="205"/>
      <c r="WFO84" s="205"/>
      <c r="WFP84" s="204"/>
      <c r="WFQ84" s="206"/>
      <c r="WFR84" s="205"/>
      <c r="WFS84" s="205"/>
      <c r="WFT84" s="204"/>
      <c r="WFU84" s="206"/>
      <c r="WFV84" s="205"/>
      <c r="WFW84" s="205"/>
      <c r="WFX84" s="204"/>
      <c r="WFY84" s="206"/>
      <c r="WFZ84" s="205"/>
      <c r="WGA84" s="205"/>
      <c r="WGB84" s="204"/>
      <c r="WGC84" s="206"/>
      <c r="WGD84" s="205"/>
      <c r="WGE84" s="205"/>
      <c r="WGF84" s="204"/>
      <c r="WGG84" s="206"/>
      <c r="WGH84" s="205"/>
      <c r="WGI84" s="205"/>
      <c r="WGJ84" s="204"/>
      <c r="WGK84" s="206"/>
      <c r="WGL84" s="205"/>
      <c r="WGM84" s="205"/>
      <c r="WGN84" s="204"/>
      <c r="WGO84" s="206"/>
      <c r="WGP84" s="205"/>
      <c r="WGQ84" s="205"/>
      <c r="WGR84" s="204"/>
      <c r="WGS84" s="206"/>
      <c r="WGT84" s="205"/>
      <c r="WGU84" s="205"/>
      <c r="WGV84" s="204"/>
      <c r="WGW84" s="206"/>
      <c r="WGX84" s="205"/>
      <c r="WGY84" s="205"/>
      <c r="WGZ84" s="204"/>
      <c r="WHA84" s="206"/>
      <c r="WHB84" s="205"/>
      <c r="WHC84" s="205"/>
      <c r="WHD84" s="204"/>
      <c r="WHE84" s="206"/>
      <c r="WHF84" s="205"/>
      <c r="WHG84" s="205"/>
      <c r="WHH84" s="204"/>
      <c r="WHI84" s="206"/>
      <c r="WHJ84" s="205"/>
      <c r="WHK84" s="205"/>
      <c r="WHL84" s="204"/>
      <c r="WHM84" s="206"/>
      <c r="WHN84" s="205"/>
      <c r="WHO84" s="205"/>
      <c r="WHP84" s="204"/>
      <c r="WHQ84" s="206"/>
      <c r="WHR84" s="205"/>
      <c r="WHS84" s="205"/>
      <c r="WHT84" s="204"/>
      <c r="WHU84" s="206"/>
      <c r="WHV84" s="205"/>
      <c r="WHW84" s="205"/>
      <c r="WHX84" s="204"/>
      <c r="WHY84" s="206"/>
      <c r="WHZ84" s="205"/>
      <c r="WIA84" s="205"/>
      <c r="WIB84" s="204"/>
      <c r="WIC84" s="206"/>
      <c r="WID84" s="205"/>
      <c r="WIE84" s="205"/>
      <c r="WIF84" s="204"/>
      <c r="WIG84" s="206"/>
      <c r="WIH84" s="205"/>
      <c r="WII84" s="205"/>
      <c r="WIJ84" s="204"/>
      <c r="WIK84" s="206"/>
      <c r="WIL84" s="205"/>
      <c r="WIM84" s="205"/>
      <c r="WIN84" s="204"/>
      <c r="WIO84" s="206"/>
      <c r="WIP84" s="205"/>
      <c r="WIQ84" s="205"/>
      <c r="WIR84" s="204"/>
      <c r="WIS84" s="206"/>
      <c r="WIT84" s="205"/>
      <c r="WIU84" s="205"/>
      <c r="WIV84" s="204"/>
      <c r="WIW84" s="206"/>
      <c r="WIX84" s="205"/>
      <c r="WIY84" s="205"/>
      <c r="WIZ84" s="204"/>
      <c r="WJA84" s="206"/>
      <c r="WJB84" s="205"/>
      <c r="WJC84" s="205"/>
      <c r="WJD84" s="204"/>
      <c r="WJE84" s="206"/>
      <c r="WJF84" s="205"/>
      <c r="WJG84" s="205"/>
      <c r="WJH84" s="204"/>
      <c r="WJI84" s="206"/>
      <c r="WJJ84" s="205"/>
      <c r="WJK84" s="205"/>
      <c r="WJL84" s="204"/>
      <c r="WJM84" s="206"/>
      <c r="WJN84" s="205"/>
      <c r="WJO84" s="205"/>
      <c r="WJP84" s="204"/>
      <c r="WJQ84" s="206"/>
      <c r="WJR84" s="205"/>
      <c r="WJS84" s="205"/>
      <c r="WJT84" s="204"/>
      <c r="WJU84" s="206"/>
      <c r="WJV84" s="205"/>
      <c r="WJW84" s="205"/>
      <c r="WJX84" s="204"/>
      <c r="WJY84" s="206"/>
      <c r="WJZ84" s="205"/>
      <c r="WKA84" s="205"/>
      <c r="WKB84" s="204"/>
      <c r="WKC84" s="206"/>
      <c r="WKD84" s="205"/>
      <c r="WKE84" s="205"/>
      <c r="WKF84" s="204"/>
      <c r="WKG84" s="206"/>
      <c r="WKH84" s="205"/>
      <c r="WKI84" s="205"/>
      <c r="WKJ84" s="204"/>
      <c r="WKK84" s="206"/>
      <c r="WKL84" s="205"/>
      <c r="WKM84" s="205"/>
      <c r="WKN84" s="204"/>
      <c r="WKO84" s="206"/>
      <c r="WKP84" s="205"/>
      <c r="WKQ84" s="205"/>
      <c r="WKR84" s="204"/>
      <c r="WKS84" s="206"/>
      <c r="WKT84" s="205"/>
      <c r="WKU84" s="205"/>
      <c r="WKV84" s="204"/>
      <c r="WKW84" s="206"/>
      <c r="WKX84" s="205"/>
      <c r="WKY84" s="205"/>
      <c r="WKZ84" s="204"/>
      <c r="WLA84" s="206"/>
      <c r="WLB84" s="205"/>
      <c r="WLC84" s="205"/>
      <c r="WLD84" s="204"/>
      <c r="WLE84" s="206"/>
      <c r="WLF84" s="205"/>
      <c r="WLG84" s="205"/>
      <c r="WLH84" s="204"/>
      <c r="WLI84" s="206"/>
      <c r="WLJ84" s="205"/>
      <c r="WLK84" s="205"/>
      <c r="WLL84" s="204"/>
      <c r="WLM84" s="206"/>
      <c r="WLN84" s="205"/>
      <c r="WLO84" s="205"/>
      <c r="WLP84" s="204"/>
      <c r="WLQ84" s="206"/>
      <c r="WLR84" s="205"/>
      <c r="WLS84" s="205"/>
      <c r="WLT84" s="204"/>
      <c r="WLU84" s="206"/>
      <c r="WLV84" s="205"/>
      <c r="WLW84" s="205"/>
      <c r="WLX84" s="204"/>
      <c r="WLY84" s="206"/>
      <c r="WLZ84" s="205"/>
      <c r="WMA84" s="205"/>
      <c r="WMB84" s="204"/>
      <c r="WMC84" s="206"/>
      <c r="WMD84" s="205"/>
      <c r="WME84" s="205"/>
      <c r="WMF84" s="204"/>
      <c r="WMG84" s="206"/>
      <c r="WMH84" s="205"/>
      <c r="WMI84" s="205"/>
      <c r="WMJ84" s="204"/>
      <c r="WMK84" s="206"/>
      <c r="WML84" s="205"/>
      <c r="WMM84" s="205"/>
      <c r="WMN84" s="204"/>
      <c r="WMO84" s="206"/>
      <c r="WMP84" s="205"/>
      <c r="WMQ84" s="205"/>
      <c r="WMR84" s="204"/>
      <c r="WMS84" s="206"/>
      <c r="WMT84" s="205"/>
      <c r="WMU84" s="205"/>
      <c r="WMV84" s="204"/>
      <c r="WMW84" s="206"/>
      <c r="WMX84" s="205"/>
      <c r="WMY84" s="205"/>
      <c r="WMZ84" s="204"/>
      <c r="WNA84" s="206"/>
      <c r="WNB84" s="205"/>
      <c r="WNC84" s="205"/>
      <c r="WND84" s="204"/>
      <c r="WNE84" s="206"/>
      <c r="WNF84" s="205"/>
      <c r="WNG84" s="205"/>
      <c r="WNH84" s="204"/>
      <c r="WNI84" s="206"/>
      <c r="WNJ84" s="205"/>
      <c r="WNK84" s="205"/>
      <c r="WNL84" s="204"/>
      <c r="WNM84" s="206"/>
      <c r="WNN84" s="205"/>
      <c r="WNO84" s="205"/>
      <c r="WNP84" s="204"/>
      <c r="WNQ84" s="206"/>
      <c r="WNR84" s="205"/>
      <c r="WNS84" s="205"/>
      <c r="WNT84" s="204"/>
      <c r="WNU84" s="206"/>
      <c r="WNV84" s="205"/>
      <c r="WNW84" s="205"/>
      <c r="WNX84" s="204"/>
      <c r="WNY84" s="206"/>
      <c r="WNZ84" s="205"/>
      <c r="WOA84" s="205"/>
      <c r="WOB84" s="204"/>
      <c r="WOC84" s="206"/>
      <c r="WOD84" s="205"/>
      <c r="WOE84" s="205"/>
      <c r="WOF84" s="204"/>
      <c r="WOG84" s="206"/>
      <c r="WOH84" s="205"/>
      <c r="WOI84" s="205"/>
      <c r="WOJ84" s="204"/>
      <c r="WOK84" s="206"/>
      <c r="WOL84" s="205"/>
      <c r="WOM84" s="205"/>
      <c r="WON84" s="204"/>
      <c r="WOO84" s="206"/>
      <c r="WOP84" s="205"/>
      <c r="WOQ84" s="205"/>
      <c r="WOR84" s="204"/>
      <c r="WOS84" s="206"/>
      <c r="WOT84" s="205"/>
      <c r="WOU84" s="205"/>
      <c r="WOV84" s="204"/>
      <c r="WOW84" s="206"/>
      <c r="WOX84" s="205"/>
      <c r="WOY84" s="205"/>
      <c r="WOZ84" s="204"/>
      <c r="WPA84" s="206"/>
      <c r="WPB84" s="205"/>
      <c r="WPC84" s="205"/>
      <c r="WPD84" s="204"/>
      <c r="WPE84" s="206"/>
      <c r="WPF84" s="205"/>
      <c r="WPG84" s="205"/>
      <c r="WPH84" s="204"/>
      <c r="WPI84" s="206"/>
      <c r="WPJ84" s="205"/>
      <c r="WPK84" s="205"/>
      <c r="WPL84" s="204"/>
      <c r="WPM84" s="206"/>
      <c r="WPN84" s="205"/>
      <c r="WPO84" s="205"/>
      <c r="WPP84" s="204"/>
      <c r="WPQ84" s="206"/>
      <c r="WPR84" s="205"/>
      <c r="WPS84" s="205"/>
      <c r="WPT84" s="204"/>
      <c r="WPU84" s="206"/>
      <c r="WPV84" s="205"/>
      <c r="WPW84" s="205"/>
      <c r="WPX84" s="204"/>
      <c r="WPY84" s="206"/>
      <c r="WPZ84" s="205"/>
      <c r="WQA84" s="205"/>
      <c r="WQB84" s="204"/>
      <c r="WQC84" s="206"/>
      <c r="WQD84" s="205"/>
      <c r="WQE84" s="205"/>
      <c r="WQF84" s="204"/>
      <c r="WQG84" s="206"/>
      <c r="WQH84" s="205"/>
      <c r="WQI84" s="205"/>
      <c r="WQJ84" s="204"/>
      <c r="WQK84" s="206"/>
      <c r="WQL84" s="205"/>
      <c r="WQM84" s="205"/>
      <c r="WQN84" s="204"/>
      <c r="WQO84" s="206"/>
      <c r="WQP84" s="205"/>
      <c r="WQQ84" s="205"/>
      <c r="WQR84" s="204"/>
      <c r="WQS84" s="206"/>
      <c r="WQT84" s="205"/>
      <c r="WQU84" s="205"/>
      <c r="WQV84" s="204"/>
      <c r="WQW84" s="206"/>
      <c r="WQX84" s="205"/>
      <c r="WQY84" s="205"/>
      <c r="WQZ84" s="204"/>
      <c r="WRA84" s="206"/>
      <c r="WRB84" s="205"/>
      <c r="WRC84" s="205"/>
      <c r="WRD84" s="204"/>
      <c r="WRE84" s="206"/>
      <c r="WRF84" s="205"/>
      <c r="WRG84" s="205"/>
      <c r="WRH84" s="204"/>
      <c r="WRI84" s="206"/>
      <c r="WRJ84" s="205"/>
      <c r="WRK84" s="205"/>
      <c r="WRL84" s="204"/>
      <c r="WRM84" s="206"/>
      <c r="WRN84" s="205"/>
      <c r="WRO84" s="205"/>
      <c r="WRP84" s="204"/>
      <c r="WRQ84" s="206"/>
      <c r="WRR84" s="205"/>
      <c r="WRS84" s="205"/>
      <c r="WRT84" s="204"/>
      <c r="WRU84" s="206"/>
      <c r="WRV84" s="205"/>
      <c r="WRW84" s="205"/>
      <c r="WRX84" s="204"/>
      <c r="WRY84" s="206"/>
      <c r="WRZ84" s="205"/>
      <c r="WSA84" s="205"/>
      <c r="WSB84" s="204"/>
      <c r="WSC84" s="206"/>
      <c r="WSD84" s="205"/>
      <c r="WSE84" s="205"/>
      <c r="WSF84" s="204"/>
      <c r="WSG84" s="206"/>
      <c r="WSH84" s="205"/>
      <c r="WSI84" s="205"/>
      <c r="WSJ84" s="204"/>
      <c r="WSK84" s="206"/>
      <c r="WSL84" s="205"/>
      <c r="WSM84" s="205"/>
      <c r="WSN84" s="204"/>
      <c r="WSO84" s="206"/>
      <c r="WSP84" s="205"/>
      <c r="WSQ84" s="205"/>
      <c r="WSR84" s="204"/>
      <c r="WSS84" s="206"/>
      <c r="WST84" s="205"/>
      <c r="WSU84" s="205"/>
      <c r="WSV84" s="204"/>
      <c r="WSW84" s="206"/>
      <c r="WSX84" s="205"/>
      <c r="WSY84" s="205"/>
      <c r="WSZ84" s="204"/>
      <c r="WTA84" s="206"/>
      <c r="WTB84" s="205"/>
      <c r="WTC84" s="205"/>
      <c r="WTD84" s="204"/>
      <c r="WTE84" s="206"/>
      <c r="WTF84" s="205"/>
      <c r="WTG84" s="205"/>
      <c r="WTH84" s="204"/>
      <c r="WTI84" s="206"/>
      <c r="WTJ84" s="205"/>
      <c r="WTK84" s="205"/>
      <c r="WTL84" s="204"/>
      <c r="WTM84" s="206"/>
      <c r="WTN84" s="205"/>
      <c r="WTO84" s="205"/>
      <c r="WTP84" s="204"/>
      <c r="WTQ84" s="206"/>
      <c r="WTR84" s="205"/>
      <c r="WTS84" s="205"/>
      <c r="WTT84" s="204"/>
      <c r="WTU84" s="206"/>
      <c r="WTV84" s="205"/>
      <c r="WTW84" s="205"/>
      <c r="WTX84" s="204"/>
      <c r="WTY84" s="206"/>
      <c r="WTZ84" s="205"/>
      <c r="WUA84" s="205"/>
      <c r="WUB84" s="204"/>
      <c r="WUC84" s="206"/>
      <c r="WUD84" s="205"/>
      <c r="WUE84" s="205"/>
      <c r="WUF84" s="204"/>
      <c r="WUG84" s="206"/>
      <c r="WUH84" s="205"/>
      <c r="WUI84" s="205"/>
      <c r="WUJ84" s="204"/>
      <c r="WUK84" s="206"/>
      <c r="WUL84" s="205"/>
      <c r="WUM84" s="205"/>
      <c r="WUN84" s="204"/>
      <c r="WUO84" s="206"/>
      <c r="WUP84" s="205"/>
      <c r="WUQ84" s="205"/>
      <c r="WUR84" s="204"/>
      <c r="WUS84" s="206"/>
      <c r="WUT84" s="205"/>
      <c r="WUU84" s="205"/>
      <c r="WUV84" s="204"/>
      <c r="WUW84" s="206"/>
      <c r="WUX84" s="205"/>
      <c r="WUY84" s="205"/>
      <c r="WUZ84" s="204"/>
      <c r="WVA84" s="206"/>
      <c r="WVB84" s="205"/>
      <c r="WVC84" s="205"/>
      <c r="WVD84" s="204"/>
      <c r="WVE84" s="206"/>
      <c r="WVF84" s="205"/>
      <c r="WVG84" s="205"/>
      <c r="WVH84" s="204"/>
      <c r="WVI84" s="206"/>
      <c r="WVJ84" s="205"/>
      <c r="WVK84" s="205"/>
      <c r="WVL84" s="204"/>
      <c r="WVM84" s="206"/>
      <c r="WVN84" s="205"/>
      <c r="WVO84" s="205"/>
      <c r="WVP84" s="204"/>
      <c r="WVQ84" s="206"/>
      <c r="WVR84" s="205"/>
      <c r="WVS84" s="205"/>
      <c r="WVT84" s="204"/>
      <c r="WVU84" s="206"/>
      <c r="WVV84" s="205"/>
      <c r="WVW84" s="205"/>
      <c r="WVX84" s="204"/>
      <c r="WVY84" s="206"/>
      <c r="WVZ84" s="205"/>
      <c r="WWA84" s="205"/>
      <c r="WWB84" s="204"/>
      <c r="WWC84" s="206"/>
      <c r="WWD84" s="205"/>
      <c r="WWE84" s="205"/>
      <c r="WWF84" s="204"/>
      <c r="WWG84" s="206"/>
      <c r="WWH84" s="205"/>
      <c r="WWI84" s="205"/>
      <c r="WWJ84" s="204"/>
      <c r="WWK84" s="206"/>
      <c r="WWL84" s="205"/>
      <c r="WWM84" s="205"/>
      <c r="WWN84" s="204"/>
      <c r="WWO84" s="206"/>
      <c r="WWP84" s="205"/>
      <c r="WWQ84" s="205"/>
      <c r="WWR84" s="204"/>
      <c r="WWS84" s="206"/>
      <c r="WWT84" s="205"/>
      <c r="WWU84" s="205"/>
      <c r="WWV84" s="204"/>
      <c r="WWW84" s="206"/>
      <c r="WWX84" s="205"/>
      <c r="WWY84" s="205"/>
      <c r="WWZ84" s="204"/>
      <c r="WXA84" s="206"/>
      <c r="WXB84" s="205"/>
      <c r="WXC84" s="205"/>
      <c r="WXD84" s="204"/>
      <c r="WXE84" s="206"/>
      <c r="WXF84" s="205"/>
      <c r="WXG84" s="205"/>
      <c r="WXH84" s="204"/>
      <c r="WXI84" s="206"/>
      <c r="WXJ84" s="205"/>
      <c r="WXK84" s="205"/>
      <c r="WXL84" s="204"/>
      <c r="WXM84" s="206"/>
      <c r="WXN84" s="205"/>
      <c r="WXO84" s="205"/>
      <c r="WXP84" s="204"/>
      <c r="WXQ84" s="206"/>
      <c r="WXR84" s="205"/>
      <c r="WXS84" s="205"/>
      <c r="WXT84" s="204"/>
      <c r="WXU84" s="206"/>
      <c r="WXV84" s="205"/>
      <c r="WXW84" s="205"/>
      <c r="WXX84" s="204"/>
      <c r="WXY84" s="206"/>
      <c r="WXZ84" s="205"/>
      <c r="WYA84" s="205"/>
      <c r="WYB84" s="204"/>
      <c r="WYC84" s="206"/>
      <c r="WYD84" s="205"/>
      <c r="WYE84" s="205"/>
      <c r="WYF84" s="204"/>
      <c r="WYG84" s="206"/>
      <c r="WYH84" s="205"/>
      <c r="WYI84" s="205"/>
      <c r="WYJ84" s="204"/>
      <c r="WYK84" s="206"/>
      <c r="WYL84" s="205"/>
      <c r="WYM84" s="205"/>
      <c r="WYN84" s="204"/>
      <c r="WYO84" s="206"/>
      <c r="WYP84" s="205"/>
      <c r="WYQ84" s="205"/>
      <c r="WYR84" s="204"/>
      <c r="WYS84" s="206"/>
      <c r="WYT84" s="205"/>
      <c r="WYU84" s="205"/>
      <c r="WYV84" s="204"/>
      <c r="WYW84" s="206"/>
      <c r="WYX84" s="205"/>
      <c r="WYY84" s="205"/>
      <c r="WYZ84" s="204"/>
      <c r="WZA84" s="206"/>
      <c r="WZB84" s="205"/>
      <c r="WZC84" s="205"/>
      <c r="WZD84" s="204"/>
      <c r="WZE84" s="206"/>
      <c r="WZF84" s="205"/>
      <c r="WZG84" s="205"/>
      <c r="WZH84" s="204"/>
      <c r="WZI84" s="206"/>
      <c r="WZJ84" s="205"/>
      <c r="WZK84" s="205"/>
      <c r="WZL84" s="204"/>
      <c r="WZM84" s="206"/>
      <c r="WZN84" s="205"/>
      <c r="WZO84" s="205"/>
      <c r="WZP84" s="204"/>
      <c r="WZQ84" s="206"/>
      <c r="WZR84" s="205"/>
      <c r="WZS84" s="205"/>
      <c r="WZT84" s="204"/>
      <c r="WZU84" s="206"/>
      <c r="WZV84" s="205"/>
      <c r="WZW84" s="205"/>
      <c r="WZX84" s="204"/>
      <c r="WZY84" s="206"/>
      <c r="WZZ84" s="205"/>
      <c r="XAA84" s="205"/>
      <c r="XAB84" s="204"/>
      <c r="XAC84" s="206"/>
      <c r="XAD84" s="205"/>
      <c r="XAE84" s="205"/>
      <c r="XAF84" s="204"/>
      <c r="XAG84" s="206"/>
      <c r="XAH84" s="205"/>
      <c r="XAI84" s="205"/>
      <c r="XAJ84" s="204"/>
      <c r="XAK84" s="206"/>
      <c r="XAL84" s="205"/>
      <c r="XAM84" s="205"/>
      <c r="XAN84" s="204"/>
      <c r="XAO84" s="206"/>
      <c r="XAP84" s="205"/>
      <c r="XAQ84" s="205"/>
      <c r="XAR84" s="204"/>
      <c r="XAS84" s="206"/>
      <c r="XAT84" s="205"/>
      <c r="XAU84" s="205"/>
      <c r="XAV84" s="204"/>
      <c r="XAW84" s="206"/>
      <c r="XAX84" s="205"/>
      <c r="XAY84" s="205"/>
      <c r="XAZ84" s="204"/>
      <c r="XBA84" s="206"/>
      <c r="XBB84" s="205"/>
      <c r="XBC84" s="205"/>
      <c r="XBD84" s="204"/>
      <c r="XBE84" s="206"/>
      <c r="XBF84" s="205"/>
      <c r="XBG84" s="205"/>
      <c r="XBH84" s="204"/>
      <c r="XBI84" s="206"/>
      <c r="XBJ84" s="205"/>
      <c r="XBK84" s="205"/>
      <c r="XBL84" s="204"/>
      <c r="XBM84" s="206"/>
      <c r="XBN84" s="205"/>
      <c r="XBO84" s="205"/>
      <c r="XBP84" s="204"/>
      <c r="XBQ84" s="206"/>
      <c r="XBR84" s="205"/>
      <c r="XBS84" s="205"/>
      <c r="XBT84" s="204"/>
      <c r="XBU84" s="206"/>
      <c r="XBV84" s="205"/>
      <c r="XBW84" s="205"/>
      <c r="XBX84" s="204"/>
      <c r="XBY84" s="206"/>
      <c r="XBZ84" s="205"/>
      <c r="XCA84" s="205"/>
      <c r="XCB84" s="204"/>
      <c r="XCC84" s="206"/>
      <c r="XCD84" s="205"/>
      <c r="XCE84" s="205"/>
      <c r="XCF84" s="204"/>
      <c r="XCG84" s="206"/>
      <c r="XCH84" s="205"/>
      <c r="XCI84" s="205"/>
      <c r="XCJ84" s="204"/>
      <c r="XCK84" s="206"/>
      <c r="XCL84" s="205"/>
      <c r="XCM84" s="205"/>
      <c r="XCN84" s="204"/>
      <c r="XCO84" s="206"/>
      <c r="XCP84" s="205"/>
      <c r="XCQ84" s="205"/>
      <c r="XCR84" s="204"/>
      <c r="XCS84" s="206"/>
      <c r="XCT84" s="205"/>
      <c r="XCU84" s="205"/>
      <c r="XCV84" s="204"/>
      <c r="XCW84" s="206"/>
      <c r="XCX84" s="205"/>
      <c r="XCY84" s="205"/>
      <c r="XCZ84" s="204"/>
      <c r="XDA84" s="206"/>
      <c r="XDB84" s="205"/>
      <c r="XDC84" s="205"/>
      <c r="XDD84" s="204"/>
      <c r="XDE84" s="206"/>
      <c r="XDF84" s="205"/>
      <c r="XDG84" s="205"/>
      <c r="XDH84" s="204"/>
      <c r="XDI84" s="206"/>
      <c r="XDJ84" s="205"/>
      <c r="XDK84" s="205"/>
      <c r="XDL84" s="204"/>
      <c r="XDM84" s="206"/>
      <c r="XDN84" s="205"/>
      <c r="XDO84" s="205"/>
      <c r="XDP84" s="204"/>
      <c r="XDQ84" s="206"/>
      <c r="XDR84" s="205"/>
      <c r="XDS84" s="205"/>
      <c r="XDT84" s="204"/>
      <c r="XDU84" s="206"/>
      <c r="XDV84" s="205"/>
      <c r="XDW84" s="205"/>
      <c r="XDX84" s="204"/>
      <c r="XDY84" s="206"/>
      <c r="XDZ84" s="205"/>
      <c r="XEA84" s="205"/>
      <c r="XEB84" s="204"/>
      <c r="XEC84" s="206"/>
      <c r="XED84" s="205"/>
      <c r="XEE84" s="205"/>
      <c r="XEF84" s="204"/>
      <c r="XEG84" s="206"/>
      <c r="XEH84" s="205"/>
      <c r="XEI84" s="205"/>
      <c r="XEJ84" s="204"/>
      <c r="XEK84" s="206"/>
      <c r="XEL84" s="205"/>
      <c r="XEM84" s="205"/>
      <c r="XEN84" s="204"/>
      <c r="XEO84" s="206"/>
      <c r="XEP84" s="205"/>
      <c r="XEQ84" s="205"/>
      <c r="XER84" s="204"/>
      <c r="XES84" s="206"/>
      <c r="XET84" s="205"/>
      <c r="XEU84" s="205"/>
      <c r="XEV84" s="204"/>
      <c r="XEW84" s="206"/>
      <c r="XEX84" s="205"/>
      <c r="XEY84" s="205"/>
      <c r="XEZ84" s="204"/>
      <c r="XFA84" s="206"/>
      <c r="XFB84" s="205"/>
      <c r="XFC84" s="205"/>
      <c r="XFD84" s="204"/>
    </row>
    <row r="85" spans="1:16384" x14ac:dyDescent="0.25">
      <c r="A85" s="485" t="s">
        <v>75</v>
      </c>
      <c r="B85" s="486">
        <v>15</v>
      </c>
      <c r="C85" s="487">
        <f ca="1">IF(MOIS_M=1,VLOOKUP(138,DATA_AN_TVX,15,FALSE),VLOOKUP(138,DATA_AN_TVX,MOIS_M+2,FALSE))</f>
        <v>26</v>
      </c>
      <c r="D85" s="488">
        <f t="shared" ref="D85:D89" ca="1" si="10">IFERROR((B85-C85)/C85,IF(B85&lt;&gt;0,1,0))</f>
        <v>-0.42307692307692307</v>
      </c>
    </row>
    <row r="86" spans="1:16384" x14ac:dyDescent="0.25">
      <c r="A86" s="485" t="s">
        <v>688</v>
      </c>
      <c r="B86" s="486">
        <v>25</v>
      </c>
      <c r="C86" s="513" t="s">
        <v>981</v>
      </c>
      <c r="D86" s="488">
        <f t="shared" si="10"/>
        <v>1</v>
      </c>
      <c r="E86" s="201" t="s">
        <v>982</v>
      </c>
    </row>
    <row r="87" spans="1:16384" x14ac:dyDescent="0.25">
      <c r="A87" s="485" t="s">
        <v>687</v>
      </c>
      <c r="B87" s="486">
        <v>5</v>
      </c>
      <c r="C87" s="487">
        <f ca="1">IF(MOIS_M=1,VLOOKUP(142,DATA_AN_TVX,15,FALSE),VLOOKUP(142,DATA_AN_TVX,MOIS_M+2,FALSE))</f>
        <v>13</v>
      </c>
      <c r="D87" s="488">
        <f t="shared" ca="1" si="10"/>
        <v>-0.61538461538461542</v>
      </c>
    </row>
    <row r="88" spans="1:16384" x14ac:dyDescent="0.25">
      <c r="A88" s="485" t="s">
        <v>686</v>
      </c>
      <c r="B88" s="486">
        <v>31</v>
      </c>
      <c r="C88" s="487">
        <f ca="1">IF(MOIS_M=1,VLOOKUP(139,DATA_AN_TVX,15,FALSE),VLOOKUP(139,DATA_AN_TVX,MOIS_M+2,FALSE))</f>
        <v>40</v>
      </c>
      <c r="D88" s="488">
        <f t="shared" ca="1" si="10"/>
        <v>-0.22500000000000001</v>
      </c>
    </row>
    <row r="89" spans="1:16384" x14ac:dyDescent="0.25">
      <c r="A89" s="485" t="s">
        <v>685</v>
      </c>
      <c r="B89" s="486">
        <v>22</v>
      </c>
      <c r="C89" s="487">
        <f ca="1">IF(MOIS_M=1,VLOOKUP(143,DATA_AN_TVX,15,FALSE),VLOOKUP(143,DATA_AN_TVX,MOIS_M+2,FALSE))</f>
        <v>20</v>
      </c>
      <c r="D89" s="488">
        <f t="shared" ca="1" si="10"/>
        <v>0.1</v>
      </c>
    </row>
    <row r="90" spans="1:16384" x14ac:dyDescent="0.25">
      <c r="A90" s="485" t="s">
        <v>684</v>
      </c>
      <c r="B90" s="486">
        <f>MLG_AIP1+MLG_AIP2</f>
        <v>0</v>
      </c>
      <c r="C90" s="487">
        <f ca="1">IF(MOIS_M=1,VLOOKUP(140,DATA_AN_TVX,15,FALSE)+VLOOKUP(141,DATA_AN_TVX,15,FALSE),VLOOKUP(140,DATA_AN_TVX,MOIS_M+2,FALSE)+VLOOKUP(141,DATA_AN_TVX,MOIS_M+2,FALSE))</f>
        <v>0</v>
      </c>
      <c r="D90" s="488">
        <f ca="1">IFERROR((B90-C90)/C90,IF(B90&lt;&gt;0,1,0))</f>
        <v>0</v>
      </c>
      <c r="E90" s="231">
        <v>0</v>
      </c>
      <c r="F90" s="231">
        <v>0</v>
      </c>
    </row>
    <row r="91" spans="1:16384" x14ac:dyDescent="0.25">
      <c r="A91" s="498"/>
      <c r="B91" s="499"/>
      <c r="C91" s="499"/>
      <c r="D91" s="499"/>
    </row>
    <row r="92" spans="1:16384" ht="17.25" x14ac:dyDescent="0.25">
      <c r="A92" s="511" t="s">
        <v>71</v>
      </c>
      <c r="B92" s="483">
        <f ca="1">B3</f>
        <v>2025</v>
      </c>
      <c r="C92" s="483">
        <f ca="1">C3</f>
        <v>2024</v>
      </c>
      <c r="D92" s="484" t="s">
        <v>645</v>
      </c>
    </row>
    <row r="93" spans="1:16384" x14ac:dyDescent="0.25">
      <c r="A93" s="485" t="s">
        <v>72</v>
      </c>
      <c r="B93" s="514">
        <f ca="1">IF(MOIS_M=1,VLOOKUP(145,DATA_A_MAA,15,FALSE),VLOOKUP(145,DATA_A_MAA,MOIS_M+2,FALSE))</f>
        <v>1</v>
      </c>
      <c r="C93" s="487">
        <f ca="1">IF(MOIS_M=1,VLOOKUP(145,DATA_AN_MAA,15,FALSE),VLOOKUP(145,DATA_AN_MAA,MOIS_M+2,FALSE))</f>
        <v>3</v>
      </c>
      <c r="D93" s="488">
        <f t="shared" ref="D93:D98" ca="1" si="11">IFERROR((B93-C93)/C93,IF(B93&lt;&gt;0,1,0))</f>
        <v>-0.66666666666666663</v>
      </c>
    </row>
    <row r="94" spans="1:16384" x14ac:dyDescent="0.25">
      <c r="A94" s="485" t="s">
        <v>73</v>
      </c>
      <c r="B94" s="514">
        <f ca="1">IF(MOIS_M=1,VLOOKUP(146,DATA_A_MAA,15,FALSE),VLOOKUP(146,DATA_A_MAA,MOIS_M+2,FALSE))</f>
        <v>8</v>
      </c>
      <c r="C94" s="487">
        <f ca="1">IF(MOIS_M=1,VLOOKUP(146,DATA_AN_MAA,15,FALSE),VLOOKUP(146,DATA_AN_MAA,MOIS_M+2,FALSE))</f>
        <v>1</v>
      </c>
      <c r="D94" s="488">
        <f t="shared" ca="1" si="11"/>
        <v>7</v>
      </c>
    </row>
    <row r="95" spans="1:16384" x14ac:dyDescent="0.25">
      <c r="A95" s="485" t="s">
        <v>180</v>
      </c>
      <c r="B95" s="514">
        <f ca="1">IF(MOIS_M=1,VLOOKUP(147,DATA_A_MAA,15,FALSE),VLOOKUP(147,DATA_A_MAA,MOIS_M+2,FALSE))</f>
        <v>0</v>
      </c>
      <c r="C95" s="487">
        <f ca="1">IF(MOIS_M=1,VLOOKUP(147,DATA_AN_MAA,15,FALSE),VLOOKUP(147,DATA_AN_MAA,MOIS_M+2,FALSE))</f>
        <v>0</v>
      </c>
      <c r="D95" s="488">
        <f t="shared" ca="1" si="11"/>
        <v>0</v>
      </c>
    </row>
    <row r="96" spans="1:16384" x14ac:dyDescent="0.25">
      <c r="A96" s="485" t="s">
        <v>181</v>
      </c>
      <c r="B96" s="514">
        <f ca="1">IF(MOIS_M=1,VLOOKUP(149,DATA_A_MAA,15,FALSE),VLOOKUP(149,DATA_A_MAA,MOIS_M+2,FALSE))</f>
        <v>2</v>
      </c>
      <c r="C96" s="487">
        <f ca="1">IF(MOIS_M=1,VLOOKUP(149,DATA_AN_MAA,15,FALSE),VLOOKUP(149,DATA_AN_MAA,MOIS_M+2,FALSE))</f>
        <v>0</v>
      </c>
      <c r="D96" s="488">
        <f t="shared" ca="1" si="11"/>
        <v>1</v>
      </c>
    </row>
    <row r="97" spans="1:5" ht="16.5" thickBot="1" x14ac:dyDescent="0.3">
      <c r="A97" s="490" t="s">
        <v>683</v>
      </c>
      <c r="B97" s="515">
        <f ca="1">IF(MOIS_M=1,VLOOKUP(148,DATA_A_MAA,15,FALSE),VLOOKUP(148,DATA_A_MAA,MOIS_M+2,FALSE))</f>
        <v>0</v>
      </c>
      <c r="C97" s="492">
        <f ca="1">IF(MOIS_M=1,VLOOKUP(148,DATA_AN_MAA,15,FALSE),VLOOKUP(148,DATA_AN_MAA,MOIS_M+2,FALSE))</f>
        <v>0</v>
      </c>
      <c r="D97" s="493">
        <f t="shared" ca="1" si="11"/>
        <v>0</v>
      </c>
    </row>
    <row r="98" spans="1:5" ht="16.5" thickBot="1" x14ac:dyDescent="0.3">
      <c r="A98" s="505" t="s">
        <v>662</v>
      </c>
      <c r="B98" s="516">
        <f ca="1">SUM(B93:B97)</f>
        <v>11</v>
      </c>
      <c r="C98" s="507">
        <f ca="1">SUM(C93:C97)</f>
        <v>4</v>
      </c>
      <c r="D98" s="508">
        <f t="shared" ca="1" si="11"/>
        <v>1.75</v>
      </c>
    </row>
    <row r="99" spans="1:5" x14ac:dyDescent="0.25">
      <c r="A99" s="498"/>
      <c r="B99" s="499"/>
      <c r="C99" s="499"/>
      <c r="D99" s="499"/>
    </row>
    <row r="100" spans="1:5" ht="17.25" x14ac:dyDescent="0.25">
      <c r="A100" s="511" t="s">
        <v>727</v>
      </c>
      <c r="B100" s="483">
        <f ca="1">B3</f>
        <v>2025</v>
      </c>
      <c r="C100" s="483">
        <f ca="1">C3</f>
        <v>2024</v>
      </c>
      <c r="D100" s="484" t="s">
        <v>645</v>
      </c>
    </row>
    <row r="101" spans="1:5" x14ac:dyDescent="0.25">
      <c r="A101" s="517" t="s">
        <v>728</v>
      </c>
      <c r="B101" s="518">
        <f ca="1">IF(MOIS_M=1,(VLOOKUP(32,DATA_A_MAIN,15,FALSE)+VLOOKUP(34,DATA_A_MAIN,15,FALSE))*PRIX_TRACT,(VLOOKUP(32,DATA_A_MAIN,MOIS_M+2,FALSE)+VLOOKUP(34,DATA_A_MAIN,MOIS_M+2,FALSE))*PRIX_TRACT)</f>
        <v>8395</v>
      </c>
      <c r="C101" s="519">
        <f ca="1">IF(MOIS_M=1,(VLOOKUP(32,DATA_AN_MAIN,15,FALSE)+VLOOKUP(34,DATA_AN_MAIN,15,FALSE))*PRIX_TRACT,(VLOOKUP(32,DATA_AN_MAIN,MOIS_M+2,FALSE)+VLOOKUP(34,DATA_AN_MAIN,MOIS_M+2,FALSE))*PRIX_TRACT)</f>
        <v>4715</v>
      </c>
      <c r="D101" s="488">
        <f t="shared" ref="D101:D107" ca="1" si="12">IFERROR((B101-C101)/C101,IF(B101&lt;&gt;0,1,0))</f>
        <v>0.78048780487804881</v>
      </c>
    </row>
    <row r="102" spans="1:5" x14ac:dyDescent="0.25">
      <c r="A102" s="485" t="s">
        <v>678</v>
      </c>
      <c r="B102" s="518">
        <f ca="1">IF(MOIS_M=1,VLOOKUP(111,DATA_A_FAC,15,FALSE)*PRIX_EMT,VLOOKUP(111,DATA_A_FAC,MOIS_M+2,FALSE)*PRIX_EMT)</f>
        <v>1603</v>
      </c>
      <c r="C102" s="519">
        <f ca="1">IF(MOIS_M=1,PRIX_EMT*VLOOKUP(111,DATA_AN_FAC,15,FALSE),PRIX_EMT*VLOOKUP(111,DATA_AN_FAC,MOIS_M+2,FALSE))</f>
        <v>2519</v>
      </c>
      <c r="D102" s="488">
        <f t="shared" ca="1" si="12"/>
        <v>-0.36363636363636365</v>
      </c>
    </row>
    <row r="103" spans="1:5" x14ac:dyDescent="0.25">
      <c r="A103" s="485" t="s">
        <v>682</v>
      </c>
      <c r="B103" s="518">
        <f ca="1">IF(MOIS_M=1,VLOOKUP(112,DATA_A_FAC,15,FALSE)*PRIX_PBS,VLOOKUP(112,DATA_A_FAC,MOIS_M+2,FALSE)*PRIX_PBS)</f>
        <v>0</v>
      </c>
      <c r="C103" s="519">
        <f ca="1">IF(MOIS_M=1,PRIX_PBS*VLOOKUP(112,DATA_AN_FAC,15,FALSE),PRIX_PBS*VLOOKUP(112,DATA_AN_FAC,MOIS_M+2,FALSE))</f>
        <v>0</v>
      </c>
      <c r="D103" s="488">
        <f t="shared" ca="1" si="12"/>
        <v>0</v>
      </c>
    </row>
    <row r="104" spans="1:5" x14ac:dyDescent="0.25">
      <c r="A104" s="485" t="s">
        <v>681</v>
      </c>
      <c r="B104" s="518">
        <f ca="1">IF(MOIS_M=1,VLOOKUP(109,DATA_A_FAC,15,FALSE)*PRIX_MSH,VLOOKUP(109,DATA_A_FAC,MOIS_M+2,FALSE)*PRIX_MSH)</f>
        <v>0</v>
      </c>
      <c r="C104" s="519">
        <f ca="1">IF(MOIS_M=1,PRIX_MSH*VLOOKUP(109,DATA_AN_FAC,15,FALSE),PRIX_MSH*VLOOKUP(109,DATA_AN_FAC,MOIS_M+2,FALSE))</f>
        <v>0</v>
      </c>
      <c r="D104" s="488">
        <f t="shared" ca="1" si="12"/>
        <v>0</v>
      </c>
    </row>
    <row r="105" spans="1:5" x14ac:dyDescent="0.25">
      <c r="A105" s="485" t="s">
        <v>679</v>
      </c>
      <c r="B105" s="518">
        <f ca="1">IF(MOIS_M=1,VLOOKUP(125,DATA_A_FAC,15,FALSE)*PRIX_JET,VLOOKUP(125,DATA_A_FAC,MOIS_M+2,FALSE)*PRIX_JET)</f>
        <v>0</v>
      </c>
      <c r="C105" s="519">
        <f ca="1">IF(MOIS_M=1,PRIX_JET*VLOOKUP(125,DATA_AN_FAC,15,FALSE),PRIX_JET*VLOOKUP(125,DATA_AN_FAC,MOIS_M+2,FALSE))</f>
        <v>0</v>
      </c>
      <c r="D105" s="488">
        <f t="shared" ca="1" si="12"/>
        <v>0</v>
      </c>
    </row>
    <row r="106" spans="1:5" x14ac:dyDescent="0.25">
      <c r="A106" s="485" t="s">
        <v>680</v>
      </c>
      <c r="B106" s="518">
        <f ca="1">IF(MOIS_M=1,VLOOKUP(110,DATA_A_FAC,15,FALSE)*PRIX_SAT,VLOOKUP(110,DATA_A_FAC,MOIS_M+2,FALSE)*PRIX_SAT)</f>
        <v>0</v>
      </c>
      <c r="C106" s="519">
        <f ca="1">IF(MOIS_M=1,PRIX_SAT*VLOOKUP(110,DATA_AN_FAC,15,FALSE),PRIX_SAT*VLOOKUP(110,DATA_AN_FAC,MOIS_M+2,FALSE))</f>
        <v>0</v>
      </c>
      <c r="D106" s="488">
        <f t="shared" ca="1" si="12"/>
        <v>0</v>
      </c>
    </row>
    <row r="107" spans="1:5" x14ac:dyDescent="0.25">
      <c r="A107" s="485" t="s">
        <v>729</v>
      </c>
      <c r="B107" s="518">
        <f ca="1">IF(MOIS_M=1,VLOOKUP(161,DATA_A_CARB,15,FALSE),VLOOKUP(161,DATA_A_CARB,MOIS_M+2,FALSE))</f>
        <v>671.6</v>
      </c>
      <c r="C107" s="519">
        <f ca="1">IF(MOIS_M=1,VLOOKUP(161,DATA_AN_CARB,15,FALSE),VLOOKUP(161,DATA_AN_CARB,MOIS_M+2,FALSE))</f>
        <v>844.8</v>
      </c>
      <c r="D107" s="488">
        <f t="shared" ca="1" si="12"/>
        <v>-0.20501893939393934</v>
      </c>
    </row>
    <row r="108" spans="1:5" x14ac:dyDescent="0.25">
      <c r="A108" s="489" t="s">
        <v>983</v>
      </c>
      <c r="B108" s="518">
        <f ca="1">IF(MOIS_M=1,SUM(B101:B106)+VLOOKUP(195,DATA_A_PERMIS,15,FALSE),SUM(B101:B106)+VLOOKUP(195,DATA_A_PERMIS,MOIS_M+2,FALSE))</f>
        <v>16200</v>
      </c>
      <c r="C108" s="519">
        <f ca="1">IF(MOIS_M=1,SUM(C101:C106)+VLOOKUP(195,DATA_AN_PER,15,FALSE),SUM(C101:C106)+VLOOKUP(195,DATA_AN_PER,MOIS_M+2,FALSE))</f>
        <v>16627</v>
      </c>
      <c r="D108" s="488">
        <f t="shared" ref="D108" ca="1" si="13">IFERROR((B108-C108)/C108,IF(B108&lt;&gt;0,1,0))</f>
        <v>-2.5681121068142177E-2</v>
      </c>
      <c r="E108" s="201" t="s">
        <v>984</v>
      </c>
    </row>
    <row r="109" spans="1:5" x14ac:dyDescent="0.25">
      <c r="A109" s="498"/>
      <c r="B109" s="499"/>
      <c r="C109" s="499"/>
      <c r="D109" s="499"/>
    </row>
    <row r="110" spans="1:5" ht="17.25" x14ac:dyDescent="0.25">
      <c r="A110" s="511" t="s">
        <v>608</v>
      </c>
      <c r="B110" s="499"/>
      <c r="C110" s="499"/>
      <c r="D110" s="499"/>
    </row>
    <row r="111" spans="1:5" x14ac:dyDescent="0.25">
      <c r="A111" s="1042" t="str">
        <f>FAITM1</f>
        <v>020125 - Etat de Veille EZY - Odeur suspecte - SGS 002</v>
      </c>
      <c r="B111" s="1042"/>
      <c r="C111" s="1042"/>
      <c r="D111" s="1042"/>
    </row>
    <row r="112" spans="1:5" x14ac:dyDescent="0.25">
      <c r="A112" s="1042" t="str">
        <f>FAITM2</f>
        <v>210125 - Etat d'alerte TAR996 - SGS 008</v>
      </c>
      <c r="B112" s="1042"/>
      <c r="C112" s="1042"/>
      <c r="D112" s="1042"/>
    </row>
    <row r="113" spans="1:4" x14ac:dyDescent="0.25">
      <c r="A113" s="1042" t="str">
        <f>FAITM3</f>
        <v>230125 - Déversement case 4 Loader AVP 14B - SGS 010</v>
      </c>
      <c r="B113" s="1042"/>
      <c r="C113" s="1042"/>
      <c r="D113" s="1042"/>
    </row>
    <row r="114" spans="1:4" x14ac:dyDescent="0.25">
      <c r="A114" s="1042">
        <f>FAITM4</f>
        <v>0</v>
      </c>
      <c r="B114" s="1042"/>
      <c r="C114" s="1042"/>
      <c r="D114" s="1042"/>
    </row>
    <row r="115" spans="1:4" x14ac:dyDescent="0.25">
      <c r="A115" s="1042">
        <f>FAITM5</f>
        <v>0</v>
      </c>
      <c r="B115" s="1042"/>
      <c r="C115" s="1042"/>
      <c r="D115" s="1042"/>
    </row>
    <row r="116" spans="1:4" x14ac:dyDescent="0.25">
      <c r="A116" s="1042">
        <f>FAITM6</f>
        <v>0</v>
      </c>
      <c r="B116" s="1042"/>
      <c r="C116" s="1042"/>
      <c r="D116" s="1042"/>
    </row>
    <row r="117" spans="1:4" x14ac:dyDescent="0.25">
      <c r="A117" s="1042">
        <f>FAITM7</f>
        <v>0</v>
      </c>
      <c r="B117" s="1042"/>
      <c r="C117" s="1042"/>
      <c r="D117" s="1042"/>
    </row>
    <row r="118" spans="1:4" x14ac:dyDescent="0.25">
      <c r="A118" s="1042">
        <f>FAITM8</f>
        <v>0</v>
      </c>
      <c r="B118" s="1042"/>
      <c r="C118" s="1042"/>
      <c r="D118" s="1042"/>
    </row>
    <row r="119" spans="1:4" x14ac:dyDescent="0.25">
      <c r="A119" s="498"/>
      <c r="B119" s="499"/>
      <c r="C119" s="499"/>
      <c r="D119" s="499"/>
    </row>
    <row r="120" spans="1:4" x14ac:dyDescent="0.25">
      <c r="A120" s="498"/>
      <c r="B120" s="499"/>
      <c r="C120" s="499"/>
      <c r="D120" s="499"/>
    </row>
    <row r="121" spans="1:4" x14ac:dyDescent="0.25">
      <c r="A121" s="498"/>
      <c r="B121" s="499"/>
      <c r="C121" s="499"/>
      <c r="D121" s="499"/>
    </row>
    <row r="122" spans="1:4" x14ac:dyDescent="0.25">
      <c r="A122" s="498"/>
      <c r="B122" s="499"/>
      <c r="C122" s="499"/>
      <c r="D122" s="499"/>
    </row>
    <row r="123" spans="1:4" x14ac:dyDescent="0.25">
      <c r="A123" s="498"/>
      <c r="B123" s="499"/>
      <c r="C123" s="499"/>
      <c r="D123" s="499"/>
    </row>
    <row r="124" spans="1:4" x14ac:dyDescent="0.25">
      <c r="A124" s="498"/>
      <c r="B124" s="499"/>
      <c r="C124" s="499"/>
      <c r="D124" s="499"/>
    </row>
    <row r="125" spans="1:4" x14ac:dyDescent="0.25">
      <c r="A125" s="498"/>
      <c r="B125" s="499"/>
      <c r="C125" s="499"/>
      <c r="D125" s="499"/>
    </row>
    <row r="126" spans="1:4" x14ac:dyDescent="0.25">
      <c r="A126" s="498"/>
      <c r="B126" s="499"/>
      <c r="C126" s="499"/>
      <c r="D126" s="499"/>
    </row>
    <row r="127" spans="1:4" x14ac:dyDescent="0.25">
      <c r="A127" s="498"/>
      <c r="B127" s="499"/>
      <c r="C127" s="499"/>
      <c r="D127" s="499"/>
    </row>
    <row r="128" spans="1:4" x14ac:dyDescent="0.25">
      <c r="A128" s="498"/>
      <c r="B128" s="499"/>
      <c r="C128" s="499"/>
      <c r="D128" s="499"/>
    </row>
    <row r="129" spans="1:4" x14ac:dyDescent="0.25">
      <c r="A129" s="498"/>
      <c r="B129" s="499"/>
      <c r="C129" s="499"/>
      <c r="D129" s="499"/>
    </row>
    <row r="130" spans="1:4" x14ac:dyDescent="0.25">
      <c r="A130" s="498"/>
      <c r="B130" s="499"/>
      <c r="C130" s="499"/>
      <c r="D130" s="499"/>
    </row>
    <row r="131" spans="1:4" x14ac:dyDescent="0.25">
      <c r="A131" s="498"/>
      <c r="B131" s="499"/>
      <c r="C131" s="499"/>
      <c r="D131" s="499"/>
    </row>
    <row r="132" spans="1:4" x14ac:dyDescent="0.25">
      <c r="A132" s="498"/>
      <c r="B132" s="499"/>
      <c r="C132" s="499"/>
      <c r="D132" s="499"/>
    </row>
    <row r="133" spans="1:4" x14ac:dyDescent="0.25">
      <c r="A133" s="498"/>
      <c r="B133" s="499"/>
      <c r="C133" s="499"/>
      <c r="D133" s="499"/>
    </row>
    <row r="134" spans="1:4" x14ac:dyDescent="0.25">
      <c r="A134" s="498"/>
      <c r="B134" s="499"/>
      <c r="C134" s="499"/>
      <c r="D134" s="499"/>
    </row>
    <row r="135" spans="1:4" x14ac:dyDescent="0.25">
      <c r="A135" s="498"/>
      <c r="B135" s="499"/>
      <c r="C135" s="499"/>
      <c r="D135" s="499"/>
    </row>
    <row r="136" spans="1:4" x14ac:dyDescent="0.25">
      <c r="A136" s="498"/>
      <c r="B136" s="499"/>
      <c r="C136" s="499"/>
      <c r="D136" s="499"/>
    </row>
    <row r="137" spans="1:4" x14ac:dyDescent="0.25">
      <c r="A137" s="498"/>
      <c r="B137" s="499"/>
      <c r="C137" s="499"/>
      <c r="D137" s="499"/>
    </row>
    <row r="138" spans="1:4" x14ac:dyDescent="0.25">
      <c r="A138" s="498"/>
      <c r="B138" s="499"/>
      <c r="C138" s="499"/>
      <c r="D138" s="499"/>
    </row>
    <row r="139" spans="1:4" x14ac:dyDescent="0.25">
      <c r="A139" s="498"/>
      <c r="B139" s="499"/>
      <c r="C139" s="499"/>
      <c r="D139" s="499"/>
    </row>
    <row r="140" spans="1:4" x14ac:dyDescent="0.25">
      <c r="A140" s="498"/>
      <c r="B140" s="499"/>
      <c r="C140" s="499"/>
      <c r="D140" s="499"/>
    </row>
    <row r="141" spans="1:4" x14ac:dyDescent="0.25">
      <c r="A141" s="498"/>
      <c r="B141" s="499"/>
      <c r="C141" s="499"/>
      <c r="D141" s="499"/>
    </row>
    <row r="142" spans="1:4" x14ac:dyDescent="0.25">
      <c r="A142" s="498"/>
      <c r="B142" s="499"/>
      <c r="C142" s="499"/>
      <c r="D142" s="499"/>
    </row>
    <row r="143" spans="1:4" x14ac:dyDescent="0.25">
      <c r="A143" s="498"/>
      <c r="B143" s="499"/>
      <c r="C143" s="499"/>
      <c r="D143" s="499"/>
    </row>
    <row r="144" spans="1:4" x14ac:dyDescent="0.25">
      <c r="A144" s="498"/>
      <c r="B144" s="499"/>
      <c r="C144" s="499"/>
      <c r="D144" s="499"/>
    </row>
    <row r="145" spans="1:4" x14ac:dyDescent="0.25">
      <c r="A145" s="498"/>
      <c r="B145" s="499"/>
      <c r="C145" s="499"/>
      <c r="D145" s="499"/>
    </row>
    <row r="146" spans="1:4" x14ac:dyDescent="0.25">
      <c r="A146" s="498"/>
      <c r="B146" s="499"/>
      <c r="C146" s="499"/>
      <c r="D146" s="499"/>
    </row>
    <row r="147" spans="1:4" x14ac:dyDescent="0.25">
      <c r="A147" s="498"/>
      <c r="B147" s="499"/>
      <c r="C147" s="499"/>
      <c r="D147" s="499"/>
    </row>
    <row r="148" spans="1:4" x14ac:dyDescent="0.25">
      <c r="A148" s="498"/>
      <c r="B148" s="499"/>
      <c r="C148" s="499"/>
      <c r="D148" s="499"/>
    </row>
    <row r="149" spans="1:4" x14ac:dyDescent="0.25">
      <c r="A149" s="498"/>
      <c r="B149" s="499"/>
      <c r="C149" s="499"/>
      <c r="D149" s="499"/>
    </row>
    <row r="150" spans="1:4" x14ac:dyDescent="0.25">
      <c r="A150" s="498"/>
      <c r="B150" s="499"/>
      <c r="C150" s="499"/>
      <c r="D150" s="499"/>
    </row>
    <row r="151" spans="1:4" x14ac:dyDescent="0.25">
      <c r="A151" s="498"/>
      <c r="B151" s="499"/>
      <c r="C151" s="499"/>
      <c r="D151" s="499"/>
    </row>
    <row r="152" spans="1:4" x14ac:dyDescent="0.25">
      <c r="A152" s="498"/>
      <c r="B152" s="499"/>
      <c r="C152" s="499"/>
      <c r="D152" s="499"/>
    </row>
    <row r="153" spans="1:4" x14ac:dyDescent="0.25">
      <c r="A153" s="498"/>
      <c r="B153" s="499"/>
      <c r="C153" s="499"/>
      <c r="D153" s="499"/>
    </row>
    <row r="154" spans="1:4" x14ac:dyDescent="0.25">
      <c r="A154" s="498"/>
      <c r="B154" s="499"/>
      <c r="C154" s="499"/>
      <c r="D154" s="499"/>
    </row>
    <row r="155" spans="1:4" x14ac:dyDescent="0.25">
      <c r="A155" s="498"/>
      <c r="B155" s="499"/>
      <c r="C155" s="499"/>
      <c r="D155" s="499"/>
    </row>
    <row r="156" spans="1:4" x14ac:dyDescent="0.25">
      <c r="A156" s="498"/>
      <c r="B156" s="499"/>
      <c r="C156" s="499"/>
      <c r="D156" s="499"/>
    </row>
    <row r="157" spans="1:4" x14ac:dyDescent="0.25">
      <c r="A157" s="498"/>
      <c r="B157" s="499"/>
      <c r="C157" s="499"/>
      <c r="D157" s="499"/>
    </row>
    <row r="158" spans="1:4" x14ac:dyDescent="0.25">
      <c r="A158" s="498"/>
      <c r="B158" s="499"/>
      <c r="C158" s="499"/>
      <c r="D158" s="499"/>
    </row>
    <row r="159" spans="1:4" x14ac:dyDescent="0.25">
      <c r="A159" s="498"/>
      <c r="B159" s="499"/>
      <c r="C159" s="499"/>
      <c r="D159" s="499"/>
    </row>
    <row r="160" spans="1:4" x14ac:dyDescent="0.25">
      <c r="A160" s="498"/>
      <c r="B160" s="499"/>
      <c r="C160" s="499"/>
      <c r="D160" s="499"/>
    </row>
    <row r="161" spans="1:4" x14ac:dyDescent="0.25">
      <c r="A161" s="498"/>
      <c r="B161" s="499"/>
      <c r="C161" s="499"/>
      <c r="D161" s="499"/>
    </row>
    <row r="162" spans="1:4" x14ac:dyDescent="0.25">
      <c r="A162" s="498"/>
      <c r="B162" s="499"/>
      <c r="C162" s="499"/>
      <c r="D162" s="499"/>
    </row>
    <row r="163" spans="1:4" x14ac:dyDescent="0.25">
      <c r="A163" s="498"/>
      <c r="B163" s="499"/>
      <c r="C163" s="499"/>
      <c r="D163" s="499"/>
    </row>
    <row r="164" spans="1:4" x14ac:dyDescent="0.25">
      <c r="A164" s="498"/>
      <c r="B164" s="499"/>
      <c r="C164" s="499"/>
      <c r="D164" s="499"/>
    </row>
    <row r="165" spans="1:4" x14ac:dyDescent="0.25">
      <c r="A165" s="498"/>
      <c r="B165" s="499"/>
      <c r="C165" s="499"/>
      <c r="D165" s="499"/>
    </row>
    <row r="166" spans="1:4" x14ac:dyDescent="0.25">
      <c r="A166" s="498"/>
      <c r="B166" s="499"/>
      <c r="C166" s="499"/>
      <c r="D166" s="499"/>
    </row>
    <row r="167" spans="1:4" x14ac:dyDescent="0.25">
      <c r="A167" s="498"/>
      <c r="B167" s="499"/>
      <c r="C167" s="499"/>
      <c r="D167" s="499"/>
    </row>
    <row r="168" spans="1:4" x14ac:dyDescent="0.25">
      <c r="A168" s="498"/>
      <c r="B168" s="499"/>
      <c r="C168" s="499"/>
      <c r="D168" s="499"/>
    </row>
    <row r="169" spans="1:4" x14ac:dyDescent="0.25">
      <c r="A169" s="498"/>
      <c r="B169" s="499"/>
      <c r="C169" s="499"/>
      <c r="D169" s="499"/>
    </row>
    <row r="170" spans="1:4" x14ac:dyDescent="0.25">
      <c r="A170" s="498"/>
      <c r="B170" s="499"/>
      <c r="C170" s="499"/>
      <c r="D170" s="499"/>
    </row>
    <row r="171" spans="1:4" x14ac:dyDescent="0.25">
      <c r="A171" s="498"/>
      <c r="B171" s="499"/>
      <c r="C171" s="499"/>
      <c r="D171" s="499"/>
    </row>
    <row r="172" spans="1:4" x14ac:dyDescent="0.25">
      <c r="A172" s="498"/>
      <c r="B172" s="499"/>
      <c r="C172" s="499"/>
      <c r="D172" s="499"/>
    </row>
    <row r="173" spans="1:4" x14ac:dyDescent="0.25">
      <c r="A173" s="498"/>
      <c r="B173" s="499"/>
      <c r="C173" s="499"/>
      <c r="D173" s="499"/>
    </row>
    <row r="174" spans="1:4" x14ac:dyDescent="0.25">
      <c r="A174" s="498"/>
      <c r="B174" s="499"/>
      <c r="C174" s="499"/>
      <c r="D174" s="499"/>
    </row>
    <row r="175" spans="1:4" x14ac:dyDescent="0.25">
      <c r="A175" s="498"/>
      <c r="B175" s="499"/>
      <c r="C175" s="499"/>
      <c r="D175" s="499"/>
    </row>
    <row r="176" spans="1:4" x14ac:dyDescent="0.25">
      <c r="A176" s="498"/>
      <c r="B176" s="499"/>
      <c r="C176" s="499"/>
      <c r="D176" s="499"/>
    </row>
    <row r="177" spans="1:4" x14ac:dyDescent="0.25">
      <c r="A177" s="498"/>
      <c r="B177" s="499"/>
      <c r="C177" s="499"/>
      <c r="D177" s="499"/>
    </row>
    <row r="178" spans="1:4" x14ac:dyDescent="0.25">
      <c r="A178" s="498"/>
      <c r="B178" s="499"/>
      <c r="C178" s="499"/>
      <c r="D178" s="499"/>
    </row>
    <row r="179" spans="1:4" x14ac:dyDescent="0.25">
      <c r="A179" s="498"/>
      <c r="B179" s="499"/>
      <c r="C179" s="499"/>
      <c r="D179" s="499"/>
    </row>
    <row r="180" spans="1:4" x14ac:dyDescent="0.25">
      <c r="A180" s="498"/>
      <c r="B180" s="499"/>
      <c r="C180" s="499"/>
      <c r="D180" s="499"/>
    </row>
    <row r="181" spans="1:4" x14ac:dyDescent="0.25">
      <c r="A181" s="498"/>
      <c r="B181" s="499"/>
      <c r="C181" s="499"/>
      <c r="D181" s="499"/>
    </row>
    <row r="182" spans="1:4" x14ac:dyDescent="0.25">
      <c r="A182" s="498"/>
      <c r="B182" s="499"/>
      <c r="C182" s="499"/>
      <c r="D182" s="499"/>
    </row>
    <row r="183" spans="1:4" x14ac:dyDescent="0.25">
      <c r="A183" s="498"/>
      <c r="B183" s="499"/>
      <c r="C183" s="499"/>
      <c r="D183" s="499"/>
    </row>
    <row r="184" spans="1:4" x14ac:dyDescent="0.25">
      <c r="A184" s="498"/>
      <c r="B184" s="499"/>
      <c r="C184" s="499"/>
      <c r="D184" s="499"/>
    </row>
    <row r="185" spans="1:4" x14ac:dyDescent="0.25">
      <c r="A185" s="498"/>
      <c r="B185" s="499"/>
      <c r="C185" s="499"/>
      <c r="D185" s="499"/>
    </row>
  </sheetData>
  <mergeCells count="9">
    <mergeCell ref="B1:D1"/>
    <mergeCell ref="A116:D116"/>
    <mergeCell ref="A117:D117"/>
    <mergeCell ref="A118:D118"/>
    <mergeCell ref="A111:D111"/>
    <mergeCell ref="A112:D112"/>
    <mergeCell ref="A113:D113"/>
    <mergeCell ref="A114:D114"/>
    <mergeCell ref="A115:D115"/>
  </mergeCells>
  <conditionalFormatting sqref="D3">
    <cfRule type="dataBar" priority="25">
      <dataBar>
        <cfvo type="min"/>
        <cfvo type="max"/>
        <color rgb="FF63C384"/>
      </dataBar>
      <extLst>
        <ext xmlns:x14="http://schemas.microsoft.com/office/spreadsheetml/2009/9/main" uri="{B025F937-C7B1-47D3-B67F-A62EFF666E3E}">
          <x14:id>{52CABA62-9B6C-4CFC-98F2-CBE5C5AD406A}</x14:id>
        </ext>
      </extLst>
    </cfRule>
  </conditionalFormatting>
  <conditionalFormatting sqref="D18">
    <cfRule type="dataBar" priority="24">
      <dataBar>
        <cfvo type="min"/>
        <cfvo type="max"/>
        <color rgb="FF63C384"/>
      </dataBar>
      <extLst>
        <ext xmlns:x14="http://schemas.microsoft.com/office/spreadsheetml/2009/9/main" uri="{B025F937-C7B1-47D3-B67F-A62EFF666E3E}">
          <x14:id>{DA2B7512-5FE9-44EF-AEEB-8B24A18A1239}</x14:id>
        </ext>
      </extLst>
    </cfRule>
  </conditionalFormatting>
  <conditionalFormatting sqref="D28">
    <cfRule type="dataBar" priority="23">
      <dataBar>
        <cfvo type="min"/>
        <cfvo type="max"/>
        <color rgb="FF63C384"/>
      </dataBar>
      <extLst>
        <ext xmlns:x14="http://schemas.microsoft.com/office/spreadsheetml/2009/9/main" uri="{B025F937-C7B1-47D3-B67F-A62EFF666E3E}">
          <x14:id>{0A361A0D-F8BD-481C-8A39-7DF61C055E09}</x14:id>
        </ext>
      </extLst>
    </cfRule>
  </conditionalFormatting>
  <conditionalFormatting sqref="D37">
    <cfRule type="dataBar" priority="22">
      <dataBar>
        <cfvo type="min"/>
        <cfvo type="max"/>
        <color rgb="FF63C384"/>
      </dataBar>
      <extLst>
        <ext xmlns:x14="http://schemas.microsoft.com/office/spreadsheetml/2009/9/main" uri="{B025F937-C7B1-47D3-B67F-A62EFF666E3E}">
          <x14:id>{CF7CF636-82E5-484B-A56C-3273D0545137}</x14:id>
        </ext>
      </extLst>
    </cfRule>
  </conditionalFormatting>
  <conditionalFormatting sqref="D52">
    <cfRule type="dataBar" priority="21">
      <dataBar>
        <cfvo type="min"/>
        <cfvo type="max"/>
        <color rgb="FF63C384"/>
      </dataBar>
      <extLst>
        <ext xmlns:x14="http://schemas.microsoft.com/office/spreadsheetml/2009/9/main" uri="{B025F937-C7B1-47D3-B67F-A62EFF666E3E}">
          <x14:id>{A9042F52-8A80-49AF-A0EE-BD862FEB1C5B}</x14:id>
        </ext>
      </extLst>
    </cfRule>
  </conditionalFormatting>
  <conditionalFormatting sqref="D65">
    <cfRule type="dataBar" priority="20">
      <dataBar>
        <cfvo type="min"/>
        <cfvo type="max"/>
        <color rgb="FF63C384"/>
      </dataBar>
      <extLst>
        <ext xmlns:x14="http://schemas.microsoft.com/office/spreadsheetml/2009/9/main" uri="{B025F937-C7B1-47D3-B67F-A62EFF666E3E}">
          <x14:id>{BE0365E0-CAA4-4EE6-9CC2-C5C33E660639}</x14:id>
        </ext>
      </extLst>
    </cfRule>
  </conditionalFormatting>
  <conditionalFormatting sqref="D71">
    <cfRule type="dataBar" priority="19">
      <dataBar>
        <cfvo type="min"/>
        <cfvo type="max"/>
        <color rgb="FF63C384"/>
      </dataBar>
      <extLst>
        <ext xmlns:x14="http://schemas.microsoft.com/office/spreadsheetml/2009/9/main" uri="{B025F937-C7B1-47D3-B67F-A62EFF666E3E}">
          <x14:id>{DB0427FC-2BAA-40D6-BFD0-EEDE7872AC35}</x14:id>
        </ext>
      </extLst>
    </cfRule>
  </conditionalFormatting>
  <conditionalFormatting sqref="D77 H77 L77 P77 T77 X77 AB77 AF77 AJ77 AN77 AR77 AV77 AZ77 BD77 BH77 BL77 BP77 BT77 BX77 CB77 CF77 CJ77 CN77 CR77 CV77 CZ77 DD77 DH77 DL77 DP77 DT77 DX77 EB77 EF77 EJ77 EN77 ER77 EV77 EZ77 FD77 FH77 FL77 FP77 FT77 FX77 GB77 GF77 GJ77 GN77 GR77 GV77 GZ77 HD77 HH77 HL77 HP77 HT77 HX77 IB77 IF77 IJ77 IN77 IR77 IV77 IZ77 JD77 JH77 JL77 JP77 JT77 JX77 KB77 KF77 KJ77 KN77 KR77 KV77 KZ77 LD77 LH77 LL77 LP77 LT77 LX77 MB77 MF77 MJ77 MN77 MR77 MV77 MZ77 ND77 NH77 NL77 NP77 NT77 NX77 OB77 OF77 OJ77 ON77 OR77 OV77 OZ77 PD77 PH77 PL77 PP77 PT77 PX77 QB77 QF77 QJ77 QN77 QR77 QV77 QZ77 RD77 RH77 RL77 RP77 RT77 RX77 SB77 SF77 SJ77 SN77 SR77 SV77 SZ77 TD77 TH77 TL77 TP77 TT77 TX77 UB77 UF77 UJ77 UN77 UR77 UV77 UZ77 VD77 VH77 VL77 VP77 VT77 VX77 WB77 WF77 WJ77 WN77 WR77 WV77 WZ77 XD77 XH77 XL77 XP77 XT77 XX77 YB77 YF77 YJ77 YN77 YR77 YV77 YZ77 ZD77 ZH77 ZL77 ZP77 ZT77 ZX77 AAB77 AAF77 AAJ77 AAN77 AAR77 AAV77 AAZ77 ABD77 ABH77 ABL77 ABP77 ABT77 ABX77 ACB77 ACF77 ACJ77 ACN77 ACR77 ACV77 ACZ77 ADD77 ADH77 ADL77 ADP77 ADT77 ADX77 AEB77 AEF77 AEJ77 AEN77 AER77 AEV77 AEZ77 AFD77 AFH77 AFL77 AFP77 AFT77 AFX77 AGB77 AGF77 AGJ77 AGN77 AGR77 AGV77 AGZ77 AHD77 AHH77 AHL77 AHP77 AHT77 AHX77 AIB77 AIF77 AIJ77 AIN77 AIR77 AIV77 AIZ77 AJD77 AJH77 AJL77 AJP77 AJT77 AJX77 AKB77 AKF77 AKJ77 AKN77 AKR77 AKV77 AKZ77 ALD77 ALH77 ALL77 ALP77 ALT77 ALX77 AMB77 AMF77 AMJ77 AMN77 AMR77 AMV77 AMZ77 AND77 ANH77 ANL77 ANP77 ANT77 ANX77 AOB77 AOF77 AOJ77 AON77 AOR77 AOV77 AOZ77 APD77 APH77 APL77 APP77 APT77 APX77 AQB77 AQF77 AQJ77 AQN77 AQR77 AQV77 AQZ77 ARD77 ARH77 ARL77 ARP77 ART77 ARX77 ASB77 ASF77 ASJ77 ASN77 ASR77 ASV77 ASZ77 ATD77 ATH77 ATL77 ATP77 ATT77 ATX77 AUB77 AUF77 AUJ77 AUN77 AUR77 AUV77 AUZ77 AVD77 AVH77 AVL77 AVP77 AVT77 AVX77 AWB77 AWF77 AWJ77 AWN77 AWR77 AWV77 AWZ77 AXD77 AXH77 AXL77 AXP77 AXT77 AXX77 AYB77 AYF77 AYJ77 AYN77 AYR77 AYV77 AYZ77 AZD77 AZH77 AZL77 AZP77 AZT77 AZX77 BAB77 BAF77 BAJ77 BAN77 BAR77 BAV77 BAZ77 BBD77 BBH77 BBL77 BBP77 BBT77 BBX77 BCB77 BCF77 BCJ77 BCN77 BCR77 BCV77 BCZ77 BDD77 BDH77 BDL77 BDP77 BDT77 BDX77 BEB77 BEF77 BEJ77 BEN77 BER77 BEV77 BEZ77 BFD77 BFH77 BFL77 BFP77 BFT77 BFX77 BGB77 BGF77 BGJ77 BGN77 BGR77 BGV77 BGZ77 BHD77 BHH77 BHL77 BHP77 BHT77 BHX77 BIB77 BIF77 BIJ77 BIN77 BIR77 BIV77 BIZ77 BJD77 BJH77 BJL77 BJP77 BJT77 BJX77 BKB77 BKF77 BKJ77 BKN77 BKR77 BKV77 BKZ77 BLD77 BLH77 BLL77 BLP77 BLT77 BLX77 BMB77 BMF77 BMJ77 BMN77 BMR77 BMV77 BMZ77 BND77 BNH77 BNL77 BNP77 BNT77 BNX77 BOB77 BOF77 BOJ77 BON77 BOR77 BOV77 BOZ77 BPD77 BPH77 BPL77 BPP77 BPT77 BPX77 BQB77 BQF77 BQJ77 BQN77 BQR77 BQV77 BQZ77 BRD77 BRH77 BRL77 BRP77 BRT77 BRX77 BSB77 BSF77 BSJ77 BSN77 BSR77 BSV77 BSZ77 BTD77 BTH77 BTL77 BTP77 BTT77 BTX77 BUB77 BUF77 BUJ77 BUN77 BUR77 BUV77 BUZ77 BVD77 BVH77 BVL77 BVP77 BVT77 BVX77 BWB77 BWF77 BWJ77 BWN77 BWR77 BWV77 BWZ77 BXD77 BXH77 BXL77 BXP77 BXT77 BXX77 BYB77 BYF77 BYJ77 BYN77 BYR77 BYV77 BYZ77 BZD77 BZH77 BZL77 BZP77 BZT77 BZX77 CAB77 CAF77 CAJ77 CAN77 CAR77 CAV77 CAZ77 CBD77 CBH77 CBL77 CBP77 CBT77 CBX77 CCB77 CCF77 CCJ77 CCN77 CCR77 CCV77 CCZ77 CDD77 CDH77 CDL77 CDP77 CDT77 CDX77 CEB77 CEF77 CEJ77 CEN77 CER77 CEV77 CEZ77 CFD77 CFH77 CFL77 CFP77 CFT77 CFX77 CGB77 CGF77 CGJ77 CGN77 CGR77 CGV77 CGZ77 CHD77 CHH77 CHL77 CHP77 CHT77 CHX77 CIB77 CIF77 CIJ77 CIN77 CIR77 CIV77 CIZ77 CJD77 CJH77 CJL77 CJP77 CJT77 CJX77 CKB77 CKF77 CKJ77 CKN77 CKR77 CKV77 CKZ77 CLD77 CLH77 CLL77 CLP77 CLT77 CLX77 CMB77 CMF77 CMJ77 CMN77 CMR77 CMV77 CMZ77 CND77 CNH77 CNL77 CNP77 CNT77 CNX77 COB77 COF77 COJ77 CON77 COR77 COV77 COZ77 CPD77 CPH77 CPL77 CPP77 CPT77 CPX77 CQB77 CQF77 CQJ77 CQN77 CQR77 CQV77 CQZ77 CRD77 CRH77 CRL77 CRP77 CRT77 CRX77 CSB77 CSF77 CSJ77 CSN77 CSR77 CSV77 CSZ77 CTD77 CTH77 CTL77 CTP77 CTT77 CTX77 CUB77 CUF77 CUJ77 CUN77 CUR77 CUV77 CUZ77 CVD77 CVH77 CVL77 CVP77 CVT77 CVX77 CWB77 CWF77 CWJ77 CWN77 CWR77 CWV77 CWZ77 CXD77 CXH77 CXL77 CXP77 CXT77 CXX77 CYB77 CYF77 CYJ77 CYN77 CYR77 CYV77 CYZ77 CZD77 CZH77 CZL77 CZP77 CZT77 CZX77 DAB77 DAF77 DAJ77 DAN77 DAR77 DAV77 DAZ77 DBD77 DBH77 DBL77 DBP77 DBT77 DBX77 DCB77 DCF77 DCJ77 DCN77 DCR77 DCV77 DCZ77 DDD77 DDH77 DDL77 DDP77 DDT77 DDX77 DEB77 DEF77 DEJ77 DEN77 DER77 DEV77 DEZ77 DFD77 DFH77 DFL77 DFP77 DFT77 DFX77 DGB77 DGF77 DGJ77 DGN77 DGR77 DGV77 DGZ77 DHD77 DHH77 DHL77 DHP77 DHT77 DHX77 DIB77 DIF77 DIJ77 DIN77 DIR77 DIV77 DIZ77 DJD77 DJH77 DJL77 DJP77 DJT77 DJX77 DKB77 DKF77 DKJ77 DKN77 DKR77 DKV77 DKZ77 DLD77 DLH77 DLL77 DLP77 DLT77 DLX77 DMB77 DMF77 DMJ77 DMN77 DMR77 DMV77 DMZ77 DND77 DNH77 DNL77 DNP77 DNT77 DNX77 DOB77 DOF77 DOJ77 DON77 DOR77 DOV77 DOZ77 DPD77 DPH77 DPL77 DPP77 DPT77 DPX77 DQB77 DQF77 DQJ77 DQN77 DQR77 DQV77 DQZ77 DRD77 DRH77 DRL77 DRP77 DRT77 DRX77 DSB77 DSF77 DSJ77 DSN77 DSR77 DSV77 DSZ77 DTD77 DTH77 DTL77 DTP77 DTT77 DTX77 DUB77 DUF77 DUJ77 DUN77 DUR77 DUV77 DUZ77 DVD77 DVH77 DVL77 DVP77 DVT77 DVX77 DWB77 DWF77 DWJ77 DWN77 DWR77 DWV77 DWZ77 DXD77 DXH77 DXL77 DXP77 DXT77 DXX77 DYB77 DYF77 DYJ77 DYN77 DYR77 DYV77 DYZ77 DZD77 DZH77 DZL77 DZP77 DZT77 DZX77 EAB77 EAF77 EAJ77 EAN77 EAR77 EAV77 EAZ77 EBD77 EBH77 EBL77 EBP77 EBT77 EBX77 ECB77 ECF77 ECJ77 ECN77 ECR77 ECV77 ECZ77 EDD77 EDH77 EDL77 EDP77 EDT77 EDX77 EEB77 EEF77 EEJ77 EEN77 EER77 EEV77 EEZ77 EFD77 EFH77 EFL77 EFP77 EFT77 EFX77 EGB77 EGF77 EGJ77 EGN77 EGR77 EGV77 EGZ77 EHD77 EHH77 EHL77 EHP77 EHT77 EHX77 EIB77 EIF77 EIJ77 EIN77 EIR77 EIV77 EIZ77 EJD77 EJH77 EJL77 EJP77 EJT77 EJX77 EKB77 EKF77 EKJ77 EKN77 EKR77 EKV77 EKZ77 ELD77 ELH77 ELL77 ELP77 ELT77 ELX77 EMB77 EMF77 EMJ77 EMN77 EMR77 EMV77 EMZ77 END77 ENH77 ENL77 ENP77 ENT77 ENX77 EOB77 EOF77 EOJ77 EON77 EOR77 EOV77 EOZ77 EPD77 EPH77 EPL77 EPP77 EPT77 EPX77 EQB77 EQF77 EQJ77 EQN77 EQR77 EQV77 EQZ77 ERD77 ERH77 ERL77 ERP77 ERT77 ERX77 ESB77 ESF77 ESJ77 ESN77 ESR77 ESV77 ESZ77 ETD77 ETH77 ETL77 ETP77 ETT77 ETX77 EUB77 EUF77 EUJ77 EUN77 EUR77 EUV77 EUZ77 EVD77 EVH77 EVL77 EVP77 EVT77 EVX77 EWB77 EWF77 EWJ77 EWN77 EWR77 EWV77 EWZ77 EXD77 EXH77 EXL77 EXP77 EXT77 EXX77 EYB77 EYF77 EYJ77 EYN77 EYR77 EYV77 EYZ77 EZD77 EZH77 EZL77 EZP77 EZT77 EZX77 FAB77 FAF77 FAJ77 FAN77 FAR77 FAV77 FAZ77 FBD77 FBH77 FBL77 FBP77 FBT77 FBX77 FCB77 FCF77 FCJ77 FCN77 FCR77 FCV77 FCZ77 FDD77 FDH77 FDL77 FDP77 FDT77 FDX77 FEB77 FEF77 FEJ77 FEN77 FER77 FEV77 FEZ77 FFD77 FFH77 FFL77 FFP77 FFT77 FFX77 FGB77 FGF77 FGJ77 FGN77 FGR77 FGV77 FGZ77 FHD77 FHH77 FHL77 FHP77 FHT77 FHX77 FIB77 FIF77 FIJ77 FIN77 FIR77 FIV77 FIZ77 FJD77 FJH77 FJL77 FJP77 FJT77 FJX77 FKB77 FKF77 FKJ77 FKN77 FKR77 FKV77 FKZ77 FLD77 FLH77 FLL77 FLP77 FLT77 FLX77 FMB77 FMF77 FMJ77 FMN77 FMR77 FMV77 FMZ77 FND77 FNH77 FNL77 FNP77 FNT77 FNX77 FOB77 FOF77 FOJ77 FON77 FOR77 FOV77 FOZ77 FPD77 FPH77 FPL77 FPP77 FPT77 FPX77 FQB77 FQF77 FQJ77 FQN77 FQR77 FQV77 FQZ77 FRD77 FRH77 FRL77 FRP77 FRT77 FRX77 FSB77 FSF77 FSJ77 FSN77 FSR77 FSV77 FSZ77 FTD77 FTH77 FTL77 FTP77 FTT77 FTX77 FUB77 FUF77 FUJ77 FUN77 FUR77 FUV77 FUZ77 FVD77 FVH77 FVL77 FVP77 FVT77 FVX77 FWB77 FWF77 FWJ77 FWN77 FWR77 FWV77 FWZ77 FXD77 FXH77 FXL77 FXP77 FXT77 FXX77 FYB77 FYF77 FYJ77 FYN77 FYR77 FYV77 FYZ77 FZD77 FZH77 FZL77 FZP77 FZT77 FZX77 GAB77 GAF77 GAJ77 GAN77 GAR77 GAV77 GAZ77 GBD77 GBH77 GBL77 GBP77 GBT77 GBX77 GCB77 GCF77 GCJ77 GCN77 GCR77 GCV77 GCZ77 GDD77 GDH77 GDL77 GDP77 GDT77 GDX77 GEB77 GEF77 GEJ77 GEN77 GER77 GEV77 GEZ77 GFD77 GFH77 GFL77 GFP77 GFT77 GFX77 GGB77 GGF77 GGJ77 GGN77 GGR77 GGV77 GGZ77 GHD77 GHH77 GHL77 GHP77 GHT77 GHX77 GIB77 GIF77 GIJ77 GIN77 GIR77 GIV77 GIZ77 GJD77 GJH77 GJL77 GJP77 GJT77 GJX77 GKB77 GKF77 GKJ77 GKN77 GKR77 GKV77 GKZ77 GLD77 GLH77 GLL77 GLP77 GLT77 GLX77 GMB77 GMF77 GMJ77 GMN77 GMR77 GMV77 GMZ77 GND77 GNH77 GNL77 GNP77 GNT77 GNX77 GOB77 GOF77 GOJ77 GON77 GOR77 GOV77 GOZ77 GPD77 GPH77 GPL77 GPP77 GPT77 GPX77 GQB77 GQF77 GQJ77 GQN77 GQR77 GQV77 GQZ77 GRD77 GRH77 GRL77 GRP77 GRT77 GRX77 GSB77 GSF77 GSJ77 GSN77 GSR77 GSV77 GSZ77 GTD77 GTH77 GTL77 GTP77 GTT77 GTX77 GUB77 GUF77 GUJ77 GUN77 GUR77 GUV77 GUZ77 GVD77 GVH77 GVL77 GVP77 GVT77 GVX77 GWB77 GWF77 GWJ77 GWN77 GWR77 GWV77 GWZ77 GXD77 GXH77 GXL77 GXP77 GXT77 GXX77 GYB77 GYF77 GYJ77 GYN77 GYR77 GYV77 GYZ77 GZD77 GZH77 GZL77 GZP77 GZT77 GZX77 HAB77 HAF77 HAJ77 HAN77 HAR77 HAV77 HAZ77 HBD77 HBH77 HBL77 HBP77 HBT77 HBX77 HCB77 HCF77 HCJ77 HCN77 HCR77 HCV77 HCZ77 HDD77 HDH77 HDL77 HDP77 HDT77 HDX77 HEB77 HEF77 HEJ77 HEN77 HER77 HEV77 HEZ77 HFD77 HFH77 HFL77 HFP77 HFT77 HFX77 HGB77 HGF77 HGJ77 HGN77 HGR77 HGV77 HGZ77 HHD77 HHH77 HHL77 HHP77 HHT77 HHX77 HIB77 HIF77 HIJ77 HIN77 HIR77 HIV77 HIZ77 HJD77 HJH77 HJL77 HJP77 HJT77 HJX77 HKB77 HKF77 HKJ77 HKN77 HKR77 HKV77 HKZ77 HLD77 HLH77 HLL77 HLP77 HLT77 HLX77 HMB77 HMF77 HMJ77 HMN77 HMR77 HMV77 HMZ77 HND77 HNH77 HNL77 HNP77 HNT77 HNX77 HOB77 HOF77 HOJ77 HON77 HOR77 HOV77 HOZ77 HPD77 HPH77 HPL77 HPP77 HPT77 HPX77 HQB77 HQF77 HQJ77 HQN77 HQR77 HQV77 HQZ77 HRD77 HRH77 HRL77 HRP77 HRT77 HRX77 HSB77 HSF77 HSJ77 HSN77 HSR77 HSV77 HSZ77 HTD77 HTH77 HTL77 HTP77 HTT77 HTX77 HUB77 HUF77 HUJ77 HUN77 HUR77 HUV77 HUZ77 HVD77 HVH77 HVL77 HVP77 HVT77 HVX77 HWB77 HWF77 HWJ77 HWN77 HWR77 HWV77 HWZ77 HXD77 HXH77 HXL77 HXP77 HXT77 HXX77 HYB77 HYF77 HYJ77 HYN77 HYR77 HYV77 HYZ77 HZD77 HZH77 HZL77 HZP77 HZT77 HZX77 IAB77 IAF77 IAJ77 IAN77 IAR77 IAV77 IAZ77 IBD77 IBH77 IBL77 IBP77 IBT77 IBX77 ICB77 ICF77 ICJ77 ICN77 ICR77 ICV77 ICZ77 IDD77 IDH77 IDL77 IDP77 IDT77 IDX77 IEB77 IEF77 IEJ77 IEN77 IER77 IEV77 IEZ77 IFD77 IFH77 IFL77 IFP77 IFT77 IFX77 IGB77 IGF77 IGJ77 IGN77 IGR77 IGV77 IGZ77 IHD77 IHH77 IHL77 IHP77 IHT77 IHX77 IIB77 IIF77 IIJ77 IIN77 IIR77 IIV77 IIZ77 IJD77 IJH77 IJL77 IJP77 IJT77 IJX77 IKB77 IKF77 IKJ77 IKN77 IKR77 IKV77 IKZ77 ILD77 ILH77 ILL77 ILP77 ILT77 ILX77 IMB77 IMF77 IMJ77 IMN77 IMR77 IMV77 IMZ77 IND77 INH77 INL77 INP77 INT77 INX77 IOB77 IOF77 IOJ77 ION77 IOR77 IOV77 IOZ77 IPD77 IPH77 IPL77 IPP77 IPT77 IPX77 IQB77 IQF77 IQJ77 IQN77 IQR77 IQV77 IQZ77 IRD77 IRH77 IRL77 IRP77 IRT77 IRX77 ISB77 ISF77 ISJ77 ISN77 ISR77 ISV77 ISZ77 ITD77 ITH77 ITL77 ITP77 ITT77 ITX77 IUB77 IUF77 IUJ77 IUN77 IUR77 IUV77 IUZ77 IVD77 IVH77 IVL77 IVP77 IVT77 IVX77 IWB77 IWF77 IWJ77 IWN77 IWR77 IWV77 IWZ77 IXD77 IXH77 IXL77 IXP77 IXT77 IXX77 IYB77 IYF77 IYJ77 IYN77 IYR77 IYV77 IYZ77 IZD77 IZH77 IZL77 IZP77 IZT77 IZX77 JAB77 JAF77 JAJ77 JAN77 JAR77 JAV77 JAZ77 JBD77 JBH77 JBL77 JBP77 JBT77 JBX77 JCB77 JCF77 JCJ77 JCN77 JCR77 JCV77 JCZ77 JDD77 JDH77 JDL77 JDP77 JDT77 JDX77 JEB77 JEF77 JEJ77 JEN77 JER77 JEV77 JEZ77 JFD77 JFH77 JFL77 JFP77 JFT77 JFX77 JGB77 JGF77 JGJ77 JGN77 JGR77 JGV77 JGZ77 JHD77 JHH77 JHL77 JHP77 JHT77 JHX77 JIB77 JIF77 JIJ77 JIN77 JIR77 JIV77 JIZ77 JJD77 JJH77 JJL77 JJP77 JJT77 JJX77 JKB77 JKF77 JKJ77 JKN77 JKR77 JKV77 JKZ77 JLD77 JLH77 JLL77 JLP77 JLT77 JLX77 JMB77 JMF77 JMJ77 JMN77 JMR77 JMV77 JMZ77 JND77 JNH77 JNL77 JNP77 JNT77 JNX77 JOB77 JOF77 JOJ77 JON77 JOR77 JOV77 JOZ77 JPD77 JPH77 JPL77 JPP77 JPT77 JPX77 JQB77 JQF77 JQJ77 JQN77 JQR77 JQV77 JQZ77 JRD77 JRH77 JRL77 JRP77 JRT77 JRX77 JSB77 JSF77 JSJ77 JSN77 JSR77 JSV77 JSZ77 JTD77 JTH77 JTL77 JTP77 JTT77 JTX77 JUB77 JUF77 JUJ77 JUN77 JUR77 JUV77 JUZ77 JVD77 JVH77 JVL77 JVP77 JVT77 JVX77 JWB77 JWF77 JWJ77 JWN77 JWR77 JWV77 JWZ77 JXD77 JXH77 JXL77 JXP77 JXT77 JXX77 JYB77 JYF77 JYJ77 JYN77 JYR77 JYV77 JYZ77 JZD77 JZH77 JZL77 JZP77 JZT77 JZX77 KAB77 KAF77 KAJ77 KAN77 KAR77 KAV77 KAZ77 KBD77 KBH77 KBL77 KBP77 KBT77 KBX77 KCB77 KCF77 KCJ77 KCN77 KCR77 KCV77 KCZ77 KDD77 KDH77 KDL77 KDP77 KDT77 KDX77 KEB77 KEF77 KEJ77 KEN77 KER77 KEV77 KEZ77 KFD77 KFH77 KFL77 KFP77 KFT77 KFX77 KGB77 KGF77 KGJ77 KGN77 KGR77 KGV77 KGZ77 KHD77 KHH77 KHL77 KHP77 KHT77 KHX77 KIB77 KIF77 KIJ77 KIN77 KIR77 KIV77 KIZ77 KJD77 KJH77 KJL77 KJP77 KJT77 KJX77 KKB77 KKF77 KKJ77 KKN77 KKR77 KKV77 KKZ77 KLD77 KLH77 KLL77 KLP77 KLT77 KLX77 KMB77 KMF77 KMJ77 KMN77 KMR77 KMV77 KMZ77 KND77 KNH77 KNL77 KNP77 KNT77 KNX77 KOB77 KOF77 KOJ77 KON77 KOR77 KOV77 KOZ77 KPD77 KPH77 KPL77 KPP77 KPT77 KPX77 KQB77 KQF77 KQJ77 KQN77 KQR77 KQV77 KQZ77 KRD77 KRH77 KRL77 KRP77 KRT77 KRX77 KSB77 KSF77 KSJ77 KSN77 KSR77 KSV77 KSZ77 KTD77 KTH77 KTL77 KTP77 KTT77 KTX77 KUB77 KUF77 KUJ77 KUN77 KUR77 KUV77 KUZ77 KVD77 KVH77 KVL77 KVP77 KVT77 KVX77 KWB77 KWF77 KWJ77 KWN77 KWR77 KWV77 KWZ77 KXD77 KXH77 KXL77 KXP77 KXT77 KXX77 KYB77 KYF77 KYJ77 KYN77 KYR77 KYV77 KYZ77 KZD77 KZH77 KZL77 KZP77 KZT77 KZX77 LAB77 LAF77 LAJ77 LAN77 LAR77 LAV77 LAZ77 LBD77 LBH77 LBL77 LBP77 LBT77 LBX77 LCB77 LCF77 LCJ77 LCN77 LCR77 LCV77 LCZ77 LDD77 LDH77 LDL77 LDP77 LDT77 LDX77 LEB77 LEF77 LEJ77 LEN77 LER77 LEV77 LEZ77 LFD77 LFH77 LFL77 LFP77 LFT77 LFX77 LGB77 LGF77 LGJ77 LGN77 LGR77 LGV77 LGZ77 LHD77 LHH77 LHL77 LHP77 LHT77 LHX77 LIB77 LIF77 LIJ77 LIN77 LIR77 LIV77 LIZ77 LJD77 LJH77 LJL77 LJP77 LJT77 LJX77 LKB77 LKF77 LKJ77 LKN77 LKR77 LKV77 LKZ77 LLD77 LLH77 LLL77 LLP77 LLT77 LLX77 LMB77 LMF77 LMJ77 LMN77 LMR77 LMV77 LMZ77 LND77 LNH77 LNL77 LNP77 LNT77 LNX77 LOB77 LOF77 LOJ77 LON77 LOR77 LOV77 LOZ77 LPD77 LPH77 LPL77 LPP77 LPT77 LPX77 LQB77 LQF77 LQJ77 LQN77 LQR77 LQV77 LQZ77 LRD77 LRH77 LRL77 LRP77 LRT77 LRX77 LSB77 LSF77 LSJ77 LSN77 LSR77 LSV77 LSZ77 LTD77 LTH77 LTL77 LTP77 LTT77 LTX77 LUB77 LUF77 LUJ77 LUN77 LUR77 LUV77 LUZ77 LVD77 LVH77 LVL77 LVP77 LVT77 LVX77 LWB77 LWF77 LWJ77 LWN77 LWR77 LWV77 LWZ77 LXD77 LXH77 LXL77 LXP77 LXT77 LXX77 LYB77 LYF77 LYJ77 LYN77 LYR77 LYV77 LYZ77 LZD77 LZH77 LZL77 LZP77 LZT77 LZX77 MAB77 MAF77 MAJ77 MAN77 MAR77 MAV77 MAZ77 MBD77 MBH77 MBL77 MBP77 MBT77 MBX77 MCB77 MCF77 MCJ77 MCN77 MCR77 MCV77 MCZ77 MDD77 MDH77 MDL77 MDP77 MDT77 MDX77 MEB77 MEF77 MEJ77 MEN77 MER77 MEV77 MEZ77 MFD77 MFH77 MFL77 MFP77 MFT77 MFX77 MGB77 MGF77 MGJ77 MGN77 MGR77 MGV77 MGZ77 MHD77 MHH77 MHL77 MHP77 MHT77 MHX77 MIB77 MIF77 MIJ77 MIN77 MIR77 MIV77 MIZ77 MJD77 MJH77 MJL77 MJP77 MJT77 MJX77 MKB77 MKF77 MKJ77 MKN77 MKR77 MKV77 MKZ77 MLD77 MLH77 MLL77 MLP77 MLT77 MLX77 MMB77 MMF77 MMJ77 MMN77 MMR77 MMV77 MMZ77 MND77 MNH77 MNL77 MNP77 MNT77 MNX77 MOB77 MOF77 MOJ77 MON77 MOR77 MOV77 MOZ77 MPD77 MPH77 MPL77 MPP77 MPT77 MPX77 MQB77 MQF77 MQJ77 MQN77 MQR77 MQV77 MQZ77 MRD77 MRH77 MRL77 MRP77 MRT77 MRX77 MSB77 MSF77 MSJ77 MSN77 MSR77 MSV77 MSZ77 MTD77 MTH77 MTL77 MTP77 MTT77 MTX77 MUB77 MUF77 MUJ77 MUN77 MUR77 MUV77 MUZ77 MVD77 MVH77 MVL77 MVP77 MVT77 MVX77 MWB77 MWF77 MWJ77 MWN77 MWR77 MWV77 MWZ77 MXD77 MXH77 MXL77 MXP77 MXT77 MXX77 MYB77 MYF77 MYJ77 MYN77 MYR77 MYV77 MYZ77 MZD77 MZH77 MZL77 MZP77 MZT77 MZX77 NAB77 NAF77 NAJ77 NAN77 NAR77 NAV77 NAZ77 NBD77 NBH77 NBL77 NBP77 NBT77 NBX77 NCB77 NCF77 NCJ77 NCN77 NCR77 NCV77 NCZ77 NDD77 NDH77 NDL77 NDP77 NDT77 NDX77 NEB77 NEF77 NEJ77 NEN77 NER77 NEV77 NEZ77 NFD77 NFH77 NFL77 NFP77 NFT77 NFX77 NGB77 NGF77 NGJ77 NGN77 NGR77 NGV77 NGZ77 NHD77 NHH77 NHL77 NHP77 NHT77 NHX77 NIB77 NIF77 NIJ77 NIN77 NIR77 NIV77 NIZ77 NJD77 NJH77 NJL77 NJP77 NJT77 NJX77 NKB77 NKF77 NKJ77 NKN77 NKR77 NKV77 NKZ77 NLD77 NLH77 NLL77 NLP77 NLT77 NLX77 NMB77 NMF77 NMJ77 NMN77 NMR77 NMV77 NMZ77 NND77 NNH77 NNL77 NNP77 NNT77 NNX77 NOB77 NOF77 NOJ77 NON77 NOR77 NOV77 NOZ77 NPD77 NPH77 NPL77 NPP77 NPT77 NPX77 NQB77 NQF77 NQJ77 NQN77 NQR77 NQV77 NQZ77 NRD77 NRH77 NRL77 NRP77 NRT77 NRX77 NSB77 NSF77 NSJ77 NSN77 NSR77 NSV77 NSZ77 NTD77 NTH77 NTL77 NTP77 NTT77 NTX77 NUB77 NUF77 NUJ77 NUN77 NUR77 NUV77 NUZ77 NVD77 NVH77 NVL77 NVP77 NVT77 NVX77 NWB77 NWF77 NWJ77 NWN77 NWR77 NWV77 NWZ77 NXD77 NXH77 NXL77 NXP77 NXT77 NXX77 NYB77 NYF77 NYJ77 NYN77 NYR77 NYV77 NYZ77 NZD77 NZH77 NZL77 NZP77 NZT77 NZX77 OAB77 OAF77 OAJ77 OAN77 OAR77 OAV77 OAZ77 OBD77 OBH77 OBL77 OBP77 OBT77 OBX77 OCB77 OCF77 OCJ77 OCN77 OCR77 OCV77 OCZ77 ODD77 ODH77 ODL77 ODP77 ODT77 ODX77 OEB77 OEF77 OEJ77 OEN77 OER77 OEV77 OEZ77 OFD77 OFH77 OFL77 OFP77 OFT77 OFX77 OGB77 OGF77 OGJ77 OGN77 OGR77 OGV77 OGZ77 OHD77 OHH77 OHL77 OHP77 OHT77 OHX77 OIB77 OIF77 OIJ77 OIN77 OIR77 OIV77 OIZ77 OJD77 OJH77 OJL77 OJP77 OJT77 OJX77 OKB77 OKF77 OKJ77 OKN77 OKR77 OKV77 OKZ77 OLD77 OLH77 OLL77 OLP77 OLT77 OLX77 OMB77 OMF77 OMJ77 OMN77 OMR77 OMV77 OMZ77 OND77 ONH77 ONL77 ONP77 ONT77 ONX77 OOB77 OOF77 OOJ77 OON77 OOR77 OOV77 OOZ77 OPD77 OPH77 OPL77 OPP77 OPT77 OPX77 OQB77 OQF77 OQJ77 OQN77 OQR77 OQV77 OQZ77 ORD77 ORH77 ORL77 ORP77 ORT77 ORX77 OSB77 OSF77 OSJ77 OSN77 OSR77 OSV77 OSZ77 OTD77 OTH77 OTL77 OTP77 OTT77 OTX77 OUB77 OUF77 OUJ77 OUN77 OUR77 OUV77 OUZ77 OVD77 OVH77 OVL77 OVP77 OVT77 OVX77 OWB77 OWF77 OWJ77 OWN77 OWR77 OWV77 OWZ77 OXD77 OXH77 OXL77 OXP77 OXT77 OXX77 OYB77 OYF77 OYJ77 OYN77 OYR77 OYV77 OYZ77 OZD77 OZH77 OZL77 OZP77 OZT77 OZX77 PAB77 PAF77 PAJ77 PAN77 PAR77 PAV77 PAZ77 PBD77 PBH77 PBL77 PBP77 PBT77 PBX77 PCB77 PCF77 PCJ77 PCN77 PCR77 PCV77 PCZ77 PDD77 PDH77 PDL77 PDP77 PDT77 PDX77 PEB77 PEF77 PEJ77 PEN77 PER77 PEV77 PEZ77 PFD77 PFH77 PFL77 PFP77 PFT77 PFX77 PGB77 PGF77 PGJ77 PGN77 PGR77 PGV77 PGZ77 PHD77 PHH77 PHL77 PHP77 PHT77 PHX77 PIB77 PIF77 PIJ77 PIN77 PIR77 PIV77 PIZ77 PJD77 PJH77 PJL77 PJP77 PJT77 PJX77 PKB77 PKF77 PKJ77 PKN77 PKR77 PKV77 PKZ77 PLD77 PLH77 PLL77 PLP77 PLT77 PLX77 PMB77 PMF77 PMJ77 PMN77 PMR77 PMV77 PMZ77 PND77 PNH77 PNL77 PNP77 PNT77 PNX77 POB77 POF77 POJ77 PON77 POR77 POV77 POZ77 PPD77 PPH77 PPL77 PPP77 PPT77 PPX77 PQB77 PQF77 PQJ77 PQN77 PQR77 PQV77 PQZ77 PRD77 PRH77 PRL77 PRP77 PRT77 PRX77 PSB77 PSF77 PSJ77 PSN77 PSR77 PSV77 PSZ77 PTD77 PTH77 PTL77 PTP77 PTT77 PTX77 PUB77 PUF77 PUJ77 PUN77 PUR77 PUV77 PUZ77 PVD77 PVH77 PVL77 PVP77 PVT77 PVX77 PWB77 PWF77 PWJ77 PWN77 PWR77 PWV77 PWZ77 PXD77 PXH77 PXL77 PXP77 PXT77 PXX77 PYB77 PYF77 PYJ77 PYN77 PYR77 PYV77 PYZ77 PZD77 PZH77 PZL77 PZP77 PZT77 PZX77 QAB77 QAF77 QAJ77 QAN77 QAR77 QAV77 QAZ77 QBD77 QBH77 QBL77 QBP77 QBT77 QBX77 QCB77 QCF77 QCJ77 QCN77 QCR77 QCV77 QCZ77 QDD77 QDH77 QDL77 QDP77 QDT77 QDX77 QEB77 QEF77 QEJ77 QEN77 QER77 QEV77 QEZ77 QFD77 QFH77 QFL77 QFP77 QFT77 QFX77 QGB77 QGF77 QGJ77 QGN77 QGR77 QGV77 QGZ77 QHD77 QHH77 QHL77 QHP77 QHT77 QHX77 QIB77 QIF77 QIJ77 QIN77 QIR77 QIV77 QIZ77 QJD77 QJH77 QJL77 QJP77 QJT77 QJX77 QKB77 QKF77 QKJ77 QKN77 QKR77 QKV77 QKZ77 QLD77 QLH77 QLL77 QLP77 QLT77 QLX77 QMB77 QMF77 QMJ77 QMN77 QMR77 QMV77 QMZ77 QND77 QNH77 QNL77 QNP77 QNT77 QNX77 QOB77 QOF77 QOJ77 QON77 QOR77 QOV77 QOZ77 QPD77 QPH77 QPL77 QPP77 QPT77 QPX77 QQB77 QQF77 QQJ77 QQN77 QQR77 QQV77 QQZ77 QRD77 QRH77 QRL77 QRP77 QRT77 QRX77 QSB77 QSF77 QSJ77 QSN77 QSR77 QSV77 QSZ77 QTD77 QTH77 QTL77 QTP77 QTT77 QTX77 QUB77 QUF77 QUJ77 QUN77 QUR77 QUV77 QUZ77 QVD77 QVH77 QVL77 QVP77 QVT77 QVX77 QWB77 QWF77 QWJ77 QWN77 QWR77 QWV77 QWZ77 QXD77 QXH77 QXL77 QXP77 QXT77 QXX77 QYB77 QYF77 QYJ77 QYN77 QYR77 QYV77 QYZ77 QZD77 QZH77 QZL77 QZP77 QZT77 QZX77 RAB77 RAF77 RAJ77 RAN77 RAR77 RAV77 RAZ77 RBD77 RBH77 RBL77 RBP77 RBT77 RBX77 RCB77 RCF77 RCJ77 RCN77 RCR77 RCV77 RCZ77 RDD77 RDH77 RDL77 RDP77 RDT77 RDX77 REB77 REF77 REJ77 REN77 RER77 REV77 REZ77 RFD77 RFH77 RFL77 RFP77 RFT77 RFX77 RGB77 RGF77 RGJ77 RGN77 RGR77 RGV77 RGZ77 RHD77 RHH77 RHL77 RHP77 RHT77 RHX77 RIB77 RIF77 RIJ77 RIN77 RIR77 RIV77 RIZ77 RJD77 RJH77 RJL77 RJP77 RJT77 RJX77 RKB77 RKF77 RKJ77 RKN77 RKR77 RKV77 RKZ77 RLD77 RLH77 RLL77 RLP77 RLT77 RLX77 RMB77 RMF77 RMJ77 RMN77 RMR77 RMV77 RMZ77 RND77 RNH77 RNL77 RNP77 RNT77 RNX77 ROB77 ROF77 ROJ77 RON77 ROR77 ROV77 ROZ77 RPD77 RPH77 RPL77 RPP77 RPT77 RPX77 RQB77 RQF77 RQJ77 RQN77 RQR77 RQV77 RQZ77 RRD77 RRH77 RRL77 RRP77 RRT77 RRX77 RSB77 RSF77 RSJ77 RSN77 RSR77 RSV77 RSZ77 RTD77 RTH77 RTL77 RTP77 RTT77 RTX77 RUB77 RUF77 RUJ77 RUN77 RUR77 RUV77 RUZ77 RVD77 RVH77 RVL77 RVP77 RVT77 RVX77 RWB77 RWF77 RWJ77 RWN77 RWR77 RWV77 RWZ77 RXD77 RXH77 RXL77 RXP77 RXT77 RXX77 RYB77 RYF77 RYJ77 RYN77 RYR77 RYV77 RYZ77 RZD77 RZH77 RZL77 RZP77 RZT77 RZX77 SAB77 SAF77 SAJ77 SAN77 SAR77 SAV77 SAZ77 SBD77 SBH77 SBL77 SBP77 SBT77 SBX77 SCB77 SCF77 SCJ77 SCN77 SCR77 SCV77 SCZ77 SDD77 SDH77 SDL77 SDP77 SDT77 SDX77 SEB77 SEF77 SEJ77 SEN77 SER77 SEV77 SEZ77 SFD77 SFH77 SFL77 SFP77 SFT77 SFX77 SGB77 SGF77 SGJ77 SGN77 SGR77 SGV77 SGZ77 SHD77 SHH77 SHL77 SHP77 SHT77 SHX77 SIB77 SIF77 SIJ77 SIN77 SIR77 SIV77 SIZ77 SJD77 SJH77 SJL77 SJP77 SJT77 SJX77 SKB77 SKF77 SKJ77 SKN77 SKR77 SKV77 SKZ77 SLD77 SLH77 SLL77 SLP77 SLT77 SLX77 SMB77 SMF77 SMJ77 SMN77 SMR77 SMV77 SMZ77 SND77 SNH77 SNL77 SNP77 SNT77 SNX77 SOB77 SOF77 SOJ77 SON77 SOR77 SOV77 SOZ77 SPD77 SPH77 SPL77 SPP77 SPT77 SPX77 SQB77 SQF77 SQJ77 SQN77 SQR77 SQV77 SQZ77 SRD77 SRH77 SRL77 SRP77 SRT77 SRX77 SSB77 SSF77 SSJ77 SSN77 SSR77 SSV77 SSZ77 STD77 STH77 STL77 STP77 STT77 STX77 SUB77 SUF77 SUJ77 SUN77 SUR77 SUV77 SUZ77 SVD77 SVH77 SVL77 SVP77 SVT77 SVX77 SWB77 SWF77 SWJ77 SWN77 SWR77 SWV77 SWZ77 SXD77 SXH77 SXL77 SXP77 SXT77 SXX77 SYB77 SYF77 SYJ77 SYN77 SYR77 SYV77 SYZ77 SZD77 SZH77 SZL77 SZP77 SZT77 SZX77 TAB77 TAF77 TAJ77 TAN77 TAR77 TAV77 TAZ77 TBD77 TBH77 TBL77 TBP77 TBT77 TBX77 TCB77 TCF77 TCJ77 TCN77 TCR77 TCV77 TCZ77 TDD77 TDH77 TDL77 TDP77 TDT77 TDX77 TEB77 TEF77 TEJ77 TEN77 TER77 TEV77 TEZ77 TFD77 TFH77 TFL77 TFP77 TFT77 TFX77 TGB77 TGF77 TGJ77 TGN77 TGR77 TGV77 TGZ77 THD77 THH77 THL77 THP77 THT77 THX77 TIB77 TIF77 TIJ77 TIN77 TIR77 TIV77 TIZ77 TJD77 TJH77 TJL77 TJP77 TJT77 TJX77 TKB77 TKF77 TKJ77 TKN77 TKR77 TKV77 TKZ77 TLD77 TLH77 TLL77 TLP77 TLT77 TLX77 TMB77 TMF77 TMJ77 TMN77 TMR77 TMV77 TMZ77 TND77 TNH77 TNL77 TNP77 TNT77 TNX77 TOB77 TOF77 TOJ77 TON77 TOR77 TOV77 TOZ77 TPD77 TPH77 TPL77 TPP77 TPT77 TPX77 TQB77 TQF77 TQJ77 TQN77 TQR77 TQV77 TQZ77 TRD77 TRH77 TRL77 TRP77 TRT77 TRX77 TSB77 TSF77 TSJ77 TSN77 TSR77 TSV77 TSZ77 TTD77 TTH77 TTL77 TTP77 TTT77 TTX77 TUB77 TUF77 TUJ77 TUN77 TUR77 TUV77 TUZ77 TVD77 TVH77 TVL77 TVP77 TVT77 TVX77 TWB77 TWF77 TWJ77 TWN77 TWR77 TWV77 TWZ77 TXD77 TXH77 TXL77 TXP77 TXT77 TXX77 TYB77 TYF77 TYJ77 TYN77 TYR77 TYV77 TYZ77 TZD77 TZH77 TZL77 TZP77 TZT77 TZX77 UAB77 UAF77 UAJ77 UAN77 UAR77 UAV77 UAZ77 UBD77 UBH77 UBL77 UBP77 UBT77 UBX77 UCB77 UCF77 UCJ77 UCN77 UCR77 UCV77 UCZ77 UDD77 UDH77 UDL77 UDP77 UDT77 UDX77 UEB77 UEF77 UEJ77 UEN77 UER77 UEV77 UEZ77 UFD77 UFH77 UFL77 UFP77 UFT77 UFX77 UGB77 UGF77 UGJ77 UGN77 UGR77 UGV77 UGZ77 UHD77 UHH77 UHL77 UHP77 UHT77 UHX77 UIB77 UIF77 UIJ77 UIN77 UIR77 UIV77 UIZ77 UJD77 UJH77 UJL77 UJP77 UJT77 UJX77 UKB77 UKF77 UKJ77 UKN77 UKR77 UKV77 UKZ77 ULD77 ULH77 ULL77 ULP77 ULT77 ULX77 UMB77 UMF77 UMJ77 UMN77 UMR77 UMV77 UMZ77 UND77 UNH77 UNL77 UNP77 UNT77 UNX77 UOB77 UOF77 UOJ77 UON77 UOR77 UOV77 UOZ77 UPD77 UPH77 UPL77 UPP77 UPT77 UPX77 UQB77 UQF77 UQJ77 UQN77 UQR77 UQV77 UQZ77 URD77 URH77 URL77 URP77 URT77 URX77 USB77 USF77 USJ77 USN77 USR77 USV77 USZ77 UTD77 UTH77 UTL77 UTP77 UTT77 UTX77 UUB77 UUF77 UUJ77 UUN77 UUR77 UUV77 UUZ77 UVD77 UVH77 UVL77 UVP77 UVT77 UVX77 UWB77 UWF77 UWJ77 UWN77 UWR77 UWV77 UWZ77 UXD77 UXH77 UXL77 UXP77 UXT77 UXX77 UYB77 UYF77 UYJ77 UYN77 UYR77 UYV77 UYZ77 UZD77 UZH77 UZL77 UZP77 UZT77 UZX77 VAB77 VAF77 VAJ77 VAN77 VAR77 VAV77 VAZ77 VBD77 VBH77 VBL77 VBP77 VBT77 VBX77 VCB77 VCF77 VCJ77 VCN77 VCR77 VCV77 VCZ77 VDD77 VDH77 VDL77 VDP77 VDT77 VDX77 VEB77 VEF77 VEJ77 VEN77 VER77 VEV77 VEZ77 VFD77 VFH77 VFL77 VFP77 VFT77 VFX77 VGB77 VGF77 VGJ77 VGN77 VGR77 VGV77 VGZ77 VHD77 VHH77 VHL77 VHP77 VHT77 VHX77 VIB77 VIF77 VIJ77 VIN77 VIR77 VIV77 VIZ77 VJD77 VJH77 VJL77 VJP77 VJT77 VJX77 VKB77 VKF77 VKJ77 VKN77 VKR77 VKV77 VKZ77 VLD77 VLH77 VLL77 VLP77 VLT77 VLX77 VMB77 VMF77 VMJ77 VMN77 VMR77 VMV77 VMZ77 VND77 VNH77 VNL77 VNP77 VNT77 VNX77 VOB77 VOF77 VOJ77 VON77 VOR77 VOV77 VOZ77 VPD77 VPH77 VPL77 VPP77 VPT77 VPX77 VQB77 VQF77 VQJ77 VQN77 VQR77 VQV77 VQZ77 VRD77 VRH77 VRL77 VRP77 VRT77 VRX77 VSB77 VSF77 VSJ77 VSN77 VSR77 VSV77 VSZ77 VTD77 VTH77 VTL77 VTP77 VTT77 VTX77 VUB77 VUF77 VUJ77 VUN77 VUR77 VUV77 VUZ77 VVD77 VVH77 VVL77 VVP77 VVT77 VVX77 VWB77 VWF77 VWJ77 VWN77 VWR77 VWV77 VWZ77 VXD77 VXH77 VXL77 VXP77 VXT77 VXX77 VYB77 VYF77 VYJ77 VYN77 VYR77 VYV77 VYZ77 VZD77 VZH77 VZL77 VZP77 VZT77 VZX77 WAB77 WAF77 WAJ77 WAN77 WAR77 WAV77 WAZ77 WBD77 WBH77 WBL77 WBP77 WBT77 WBX77 WCB77 WCF77 WCJ77 WCN77 WCR77 WCV77 WCZ77 WDD77 WDH77 WDL77 WDP77 WDT77 WDX77 WEB77 WEF77 WEJ77 WEN77 WER77 WEV77 WEZ77 WFD77 WFH77 WFL77 WFP77 WFT77 WFX77 WGB77 WGF77 WGJ77 WGN77 WGR77 WGV77 WGZ77 WHD77 WHH77 WHL77 WHP77 WHT77 WHX77 WIB77 WIF77 WIJ77 WIN77 WIR77 WIV77 WIZ77 WJD77 WJH77 WJL77 WJP77 WJT77 WJX77 WKB77 WKF77 WKJ77 WKN77 WKR77 WKV77 WKZ77 WLD77 WLH77 WLL77 WLP77 WLT77 WLX77 WMB77 WMF77 WMJ77 WMN77 WMR77 WMV77 WMZ77 WND77 WNH77 WNL77 WNP77 WNT77 WNX77 WOB77 WOF77 WOJ77 WON77 WOR77 WOV77 WOZ77 WPD77 WPH77 WPL77 WPP77 WPT77 WPX77 WQB77 WQF77 WQJ77 WQN77 WQR77 WQV77 WQZ77 WRD77 WRH77 WRL77 WRP77 WRT77 WRX77 WSB77 WSF77 WSJ77 WSN77 WSR77 WSV77 WSZ77 WTD77 WTH77 WTL77 WTP77 WTT77 WTX77 WUB77 WUF77 WUJ77 WUN77 WUR77 WUV77 WUZ77 WVD77 WVH77 WVL77 WVP77 WVT77 WVX77 WWB77 WWF77 WWJ77 WWN77 WWR77 WWV77 WWZ77 WXD77 WXH77 WXL77 WXP77 WXT77 WXX77 WYB77 WYF77 WYJ77 WYN77 WYR77 WYV77 WYZ77 WZD77 WZH77 WZL77 WZP77 WZT77 WZX77 XAB77 XAF77 XAJ77 XAN77 XAR77 XAV77 XAZ77 XBD77 XBH77 XBL77 XBP77 XBT77 XBX77 XCB77 XCF77 XCJ77 XCN77 XCR77 XCV77 XCZ77 XDD77 XDH77 XDL77 XDP77 XDT77 XDX77 XEB77 XEF77 XEJ77 XEN77 XER77 XEV77 XEZ77 XFD77">
    <cfRule type="dataBar" priority="18">
      <dataBar>
        <cfvo type="min"/>
        <cfvo type="max"/>
        <color rgb="FF63C384"/>
      </dataBar>
      <extLst>
        <ext xmlns:x14="http://schemas.microsoft.com/office/spreadsheetml/2009/9/main" uri="{B025F937-C7B1-47D3-B67F-A62EFF666E3E}">
          <x14:id>{FC7F717D-C902-49ED-9BDA-872B3073CED8}</x14:id>
        </ext>
      </extLst>
    </cfRule>
  </conditionalFormatting>
  <conditionalFormatting sqref="L84 H84 P84 T84 X84 AB84 AF84 AJ84 AN84 AR84 AV84 AZ84 BD84 BH84 BL84 BP84 BT84 BX84 CB84 CF84 CJ84 CN84 CR84 CV84 CZ84 DD84 DH84 DL84 DP84 DT84 DX84 EB84 EF84 EJ84 EN84 ER84 EV84 EZ84 FD84 FH84 FL84 FP84 FT84 FX84 GB84 GF84 GJ84 GN84 GR84 GV84 GZ84 HD84 HH84 HL84 HP84 HT84 HX84 IB84 IF84 IJ84 IN84 IR84 IV84 IZ84 JD84 JH84 JL84 JP84 JT84 JX84 KB84 KF84 KJ84 KN84 KR84 KV84 KZ84 LD84 LH84 LL84 LP84 LT84 LX84 MB84 MF84 MJ84 MN84 MR84 MV84 MZ84 ND84 NH84 NL84 NP84 NT84 NX84 OB84 OF84 OJ84 ON84 OR84 OV84 OZ84 PD84 PH84 PL84 PP84 PT84 PX84 QB84 QF84 QJ84 QN84 QR84 QV84 QZ84 RD84 RH84 RL84 RP84 RT84 RX84 SB84 SF84 SJ84 SN84 SR84 SV84 SZ84 TD84 TH84 TL84 TP84 TT84 TX84 UB84 UF84 UJ84 UN84 UR84 UV84 UZ84 VD84 VH84 VL84 VP84 VT84 VX84 WB84 WF84 WJ84 WN84 WR84 WV84 WZ84 XD84 XH84 XL84 XP84 XT84 XX84 YB84 YF84 YJ84 YN84 YR84 YV84 YZ84 ZD84 ZH84 ZL84 ZP84 ZT84 ZX84 AAB84 AAF84 AAJ84 AAN84 AAR84 AAV84 AAZ84 ABD84 ABH84 ABL84 ABP84 ABT84 ABX84 ACB84 ACF84 ACJ84 ACN84 ACR84 ACV84 ACZ84 ADD84 ADH84 ADL84 ADP84 ADT84 ADX84 AEB84 AEF84 AEJ84 AEN84 AER84 AEV84 AEZ84 AFD84 AFH84 AFL84 AFP84 AFT84 AFX84 AGB84 AGF84 AGJ84 AGN84 AGR84 AGV84 AGZ84 AHD84 AHH84 AHL84 AHP84 AHT84 AHX84 AIB84 AIF84 AIJ84 AIN84 AIR84 AIV84 AIZ84 AJD84 AJH84 AJL84 AJP84 AJT84 AJX84 AKB84 AKF84 AKJ84 AKN84 AKR84 AKV84 AKZ84 ALD84 ALH84 ALL84 ALP84 ALT84 ALX84 AMB84 AMF84 AMJ84 AMN84 AMR84 AMV84 AMZ84 AND84 ANH84 ANL84 ANP84 ANT84 ANX84 AOB84 AOF84 AOJ84 AON84 AOR84 AOV84 AOZ84 APD84 APH84 APL84 APP84 APT84 APX84 AQB84 AQF84 AQJ84 AQN84 AQR84 AQV84 AQZ84 ARD84 ARH84 ARL84 ARP84 ART84 ARX84 ASB84 ASF84 ASJ84 ASN84 ASR84 ASV84 ASZ84 ATD84 ATH84 ATL84 ATP84 ATT84 ATX84 AUB84 AUF84 AUJ84 AUN84 AUR84 AUV84 AUZ84 AVD84 AVH84 AVL84 AVP84 AVT84 AVX84 AWB84 AWF84 AWJ84 AWN84 AWR84 AWV84 AWZ84 AXD84 AXH84 AXL84 AXP84 AXT84 AXX84 AYB84 AYF84 AYJ84 AYN84 AYR84 AYV84 AYZ84 AZD84 AZH84 AZL84 AZP84 AZT84 AZX84 BAB84 BAF84 BAJ84 BAN84 BAR84 BAV84 BAZ84 BBD84 BBH84 BBL84 BBP84 BBT84 BBX84 BCB84 BCF84 BCJ84 BCN84 BCR84 BCV84 BCZ84 BDD84 BDH84 BDL84 BDP84 BDT84 BDX84 BEB84 BEF84 BEJ84 BEN84 BER84 BEV84 BEZ84 BFD84 BFH84 BFL84 BFP84 BFT84 BFX84 BGB84 BGF84 BGJ84 BGN84 BGR84 BGV84 BGZ84 BHD84 BHH84 BHL84 BHP84 BHT84 BHX84 BIB84 BIF84 BIJ84 BIN84 BIR84 BIV84 BIZ84 BJD84 BJH84 BJL84 BJP84 BJT84 BJX84 BKB84 BKF84 BKJ84 BKN84 BKR84 BKV84 BKZ84 BLD84 BLH84 BLL84 BLP84 BLT84 BLX84 BMB84 BMF84 BMJ84 BMN84 BMR84 BMV84 BMZ84 BND84 BNH84 BNL84 BNP84 BNT84 BNX84 BOB84 BOF84 BOJ84 BON84 BOR84 BOV84 BOZ84 BPD84 BPH84 BPL84 BPP84 BPT84 BPX84 BQB84 BQF84 BQJ84 BQN84 BQR84 BQV84 BQZ84 BRD84 BRH84 BRL84 BRP84 BRT84 BRX84 BSB84 BSF84 BSJ84 BSN84 BSR84 BSV84 BSZ84 BTD84 BTH84 BTL84 BTP84 BTT84 BTX84 BUB84 BUF84 BUJ84 BUN84 BUR84 BUV84 BUZ84 BVD84 BVH84 BVL84 BVP84 BVT84 BVX84 BWB84 BWF84 BWJ84 BWN84 BWR84 BWV84 BWZ84 BXD84 BXH84 BXL84 BXP84 BXT84 BXX84 BYB84 BYF84 BYJ84 BYN84 BYR84 BYV84 BYZ84 BZD84 BZH84 BZL84 BZP84 BZT84 BZX84 CAB84 CAF84 CAJ84 CAN84 CAR84 CAV84 CAZ84 CBD84 CBH84 CBL84 CBP84 CBT84 CBX84 CCB84 CCF84 CCJ84 CCN84 CCR84 CCV84 CCZ84 CDD84 CDH84 CDL84 CDP84 CDT84 CDX84 CEB84 CEF84 CEJ84 CEN84 CER84 CEV84 CEZ84 CFD84 CFH84 CFL84 CFP84 CFT84 CFX84 CGB84 CGF84 CGJ84 CGN84 CGR84 CGV84 CGZ84 CHD84 CHH84 CHL84 CHP84 CHT84 CHX84 CIB84 CIF84 CIJ84 CIN84 CIR84 CIV84 CIZ84 CJD84 CJH84 CJL84 CJP84 CJT84 CJX84 CKB84 CKF84 CKJ84 CKN84 CKR84 CKV84 CKZ84 CLD84 CLH84 CLL84 CLP84 CLT84 CLX84 CMB84 CMF84 CMJ84 CMN84 CMR84 CMV84 CMZ84 CND84 CNH84 CNL84 CNP84 CNT84 CNX84 COB84 COF84 COJ84 CON84 COR84 COV84 COZ84 CPD84 CPH84 CPL84 CPP84 CPT84 CPX84 CQB84 CQF84 CQJ84 CQN84 CQR84 CQV84 CQZ84 CRD84 CRH84 CRL84 CRP84 CRT84 CRX84 CSB84 CSF84 CSJ84 CSN84 CSR84 CSV84 CSZ84 CTD84 CTH84 CTL84 CTP84 CTT84 CTX84 CUB84 CUF84 CUJ84 CUN84 CUR84 CUV84 CUZ84 CVD84 CVH84 CVL84 CVP84 CVT84 CVX84 CWB84 CWF84 CWJ84 CWN84 CWR84 CWV84 CWZ84 CXD84 CXH84 CXL84 CXP84 CXT84 CXX84 CYB84 CYF84 CYJ84 CYN84 CYR84 CYV84 CYZ84 CZD84 CZH84 CZL84 CZP84 CZT84 CZX84 DAB84 DAF84 DAJ84 DAN84 DAR84 DAV84 DAZ84 DBD84 DBH84 DBL84 DBP84 DBT84 DBX84 DCB84 DCF84 DCJ84 DCN84 DCR84 DCV84 DCZ84 DDD84 DDH84 DDL84 DDP84 DDT84 DDX84 DEB84 DEF84 DEJ84 DEN84 DER84 DEV84 DEZ84 DFD84 DFH84 DFL84 DFP84 DFT84 DFX84 DGB84 DGF84 DGJ84 DGN84 DGR84 DGV84 DGZ84 DHD84 DHH84 DHL84 DHP84 DHT84 DHX84 DIB84 DIF84 DIJ84 DIN84 DIR84 DIV84 DIZ84 DJD84 DJH84 DJL84 DJP84 DJT84 DJX84 DKB84 DKF84 DKJ84 DKN84 DKR84 DKV84 DKZ84 DLD84 DLH84 DLL84 DLP84 DLT84 DLX84 DMB84 DMF84 DMJ84 DMN84 DMR84 DMV84 DMZ84 DND84 DNH84 DNL84 DNP84 DNT84 DNX84 DOB84 DOF84 DOJ84 DON84 DOR84 DOV84 DOZ84 DPD84 DPH84 DPL84 DPP84 DPT84 DPX84 DQB84 DQF84 DQJ84 DQN84 DQR84 DQV84 DQZ84 DRD84 DRH84 DRL84 DRP84 DRT84 DRX84 DSB84 DSF84 DSJ84 DSN84 DSR84 DSV84 DSZ84 DTD84 DTH84 DTL84 DTP84 DTT84 DTX84 DUB84 DUF84 DUJ84 DUN84 DUR84 DUV84 DUZ84 DVD84 DVH84 DVL84 DVP84 DVT84 DVX84 DWB84 DWF84 DWJ84 DWN84 DWR84 DWV84 DWZ84 DXD84 DXH84 DXL84 DXP84 DXT84 DXX84 DYB84 DYF84 DYJ84 DYN84 DYR84 DYV84 DYZ84 DZD84 DZH84 DZL84 DZP84 DZT84 DZX84 EAB84 EAF84 EAJ84 EAN84 EAR84 EAV84 EAZ84 EBD84 EBH84 EBL84 EBP84 EBT84 EBX84 ECB84 ECF84 ECJ84 ECN84 ECR84 ECV84 ECZ84 EDD84 EDH84 EDL84 EDP84 EDT84 EDX84 EEB84 EEF84 EEJ84 EEN84 EER84 EEV84 EEZ84 EFD84 EFH84 EFL84 EFP84 EFT84 EFX84 EGB84 EGF84 EGJ84 EGN84 EGR84 EGV84 EGZ84 EHD84 EHH84 EHL84 EHP84 EHT84 EHX84 EIB84 EIF84 EIJ84 EIN84 EIR84 EIV84 EIZ84 EJD84 EJH84 EJL84 EJP84 EJT84 EJX84 EKB84 EKF84 EKJ84 EKN84 EKR84 EKV84 EKZ84 ELD84 ELH84 ELL84 ELP84 ELT84 ELX84 EMB84 EMF84 EMJ84 EMN84 EMR84 EMV84 EMZ84 END84 ENH84 ENL84 ENP84 ENT84 ENX84 EOB84 EOF84 EOJ84 EON84 EOR84 EOV84 EOZ84 EPD84 EPH84 EPL84 EPP84 EPT84 EPX84 EQB84 EQF84 EQJ84 EQN84 EQR84 EQV84 EQZ84 ERD84 ERH84 ERL84 ERP84 ERT84 ERX84 ESB84 ESF84 ESJ84 ESN84 ESR84 ESV84 ESZ84 ETD84 ETH84 ETL84 ETP84 ETT84 ETX84 EUB84 EUF84 EUJ84 EUN84 EUR84 EUV84 EUZ84 EVD84 EVH84 EVL84 EVP84 EVT84 EVX84 EWB84 EWF84 EWJ84 EWN84 EWR84 EWV84 EWZ84 EXD84 EXH84 EXL84 EXP84 EXT84 EXX84 EYB84 EYF84 EYJ84 EYN84 EYR84 EYV84 EYZ84 EZD84 EZH84 EZL84 EZP84 EZT84 EZX84 FAB84 FAF84 FAJ84 FAN84 FAR84 FAV84 FAZ84 FBD84 FBH84 FBL84 FBP84 FBT84 FBX84 FCB84 FCF84 FCJ84 FCN84 FCR84 FCV84 FCZ84 FDD84 FDH84 FDL84 FDP84 FDT84 FDX84 FEB84 FEF84 FEJ84 FEN84 FER84 FEV84 FEZ84 FFD84 FFH84 FFL84 FFP84 FFT84 FFX84 FGB84 FGF84 FGJ84 FGN84 FGR84 FGV84 FGZ84 FHD84 FHH84 FHL84 FHP84 FHT84 FHX84 FIB84 FIF84 FIJ84 FIN84 FIR84 FIV84 FIZ84 FJD84 FJH84 FJL84 FJP84 FJT84 FJX84 FKB84 FKF84 FKJ84 FKN84 FKR84 FKV84 FKZ84 FLD84 FLH84 FLL84 FLP84 FLT84 FLX84 FMB84 FMF84 FMJ84 FMN84 FMR84 FMV84 FMZ84 FND84 FNH84 FNL84 FNP84 FNT84 FNX84 FOB84 FOF84 FOJ84 FON84 FOR84 FOV84 FOZ84 FPD84 FPH84 FPL84 FPP84 FPT84 FPX84 FQB84 FQF84 FQJ84 FQN84 FQR84 FQV84 FQZ84 FRD84 FRH84 FRL84 FRP84 FRT84 FRX84 FSB84 FSF84 FSJ84 FSN84 FSR84 FSV84 FSZ84 FTD84 FTH84 FTL84 FTP84 FTT84 FTX84 FUB84 FUF84 FUJ84 FUN84 FUR84 FUV84 FUZ84 FVD84 FVH84 FVL84 FVP84 FVT84 FVX84 FWB84 FWF84 FWJ84 FWN84 FWR84 FWV84 FWZ84 FXD84 FXH84 FXL84 FXP84 FXT84 FXX84 FYB84 FYF84 FYJ84 FYN84 FYR84 FYV84 FYZ84 FZD84 FZH84 FZL84 FZP84 FZT84 FZX84 GAB84 GAF84 GAJ84 GAN84 GAR84 GAV84 GAZ84 GBD84 GBH84 GBL84 GBP84 GBT84 GBX84 GCB84 GCF84 GCJ84 GCN84 GCR84 GCV84 GCZ84 GDD84 GDH84 GDL84 GDP84 GDT84 GDX84 GEB84 GEF84 GEJ84 GEN84 GER84 GEV84 GEZ84 GFD84 GFH84 GFL84 GFP84 GFT84 GFX84 GGB84 GGF84 GGJ84 GGN84 GGR84 GGV84 GGZ84 GHD84 GHH84 GHL84 GHP84 GHT84 GHX84 GIB84 GIF84 GIJ84 GIN84 GIR84 GIV84 GIZ84 GJD84 GJH84 GJL84 GJP84 GJT84 GJX84 GKB84 GKF84 GKJ84 GKN84 GKR84 GKV84 GKZ84 GLD84 GLH84 GLL84 GLP84 GLT84 GLX84 GMB84 GMF84 GMJ84 GMN84 GMR84 GMV84 GMZ84 GND84 GNH84 GNL84 GNP84 GNT84 GNX84 GOB84 GOF84 GOJ84 GON84 GOR84 GOV84 GOZ84 GPD84 GPH84 GPL84 GPP84 GPT84 GPX84 GQB84 GQF84 GQJ84 GQN84 GQR84 GQV84 GQZ84 GRD84 GRH84 GRL84 GRP84 GRT84 GRX84 GSB84 GSF84 GSJ84 GSN84 GSR84 GSV84 GSZ84 GTD84 GTH84 GTL84 GTP84 GTT84 GTX84 GUB84 GUF84 GUJ84 GUN84 GUR84 GUV84 GUZ84 GVD84 GVH84 GVL84 GVP84 GVT84 GVX84 GWB84 GWF84 GWJ84 GWN84 GWR84 GWV84 GWZ84 GXD84 GXH84 GXL84 GXP84 GXT84 GXX84 GYB84 GYF84 GYJ84 GYN84 GYR84 GYV84 GYZ84 GZD84 GZH84 GZL84 GZP84 GZT84 GZX84 HAB84 HAF84 HAJ84 HAN84 HAR84 HAV84 HAZ84 HBD84 HBH84 HBL84 HBP84 HBT84 HBX84 HCB84 HCF84 HCJ84 HCN84 HCR84 HCV84 HCZ84 HDD84 HDH84 HDL84 HDP84 HDT84 HDX84 HEB84 HEF84 HEJ84 HEN84 HER84 HEV84 HEZ84 HFD84 HFH84 HFL84 HFP84 HFT84 HFX84 HGB84 HGF84 HGJ84 HGN84 HGR84 HGV84 HGZ84 HHD84 HHH84 HHL84 HHP84 HHT84 HHX84 HIB84 HIF84 HIJ84 HIN84 HIR84 HIV84 HIZ84 HJD84 HJH84 HJL84 HJP84 HJT84 HJX84 HKB84 HKF84 HKJ84 HKN84 HKR84 HKV84 HKZ84 HLD84 HLH84 HLL84 HLP84 HLT84 HLX84 HMB84 HMF84 HMJ84 HMN84 HMR84 HMV84 HMZ84 HND84 HNH84 HNL84 HNP84 HNT84 HNX84 HOB84 HOF84 HOJ84 HON84 HOR84 HOV84 HOZ84 HPD84 HPH84 HPL84 HPP84 HPT84 HPX84 HQB84 HQF84 HQJ84 HQN84 HQR84 HQV84 HQZ84 HRD84 HRH84 HRL84 HRP84 HRT84 HRX84 HSB84 HSF84 HSJ84 HSN84 HSR84 HSV84 HSZ84 HTD84 HTH84 HTL84 HTP84 HTT84 HTX84 HUB84 HUF84 HUJ84 HUN84 HUR84 HUV84 HUZ84 HVD84 HVH84 HVL84 HVP84 HVT84 HVX84 HWB84 HWF84 HWJ84 HWN84 HWR84 HWV84 HWZ84 HXD84 HXH84 HXL84 HXP84 HXT84 HXX84 HYB84 HYF84 HYJ84 HYN84 HYR84 HYV84 HYZ84 HZD84 HZH84 HZL84 HZP84 HZT84 HZX84 IAB84 IAF84 IAJ84 IAN84 IAR84 IAV84 IAZ84 IBD84 IBH84 IBL84 IBP84 IBT84 IBX84 ICB84 ICF84 ICJ84 ICN84 ICR84 ICV84 ICZ84 IDD84 IDH84 IDL84 IDP84 IDT84 IDX84 IEB84 IEF84 IEJ84 IEN84 IER84 IEV84 IEZ84 IFD84 IFH84 IFL84 IFP84 IFT84 IFX84 IGB84 IGF84 IGJ84 IGN84 IGR84 IGV84 IGZ84 IHD84 IHH84 IHL84 IHP84 IHT84 IHX84 IIB84 IIF84 IIJ84 IIN84 IIR84 IIV84 IIZ84 IJD84 IJH84 IJL84 IJP84 IJT84 IJX84 IKB84 IKF84 IKJ84 IKN84 IKR84 IKV84 IKZ84 ILD84 ILH84 ILL84 ILP84 ILT84 ILX84 IMB84 IMF84 IMJ84 IMN84 IMR84 IMV84 IMZ84 IND84 INH84 INL84 INP84 INT84 INX84 IOB84 IOF84 IOJ84 ION84 IOR84 IOV84 IOZ84 IPD84 IPH84 IPL84 IPP84 IPT84 IPX84 IQB84 IQF84 IQJ84 IQN84 IQR84 IQV84 IQZ84 IRD84 IRH84 IRL84 IRP84 IRT84 IRX84 ISB84 ISF84 ISJ84 ISN84 ISR84 ISV84 ISZ84 ITD84 ITH84 ITL84 ITP84 ITT84 ITX84 IUB84 IUF84 IUJ84 IUN84 IUR84 IUV84 IUZ84 IVD84 IVH84 IVL84 IVP84 IVT84 IVX84 IWB84 IWF84 IWJ84 IWN84 IWR84 IWV84 IWZ84 IXD84 IXH84 IXL84 IXP84 IXT84 IXX84 IYB84 IYF84 IYJ84 IYN84 IYR84 IYV84 IYZ84 IZD84 IZH84 IZL84 IZP84 IZT84 IZX84 JAB84 JAF84 JAJ84 JAN84 JAR84 JAV84 JAZ84 JBD84 JBH84 JBL84 JBP84 JBT84 JBX84 JCB84 JCF84 JCJ84 JCN84 JCR84 JCV84 JCZ84 JDD84 JDH84 JDL84 JDP84 JDT84 JDX84 JEB84 JEF84 JEJ84 JEN84 JER84 JEV84 JEZ84 JFD84 JFH84 JFL84 JFP84 JFT84 JFX84 JGB84 JGF84 JGJ84 JGN84 JGR84 JGV84 JGZ84 JHD84 JHH84 JHL84 JHP84 JHT84 JHX84 JIB84 JIF84 JIJ84 JIN84 JIR84 JIV84 JIZ84 JJD84 JJH84 JJL84 JJP84 JJT84 JJX84 JKB84 JKF84 JKJ84 JKN84 JKR84 JKV84 JKZ84 JLD84 JLH84 JLL84 JLP84 JLT84 JLX84 JMB84 JMF84 JMJ84 JMN84 JMR84 JMV84 JMZ84 JND84 JNH84 JNL84 JNP84 JNT84 JNX84 JOB84 JOF84 JOJ84 JON84 JOR84 JOV84 JOZ84 JPD84 JPH84 JPL84 JPP84 JPT84 JPX84 JQB84 JQF84 JQJ84 JQN84 JQR84 JQV84 JQZ84 JRD84 JRH84 JRL84 JRP84 JRT84 JRX84 JSB84 JSF84 JSJ84 JSN84 JSR84 JSV84 JSZ84 JTD84 JTH84 JTL84 JTP84 JTT84 JTX84 JUB84 JUF84 JUJ84 JUN84 JUR84 JUV84 JUZ84 JVD84 JVH84 JVL84 JVP84 JVT84 JVX84 JWB84 JWF84 JWJ84 JWN84 JWR84 JWV84 JWZ84 JXD84 JXH84 JXL84 JXP84 JXT84 JXX84 JYB84 JYF84 JYJ84 JYN84 JYR84 JYV84 JYZ84 JZD84 JZH84 JZL84 JZP84 JZT84 JZX84 KAB84 KAF84 KAJ84 KAN84 KAR84 KAV84 KAZ84 KBD84 KBH84 KBL84 KBP84 KBT84 KBX84 KCB84 KCF84 KCJ84 KCN84 KCR84 KCV84 KCZ84 KDD84 KDH84 KDL84 KDP84 KDT84 KDX84 KEB84 KEF84 KEJ84 KEN84 KER84 KEV84 KEZ84 KFD84 KFH84 KFL84 KFP84 KFT84 KFX84 KGB84 KGF84 KGJ84 KGN84 KGR84 KGV84 KGZ84 KHD84 KHH84 KHL84 KHP84 KHT84 KHX84 KIB84 KIF84 KIJ84 KIN84 KIR84 KIV84 KIZ84 KJD84 KJH84 KJL84 KJP84 KJT84 KJX84 KKB84 KKF84 KKJ84 KKN84 KKR84 KKV84 KKZ84 KLD84 KLH84 KLL84 KLP84 KLT84 KLX84 KMB84 KMF84 KMJ84 KMN84 KMR84 KMV84 KMZ84 KND84 KNH84 KNL84 KNP84 KNT84 KNX84 KOB84 KOF84 KOJ84 KON84 KOR84 KOV84 KOZ84 KPD84 KPH84 KPL84 KPP84 KPT84 KPX84 KQB84 KQF84 KQJ84 KQN84 KQR84 KQV84 KQZ84 KRD84 KRH84 KRL84 KRP84 KRT84 KRX84 KSB84 KSF84 KSJ84 KSN84 KSR84 KSV84 KSZ84 KTD84 KTH84 KTL84 KTP84 KTT84 KTX84 KUB84 KUF84 KUJ84 KUN84 KUR84 KUV84 KUZ84 KVD84 KVH84 KVL84 KVP84 KVT84 KVX84 KWB84 KWF84 KWJ84 KWN84 KWR84 KWV84 KWZ84 KXD84 KXH84 KXL84 KXP84 KXT84 KXX84 KYB84 KYF84 KYJ84 KYN84 KYR84 KYV84 KYZ84 KZD84 KZH84 KZL84 KZP84 KZT84 KZX84 LAB84 LAF84 LAJ84 LAN84 LAR84 LAV84 LAZ84 LBD84 LBH84 LBL84 LBP84 LBT84 LBX84 LCB84 LCF84 LCJ84 LCN84 LCR84 LCV84 LCZ84 LDD84 LDH84 LDL84 LDP84 LDT84 LDX84 LEB84 LEF84 LEJ84 LEN84 LER84 LEV84 LEZ84 LFD84 LFH84 LFL84 LFP84 LFT84 LFX84 LGB84 LGF84 LGJ84 LGN84 LGR84 LGV84 LGZ84 LHD84 LHH84 LHL84 LHP84 LHT84 LHX84 LIB84 LIF84 LIJ84 LIN84 LIR84 LIV84 LIZ84 LJD84 LJH84 LJL84 LJP84 LJT84 LJX84 LKB84 LKF84 LKJ84 LKN84 LKR84 LKV84 LKZ84 LLD84 LLH84 LLL84 LLP84 LLT84 LLX84 LMB84 LMF84 LMJ84 LMN84 LMR84 LMV84 LMZ84 LND84 LNH84 LNL84 LNP84 LNT84 LNX84 LOB84 LOF84 LOJ84 LON84 LOR84 LOV84 LOZ84 LPD84 LPH84 LPL84 LPP84 LPT84 LPX84 LQB84 LQF84 LQJ84 LQN84 LQR84 LQV84 LQZ84 LRD84 LRH84 LRL84 LRP84 LRT84 LRX84 LSB84 LSF84 LSJ84 LSN84 LSR84 LSV84 LSZ84 LTD84 LTH84 LTL84 LTP84 LTT84 LTX84 LUB84 LUF84 LUJ84 LUN84 LUR84 LUV84 LUZ84 LVD84 LVH84 LVL84 LVP84 LVT84 LVX84 LWB84 LWF84 LWJ84 LWN84 LWR84 LWV84 LWZ84 LXD84 LXH84 LXL84 LXP84 LXT84 LXX84 LYB84 LYF84 LYJ84 LYN84 LYR84 LYV84 LYZ84 LZD84 LZH84 LZL84 LZP84 LZT84 LZX84 MAB84 MAF84 MAJ84 MAN84 MAR84 MAV84 MAZ84 MBD84 MBH84 MBL84 MBP84 MBT84 MBX84 MCB84 MCF84 MCJ84 MCN84 MCR84 MCV84 MCZ84 MDD84 MDH84 MDL84 MDP84 MDT84 MDX84 MEB84 MEF84 MEJ84 MEN84 MER84 MEV84 MEZ84 MFD84 MFH84 MFL84 MFP84 MFT84 MFX84 MGB84 MGF84 MGJ84 MGN84 MGR84 MGV84 MGZ84 MHD84 MHH84 MHL84 MHP84 MHT84 MHX84 MIB84 MIF84 MIJ84 MIN84 MIR84 MIV84 MIZ84 MJD84 MJH84 MJL84 MJP84 MJT84 MJX84 MKB84 MKF84 MKJ84 MKN84 MKR84 MKV84 MKZ84 MLD84 MLH84 MLL84 MLP84 MLT84 MLX84 MMB84 MMF84 MMJ84 MMN84 MMR84 MMV84 MMZ84 MND84 MNH84 MNL84 MNP84 MNT84 MNX84 MOB84 MOF84 MOJ84 MON84 MOR84 MOV84 MOZ84 MPD84 MPH84 MPL84 MPP84 MPT84 MPX84 MQB84 MQF84 MQJ84 MQN84 MQR84 MQV84 MQZ84 MRD84 MRH84 MRL84 MRP84 MRT84 MRX84 MSB84 MSF84 MSJ84 MSN84 MSR84 MSV84 MSZ84 MTD84 MTH84 MTL84 MTP84 MTT84 MTX84 MUB84 MUF84 MUJ84 MUN84 MUR84 MUV84 MUZ84 MVD84 MVH84 MVL84 MVP84 MVT84 MVX84 MWB84 MWF84 MWJ84 MWN84 MWR84 MWV84 MWZ84 MXD84 MXH84 MXL84 MXP84 MXT84 MXX84 MYB84 MYF84 MYJ84 MYN84 MYR84 MYV84 MYZ84 MZD84 MZH84 MZL84 MZP84 MZT84 MZX84 NAB84 NAF84 NAJ84 NAN84 NAR84 NAV84 NAZ84 NBD84 NBH84 NBL84 NBP84 NBT84 NBX84 NCB84 NCF84 NCJ84 NCN84 NCR84 NCV84 NCZ84 NDD84 NDH84 NDL84 NDP84 NDT84 NDX84 NEB84 NEF84 NEJ84 NEN84 NER84 NEV84 NEZ84 NFD84 NFH84 NFL84 NFP84 NFT84 NFX84 NGB84 NGF84 NGJ84 NGN84 NGR84 NGV84 NGZ84 NHD84 NHH84 NHL84 NHP84 NHT84 NHX84 NIB84 NIF84 NIJ84 NIN84 NIR84 NIV84 NIZ84 NJD84 NJH84 NJL84 NJP84 NJT84 NJX84 NKB84 NKF84 NKJ84 NKN84 NKR84 NKV84 NKZ84 NLD84 NLH84 NLL84 NLP84 NLT84 NLX84 NMB84 NMF84 NMJ84 NMN84 NMR84 NMV84 NMZ84 NND84 NNH84 NNL84 NNP84 NNT84 NNX84 NOB84 NOF84 NOJ84 NON84 NOR84 NOV84 NOZ84 NPD84 NPH84 NPL84 NPP84 NPT84 NPX84 NQB84 NQF84 NQJ84 NQN84 NQR84 NQV84 NQZ84 NRD84 NRH84 NRL84 NRP84 NRT84 NRX84 NSB84 NSF84 NSJ84 NSN84 NSR84 NSV84 NSZ84 NTD84 NTH84 NTL84 NTP84 NTT84 NTX84 NUB84 NUF84 NUJ84 NUN84 NUR84 NUV84 NUZ84 NVD84 NVH84 NVL84 NVP84 NVT84 NVX84 NWB84 NWF84 NWJ84 NWN84 NWR84 NWV84 NWZ84 NXD84 NXH84 NXL84 NXP84 NXT84 NXX84 NYB84 NYF84 NYJ84 NYN84 NYR84 NYV84 NYZ84 NZD84 NZH84 NZL84 NZP84 NZT84 NZX84 OAB84 OAF84 OAJ84 OAN84 OAR84 OAV84 OAZ84 OBD84 OBH84 OBL84 OBP84 OBT84 OBX84 OCB84 OCF84 OCJ84 OCN84 OCR84 OCV84 OCZ84 ODD84 ODH84 ODL84 ODP84 ODT84 ODX84 OEB84 OEF84 OEJ84 OEN84 OER84 OEV84 OEZ84 OFD84 OFH84 OFL84 OFP84 OFT84 OFX84 OGB84 OGF84 OGJ84 OGN84 OGR84 OGV84 OGZ84 OHD84 OHH84 OHL84 OHP84 OHT84 OHX84 OIB84 OIF84 OIJ84 OIN84 OIR84 OIV84 OIZ84 OJD84 OJH84 OJL84 OJP84 OJT84 OJX84 OKB84 OKF84 OKJ84 OKN84 OKR84 OKV84 OKZ84 OLD84 OLH84 OLL84 OLP84 OLT84 OLX84 OMB84 OMF84 OMJ84 OMN84 OMR84 OMV84 OMZ84 OND84 ONH84 ONL84 ONP84 ONT84 ONX84 OOB84 OOF84 OOJ84 OON84 OOR84 OOV84 OOZ84 OPD84 OPH84 OPL84 OPP84 OPT84 OPX84 OQB84 OQF84 OQJ84 OQN84 OQR84 OQV84 OQZ84 ORD84 ORH84 ORL84 ORP84 ORT84 ORX84 OSB84 OSF84 OSJ84 OSN84 OSR84 OSV84 OSZ84 OTD84 OTH84 OTL84 OTP84 OTT84 OTX84 OUB84 OUF84 OUJ84 OUN84 OUR84 OUV84 OUZ84 OVD84 OVH84 OVL84 OVP84 OVT84 OVX84 OWB84 OWF84 OWJ84 OWN84 OWR84 OWV84 OWZ84 OXD84 OXH84 OXL84 OXP84 OXT84 OXX84 OYB84 OYF84 OYJ84 OYN84 OYR84 OYV84 OYZ84 OZD84 OZH84 OZL84 OZP84 OZT84 OZX84 PAB84 PAF84 PAJ84 PAN84 PAR84 PAV84 PAZ84 PBD84 PBH84 PBL84 PBP84 PBT84 PBX84 PCB84 PCF84 PCJ84 PCN84 PCR84 PCV84 PCZ84 PDD84 PDH84 PDL84 PDP84 PDT84 PDX84 PEB84 PEF84 PEJ84 PEN84 PER84 PEV84 PEZ84 PFD84 PFH84 PFL84 PFP84 PFT84 PFX84 PGB84 PGF84 PGJ84 PGN84 PGR84 PGV84 PGZ84 PHD84 PHH84 PHL84 PHP84 PHT84 PHX84 PIB84 PIF84 PIJ84 PIN84 PIR84 PIV84 PIZ84 PJD84 PJH84 PJL84 PJP84 PJT84 PJX84 PKB84 PKF84 PKJ84 PKN84 PKR84 PKV84 PKZ84 PLD84 PLH84 PLL84 PLP84 PLT84 PLX84 PMB84 PMF84 PMJ84 PMN84 PMR84 PMV84 PMZ84 PND84 PNH84 PNL84 PNP84 PNT84 PNX84 POB84 POF84 POJ84 PON84 POR84 POV84 POZ84 PPD84 PPH84 PPL84 PPP84 PPT84 PPX84 PQB84 PQF84 PQJ84 PQN84 PQR84 PQV84 PQZ84 PRD84 PRH84 PRL84 PRP84 PRT84 PRX84 PSB84 PSF84 PSJ84 PSN84 PSR84 PSV84 PSZ84 PTD84 PTH84 PTL84 PTP84 PTT84 PTX84 PUB84 PUF84 PUJ84 PUN84 PUR84 PUV84 PUZ84 PVD84 PVH84 PVL84 PVP84 PVT84 PVX84 PWB84 PWF84 PWJ84 PWN84 PWR84 PWV84 PWZ84 PXD84 PXH84 PXL84 PXP84 PXT84 PXX84 PYB84 PYF84 PYJ84 PYN84 PYR84 PYV84 PYZ84 PZD84 PZH84 PZL84 PZP84 PZT84 PZX84 QAB84 QAF84 QAJ84 QAN84 QAR84 QAV84 QAZ84 QBD84 QBH84 QBL84 QBP84 QBT84 QBX84 QCB84 QCF84 QCJ84 QCN84 QCR84 QCV84 QCZ84 QDD84 QDH84 QDL84 QDP84 QDT84 QDX84 QEB84 QEF84 QEJ84 QEN84 QER84 QEV84 QEZ84 QFD84 QFH84 QFL84 QFP84 QFT84 QFX84 QGB84 QGF84 QGJ84 QGN84 QGR84 QGV84 QGZ84 QHD84 QHH84 QHL84 QHP84 QHT84 QHX84 QIB84 QIF84 QIJ84 QIN84 QIR84 QIV84 QIZ84 QJD84 QJH84 QJL84 QJP84 QJT84 QJX84 QKB84 QKF84 QKJ84 QKN84 QKR84 QKV84 QKZ84 QLD84 QLH84 QLL84 QLP84 QLT84 QLX84 QMB84 QMF84 QMJ84 QMN84 QMR84 QMV84 QMZ84 QND84 QNH84 QNL84 QNP84 QNT84 QNX84 QOB84 QOF84 QOJ84 QON84 QOR84 QOV84 QOZ84 QPD84 QPH84 QPL84 QPP84 QPT84 QPX84 QQB84 QQF84 QQJ84 QQN84 QQR84 QQV84 QQZ84 QRD84 QRH84 QRL84 QRP84 QRT84 QRX84 QSB84 QSF84 QSJ84 QSN84 QSR84 QSV84 QSZ84 QTD84 QTH84 QTL84 QTP84 QTT84 QTX84 QUB84 QUF84 QUJ84 QUN84 QUR84 QUV84 QUZ84 QVD84 QVH84 QVL84 QVP84 QVT84 QVX84 QWB84 QWF84 QWJ84 QWN84 QWR84 QWV84 QWZ84 QXD84 QXH84 QXL84 QXP84 QXT84 QXX84 QYB84 QYF84 QYJ84 QYN84 QYR84 QYV84 QYZ84 QZD84 QZH84 QZL84 QZP84 QZT84 QZX84 RAB84 RAF84 RAJ84 RAN84 RAR84 RAV84 RAZ84 RBD84 RBH84 RBL84 RBP84 RBT84 RBX84 RCB84 RCF84 RCJ84 RCN84 RCR84 RCV84 RCZ84 RDD84 RDH84 RDL84 RDP84 RDT84 RDX84 REB84 REF84 REJ84 REN84 RER84 REV84 REZ84 RFD84 RFH84 RFL84 RFP84 RFT84 RFX84 RGB84 RGF84 RGJ84 RGN84 RGR84 RGV84 RGZ84 RHD84 RHH84 RHL84 RHP84 RHT84 RHX84 RIB84 RIF84 RIJ84 RIN84 RIR84 RIV84 RIZ84 RJD84 RJH84 RJL84 RJP84 RJT84 RJX84 RKB84 RKF84 RKJ84 RKN84 RKR84 RKV84 RKZ84 RLD84 RLH84 RLL84 RLP84 RLT84 RLX84 RMB84 RMF84 RMJ84 RMN84 RMR84 RMV84 RMZ84 RND84 RNH84 RNL84 RNP84 RNT84 RNX84 ROB84 ROF84 ROJ84 RON84 ROR84 ROV84 ROZ84 RPD84 RPH84 RPL84 RPP84 RPT84 RPX84 RQB84 RQF84 RQJ84 RQN84 RQR84 RQV84 RQZ84 RRD84 RRH84 RRL84 RRP84 RRT84 RRX84 RSB84 RSF84 RSJ84 RSN84 RSR84 RSV84 RSZ84 RTD84 RTH84 RTL84 RTP84 RTT84 RTX84 RUB84 RUF84 RUJ84 RUN84 RUR84 RUV84 RUZ84 RVD84 RVH84 RVL84 RVP84 RVT84 RVX84 RWB84 RWF84 RWJ84 RWN84 RWR84 RWV84 RWZ84 RXD84 RXH84 RXL84 RXP84 RXT84 RXX84 RYB84 RYF84 RYJ84 RYN84 RYR84 RYV84 RYZ84 RZD84 RZH84 RZL84 RZP84 RZT84 RZX84 SAB84 SAF84 SAJ84 SAN84 SAR84 SAV84 SAZ84 SBD84 SBH84 SBL84 SBP84 SBT84 SBX84 SCB84 SCF84 SCJ84 SCN84 SCR84 SCV84 SCZ84 SDD84 SDH84 SDL84 SDP84 SDT84 SDX84 SEB84 SEF84 SEJ84 SEN84 SER84 SEV84 SEZ84 SFD84 SFH84 SFL84 SFP84 SFT84 SFX84 SGB84 SGF84 SGJ84 SGN84 SGR84 SGV84 SGZ84 SHD84 SHH84 SHL84 SHP84 SHT84 SHX84 SIB84 SIF84 SIJ84 SIN84 SIR84 SIV84 SIZ84 SJD84 SJH84 SJL84 SJP84 SJT84 SJX84 SKB84 SKF84 SKJ84 SKN84 SKR84 SKV84 SKZ84 SLD84 SLH84 SLL84 SLP84 SLT84 SLX84 SMB84 SMF84 SMJ84 SMN84 SMR84 SMV84 SMZ84 SND84 SNH84 SNL84 SNP84 SNT84 SNX84 SOB84 SOF84 SOJ84 SON84 SOR84 SOV84 SOZ84 SPD84 SPH84 SPL84 SPP84 SPT84 SPX84 SQB84 SQF84 SQJ84 SQN84 SQR84 SQV84 SQZ84 SRD84 SRH84 SRL84 SRP84 SRT84 SRX84 SSB84 SSF84 SSJ84 SSN84 SSR84 SSV84 SSZ84 STD84 STH84 STL84 STP84 STT84 STX84 SUB84 SUF84 SUJ84 SUN84 SUR84 SUV84 SUZ84 SVD84 SVH84 SVL84 SVP84 SVT84 SVX84 SWB84 SWF84 SWJ84 SWN84 SWR84 SWV84 SWZ84 SXD84 SXH84 SXL84 SXP84 SXT84 SXX84 SYB84 SYF84 SYJ84 SYN84 SYR84 SYV84 SYZ84 SZD84 SZH84 SZL84 SZP84 SZT84 SZX84 TAB84 TAF84 TAJ84 TAN84 TAR84 TAV84 TAZ84 TBD84 TBH84 TBL84 TBP84 TBT84 TBX84 TCB84 TCF84 TCJ84 TCN84 TCR84 TCV84 TCZ84 TDD84 TDH84 TDL84 TDP84 TDT84 TDX84 TEB84 TEF84 TEJ84 TEN84 TER84 TEV84 TEZ84 TFD84 TFH84 TFL84 TFP84 TFT84 TFX84 TGB84 TGF84 TGJ84 TGN84 TGR84 TGV84 TGZ84 THD84 THH84 THL84 THP84 THT84 THX84 TIB84 TIF84 TIJ84 TIN84 TIR84 TIV84 TIZ84 TJD84 TJH84 TJL84 TJP84 TJT84 TJX84 TKB84 TKF84 TKJ84 TKN84 TKR84 TKV84 TKZ84 TLD84 TLH84 TLL84 TLP84 TLT84 TLX84 TMB84 TMF84 TMJ84 TMN84 TMR84 TMV84 TMZ84 TND84 TNH84 TNL84 TNP84 TNT84 TNX84 TOB84 TOF84 TOJ84 TON84 TOR84 TOV84 TOZ84 TPD84 TPH84 TPL84 TPP84 TPT84 TPX84 TQB84 TQF84 TQJ84 TQN84 TQR84 TQV84 TQZ84 TRD84 TRH84 TRL84 TRP84 TRT84 TRX84 TSB84 TSF84 TSJ84 TSN84 TSR84 TSV84 TSZ84 TTD84 TTH84 TTL84 TTP84 TTT84 TTX84 TUB84 TUF84 TUJ84 TUN84 TUR84 TUV84 TUZ84 TVD84 TVH84 TVL84 TVP84 TVT84 TVX84 TWB84 TWF84 TWJ84 TWN84 TWR84 TWV84 TWZ84 TXD84 TXH84 TXL84 TXP84 TXT84 TXX84 TYB84 TYF84 TYJ84 TYN84 TYR84 TYV84 TYZ84 TZD84 TZH84 TZL84 TZP84 TZT84 TZX84 UAB84 UAF84 UAJ84 UAN84 UAR84 UAV84 UAZ84 UBD84 UBH84 UBL84 UBP84 UBT84 UBX84 UCB84 UCF84 UCJ84 UCN84 UCR84 UCV84 UCZ84 UDD84 UDH84 UDL84 UDP84 UDT84 UDX84 UEB84 UEF84 UEJ84 UEN84 UER84 UEV84 UEZ84 UFD84 UFH84 UFL84 UFP84 UFT84 UFX84 UGB84 UGF84 UGJ84 UGN84 UGR84 UGV84 UGZ84 UHD84 UHH84 UHL84 UHP84 UHT84 UHX84 UIB84 UIF84 UIJ84 UIN84 UIR84 UIV84 UIZ84 UJD84 UJH84 UJL84 UJP84 UJT84 UJX84 UKB84 UKF84 UKJ84 UKN84 UKR84 UKV84 UKZ84 ULD84 ULH84 ULL84 ULP84 ULT84 ULX84 UMB84 UMF84 UMJ84 UMN84 UMR84 UMV84 UMZ84 UND84 UNH84 UNL84 UNP84 UNT84 UNX84 UOB84 UOF84 UOJ84 UON84 UOR84 UOV84 UOZ84 UPD84 UPH84 UPL84 UPP84 UPT84 UPX84 UQB84 UQF84 UQJ84 UQN84 UQR84 UQV84 UQZ84 URD84 URH84 URL84 URP84 URT84 URX84 USB84 USF84 USJ84 USN84 USR84 USV84 USZ84 UTD84 UTH84 UTL84 UTP84 UTT84 UTX84 UUB84 UUF84 UUJ84 UUN84 UUR84 UUV84 UUZ84 UVD84 UVH84 UVL84 UVP84 UVT84 UVX84 UWB84 UWF84 UWJ84 UWN84 UWR84 UWV84 UWZ84 UXD84 UXH84 UXL84 UXP84 UXT84 UXX84 UYB84 UYF84 UYJ84 UYN84 UYR84 UYV84 UYZ84 UZD84 UZH84 UZL84 UZP84 UZT84 UZX84 VAB84 VAF84 VAJ84 VAN84 VAR84 VAV84 VAZ84 VBD84 VBH84 VBL84 VBP84 VBT84 VBX84 VCB84 VCF84 VCJ84 VCN84 VCR84 VCV84 VCZ84 VDD84 VDH84 VDL84 VDP84 VDT84 VDX84 VEB84 VEF84 VEJ84 VEN84 VER84 VEV84 VEZ84 VFD84 VFH84 VFL84 VFP84 VFT84 VFX84 VGB84 VGF84 VGJ84 VGN84 VGR84 VGV84 VGZ84 VHD84 VHH84 VHL84 VHP84 VHT84 VHX84 VIB84 VIF84 VIJ84 VIN84 VIR84 VIV84 VIZ84 VJD84 VJH84 VJL84 VJP84 VJT84 VJX84 VKB84 VKF84 VKJ84 VKN84 VKR84 VKV84 VKZ84 VLD84 VLH84 VLL84 VLP84 VLT84 VLX84 VMB84 VMF84 VMJ84 VMN84 VMR84 VMV84 VMZ84 VND84 VNH84 VNL84 VNP84 VNT84 VNX84 VOB84 VOF84 VOJ84 VON84 VOR84 VOV84 VOZ84 VPD84 VPH84 VPL84 VPP84 VPT84 VPX84 VQB84 VQF84 VQJ84 VQN84 VQR84 VQV84 VQZ84 VRD84 VRH84 VRL84 VRP84 VRT84 VRX84 VSB84 VSF84 VSJ84 VSN84 VSR84 VSV84 VSZ84 VTD84 VTH84 VTL84 VTP84 VTT84 VTX84 VUB84 VUF84 VUJ84 VUN84 VUR84 VUV84 VUZ84 VVD84 VVH84 VVL84 VVP84 VVT84 VVX84 VWB84 VWF84 VWJ84 VWN84 VWR84 VWV84 VWZ84 VXD84 VXH84 VXL84 VXP84 VXT84 VXX84 VYB84 VYF84 VYJ84 VYN84 VYR84 VYV84 VYZ84 VZD84 VZH84 VZL84 VZP84 VZT84 VZX84 WAB84 WAF84 WAJ84 WAN84 WAR84 WAV84 WAZ84 WBD84 WBH84 WBL84 WBP84 WBT84 WBX84 WCB84 WCF84 WCJ84 WCN84 WCR84 WCV84 WCZ84 WDD84 WDH84 WDL84 WDP84 WDT84 WDX84 WEB84 WEF84 WEJ84 WEN84 WER84 WEV84 WEZ84 WFD84 WFH84 WFL84 WFP84 WFT84 WFX84 WGB84 WGF84 WGJ84 WGN84 WGR84 WGV84 WGZ84 WHD84 WHH84 WHL84 WHP84 WHT84 WHX84 WIB84 WIF84 WIJ84 WIN84 WIR84 WIV84 WIZ84 WJD84 WJH84 WJL84 WJP84 WJT84 WJX84 WKB84 WKF84 WKJ84 WKN84 WKR84 WKV84 WKZ84 WLD84 WLH84 WLL84 WLP84 WLT84 WLX84 WMB84 WMF84 WMJ84 WMN84 WMR84 WMV84 WMZ84 WND84 WNH84 WNL84 WNP84 WNT84 WNX84 WOB84 WOF84 WOJ84 WON84 WOR84 WOV84 WOZ84 WPD84 WPH84 WPL84 WPP84 WPT84 WPX84 WQB84 WQF84 WQJ84 WQN84 WQR84 WQV84 WQZ84 WRD84 WRH84 WRL84 WRP84 WRT84 WRX84 WSB84 WSF84 WSJ84 WSN84 WSR84 WSV84 WSZ84 WTD84 WTH84 WTL84 WTP84 WTT84 WTX84 WUB84 WUF84 WUJ84 WUN84 WUR84 WUV84 WUZ84 WVD84 WVH84 WVL84 WVP84 WVT84 WVX84 WWB84 WWF84 WWJ84 WWN84 WWR84 WWV84 WWZ84 WXD84 WXH84 WXL84 WXP84 WXT84 WXX84 WYB84 WYF84 WYJ84 WYN84 WYR84 WYV84 WYZ84 WZD84 WZH84 WZL84 WZP84 WZT84 WZX84 XAB84 XAF84 XAJ84 XAN84 XAR84 XAV84 XAZ84 XBD84 XBH84 XBL84 XBP84 XBT84 XBX84 XCB84 XCF84 XCJ84 XCN84 XCR84 XCV84 XCZ84 XDD84 XDH84 XDL84 XDP84 XDT84 XDX84 XEB84 XEF84 XEJ84 XEN84 XER84 XEV84 XEZ84 XFD84">
    <cfRule type="dataBar" priority="17">
      <dataBar>
        <cfvo type="min"/>
        <cfvo type="max"/>
        <color rgb="FF63C384"/>
      </dataBar>
      <extLst>
        <ext xmlns:x14="http://schemas.microsoft.com/office/spreadsheetml/2009/9/main" uri="{B025F937-C7B1-47D3-B67F-A62EFF666E3E}">
          <x14:id>{E53B8FBE-3994-41B4-B7BB-6CF99B3E78B1}</x14:id>
        </ext>
      </extLst>
    </cfRule>
  </conditionalFormatting>
  <conditionalFormatting sqref="D84">
    <cfRule type="dataBar" priority="16">
      <dataBar>
        <cfvo type="min"/>
        <cfvo type="max"/>
        <color rgb="FF63C384"/>
      </dataBar>
      <extLst>
        <ext xmlns:x14="http://schemas.microsoft.com/office/spreadsheetml/2009/9/main" uri="{B025F937-C7B1-47D3-B67F-A62EFF666E3E}">
          <x14:id>{F03B087C-33B2-4769-BB50-CD8486AA558C}</x14:id>
        </ext>
      </extLst>
    </cfRule>
  </conditionalFormatting>
  <conditionalFormatting sqref="H92 L92 P92 T92 X92 AB92 AF92 AJ92 AN92 AR92 AV92 AZ92 BD92 BH92 BL92 BP92 BT92 BX92 CB92 CF92 CJ92 CN92 CR92 CV92 CZ92 DD92 DH92 DL92 DP92 DT92 DX92 EB92 EF92 EJ92 EN92 ER92 EV92 EZ92 FD92 FH92 FL92 FP92 FT92 FX92 GB92 GF92 GJ92 GN92 GR92 GV92 GZ92 HD92 HH92 HL92 HP92 HT92 HX92 IB92 IF92 IJ92 IN92 IR92 IV92 IZ92 JD92 JH92 JL92 JP92 JT92 JX92 KB92 KF92 KJ92 KN92 KR92 KV92 KZ92 LD92 LH92 LL92 LP92 LT92 LX92 MB92 MF92 MJ92 MN92 MR92 MV92 MZ92 ND92 NH92 NL92 NP92 NT92 NX92 OB92 OF92 OJ92 ON92 OR92 OV92 OZ92 PD92 PH92 PL92 PP92 PT92 PX92 QB92 QF92 QJ92 QN92 QR92 QV92 QZ92 RD92 RH92 RL92 RP92 RT92 RX92 SB92 SF92 SJ92 SN92 SR92 SV92 SZ92 TD92 TH92 TL92 TP92 TT92 TX92 UB92 UF92 UJ92 UN92 UR92 UV92 UZ92 VD92 VH92 VL92 VP92 VT92 VX92 WB92 WF92 WJ92 WN92 WR92 WV92 WZ92 XD92 XH92 XL92 XP92 XT92 XX92 YB92 YF92 YJ92 YN92 YR92 YV92 YZ92 ZD92 ZH92 ZL92 ZP92 ZT92 ZX92 AAB92 AAF92 AAJ92 AAN92 AAR92 AAV92 AAZ92 ABD92 ABH92 ABL92 ABP92 ABT92 ABX92 ACB92 ACF92 ACJ92 ACN92 ACR92 ACV92 ACZ92 ADD92 ADH92 ADL92 ADP92 ADT92 ADX92 AEB92 AEF92 AEJ92 AEN92 AER92 AEV92 AEZ92 AFD92 AFH92 AFL92 AFP92 AFT92 AFX92 AGB92 AGF92 AGJ92 AGN92 AGR92 AGV92 AGZ92 AHD92 AHH92 AHL92 AHP92 AHT92 AHX92 AIB92 AIF92 AIJ92 AIN92 AIR92 AIV92 AIZ92 AJD92 AJH92 AJL92 AJP92 AJT92 AJX92 AKB92 AKF92 AKJ92 AKN92 AKR92 AKV92 AKZ92 ALD92 ALH92 ALL92 ALP92 ALT92 ALX92 AMB92 AMF92 AMJ92 AMN92 AMR92 AMV92 AMZ92 AND92 ANH92 ANL92 ANP92 ANT92 ANX92 AOB92 AOF92 AOJ92 AON92 AOR92 AOV92 AOZ92 APD92 APH92 APL92 APP92 APT92 APX92 AQB92 AQF92 AQJ92 AQN92 AQR92 AQV92 AQZ92 ARD92 ARH92 ARL92 ARP92 ART92 ARX92 ASB92 ASF92 ASJ92 ASN92 ASR92 ASV92 ASZ92 ATD92 ATH92 ATL92 ATP92 ATT92 ATX92 AUB92 AUF92 AUJ92 AUN92 AUR92 AUV92 AUZ92 AVD92 AVH92 AVL92 AVP92 AVT92 AVX92 AWB92 AWF92 AWJ92 AWN92 AWR92 AWV92 AWZ92 AXD92 AXH92 AXL92 AXP92 AXT92 AXX92 AYB92 AYF92 AYJ92 AYN92 AYR92 AYV92 AYZ92 AZD92 AZH92 AZL92 AZP92 AZT92 AZX92 BAB92 BAF92 BAJ92 BAN92 BAR92 BAV92 BAZ92 BBD92 BBH92 BBL92 BBP92 BBT92 BBX92 BCB92 BCF92 BCJ92 BCN92 BCR92 BCV92 BCZ92 BDD92 BDH92 BDL92 BDP92 BDT92 BDX92 BEB92 BEF92 BEJ92 BEN92 BER92 BEV92 BEZ92 BFD92 BFH92 BFL92 BFP92 BFT92 BFX92 BGB92 BGF92 BGJ92 BGN92 BGR92 BGV92 BGZ92 BHD92 BHH92 BHL92 BHP92 BHT92 BHX92 BIB92 BIF92 BIJ92 BIN92 BIR92 BIV92 BIZ92 BJD92 BJH92 BJL92 BJP92 BJT92 BJX92 BKB92 BKF92 BKJ92 BKN92 BKR92 BKV92 BKZ92 BLD92 BLH92 BLL92 BLP92 BLT92 BLX92 BMB92 BMF92 BMJ92 BMN92 BMR92 BMV92 BMZ92 BND92 BNH92 BNL92 BNP92 BNT92 BNX92 BOB92 BOF92 BOJ92 BON92 BOR92 BOV92 BOZ92 BPD92 BPH92 BPL92 BPP92 BPT92 BPX92 BQB92 BQF92 BQJ92 BQN92 BQR92 BQV92 BQZ92 BRD92 BRH92 BRL92 BRP92 BRT92 BRX92 BSB92 BSF92 BSJ92 BSN92 BSR92 BSV92 BSZ92 BTD92 BTH92 BTL92 BTP92 BTT92 BTX92 BUB92 BUF92 BUJ92 BUN92 BUR92 BUV92 BUZ92 BVD92 BVH92 BVL92 BVP92 BVT92 BVX92 BWB92 BWF92 BWJ92 BWN92 BWR92 BWV92 BWZ92 BXD92 BXH92 BXL92 BXP92 BXT92 BXX92 BYB92 BYF92 BYJ92 BYN92 BYR92 BYV92 BYZ92 BZD92 BZH92 BZL92 BZP92 BZT92 BZX92 CAB92 CAF92 CAJ92 CAN92 CAR92 CAV92 CAZ92 CBD92 CBH92 CBL92 CBP92 CBT92 CBX92 CCB92 CCF92 CCJ92 CCN92 CCR92 CCV92 CCZ92 CDD92 CDH92 CDL92 CDP92 CDT92 CDX92 CEB92 CEF92 CEJ92 CEN92 CER92 CEV92 CEZ92 CFD92 CFH92 CFL92 CFP92 CFT92 CFX92 CGB92 CGF92 CGJ92 CGN92 CGR92 CGV92 CGZ92 CHD92 CHH92 CHL92 CHP92 CHT92 CHX92 CIB92 CIF92 CIJ92 CIN92 CIR92 CIV92 CIZ92 CJD92 CJH92 CJL92 CJP92 CJT92 CJX92 CKB92 CKF92 CKJ92 CKN92 CKR92 CKV92 CKZ92 CLD92 CLH92 CLL92 CLP92 CLT92 CLX92 CMB92 CMF92 CMJ92 CMN92 CMR92 CMV92 CMZ92 CND92 CNH92 CNL92 CNP92 CNT92 CNX92 COB92 COF92 COJ92 CON92 COR92 COV92 COZ92 CPD92 CPH92 CPL92 CPP92 CPT92 CPX92 CQB92 CQF92 CQJ92 CQN92 CQR92 CQV92 CQZ92 CRD92 CRH92 CRL92 CRP92 CRT92 CRX92 CSB92 CSF92 CSJ92 CSN92 CSR92 CSV92 CSZ92 CTD92 CTH92 CTL92 CTP92 CTT92 CTX92 CUB92 CUF92 CUJ92 CUN92 CUR92 CUV92 CUZ92 CVD92 CVH92 CVL92 CVP92 CVT92 CVX92 CWB92 CWF92 CWJ92 CWN92 CWR92 CWV92 CWZ92 CXD92 CXH92 CXL92 CXP92 CXT92 CXX92 CYB92 CYF92 CYJ92 CYN92 CYR92 CYV92 CYZ92 CZD92 CZH92 CZL92 CZP92 CZT92 CZX92 DAB92 DAF92 DAJ92 DAN92 DAR92 DAV92 DAZ92 DBD92 DBH92 DBL92 DBP92 DBT92 DBX92 DCB92 DCF92 DCJ92 DCN92 DCR92 DCV92 DCZ92 DDD92 DDH92 DDL92 DDP92 DDT92 DDX92 DEB92 DEF92 DEJ92 DEN92 DER92 DEV92 DEZ92 DFD92 DFH92 DFL92 DFP92 DFT92 DFX92 DGB92 DGF92 DGJ92 DGN92 DGR92 DGV92 DGZ92 DHD92 DHH92 DHL92 DHP92 DHT92 DHX92 DIB92 DIF92 DIJ92 DIN92 DIR92 DIV92 DIZ92 DJD92 DJH92 DJL92 DJP92 DJT92 DJX92 DKB92 DKF92 DKJ92 DKN92 DKR92 DKV92 DKZ92 DLD92 DLH92 DLL92 DLP92 DLT92 DLX92 DMB92 DMF92 DMJ92 DMN92 DMR92 DMV92 DMZ92 DND92 DNH92 DNL92 DNP92 DNT92 DNX92 DOB92 DOF92 DOJ92 DON92 DOR92 DOV92 DOZ92 DPD92 DPH92 DPL92 DPP92 DPT92 DPX92 DQB92 DQF92 DQJ92 DQN92 DQR92 DQV92 DQZ92 DRD92 DRH92 DRL92 DRP92 DRT92 DRX92 DSB92 DSF92 DSJ92 DSN92 DSR92 DSV92 DSZ92 DTD92 DTH92 DTL92 DTP92 DTT92 DTX92 DUB92 DUF92 DUJ92 DUN92 DUR92 DUV92 DUZ92 DVD92 DVH92 DVL92 DVP92 DVT92 DVX92 DWB92 DWF92 DWJ92 DWN92 DWR92 DWV92 DWZ92 DXD92 DXH92 DXL92 DXP92 DXT92 DXX92 DYB92 DYF92 DYJ92 DYN92 DYR92 DYV92 DYZ92 DZD92 DZH92 DZL92 DZP92 DZT92 DZX92 EAB92 EAF92 EAJ92 EAN92 EAR92 EAV92 EAZ92 EBD92 EBH92 EBL92 EBP92 EBT92 EBX92 ECB92 ECF92 ECJ92 ECN92 ECR92 ECV92 ECZ92 EDD92 EDH92 EDL92 EDP92 EDT92 EDX92 EEB92 EEF92 EEJ92 EEN92 EER92 EEV92 EEZ92 EFD92 EFH92 EFL92 EFP92 EFT92 EFX92 EGB92 EGF92 EGJ92 EGN92 EGR92 EGV92 EGZ92 EHD92 EHH92 EHL92 EHP92 EHT92 EHX92 EIB92 EIF92 EIJ92 EIN92 EIR92 EIV92 EIZ92 EJD92 EJH92 EJL92 EJP92 EJT92 EJX92 EKB92 EKF92 EKJ92 EKN92 EKR92 EKV92 EKZ92 ELD92 ELH92 ELL92 ELP92 ELT92 ELX92 EMB92 EMF92 EMJ92 EMN92 EMR92 EMV92 EMZ92 END92 ENH92 ENL92 ENP92 ENT92 ENX92 EOB92 EOF92 EOJ92 EON92 EOR92 EOV92 EOZ92 EPD92 EPH92 EPL92 EPP92 EPT92 EPX92 EQB92 EQF92 EQJ92 EQN92 EQR92 EQV92 EQZ92 ERD92 ERH92 ERL92 ERP92 ERT92 ERX92 ESB92 ESF92 ESJ92 ESN92 ESR92 ESV92 ESZ92 ETD92 ETH92 ETL92 ETP92 ETT92 ETX92 EUB92 EUF92 EUJ92 EUN92 EUR92 EUV92 EUZ92 EVD92 EVH92 EVL92 EVP92 EVT92 EVX92 EWB92 EWF92 EWJ92 EWN92 EWR92 EWV92 EWZ92 EXD92 EXH92 EXL92 EXP92 EXT92 EXX92 EYB92 EYF92 EYJ92 EYN92 EYR92 EYV92 EYZ92 EZD92 EZH92 EZL92 EZP92 EZT92 EZX92 FAB92 FAF92 FAJ92 FAN92 FAR92 FAV92 FAZ92 FBD92 FBH92 FBL92 FBP92 FBT92 FBX92 FCB92 FCF92 FCJ92 FCN92 FCR92 FCV92 FCZ92 FDD92 FDH92 FDL92 FDP92 FDT92 FDX92 FEB92 FEF92 FEJ92 FEN92 FER92 FEV92 FEZ92 FFD92 FFH92 FFL92 FFP92 FFT92 FFX92 FGB92 FGF92 FGJ92 FGN92 FGR92 FGV92 FGZ92 FHD92 FHH92 FHL92 FHP92 FHT92 FHX92 FIB92 FIF92 FIJ92 FIN92 FIR92 FIV92 FIZ92 FJD92 FJH92 FJL92 FJP92 FJT92 FJX92 FKB92 FKF92 FKJ92 FKN92 FKR92 FKV92 FKZ92 FLD92 FLH92 FLL92 FLP92 FLT92 FLX92 FMB92 FMF92 FMJ92 FMN92 FMR92 FMV92 FMZ92 FND92 FNH92 FNL92 FNP92 FNT92 FNX92 FOB92 FOF92 FOJ92 FON92 FOR92 FOV92 FOZ92 FPD92 FPH92 FPL92 FPP92 FPT92 FPX92 FQB92 FQF92 FQJ92 FQN92 FQR92 FQV92 FQZ92 FRD92 FRH92 FRL92 FRP92 FRT92 FRX92 FSB92 FSF92 FSJ92 FSN92 FSR92 FSV92 FSZ92 FTD92 FTH92 FTL92 FTP92 FTT92 FTX92 FUB92 FUF92 FUJ92 FUN92 FUR92 FUV92 FUZ92 FVD92 FVH92 FVL92 FVP92 FVT92 FVX92 FWB92 FWF92 FWJ92 FWN92 FWR92 FWV92 FWZ92 FXD92 FXH92 FXL92 FXP92 FXT92 FXX92 FYB92 FYF92 FYJ92 FYN92 FYR92 FYV92 FYZ92 FZD92 FZH92 FZL92 FZP92 FZT92 FZX92 GAB92 GAF92 GAJ92 GAN92 GAR92 GAV92 GAZ92 GBD92 GBH92 GBL92 GBP92 GBT92 GBX92 GCB92 GCF92 GCJ92 GCN92 GCR92 GCV92 GCZ92 GDD92 GDH92 GDL92 GDP92 GDT92 GDX92 GEB92 GEF92 GEJ92 GEN92 GER92 GEV92 GEZ92 GFD92 GFH92 GFL92 GFP92 GFT92 GFX92 GGB92 GGF92 GGJ92 GGN92 GGR92 GGV92 GGZ92 GHD92 GHH92 GHL92 GHP92 GHT92 GHX92 GIB92 GIF92 GIJ92 GIN92 GIR92 GIV92 GIZ92 GJD92 GJH92 GJL92 GJP92 GJT92 GJX92 GKB92 GKF92 GKJ92 GKN92 GKR92 GKV92 GKZ92 GLD92 GLH92 GLL92 GLP92 GLT92 GLX92 GMB92 GMF92 GMJ92 GMN92 GMR92 GMV92 GMZ92 GND92 GNH92 GNL92 GNP92 GNT92 GNX92 GOB92 GOF92 GOJ92 GON92 GOR92 GOV92 GOZ92 GPD92 GPH92 GPL92 GPP92 GPT92 GPX92 GQB92 GQF92 GQJ92 GQN92 GQR92 GQV92 GQZ92 GRD92 GRH92 GRL92 GRP92 GRT92 GRX92 GSB92 GSF92 GSJ92 GSN92 GSR92 GSV92 GSZ92 GTD92 GTH92 GTL92 GTP92 GTT92 GTX92 GUB92 GUF92 GUJ92 GUN92 GUR92 GUV92 GUZ92 GVD92 GVH92 GVL92 GVP92 GVT92 GVX92 GWB92 GWF92 GWJ92 GWN92 GWR92 GWV92 GWZ92 GXD92 GXH92 GXL92 GXP92 GXT92 GXX92 GYB92 GYF92 GYJ92 GYN92 GYR92 GYV92 GYZ92 GZD92 GZH92 GZL92 GZP92 GZT92 GZX92 HAB92 HAF92 HAJ92 HAN92 HAR92 HAV92 HAZ92 HBD92 HBH92 HBL92 HBP92 HBT92 HBX92 HCB92 HCF92 HCJ92 HCN92 HCR92 HCV92 HCZ92 HDD92 HDH92 HDL92 HDP92 HDT92 HDX92 HEB92 HEF92 HEJ92 HEN92 HER92 HEV92 HEZ92 HFD92 HFH92 HFL92 HFP92 HFT92 HFX92 HGB92 HGF92 HGJ92 HGN92 HGR92 HGV92 HGZ92 HHD92 HHH92 HHL92 HHP92 HHT92 HHX92 HIB92 HIF92 HIJ92 HIN92 HIR92 HIV92 HIZ92 HJD92 HJH92 HJL92 HJP92 HJT92 HJX92 HKB92 HKF92 HKJ92 HKN92 HKR92 HKV92 HKZ92 HLD92 HLH92 HLL92 HLP92 HLT92 HLX92 HMB92 HMF92 HMJ92 HMN92 HMR92 HMV92 HMZ92 HND92 HNH92 HNL92 HNP92 HNT92 HNX92 HOB92 HOF92 HOJ92 HON92 HOR92 HOV92 HOZ92 HPD92 HPH92 HPL92 HPP92 HPT92 HPX92 HQB92 HQF92 HQJ92 HQN92 HQR92 HQV92 HQZ92 HRD92 HRH92 HRL92 HRP92 HRT92 HRX92 HSB92 HSF92 HSJ92 HSN92 HSR92 HSV92 HSZ92 HTD92 HTH92 HTL92 HTP92 HTT92 HTX92 HUB92 HUF92 HUJ92 HUN92 HUR92 HUV92 HUZ92 HVD92 HVH92 HVL92 HVP92 HVT92 HVX92 HWB92 HWF92 HWJ92 HWN92 HWR92 HWV92 HWZ92 HXD92 HXH92 HXL92 HXP92 HXT92 HXX92 HYB92 HYF92 HYJ92 HYN92 HYR92 HYV92 HYZ92 HZD92 HZH92 HZL92 HZP92 HZT92 HZX92 IAB92 IAF92 IAJ92 IAN92 IAR92 IAV92 IAZ92 IBD92 IBH92 IBL92 IBP92 IBT92 IBX92 ICB92 ICF92 ICJ92 ICN92 ICR92 ICV92 ICZ92 IDD92 IDH92 IDL92 IDP92 IDT92 IDX92 IEB92 IEF92 IEJ92 IEN92 IER92 IEV92 IEZ92 IFD92 IFH92 IFL92 IFP92 IFT92 IFX92 IGB92 IGF92 IGJ92 IGN92 IGR92 IGV92 IGZ92 IHD92 IHH92 IHL92 IHP92 IHT92 IHX92 IIB92 IIF92 IIJ92 IIN92 IIR92 IIV92 IIZ92 IJD92 IJH92 IJL92 IJP92 IJT92 IJX92 IKB92 IKF92 IKJ92 IKN92 IKR92 IKV92 IKZ92 ILD92 ILH92 ILL92 ILP92 ILT92 ILX92 IMB92 IMF92 IMJ92 IMN92 IMR92 IMV92 IMZ92 IND92 INH92 INL92 INP92 INT92 INX92 IOB92 IOF92 IOJ92 ION92 IOR92 IOV92 IOZ92 IPD92 IPH92 IPL92 IPP92 IPT92 IPX92 IQB92 IQF92 IQJ92 IQN92 IQR92 IQV92 IQZ92 IRD92 IRH92 IRL92 IRP92 IRT92 IRX92 ISB92 ISF92 ISJ92 ISN92 ISR92 ISV92 ISZ92 ITD92 ITH92 ITL92 ITP92 ITT92 ITX92 IUB92 IUF92 IUJ92 IUN92 IUR92 IUV92 IUZ92 IVD92 IVH92 IVL92 IVP92 IVT92 IVX92 IWB92 IWF92 IWJ92 IWN92 IWR92 IWV92 IWZ92 IXD92 IXH92 IXL92 IXP92 IXT92 IXX92 IYB92 IYF92 IYJ92 IYN92 IYR92 IYV92 IYZ92 IZD92 IZH92 IZL92 IZP92 IZT92 IZX92 JAB92 JAF92 JAJ92 JAN92 JAR92 JAV92 JAZ92 JBD92 JBH92 JBL92 JBP92 JBT92 JBX92 JCB92 JCF92 JCJ92 JCN92 JCR92 JCV92 JCZ92 JDD92 JDH92 JDL92 JDP92 JDT92 JDX92 JEB92 JEF92 JEJ92 JEN92 JER92 JEV92 JEZ92 JFD92 JFH92 JFL92 JFP92 JFT92 JFX92 JGB92 JGF92 JGJ92 JGN92 JGR92 JGV92 JGZ92 JHD92 JHH92 JHL92 JHP92 JHT92 JHX92 JIB92 JIF92 JIJ92 JIN92 JIR92 JIV92 JIZ92 JJD92 JJH92 JJL92 JJP92 JJT92 JJX92 JKB92 JKF92 JKJ92 JKN92 JKR92 JKV92 JKZ92 JLD92 JLH92 JLL92 JLP92 JLT92 JLX92 JMB92 JMF92 JMJ92 JMN92 JMR92 JMV92 JMZ92 JND92 JNH92 JNL92 JNP92 JNT92 JNX92 JOB92 JOF92 JOJ92 JON92 JOR92 JOV92 JOZ92 JPD92 JPH92 JPL92 JPP92 JPT92 JPX92 JQB92 JQF92 JQJ92 JQN92 JQR92 JQV92 JQZ92 JRD92 JRH92 JRL92 JRP92 JRT92 JRX92 JSB92 JSF92 JSJ92 JSN92 JSR92 JSV92 JSZ92 JTD92 JTH92 JTL92 JTP92 JTT92 JTX92 JUB92 JUF92 JUJ92 JUN92 JUR92 JUV92 JUZ92 JVD92 JVH92 JVL92 JVP92 JVT92 JVX92 JWB92 JWF92 JWJ92 JWN92 JWR92 JWV92 JWZ92 JXD92 JXH92 JXL92 JXP92 JXT92 JXX92 JYB92 JYF92 JYJ92 JYN92 JYR92 JYV92 JYZ92 JZD92 JZH92 JZL92 JZP92 JZT92 JZX92 KAB92 KAF92 KAJ92 KAN92 KAR92 KAV92 KAZ92 KBD92 KBH92 KBL92 KBP92 KBT92 KBX92 KCB92 KCF92 KCJ92 KCN92 KCR92 KCV92 KCZ92 KDD92 KDH92 KDL92 KDP92 KDT92 KDX92 KEB92 KEF92 KEJ92 KEN92 KER92 KEV92 KEZ92 KFD92 KFH92 KFL92 KFP92 KFT92 KFX92 KGB92 KGF92 KGJ92 KGN92 KGR92 KGV92 KGZ92 KHD92 KHH92 KHL92 KHP92 KHT92 KHX92 KIB92 KIF92 KIJ92 KIN92 KIR92 KIV92 KIZ92 KJD92 KJH92 KJL92 KJP92 KJT92 KJX92 KKB92 KKF92 KKJ92 KKN92 KKR92 KKV92 KKZ92 KLD92 KLH92 KLL92 KLP92 KLT92 KLX92 KMB92 KMF92 KMJ92 KMN92 KMR92 KMV92 KMZ92 KND92 KNH92 KNL92 KNP92 KNT92 KNX92 KOB92 KOF92 KOJ92 KON92 KOR92 KOV92 KOZ92 KPD92 KPH92 KPL92 KPP92 KPT92 KPX92 KQB92 KQF92 KQJ92 KQN92 KQR92 KQV92 KQZ92 KRD92 KRH92 KRL92 KRP92 KRT92 KRX92 KSB92 KSF92 KSJ92 KSN92 KSR92 KSV92 KSZ92 KTD92 KTH92 KTL92 KTP92 KTT92 KTX92 KUB92 KUF92 KUJ92 KUN92 KUR92 KUV92 KUZ92 KVD92 KVH92 KVL92 KVP92 KVT92 KVX92 KWB92 KWF92 KWJ92 KWN92 KWR92 KWV92 KWZ92 KXD92 KXH92 KXL92 KXP92 KXT92 KXX92 KYB92 KYF92 KYJ92 KYN92 KYR92 KYV92 KYZ92 KZD92 KZH92 KZL92 KZP92 KZT92 KZX92 LAB92 LAF92 LAJ92 LAN92 LAR92 LAV92 LAZ92 LBD92 LBH92 LBL92 LBP92 LBT92 LBX92 LCB92 LCF92 LCJ92 LCN92 LCR92 LCV92 LCZ92 LDD92 LDH92 LDL92 LDP92 LDT92 LDX92 LEB92 LEF92 LEJ92 LEN92 LER92 LEV92 LEZ92 LFD92 LFH92 LFL92 LFP92 LFT92 LFX92 LGB92 LGF92 LGJ92 LGN92 LGR92 LGV92 LGZ92 LHD92 LHH92 LHL92 LHP92 LHT92 LHX92 LIB92 LIF92 LIJ92 LIN92 LIR92 LIV92 LIZ92 LJD92 LJH92 LJL92 LJP92 LJT92 LJX92 LKB92 LKF92 LKJ92 LKN92 LKR92 LKV92 LKZ92 LLD92 LLH92 LLL92 LLP92 LLT92 LLX92 LMB92 LMF92 LMJ92 LMN92 LMR92 LMV92 LMZ92 LND92 LNH92 LNL92 LNP92 LNT92 LNX92 LOB92 LOF92 LOJ92 LON92 LOR92 LOV92 LOZ92 LPD92 LPH92 LPL92 LPP92 LPT92 LPX92 LQB92 LQF92 LQJ92 LQN92 LQR92 LQV92 LQZ92 LRD92 LRH92 LRL92 LRP92 LRT92 LRX92 LSB92 LSF92 LSJ92 LSN92 LSR92 LSV92 LSZ92 LTD92 LTH92 LTL92 LTP92 LTT92 LTX92 LUB92 LUF92 LUJ92 LUN92 LUR92 LUV92 LUZ92 LVD92 LVH92 LVL92 LVP92 LVT92 LVX92 LWB92 LWF92 LWJ92 LWN92 LWR92 LWV92 LWZ92 LXD92 LXH92 LXL92 LXP92 LXT92 LXX92 LYB92 LYF92 LYJ92 LYN92 LYR92 LYV92 LYZ92 LZD92 LZH92 LZL92 LZP92 LZT92 LZX92 MAB92 MAF92 MAJ92 MAN92 MAR92 MAV92 MAZ92 MBD92 MBH92 MBL92 MBP92 MBT92 MBX92 MCB92 MCF92 MCJ92 MCN92 MCR92 MCV92 MCZ92 MDD92 MDH92 MDL92 MDP92 MDT92 MDX92 MEB92 MEF92 MEJ92 MEN92 MER92 MEV92 MEZ92 MFD92 MFH92 MFL92 MFP92 MFT92 MFX92 MGB92 MGF92 MGJ92 MGN92 MGR92 MGV92 MGZ92 MHD92 MHH92 MHL92 MHP92 MHT92 MHX92 MIB92 MIF92 MIJ92 MIN92 MIR92 MIV92 MIZ92 MJD92 MJH92 MJL92 MJP92 MJT92 MJX92 MKB92 MKF92 MKJ92 MKN92 MKR92 MKV92 MKZ92 MLD92 MLH92 MLL92 MLP92 MLT92 MLX92 MMB92 MMF92 MMJ92 MMN92 MMR92 MMV92 MMZ92 MND92 MNH92 MNL92 MNP92 MNT92 MNX92 MOB92 MOF92 MOJ92 MON92 MOR92 MOV92 MOZ92 MPD92 MPH92 MPL92 MPP92 MPT92 MPX92 MQB92 MQF92 MQJ92 MQN92 MQR92 MQV92 MQZ92 MRD92 MRH92 MRL92 MRP92 MRT92 MRX92 MSB92 MSF92 MSJ92 MSN92 MSR92 MSV92 MSZ92 MTD92 MTH92 MTL92 MTP92 MTT92 MTX92 MUB92 MUF92 MUJ92 MUN92 MUR92 MUV92 MUZ92 MVD92 MVH92 MVL92 MVP92 MVT92 MVX92 MWB92 MWF92 MWJ92 MWN92 MWR92 MWV92 MWZ92 MXD92 MXH92 MXL92 MXP92 MXT92 MXX92 MYB92 MYF92 MYJ92 MYN92 MYR92 MYV92 MYZ92 MZD92 MZH92 MZL92 MZP92 MZT92 MZX92 NAB92 NAF92 NAJ92 NAN92 NAR92 NAV92 NAZ92 NBD92 NBH92 NBL92 NBP92 NBT92 NBX92 NCB92 NCF92 NCJ92 NCN92 NCR92 NCV92 NCZ92 NDD92 NDH92 NDL92 NDP92 NDT92 NDX92 NEB92 NEF92 NEJ92 NEN92 NER92 NEV92 NEZ92 NFD92 NFH92 NFL92 NFP92 NFT92 NFX92 NGB92 NGF92 NGJ92 NGN92 NGR92 NGV92 NGZ92 NHD92 NHH92 NHL92 NHP92 NHT92 NHX92 NIB92 NIF92 NIJ92 NIN92 NIR92 NIV92 NIZ92 NJD92 NJH92 NJL92 NJP92 NJT92 NJX92 NKB92 NKF92 NKJ92 NKN92 NKR92 NKV92 NKZ92 NLD92 NLH92 NLL92 NLP92 NLT92 NLX92 NMB92 NMF92 NMJ92 NMN92 NMR92 NMV92 NMZ92 NND92 NNH92 NNL92 NNP92 NNT92 NNX92 NOB92 NOF92 NOJ92 NON92 NOR92 NOV92 NOZ92 NPD92 NPH92 NPL92 NPP92 NPT92 NPX92 NQB92 NQF92 NQJ92 NQN92 NQR92 NQV92 NQZ92 NRD92 NRH92 NRL92 NRP92 NRT92 NRX92 NSB92 NSF92 NSJ92 NSN92 NSR92 NSV92 NSZ92 NTD92 NTH92 NTL92 NTP92 NTT92 NTX92 NUB92 NUF92 NUJ92 NUN92 NUR92 NUV92 NUZ92 NVD92 NVH92 NVL92 NVP92 NVT92 NVX92 NWB92 NWF92 NWJ92 NWN92 NWR92 NWV92 NWZ92 NXD92 NXH92 NXL92 NXP92 NXT92 NXX92 NYB92 NYF92 NYJ92 NYN92 NYR92 NYV92 NYZ92 NZD92 NZH92 NZL92 NZP92 NZT92 NZX92 OAB92 OAF92 OAJ92 OAN92 OAR92 OAV92 OAZ92 OBD92 OBH92 OBL92 OBP92 OBT92 OBX92 OCB92 OCF92 OCJ92 OCN92 OCR92 OCV92 OCZ92 ODD92 ODH92 ODL92 ODP92 ODT92 ODX92 OEB92 OEF92 OEJ92 OEN92 OER92 OEV92 OEZ92 OFD92 OFH92 OFL92 OFP92 OFT92 OFX92 OGB92 OGF92 OGJ92 OGN92 OGR92 OGV92 OGZ92 OHD92 OHH92 OHL92 OHP92 OHT92 OHX92 OIB92 OIF92 OIJ92 OIN92 OIR92 OIV92 OIZ92 OJD92 OJH92 OJL92 OJP92 OJT92 OJX92 OKB92 OKF92 OKJ92 OKN92 OKR92 OKV92 OKZ92 OLD92 OLH92 OLL92 OLP92 OLT92 OLX92 OMB92 OMF92 OMJ92 OMN92 OMR92 OMV92 OMZ92 OND92 ONH92 ONL92 ONP92 ONT92 ONX92 OOB92 OOF92 OOJ92 OON92 OOR92 OOV92 OOZ92 OPD92 OPH92 OPL92 OPP92 OPT92 OPX92 OQB92 OQF92 OQJ92 OQN92 OQR92 OQV92 OQZ92 ORD92 ORH92 ORL92 ORP92 ORT92 ORX92 OSB92 OSF92 OSJ92 OSN92 OSR92 OSV92 OSZ92 OTD92 OTH92 OTL92 OTP92 OTT92 OTX92 OUB92 OUF92 OUJ92 OUN92 OUR92 OUV92 OUZ92 OVD92 OVH92 OVL92 OVP92 OVT92 OVX92 OWB92 OWF92 OWJ92 OWN92 OWR92 OWV92 OWZ92 OXD92 OXH92 OXL92 OXP92 OXT92 OXX92 OYB92 OYF92 OYJ92 OYN92 OYR92 OYV92 OYZ92 OZD92 OZH92 OZL92 OZP92 OZT92 OZX92 PAB92 PAF92 PAJ92 PAN92 PAR92 PAV92 PAZ92 PBD92 PBH92 PBL92 PBP92 PBT92 PBX92 PCB92 PCF92 PCJ92 PCN92 PCR92 PCV92 PCZ92 PDD92 PDH92 PDL92 PDP92 PDT92 PDX92 PEB92 PEF92 PEJ92 PEN92 PER92 PEV92 PEZ92 PFD92 PFH92 PFL92 PFP92 PFT92 PFX92 PGB92 PGF92 PGJ92 PGN92 PGR92 PGV92 PGZ92 PHD92 PHH92 PHL92 PHP92 PHT92 PHX92 PIB92 PIF92 PIJ92 PIN92 PIR92 PIV92 PIZ92 PJD92 PJH92 PJL92 PJP92 PJT92 PJX92 PKB92 PKF92 PKJ92 PKN92 PKR92 PKV92 PKZ92 PLD92 PLH92 PLL92 PLP92 PLT92 PLX92 PMB92 PMF92 PMJ92 PMN92 PMR92 PMV92 PMZ92 PND92 PNH92 PNL92 PNP92 PNT92 PNX92 POB92 POF92 POJ92 PON92 POR92 POV92 POZ92 PPD92 PPH92 PPL92 PPP92 PPT92 PPX92 PQB92 PQF92 PQJ92 PQN92 PQR92 PQV92 PQZ92 PRD92 PRH92 PRL92 PRP92 PRT92 PRX92 PSB92 PSF92 PSJ92 PSN92 PSR92 PSV92 PSZ92 PTD92 PTH92 PTL92 PTP92 PTT92 PTX92 PUB92 PUF92 PUJ92 PUN92 PUR92 PUV92 PUZ92 PVD92 PVH92 PVL92 PVP92 PVT92 PVX92 PWB92 PWF92 PWJ92 PWN92 PWR92 PWV92 PWZ92 PXD92 PXH92 PXL92 PXP92 PXT92 PXX92 PYB92 PYF92 PYJ92 PYN92 PYR92 PYV92 PYZ92 PZD92 PZH92 PZL92 PZP92 PZT92 PZX92 QAB92 QAF92 QAJ92 QAN92 QAR92 QAV92 QAZ92 QBD92 QBH92 QBL92 QBP92 QBT92 QBX92 QCB92 QCF92 QCJ92 QCN92 QCR92 QCV92 QCZ92 QDD92 QDH92 QDL92 QDP92 QDT92 QDX92 QEB92 QEF92 QEJ92 QEN92 QER92 QEV92 QEZ92 QFD92 QFH92 QFL92 QFP92 QFT92 QFX92 QGB92 QGF92 QGJ92 QGN92 QGR92 QGV92 QGZ92 QHD92 QHH92 QHL92 QHP92 QHT92 QHX92 QIB92 QIF92 QIJ92 QIN92 QIR92 QIV92 QIZ92 QJD92 QJH92 QJL92 QJP92 QJT92 QJX92 QKB92 QKF92 QKJ92 QKN92 QKR92 QKV92 QKZ92 QLD92 QLH92 QLL92 QLP92 QLT92 QLX92 QMB92 QMF92 QMJ92 QMN92 QMR92 QMV92 QMZ92 QND92 QNH92 QNL92 QNP92 QNT92 QNX92 QOB92 QOF92 QOJ92 QON92 QOR92 QOV92 QOZ92 QPD92 QPH92 QPL92 QPP92 QPT92 QPX92 QQB92 QQF92 QQJ92 QQN92 QQR92 QQV92 QQZ92 QRD92 QRH92 QRL92 QRP92 QRT92 QRX92 QSB92 QSF92 QSJ92 QSN92 QSR92 QSV92 QSZ92 QTD92 QTH92 QTL92 QTP92 QTT92 QTX92 QUB92 QUF92 QUJ92 QUN92 QUR92 QUV92 QUZ92 QVD92 QVH92 QVL92 QVP92 QVT92 QVX92 QWB92 QWF92 QWJ92 QWN92 QWR92 QWV92 QWZ92 QXD92 QXH92 QXL92 QXP92 QXT92 QXX92 QYB92 QYF92 QYJ92 QYN92 QYR92 QYV92 QYZ92 QZD92 QZH92 QZL92 QZP92 QZT92 QZX92 RAB92 RAF92 RAJ92 RAN92 RAR92 RAV92 RAZ92 RBD92 RBH92 RBL92 RBP92 RBT92 RBX92 RCB92 RCF92 RCJ92 RCN92 RCR92 RCV92 RCZ92 RDD92 RDH92 RDL92 RDP92 RDT92 RDX92 REB92 REF92 REJ92 REN92 RER92 REV92 REZ92 RFD92 RFH92 RFL92 RFP92 RFT92 RFX92 RGB92 RGF92 RGJ92 RGN92 RGR92 RGV92 RGZ92 RHD92 RHH92 RHL92 RHP92 RHT92 RHX92 RIB92 RIF92 RIJ92 RIN92 RIR92 RIV92 RIZ92 RJD92 RJH92 RJL92 RJP92 RJT92 RJX92 RKB92 RKF92 RKJ92 RKN92 RKR92 RKV92 RKZ92 RLD92 RLH92 RLL92 RLP92 RLT92 RLX92 RMB92 RMF92 RMJ92 RMN92 RMR92 RMV92 RMZ92 RND92 RNH92 RNL92 RNP92 RNT92 RNX92 ROB92 ROF92 ROJ92 RON92 ROR92 ROV92 ROZ92 RPD92 RPH92 RPL92 RPP92 RPT92 RPX92 RQB92 RQF92 RQJ92 RQN92 RQR92 RQV92 RQZ92 RRD92 RRH92 RRL92 RRP92 RRT92 RRX92 RSB92 RSF92 RSJ92 RSN92 RSR92 RSV92 RSZ92 RTD92 RTH92 RTL92 RTP92 RTT92 RTX92 RUB92 RUF92 RUJ92 RUN92 RUR92 RUV92 RUZ92 RVD92 RVH92 RVL92 RVP92 RVT92 RVX92 RWB92 RWF92 RWJ92 RWN92 RWR92 RWV92 RWZ92 RXD92 RXH92 RXL92 RXP92 RXT92 RXX92 RYB92 RYF92 RYJ92 RYN92 RYR92 RYV92 RYZ92 RZD92 RZH92 RZL92 RZP92 RZT92 RZX92 SAB92 SAF92 SAJ92 SAN92 SAR92 SAV92 SAZ92 SBD92 SBH92 SBL92 SBP92 SBT92 SBX92 SCB92 SCF92 SCJ92 SCN92 SCR92 SCV92 SCZ92 SDD92 SDH92 SDL92 SDP92 SDT92 SDX92 SEB92 SEF92 SEJ92 SEN92 SER92 SEV92 SEZ92 SFD92 SFH92 SFL92 SFP92 SFT92 SFX92 SGB92 SGF92 SGJ92 SGN92 SGR92 SGV92 SGZ92 SHD92 SHH92 SHL92 SHP92 SHT92 SHX92 SIB92 SIF92 SIJ92 SIN92 SIR92 SIV92 SIZ92 SJD92 SJH92 SJL92 SJP92 SJT92 SJX92 SKB92 SKF92 SKJ92 SKN92 SKR92 SKV92 SKZ92 SLD92 SLH92 SLL92 SLP92 SLT92 SLX92 SMB92 SMF92 SMJ92 SMN92 SMR92 SMV92 SMZ92 SND92 SNH92 SNL92 SNP92 SNT92 SNX92 SOB92 SOF92 SOJ92 SON92 SOR92 SOV92 SOZ92 SPD92 SPH92 SPL92 SPP92 SPT92 SPX92 SQB92 SQF92 SQJ92 SQN92 SQR92 SQV92 SQZ92 SRD92 SRH92 SRL92 SRP92 SRT92 SRX92 SSB92 SSF92 SSJ92 SSN92 SSR92 SSV92 SSZ92 STD92 STH92 STL92 STP92 STT92 STX92 SUB92 SUF92 SUJ92 SUN92 SUR92 SUV92 SUZ92 SVD92 SVH92 SVL92 SVP92 SVT92 SVX92 SWB92 SWF92 SWJ92 SWN92 SWR92 SWV92 SWZ92 SXD92 SXH92 SXL92 SXP92 SXT92 SXX92 SYB92 SYF92 SYJ92 SYN92 SYR92 SYV92 SYZ92 SZD92 SZH92 SZL92 SZP92 SZT92 SZX92 TAB92 TAF92 TAJ92 TAN92 TAR92 TAV92 TAZ92 TBD92 TBH92 TBL92 TBP92 TBT92 TBX92 TCB92 TCF92 TCJ92 TCN92 TCR92 TCV92 TCZ92 TDD92 TDH92 TDL92 TDP92 TDT92 TDX92 TEB92 TEF92 TEJ92 TEN92 TER92 TEV92 TEZ92 TFD92 TFH92 TFL92 TFP92 TFT92 TFX92 TGB92 TGF92 TGJ92 TGN92 TGR92 TGV92 TGZ92 THD92 THH92 THL92 THP92 THT92 THX92 TIB92 TIF92 TIJ92 TIN92 TIR92 TIV92 TIZ92 TJD92 TJH92 TJL92 TJP92 TJT92 TJX92 TKB92 TKF92 TKJ92 TKN92 TKR92 TKV92 TKZ92 TLD92 TLH92 TLL92 TLP92 TLT92 TLX92 TMB92 TMF92 TMJ92 TMN92 TMR92 TMV92 TMZ92 TND92 TNH92 TNL92 TNP92 TNT92 TNX92 TOB92 TOF92 TOJ92 TON92 TOR92 TOV92 TOZ92 TPD92 TPH92 TPL92 TPP92 TPT92 TPX92 TQB92 TQF92 TQJ92 TQN92 TQR92 TQV92 TQZ92 TRD92 TRH92 TRL92 TRP92 TRT92 TRX92 TSB92 TSF92 TSJ92 TSN92 TSR92 TSV92 TSZ92 TTD92 TTH92 TTL92 TTP92 TTT92 TTX92 TUB92 TUF92 TUJ92 TUN92 TUR92 TUV92 TUZ92 TVD92 TVH92 TVL92 TVP92 TVT92 TVX92 TWB92 TWF92 TWJ92 TWN92 TWR92 TWV92 TWZ92 TXD92 TXH92 TXL92 TXP92 TXT92 TXX92 TYB92 TYF92 TYJ92 TYN92 TYR92 TYV92 TYZ92 TZD92 TZH92 TZL92 TZP92 TZT92 TZX92 UAB92 UAF92 UAJ92 UAN92 UAR92 UAV92 UAZ92 UBD92 UBH92 UBL92 UBP92 UBT92 UBX92 UCB92 UCF92 UCJ92 UCN92 UCR92 UCV92 UCZ92 UDD92 UDH92 UDL92 UDP92 UDT92 UDX92 UEB92 UEF92 UEJ92 UEN92 UER92 UEV92 UEZ92 UFD92 UFH92 UFL92 UFP92 UFT92 UFX92 UGB92 UGF92 UGJ92 UGN92 UGR92 UGV92 UGZ92 UHD92 UHH92 UHL92 UHP92 UHT92 UHX92 UIB92 UIF92 UIJ92 UIN92 UIR92 UIV92 UIZ92 UJD92 UJH92 UJL92 UJP92 UJT92 UJX92 UKB92 UKF92 UKJ92 UKN92 UKR92 UKV92 UKZ92 ULD92 ULH92 ULL92 ULP92 ULT92 ULX92 UMB92 UMF92 UMJ92 UMN92 UMR92 UMV92 UMZ92 UND92 UNH92 UNL92 UNP92 UNT92 UNX92 UOB92 UOF92 UOJ92 UON92 UOR92 UOV92 UOZ92 UPD92 UPH92 UPL92 UPP92 UPT92 UPX92 UQB92 UQF92 UQJ92 UQN92 UQR92 UQV92 UQZ92 URD92 URH92 URL92 URP92 URT92 URX92 USB92 USF92 USJ92 USN92 USR92 USV92 USZ92 UTD92 UTH92 UTL92 UTP92 UTT92 UTX92 UUB92 UUF92 UUJ92 UUN92 UUR92 UUV92 UUZ92 UVD92 UVH92 UVL92 UVP92 UVT92 UVX92 UWB92 UWF92 UWJ92 UWN92 UWR92 UWV92 UWZ92 UXD92 UXH92 UXL92 UXP92 UXT92 UXX92 UYB92 UYF92 UYJ92 UYN92 UYR92 UYV92 UYZ92 UZD92 UZH92 UZL92 UZP92 UZT92 UZX92 VAB92 VAF92 VAJ92 VAN92 VAR92 VAV92 VAZ92 VBD92 VBH92 VBL92 VBP92 VBT92 VBX92 VCB92 VCF92 VCJ92 VCN92 VCR92 VCV92 VCZ92 VDD92 VDH92 VDL92 VDP92 VDT92 VDX92 VEB92 VEF92 VEJ92 VEN92 VER92 VEV92 VEZ92 VFD92 VFH92 VFL92 VFP92 VFT92 VFX92 VGB92 VGF92 VGJ92 VGN92 VGR92 VGV92 VGZ92 VHD92 VHH92 VHL92 VHP92 VHT92 VHX92 VIB92 VIF92 VIJ92 VIN92 VIR92 VIV92 VIZ92 VJD92 VJH92 VJL92 VJP92 VJT92 VJX92 VKB92 VKF92 VKJ92 VKN92 VKR92 VKV92 VKZ92 VLD92 VLH92 VLL92 VLP92 VLT92 VLX92 VMB92 VMF92 VMJ92 VMN92 VMR92 VMV92 VMZ92 VND92 VNH92 VNL92 VNP92 VNT92 VNX92 VOB92 VOF92 VOJ92 VON92 VOR92 VOV92 VOZ92 VPD92 VPH92 VPL92 VPP92 VPT92 VPX92 VQB92 VQF92 VQJ92 VQN92 VQR92 VQV92 VQZ92 VRD92 VRH92 VRL92 VRP92 VRT92 VRX92 VSB92 VSF92 VSJ92 VSN92 VSR92 VSV92 VSZ92 VTD92 VTH92 VTL92 VTP92 VTT92 VTX92 VUB92 VUF92 VUJ92 VUN92 VUR92 VUV92 VUZ92 VVD92 VVH92 VVL92 VVP92 VVT92 VVX92 VWB92 VWF92 VWJ92 VWN92 VWR92 VWV92 VWZ92 VXD92 VXH92 VXL92 VXP92 VXT92 VXX92 VYB92 VYF92 VYJ92 VYN92 VYR92 VYV92 VYZ92 VZD92 VZH92 VZL92 VZP92 VZT92 VZX92 WAB92 WAF92 WAJ92 WAN92 WAR92 WAV92 WAZ92 WBD92 WBH92 WBL92 WBP92 WBT92 WBX92 WCB92 WCF92 WCJ92 WCN92 WCR92 WCV92 WCZ92 WDD92 WDH92 WDL92 WDP92 WDT92 WDX92 WEB92 WEF92 WEJ92 WEN92 WER92 WEV92 WEZ92 WFD92 WFH92 WFL92 WFP92 WFT92 WFX92 WGB92 WGF92 WGJ92 WGN92 WGR92 WGV92 WGZ92 WHD92 WHH92 WHL92 WHP92 WHT92 WHX92 WIB92 WIF92 WIJ92 WIN92 WIR92 WIV92 WIZ92 WJD92 WJH92 WJL92 WJP92 WJT92 WJX92 WKB92 WKF92 WKJ92 WKN92 WKR92 WKV92 WKZ92 WLD92 WLH92 WLL92 WLP92 WLT92 WLX92 WMB92 WMF92 WMJ92 WMN92 WMR92 WMV92 WMZ92 WND92 WNH92 WNL92 WNP92 WNT92 WNX92 WOB92 WOF92 WOJ92 WON92 WOR92 WOV92 WOZ92 WPD92 WPH92 WPL92 WPP92 WPT92 WPX92 WQB92 WQF92 WQJ92 WQN92 WQR92 WQV92 WQZ92 WRD92 WRH92 WRL92 WRP92 WRT92 WRX92 WSB92 WSF92 WSJ92 WSN92 WSR92 WSV92 WSZ92 WTD92 WTH92 WTL92 WTP92 WTT92 WTX92 WUB92 WUF92 WUJ92 WUN92 WUR92 WUV92 WUZ92 WVD92 WVH92 WVL92 WVP92 WVT92 WVX92 WWB92 WWF92 WWJ92 WWN92 WWR92 WWV92 WWZ92 WXD92 WXH92 WXL92 WXP92 WXT92 WXX92 WYB92 WYF92 WYJ92 WYN92 WYR92 WYV92 WYZ92 WZD92 WZH92 WZL92 WZP92 WZT92 WZX92 XAB92 XAF92 XAJ92 XAN92 XAR92 XAV92 XAZ92 XBD92 XBH92 XBL92 XBP92 XBT92 XBX92 XCB92 XCF92 XCJ92 XCN92 XCR92 XCV92 XCZ92 XDD92 XDH92 XDL92 XDP92 XDT92 XDX92 XEB92 XEF92 XEJ92 XEN92 XER92 XEV92 XEZ92 XFD92">
    <cfRule type="dataBar" priority="15">
      <dataBar>
        <cfvo type="min"/>
        <cfvo type="max"/>
        <color rgb="FF63C384"/>
      </dataBar>
      <extLst>
        <ext xmlns:x14="http://schemas.microsoft.com/office/spreadsheetml/2009/9/main" uri="{B025F937-C7B1-47D3-B67F-A62EFF666E3E}">
          <x14:id>{A94E779A-AD5F-4735-88DD-C7A9815DF517}</x14:id>
        </ext>
      </extLst>
    </cfRule>
  </conditionalFormatting>
  <conditionalFormatting sqref="D92">
    <cfRule type="dataBar" priority="14">
      <dataBar>
        <cfvo type="min"/>
        <cfvo type="max"/>
        <color rgb="FF63C384"/>
      </dataBar>
      <extLst>
        <ext xmlns:x14="http://schemas.microsoft.com/office/spreadsheetml/2009/9/main" uri="{B025F937-C7B1-47D3-B67F-A62EFF666E3E}">
          <x14:id>{0E3C61B7-AA3A-4AC5-8C76-8A8C8A64B72E}</x14:id>
        </ext>
      </extLst>
    </cfRule>
  </conditionalFormatting>
  <conditionalFormatting sqref="D100">
    <cfRule type="dataBar" priority="13">
      <dataBar>
        <cfvo type="min"/>
        <cfvo type="max"/>
        <color rgb="FF63C384"/>
      </dataBar>
      <extLst>
        <ext xmlns:x14="http://schemas.microsoft.com/office/spreadsheetml/2009/9/main" uri="{B025F937-C7B1-47D3-B67F-A62EFF666E3E}">
          <x14:id>{8455A9BD-38C9-4A76-B1C7-2B4C977B36F4}</x14:id>
        </ext>
      </extLst>
    </cfRule>
  </conditionalFormatting>
  <conditionalFormatting sqref="D101:D108">
    <cfRule type="dataBar" priority="12">
      <dataBar>
        <cfvo type="min"/>
        <cfvo type="max"/>
        <color rgb="FF63C384"/>
      </dataBar>
      <extLst>
        <ext xmlns:x14="http://schemas.microsoft.com/office/spreadsheetml/2009/9/main" uri="{B025F937-C7B1-47D3-B67F-A62EFF666E3E}">
          <x14:id>{042C9AB2-4ABD-474B-8C30-0C1931F648D2}</x14:id>
        </ext>
      </extLst>
    </cfRule>
  </conditionalFormatting>
  <conditionalFormatting sqref="D4:D16">
    <cfRule type="dataBar" priority="11">
      <dataBar>
        <cfvo type="min"/>
        <cfvo type="max"/>
        <color rgb="FF63C384"/>
      </dataBar>
      <extLst>
        <ext xmlns:x14="http://schemas.microsoft.com/office/spreadsheetml/2009/9/main" uri="{B025F937-C7B1-47D3-B67F-A62EFF666E3E}">
          <x14:id>{44A94229-3C71-49A7-AC34-0D5B3A6E4537}</x14:id>
        </ext>
      </extLst>
    </cfRule>
  </conditionalFormatting>
  <conditionalFormatting sqref="D19:D26">
    <cfRule type="dataBar" priority="10">
      <dataBar>
        <cfvo type="min"/>
        <cfvo type="max"/>
        <color rgb="FF63C384"/>
      </dataBar>
      <extLst>
        <ext xmlns:x14="http://schemas.microsoft.com/office/spreadsheetml/2009/9/main" uri="{B025F937-C7B1-47D3-B67F-A62EFF666E3E}">
          <x14:id>{5C7C34F7-627A-475C-A059-E3AC0898DFAA}</x14:id>
        </ext>
      </extLst>
    </cfRule>
  </conditionalFormatting>
  <conditionalFormatting sqref="D29:D35">
    <cfRule type="dataBar" priority="9">
      <dataBar>
        <cfvo type="min"/>
        <cfvo type="max"/>
        <color rgb="FF63C384"/>
      </dataBar>
      <extLst>
        <ext xmlns:x14="http://schemas.microsoft.com/office/spreadsheetml/2009/9/main" uri="{B025F937-C7B1-47D3-B67F-A62EFF666E3E}">
          <x14:id>{5BC18D42-72A5-4F8E-90D1-D1782A6AB643}</x14:id>
        </ext>
      </extLst>
    </cfRule>
  </conditionalFormatting>
  <conditionalFormatting sqref="D38:D50">
    <cfRule type="dataBar" priority="8">
      <dataBar>
        <cfvo type="min"/>
        <cfvo type="max"/>
        <color rgb="FF63C384"/>
      </dataBar>
      <extLst>
        <ext xmlns:x14="http://schemas.microsoft.com/office/spreadsheetml/2009/9/main" uri="{B025F937-C7B1-47D3-B67F-A62EFF666E3E}">
          <x14:id>{D19254F9-C19D-46DE-B5D2-3CE826885216}</x14:id>
        </ext>
      </extLst>
    </cfRule>
  </conditionalFormatting>
  <conditionalFormatting sqref="D53:D60 D63">
    <cfRule type="dataBar" priority="7">
      <dataBar>
        <cfvo type="min"/>
        <cfvo type="max"/>
        <color rgb="FF63C384"/>
      </dataBar>
      <extLst>
        <ext xmlns:x14="http://schemas.microsoft.com/office/spreadsheetml/2009/9/main" uri="{B025F937-C7B1-47D3-B67F-A62EFF666E3E}">
          <x14:id>{DDB8DD69-C4F5-4C0D-AE72-20A6CFC2C490}</x14:id>
        </ext>
      </extLst>
    </cfRule>
  </conditionalFormatting>
  <conditionalFormatting sqref="D66:D69">
    <cfRule type="dataBar" priority="6">
      <dataBar>
        <cfvo type="min"/>
        <cfvo type="max"/>
        <color rgb="FF63C384"/>
      </dataBar>
      <extLst>
        <ext xmlns:x14="http://schemas.microsoft.com/office/spreadsheetml/2009/9/main" uri="{B025F937-C7B1-47D3-B67F-A62EFF666E3E}">
          <x14:id>{63E31080-461C-4519-9517-692CFE2262F3}</x14:id>
        </ext>
      </extLst>
    </cfRule>
  </conditionalFormatting>
  <conditionalFormatting sqref="D72:D75">
    <cfRule type="dataBar" priority="5">
      <dataBar>
        <cfvo type="min"/>
        <cfvo type="max"/>
        <color rgb="FF63C384"/>
      </dataBar>
      <extLst>
        <ext xmlns:x14="http://schemas.microsoft.com/office/spreadsheetml/2009/9/main" uri="{B025F937-C7B1-47D3-B67F-A62EFF666E3E}">
          <x14:id>{0D8738E5-49AF-4A22-9923-DAF3BCC8303F}</x14:id>
        </ext>
      </extLst>
    </cfRule>
  </conditionalFormatting>
  <conditionalFormatting sqref="D78:D82">
    <cfRule type="dataBar" priority="4">
      <dataBar>
        <cfvo type="min"/>
        <cfvo type="max"/>
        <color rgb="FF63C384"/>
      </dataBar>
      <extLst>
        <ext xmlns:x14="http://schemas.microsoft.com/office/spreadsheetml/2009/9/main" uri="{B025F937-C7B1-47D3-B67F-A62EFF666E3E}">
          <x14:id>{136AF15A-3C9C-46C4-AFE0-BAB8D8626589}</x14:id>
        </ext>
      </extLst>
    </cfRule>
  </conditionalFormatting>
  <conditionalFormatting sqref="D85:D90">
    <cfRule type="dataBar" priority="3">
      <dataBar>
        <cfvo type="min"/>
        <cfvo type="max"/>
        <color rgb="FF63C384"/>
      </dataBar>
      <extLst>
        <ext xmlns:x14="http://schemas.microsoft.com/office/spreadsheetml/2009/9/main" uri="{B025F937-C7B1-47D3-B67F-A62EFF666E3E}">
          <x14:id>{B9374180-8657-47AE-8562-EA03BE503346}</x14:id>
        </ext>
      </extLst>
    </cfRule>
  </conditionalFormatting>
  <conditionalFormatting sqref="D93:D98">
    <cfRule type="dataBar" priority="2">
      <dataBar>
        <cfvo type="min"/>
        <cfvo type="max"/>
        <color rgb="FF63C384"/>
      </dataBar>
      <extLst>
        <ext xmlns:x14="http://schemas.microsoft.com/office/spreadsheetml/2009/9/main" uri="{B025F937-C7B1-47D3-B67F-A62EFF666E3E}">
          <x14:id>{11271249-0FB8-4244-ACEA-68BA2C7261D0}</x14:id>
        </ext>
      </extLst>
    </cfRule>
  </conditionalFormatting>
  <conditionalFormatting sqref="D61:D62">
    <cfRule type="dataBar" priority="1">
      <dataBar>
        <cfvo type="min"/>
        <cfvo type="max"/>
        <color rgb="FF63C384"/>
      </dataBar>
      <extLst>
        <ext xmlns:x14="http://schemas.microsoft.com/office/spreadsheetml/2009/9/main" uri="{B025F937-C7B1-47D3-B67F-A62EFF666E3E}">
          <x14:id>{739FEF00-8F53-49BE-9B3C-A917D771C4A0}</x14:id>
        </ext>
      </extLst>
    </cfRule>
  </conditionalFormatting>
  <pageMargins left="0.25" right="0.25" top="0.75" bottom="0.75" header="0.3" footer="0.3"/>
  <pageSetup paperSize="9" scale="99" fitToHeight="0" orientation="portrait" r:id="rId1"/>
  <extLst>
    <ext xmlns:x14="http://schemas.microsoft.com/office/spreadsheetml/2009/9/main" uri="{78C0D931-6437-407d-A8EE-F0AAD7539E65}">
      <x14:conditionalFormattings>
        <x14:conditionalFormatting xmlns:xm="http://schemas.microsoft.com/office/excel/2006/main">
          <x14:cfRule type="dataBar" id="{52CABA62-9B6C-4CFC-98F2-CBE5C5AD406A}">
            <x14:dataBar minLength="0" maxLength="100" border="1" negativeBarBorderColorSameAsPositive="0">
              <x14:cfvo type="autoMin"/>
              <x14:cfvo type="autoMax"/>
              <x14:borderColor rgb="FF63C384"/>
              <x14:negativeFillColor rgb="FFFF0000"/>
              <x14:negativeBorderColor rgb="FFFF0000"/>
              <x14:axisColor rgb="FF000000"/>
            </x14:dataBar>
          </x14:cfRule>
          <xm:sqref>D3</xm:sqref>
        </x14:conditionalFormatting>
        <x14:conditionalFormatting xmlns:xm="http://schemas.microsoft.com/office/excel/2006/main">
          <x14:cfRule type="dataBar" id="{DA2B7512-5FE9-44EF-AEEB-8B24A18A1239}">
            <x14:dataBar minLength="0" maxLength="100" border="1" negativeBarBorderColorSameAsPositive="0">
              <x14:cfvo type="autoMin"/>
              <x14:cfvo type="autoMax"/>
              <x14:borderColor rgb="FF63C384"/>
              <x14:negativeFillColor rgb="FFFF0000"/>
              <x14:negativeBorderColor rgb="FFFF0000"/>
              <x14:axisColor rgb="FF000000"/>
            </x14:dataBar>
          </x14:cfRule>
          <xm:sqref>D18</xm:sqref>
        </x14:conditionalFormatting>
        <x14:conditionalFormatting xmlns:xm="http://schemas.microsoft.com/office/excel/2006/main">
          <x14:cfRule type="dataBar" id="{0A361A0D-F8BD-481C-8A39-7DF61C055E09}">
            <x14:dataBar minLength="0" maxLength="100" border="1" negativeBarBorderColorSameAsPositive="0">
              <x14:cfvo type="autoMin"/>
              <x14:cfvo type="autoMax"/>
              <x14:borderColor rgb="FF63C384"/>
              <x14:negativeFillColor rgb="FFFF0000"/>
              <x14:negativeBorderColor rgb="FFFF0000"/>
              <x14:axisColor rgb="FF000000"/>
            </x14:dataBar>
          </x14:cfRule>
          <xm:sqref>D28</xm:sqref>
        </x14:conditionalFormatting>
        <x14:conditionalFormatting xmlns:xm="http://schemas.microsoft.com/office/excel/2006/main">
          <x14:cfRule type="dataBar" id="{CF7CF636-82E5-484B-A56C-3273D0545137}">
            <x14:dataBar minLength="0" maxLength="100" border="1" negativeBarBorderColorSameAsPositive="0">
              <x14:cfvo type="autoMin"/>
              <x14:cfvo type="autoMax"/>
              <x14:borderColor rgb="FF63C384"/>
              <x14:negativeFillColor rgb="FFFF0000"/>
              <x14:negativeBorderColor rgb="FFFF0000"/>
              <x14:axisColor rgb="FF000000"/>
            </x14:dataBar>
          </x14:cfRule>
          <xm:sqref>D37</xm:sqref>
        </x14:conditionalFormatting>
        <x14:conditionalFormatting xmlns:xm="http://schemas.microsoft.com/office/excel/2006/main">
          <x14:cfRule type="dataBar" id="{A9042F52-8A80-49AF-A0EE-BD862FEB1C5B}">
            <x14:dataBar minLength="0" maxLength="100" border="1" negativeBarBorderColorSameAsPositive="0">
              <x14:cfvo type="autoMin"/>
              <x14:cfvo type="autoMax"/>
              <x14:borderColor rgb="FF63C384"/>
              <x14:negativeFillColor rgb="FFFF0000"/>
              <x14:negativeBorderColor rgb="FFFF0000"/>
              <x14:axisColor rgb="FF000000"/>
            </x14:dataBar>
          </x14:cfRule>
          <xm:sqref>D52</xm:sqref>
        </x14:conditionalFormatting>
        <x14:conditionalFormatting xmlns:xm="http://schemas.microsoft.com/office/excel/2006/main">
          <x14:cfRule type="dataBar" id="{BE0365E0-CAA4-4EE6-9CC2-C5C33E660639}">
            <x14:dataBar minLength="0" maxLength="100" border="1" negativeBarBorderColorSameAsPositive="0">
              <x14:cfvo type="autoMin"/>
              <x14:cfvo type="autoMax"/>
              <x14:borderColor rgb="FF63C384"/>
              <x14:negativeFillColor rgb="FFFF0000"/>
              <x14:negativeBorderColor rgb="FFFF0000"/>
              <x14:axisColor rgb="FF000000"/>
            </x14:dataBar>
          </x14:cfRule>
          <xm:sqref>D65</xm:sqref>
        </x14:conditionalFormatting>
        <x14:conditionalFormatting xmlns:xm="http://schemas.microsoft.com/office/excel/2006/main">
          <x14:cfRule type="dataBar" id="{DB0427FC-2BAA-40D6-BFD0-EEDE7872AC35}">
            <x14:dataBar minLength="0" maxLength="100" border="1" negativeBarBorderColorSameAsPositive="0">
              <x14:cfvo type="autoMin"/>
              <x14:cfvo type="autoMax"/>
              <x14:borderColor rgb="FF63C384"/>
              <x14:negativeFillColor rgb="FFFF0000"/>
              <x14:negativeBorderColor rgb="FFFF0000"/>
              <x14:axisColor rgb="FF000000"/>
            </x14:dataBar>
          </x14:cfRule>
          <xm:sqref>D71</xm:sqref>
        </x14:conditionalFormatting>
        <x14:conditionalFormatting xmlns:xm="http://schemas.microsoft.com/office/excel/2006/main">
          <x14:cfRule type="dataBar" id="{FC7F717D-C902-49ED-9BDA-872B3073CED8}">
            <x14:dataBar minLength="0" maxLength="100" border="1" negativeBarBorderColorSameAsPositive="0">
              <x14:cfvo type="autoMin"/>
              <x14:cfvo type="autoMax"/>
              <x14:borderColor rgb="FF63C384"/>
              <x14:negativeFillColor rgb="FFFF0000"/>
              <x14:negativeBorderColor rgb="FFFF0000"/>
              <x14:axisColor rgb="FF000000"/>
            </x14:dataBar>
          </x14:cfRule>
          <xm:sqref>D77 H77 L77 P77 T77 X77 AB77 AF77 AJ77 AN77 AR77 AV77 AZ77 BD77 BH77 BL77 BP77 BT77 BX77 CB77 CF77 CJ77 CN77 CR77 CV77 CZ77 DD77 DH77 DL77 DP77 DT77 DX77 EB77 EF77 EJ77 EN77 ER77 EV77 EZ77 FD77 FH77 FL77 FP77 FT77 FX77 GB77 GF77 GJ77 GN77 GR77 GV77 GZ77 HD77 HH77 HL77 HP77 HT77 HX77 IB77 IF77 IJ77 IN77 IR77 IV77 IZ77 JD77 JH77 JL77 JP77 JT77 JX77 KB77 KF77 KJ77 KN77 KR77 KV77 KZ77 LD77 LH77 LL77 LP77 LT77 LX77 MB77 MF77 MJ77 MN77 MR77 MV77 MZ77 ND77 NH77 NL77 NP77 NT77 NX77 OB77 OF77 OJ77 ON77 OR77 OV77 OZ77 PD77 PH77 PL77 PP77 PT77 PX77 QB77 QF77 QJ77 QN77 QR77 QV77 QZ77 RD77 RH77 RL77 RP77 RT77 RX77 SB77 SF77 SJ77 SN77 SR77 SV77 SZ77 TD77 TH77 TL77 TP77 TT77 TX77 UB77 UF77 UJ77 UN77 UR77 UV77 UZ77 VD77 VH77 VL77 VP77 VT77 VX77 WB77 WF77 WJ77 WN77 WR77 WV77 WZ77 XD77 XH77 XL77 XP77 XT77 XX77 YB77 YF77 YJ77 YN77 YR77 YV77 YZ77 ZD77 ZH77 ZL77 ZP77 ZT77 ZX77 AAB77 AAF77 AAJ77 AAN77 AAR77 AAV77 AAZ77 ABD77 ABH77 ABL77 ABP77 ABT77 ABX77 ACB77 ACF77 ACJ77 ACN77 ACR77 ACV77 ACZ77 ADD77 ADH77 ADL77 ADP77 ADT77 ADX77 AEB77 AEF77 AEJ77 AEN77 AER77 AEV77 AEZ77 AFD77 AFH77 AFL77 AFP77 AFT77 AFX77 AGB77 AGF77 AGJ77 AGN77 AGR77 AGV77 AGZ77 AHD77 AHH77 AHL77 AHP77 AHT77 AHX77 AIB77 AIF77 AIJ77 AIN77 AIR77 AIV77 AIZ77 AJD77 AJH77 AJL77 AJP77 AJT77 AJX77 AKB77 AKF77 AKJ77 AKN77 AKR77 AKV77 AKZ77 ALD77 ALH77 ALL77 ALP77 ALT77 ALX77 AMB77 AMF77 AMJ77 AMN77 AMR77 AMV77 AMZ77 AND77 ANH77 ANL77 ANP77 ANT77 ANX77 AOB77 AOF77 AOJ77 AON77 AOR77 AOV77 AOZ77 APD77 APH77 APL77 APP77 APT77 APX77 AQB77 AQF77 AQJ77 AQN77 AQR77 AQV77 AQZ77 ARD77 ARH77 ARL77 ARP77 ART77 ARX77 ASB77 ASF77 ASJ77 ASN77 ASR77 ASV77 ASZ77 ATD77 ATH77 ATL77 ATP77 ATT77 ATX77 AUB77 AUF77 AUJ77 AUN77 AUR77 AUV77 AUZ77 AVD77 AVH77 AVL77 AVP77 AVT77 AVX77 AWB77 AWF77 AWJ77 AWN77 AWR77 AWV77 AWZ77 AXD77 AXH77 AXL77 AXP77 AXT77 AXX77 AYB77 AYF77 AYJ77 AYN77 AYR77 AYV77 AYZ77 AZD77 AZH77 AZL77 AZP77 AZT77 AZX77 BAB77 BAF77 BAJ77 BAN77 BAR77 BAV77 BAZ77 BBD77 BBH77 BBL77 BBP77 BBT77 BBX77 BCB77 BCF77 BCJ77 BCN77 BCR77 BCV77 BCZ77 BDD77 BDH77 BDL77 BDP77 BDT77 BDX77 BEB77 BEF77 BEJ77 BEN77 BER77 BEV77 BEZ77 BFD77 BFH77 BFL77 BFP77 BFT77 BFX77 BGB77 BGF77 BGJ77 BGN77 BGR77 BGV77 BGZ77 BHD77 BHH77 BHL77 BHP77 BHT77 BHX77 BIB77 BIF77 BIJ77 BIN77 BIR77 BIV77 BIZ77 BJD77 BJH77 BJL77 BJP77 BJT77 BJX77 BKB77 BKF77 BKJ77 BKN77 BKR77 BKV77 BKZ77 BLD77 BLH77 BLL77 BLP77 BLT77 BLX77 BMB77 BMF77 BMJ77 BMN77 BMR77 BMV77 BMZ77 BND77 BNH77 BNL77 BNP77 BNT77 BNX77 BOB77 BOF77 BOJ77 BON77 BOR77 BOV77 BOZ77 BPD77 BPH77 BPL77 BPP77 BPT77 BPX77 BQB77 BQF77 BQJ77 BQN77 BQR77 BQV77 BQZ77 BRD77 BRH77 BRL77 BRP77 BRT77 BRX77 BSB77 BSF77 BSJ77 BSN77 BSR77 BSV77 BSZ77 BTD77 BTH77 BTL77 BTP77 BTT77 BTX77 BUB77 BUF77 BUJ77 BUN77 BUR77 BUV77 BUZ77 BVD77 BVH77 BVL77 BVP77 BVT77 BVX77 BWB77 BWF77 BWJ77 BWN77 BWR77 BWV77 BWZ77 BXD77 BXH77 BXL77 BXP77 BXT77 BXX77 BYB77 BYF77 BYJ77 BYN77 BYR77 BYV77 BYZ77 BZD77 BZH77 BZL77 BZP77 BZT77 BZX77 CAB77 CAF77 CAJ77 CAN77 CAR77 CAV77 CAZ77 CBD77 CBH77 CBL77 CBP77 CBT77 CBX77 CCB77 CCF77 CCJ77 CCN77 CCR77 CCV77 CCZ77 CDD77 CDH77 CDL77 CDP77 CDT77 CDX77 CEB77 CEF77 CEJ77 CEN77 CER77 CEV77 CEZ77 CFD77 CFH77 CFL77 CFP77 CFT77 CFX77 CGB77 CGF77 CGJ77 CGN77 CGR77 CGV77 CGZ77 CHD77 CHH77 CHL77 CHP77 CHT77 CHX77 CIB77 CIF77 CIJ77 CIN77 CIR77 CIV77 CIZ77 CJD77 CJH77 CJL77 CJP77 CJT77 CJX77 CKB77 CKF77 CKJ77 CKN77 CKR77 CKV77 CKZ77 CLD77 CLH77 CLL77 CLP77 CLT77 CLX77 CMB77 CMF77 CMJ77 CMN77 CMR77 CMV77 CMZ77 CND77 CNH77 CNL77 CNP77 CNT77 CNX77 COB77 COF77 COJ77 CON77 COR77 COV77 COZ77 CPD77 CPH77 CPL77 CPP77 CPT77 CPX77 CQB77 CQF77 CQJ77 CQN77 CQR77 CQV77 CQZ77 CRD77 CRH77 CRL77 CRP77 CRT77 CRX77 CSB77 CSF77 CSJ77 CSN77 CSR77 CSV77 CSZ77 CTD77 CTH77 CTL77 CTP77 CTT77 CTX77 CUB77 CUF77 CUJ77 CUN77 CUR77 CUV77 CUZ77 CVD77 CVH77 CVL77 CVP77 CVT77 CVX77 CWB77 CWF77 CWJ77 CWN77 CWR77 CWV77 CWZ77 CXD77 CXH77 CXL77 CXP77 CXT77 CXX77 CYB77 CYF77 CYJ77 CYN77 CYR77 CYV77 CYZ77 CZD77 CZH77 CZL77 CZP77 CZT77 CZX77 DAB77 DAF77 DAJ77 DAN77 DAR77 DAV77 DAZ77 DBD77 DBH77 DBL77 DBP77 DBT77 DBX77 DCB77 DCF77 DCJ77 DCN77 DCR77 DCV77 DCZ77 DDD77 DDH77 DDL77 DDP77 DDT77 DDX77 DEB77 DEF77 DEJ77 DEN77 DER77 DEV77 DEZ77 DFD77 DFH77 DFL77 DFP77 DFT77 DFX77 DGB77 DGF77 DGJ77 DGN77 DGR77 DGV77 DGZ77 DHD77 DHH77 DHL77 DHP77 DHT77 DHX77 DIB77 DIF77 DIJ77 DIN77 DIR77 DIV77 DIZ77 DJD77 DJH77 DJL77 DJP77 DJT77 DJX77 DKB77 DKF77 DKJ77 DKN77 DKR77 DKV77 DKZ77 DLD77 DLH77 DLL77 DLP77 DLT77 DLX77 DMB77 DMF77 DMJ77 DMN77 DMR77 DMV77 DMZ77 DND77 DNH77 DNL77 DNP77 DNT77 DNX77 DOB77 DOF77 DOJ77 DON77 DOR77 DOV77 DOZ77 DPD77 DPH77 DPL77 DPP77 DPT77 DPX77 DQB77 DQF77 DQJ77 DQN77 DQR77 DQV77 DQZ77 DRD77 DRH77 DRL77 DRP77 DRT77 DRX77 DSB77 DSF77 DSJ77 DSN77 DSR77 DSV77 DSZ77 DTD77 DTH77 DTL77 DTP77 DTT77 DTX77 DUB77 DUF77 DUJ77 DUN77 DUR77 DUV77 DUZ77 DVD77 DVH77 DVL77 DVP77 DVT77 DVX77 DWB77 DWF77 DWJ77 DWN77 DWR77 DWV77 DWZ77 DXD77 DXH77 DXL77 DXP77 DXT77 DXX77 DYB77 DYF77 DYJ77 DYN77 DYR77 DYV77 DYZ77 DZD77 DZH77 DZL77 DZP77 DZT77 DZX77 EAB77 EAF77 EAJ77 EAN77 EAR77 EAV77 EAZ77 EBD77 EBH77 EBL77 EBP77 EBT77 EBX77 ECB77 ECF77 ECJ77 ECN77 ECR77 ECV77 ECZ77 EDD77 EDH77 EDL77 EDP77 EDT77 EDX77 EEB77 EEF77 EEJ77 EEN77 EER77 EEV77 EEZ77 EFD77 EFH77 EFL77 EFP77 EFT77 EFX77 EGB77 EGF77 EGJ77 EGN77 EGR77 EGV77 EGZ77 EHD77 EHH77 EHL77 EHP77 EHT77 EHX77 EIB77 EIF77 EIJ77 EIN77 EIR77 EIV77 EIZ77 EJD77 EJH77 EJL77 EJP77 EJT77 EJX77 EKB77 EKF77 EKJ77 EKN77 EKR77 EKV77 EKZ77 ELD77 ELH77 ELL77 ELP77 ELT77 ELX77 EMB77 EMF77 EMJ77 EMN77 EMR77 EMV77 EMZ77 END77 ENH77 ENL77 ENP77 ENT77 ENX77 EOB77 EOF77 EOJ77 EON77 EOR77 EOV77 EOZ77 EPD77 EPH77 EPL77 EPP77 EPT77 EPX77 EQB77 EQF77 EQJ77 EQN77 EQR77 EQV77 EQZ77 ERD77 ERH77 ERL77 ERP77 ERT77 ERX77 ESB77 ESF77 ESJ77 ESN77 ESR77 ESV77 ESZ77 ETD77 ETH77 ETL77 ETP77 ETT77 ETX77 EUB77 EUF77 EUJ77 EUN77 EUR77 EUV77 EUZ77 EVD77 EVH77 EVL77 EVP77 EVT77 EVX77 EWB77 EWF77 EWJ77 EWN77 EWR77 EWV77 EWZ77 EXD77 EXH77 EXL77 EXP77 EXT77 EXX77 EYB77 EYF77 EYJ77 EYN77 EYR77 EYV77 EYZ77 EZD77 EZH77 EZL77 EZP77 EZT77 EZX77 FAB77 FAF77 FAJ77 FAN77 FAR77 FAV77 FAZ77 FBD77 FBH77 FBL77 FBP77 FBT77 FBX77 FCB77 FCF77 FCJ77 FCN77 FCR77 FCV77 FCZ77 FDD77 FDH77 FDL77 FDP77 FDT77 FDX77 FEB77 FEF77 FEJ77 FEN77 FER77 FEV77 FEZ77 FFD77 FFH77 FFL77 FFP77 FFT77 FFX77 FGB77 FGF77 FGJ77 FGN77 FGR77 FGV77 FGZ77 FHD77 FHH77 FHL77 FHP77 FHT77 FHX77 FIB77 FIF77 FIJ77 FIN77 FIR77 FIV77 FIZ77 FJD77 FJH77 FJL77 FJP77 FJT77 FJX77 FKB77 FKF77 FKJ77 FKN77 FKR77 FKV77 FKZ77 FLD77 FLH77 FLL77 FLP77 FLT77 FLX77 FMB77 FMF77 FMJ77 FMN77 FMR77 FMV77 FMZ77 FND77 FNH77 FNL77 FNP77 FNT77 FNX77 FOB77 FOF77 FOJ77 FON77 FOR77 FOV77 FOZ77 FPD77 FPH77 FPL77 FPP77 FPT77 FPX77 FQB77 FQF77 FQJ77 FQN77 FQR77 FQV77 FQZ77 FRD77 FRH77 FRL77 FRP77 FRT77 FRX77 FSB77 FSF77 FSJ77 FSN77 FSR77 FSV77 FSZ77 FTD77 FTH77 FTL77 FTP77 FTT77 FTX77 FUB77 FUF77 FUJ77 FUN77 FUR77 FUV77 FUZ77 FVD77 FVH77 FVL77 FVP77 FVT77 FVX77 FWB77 FWF77 FWJ77 FWN77 FWR77 FWV77 FWZ77 FXD77 FXH77 FXL77 FXP77 FXT77 FXX77 FYB77 FYF77 FYJ77 FYN77 FYR77 FYV77 FYZ77 FZD77 FZH77 FZL77 FZP77 FZT77 FZX77 GAB77 GAF77 GAJ77 GAN77 GAR77 GAV77 GAZ77 GBD77 GBH77 GBL77 GBP77 GBT77 GBX77 GCB77 GCF77 GCJ77 GCN77 GCR77 GCV77 GCZ77 GDD77 GDH77 GDL77 GDP77 GDT77 GDX77 GEB77 GEF77 GEJ77 GEN77 GER77 GEV77 GEZ77 GFD77 GFH77 GFL77 GFP77 GFT77 GFX77 GGB77 GGF77 GGJ77 GGN77 GGR77 GGV77 GGZ77 GHD77 GHH77 GHL77 GHP77 GHT77 GHX77 GIB77 GIF77 GIJ77 GIN77 GIR77 GIV77 GIZ77 GJD77 GJH77 GJL77 GJP77 GJT77 GJX77 GKB77 GKF77 GKJ77 GKN77 GKR77 GKV77 GKZ77 GLD77 GLH77 GLL77 GLP77 GLT77 GLX77 GMB77 GMF77 GMJ77 GMN77 GMR77 GMV77 GMZ77 GND77 GNH77 GNL77 GNP77 GNT77 GNX77 GOB77 GOF77 GOJ77 GON77 GOR77 GOV77 GOZ77 GPD77 GPH77 GPL77 GPP77 GPT77 GPX77 GQB77 GQF77 GQJ77 GQN77 GQR77 GQV77 GQZ77 GRD77 GRH77 GRL77 GRP77 GRT77 GRX77 GSB77 GSF77 GSJ77 GSN77 GSR77 GSV77 GSZ77 GTD77 GTH77 GTL77 GTP77 GTT77 GTX77 GUB77 GUF77 GUJ77 GUN77 GUR77 GUV77 GUZ77 GVD77 GVH77 GVL77 GVP77 GVT77 GVX77 GWB77 GWF77 GWJ77 GWN77 GWR77 GWV77 GWZ77 GXD77 GXH77 GXL77 GXP77 GXT77 GXX77 GYB77 GYF77 GYJ77 GYN77 GYR77 GYV77 GYZ77 GZD77 GZH77 GZL77 GZP77 GZT77 GZX77 HAB77 HAF77 HAJ77 HAN77 HAR77 HAV77 HAZ77 HBD77 HBH77 HBL77 HBP77 HBT77 HBX77 HCB77 HCF77 HCJ77 HCN77 HCR77 HCV77 HCZ77 HDD77 HDH77 HDL77 HDP77 HDT77 HDX77 HEB77 HEF77 HEJ77 HEN77 HER77 HEV77 HEZ77 HFD77 HFH77 HFL77 HFP77 HFT77 HFX77 HGB77 HGF77 HGJ77 HGN77 HGR77 HGV77 HGZ77 HHD77 HHH77 HHL77 HHP77 HHT77 HHX77 HIB77 HIF77 HIJ77 HIN77 HIR77 HIV77 HIZ77 HJD77 HJH77 HJL77 HJP77 HJT77 HJX77 HKB77 HKF77 HKJ77 HKN77 HKR77 HKV77 HKZ77 HLD77 HLH77 HLL77 HLP77 HLT77 HLX77 HMB77 HMF77 HMJ77 HMN77 HMR77 HMV77 HMZ77 HND77 HNH77 HNL77 HNP77 HNT77 HNX77 HOB77 HOF77 HOJ77 HON77 HOR77 HOV77 HOZ77 HPD77 HPH77 HPL77 HPP77 HPT77 HPX77 HQB77 HQF77 HQJ77 HQN77 HQR77 HQV77 HQZ77 HRD77 HRH77 HRL77 HRP77 HRT77 HRX77 HSB77 HSF77 HSJ77 HSN77 HSR77 HSV77 HSZ77 HTD77 HTH77 HTL77 HTP77 HTT77 HTX77 HUB77 HUF77 HUJ77 HUN77 HUR77 HUV77 HUZ77 HVD77 HVH77 HVL77 HVP77 HVT77 HVX77 HWB77 HWF77 HWJ77 HWN77 HWR77 HWV77 HWZ77 HXD77 HXH77 HXL77 HXP77 HXT77 HXX77 HYB77 HYF77 HYJ77 HYN77 HYR77 HYV77 HYZ77 HZD77 HZH77 HZL77 HZP77 HZT77 HZX77 IAB77 IAF77 IAJ77 IAN77 IAR77 IAV77 IAZ77 IBD77 IBH77 IBL77 IBP77 IBT77 IBX77 ICB77 ICF77 ICJ77 ICN77 ICR77 ICV77 ICZ77 IDD77 IDH77 IDL77 IDP77 IDT77 IDX77 IEB77 IEF77 IEJ77 IEN77 IER77 IEV77 IEZ77 IFD77 IFH77 IFL77 IFP77 IFT77 IFX77 IGB77 IGF77 IGJ77 IGN77 IGR77 IGV77 IGZ77 IHD77 IHH77 IHL77 IHP77 IHT77 IHX77 IIB77 IIF77 IIJ77 IIN77 IIR77 IIV77 IIZ77 IJD77 IJH77 IJL77 IJP77 IJT77 IJX77 IKB77 IKF77 IKJ77 IKN77 IKR77 IKV77 IKZ77 ILD77 ILH77 ILL77 ILP77 ILT77 ILX77 IMB77 IMF77 IMJ77 IMN77 IMR77 IMV77 IMZ77 IND77 INH77 INL77 INP77 INT77 INX77 IOB77 IOF77 IOJ77 ION77 IOR77 IOV77 IOZ77 IPD77 IPH77 IPL77 IPP77 IPT77 IPX77 IQB77 IQF77 IQJ77 IQN77 IQR77 IQV77 IQZ77 IRD77 IRH77 IRL77 IRP77 IRT77 IRX77 ISB77 ISF77 ISJ77 ISN77 ISR77 ISV77 ISZ77 ITD77 ITH77 ITL77 ITP77 ITT77 ITX77 IUB77 IUF77 IUJ77 IUN77 IUR77 IUV77 IUZ77 IVD77 IVH77 IVL77 IVP77 IVT77 IVX77 IWB77 IWF77 IWJ77 IWN77 IWR77 IWV77 IWZ77 IXD77 IXH77 IXL77 IXP77 IXT77 IXX77 IYB77 IYF77 IYJ77 IYN77 IYR77 IYV77 IYZ77 IZD77 IZH77 IZL77 IZP77 IZT77 IZX77 JAB77 JAF77 JAJ77 JAN77 JAR77 JAV77 JAZ77 JBD77 JBH77 JBL77 JBP77 JBT77 JBX77 JCB77 JCF77 JCJ77 JCN77 JCR77 JCV77 JCZ77 JDD77 JDH77 JDL77 JDP77 JDT77 JDX77 JEB77 JEF77 JEJ77 JEN77 JER77 JEV77 JEZ77 JFD77 JFH77 JFL77 JFP77 JFT77 JFX77 JGB77 JGF77 JGJ77 JGN77 JGR77 JGV77 JGZ77 JHD77 JHH77 JHL77 JHP77 JHT77 JHX77 JIB77 JIF77 JIJ77 JIN77 JIR77 JIV77 JIZ77 JJD77 JJH77 JJL77 JJP77 JJT77 JJX77 JKB77 JKF77 JKJ77 JKN77 JKR77 JKV77 JKZ77 JLD77 JLH77 JLL77 JLP77 JLT77 JLX77 JMB77 JMF77 JMJ77 JMN77 JMR77 JMV77 JMZ77 JND77 JNH77 JNL77 JNP77 JNT77 JNX77 JOB77 JOF77 JOJ77 JON77 JOR77 JOV77 JOZ77 JPD77 JPH77 JPL77 JPP77 JPT77 JPX77 JQB77 JQF77 JQJ77 JQN77 JQR77 JQV77 JQZ77 JRD77 JRH77 JRL77 JRP77 JRT77 JRX77 JSB77 JSF77 JSJ77 JSN77 JSR77 JSV77 JSZ77 JTD77 JTH77 JTL77 JTP77 JTT77 JTX77 JUB77 JUF77 JUJ77 JUN77 JUR77 JUV77 JUZ77 JVD77 JVH77 JVL77 JVP77 JVT77 JVX77 JWB77 JWF77 JWJ77 JWN77 JWR77 JWV77 JWZ77 JXD77 JXH77 JXL77 JXP77 JXT77 JXX77 JYB77 JYF77 JYJ77 JYN77 JYR77 JYV77 JYZ77 JZD77 JZH77 JZL77 JZP77 JZT77 JZX77 KAB77 KAF77 KAJ77 KAN77 KAR77 KAV77 KAZ77 KBD77 KBH77 KBL77 KBP77 KBT77 KBX77 KCB77 KCF77 KCJ77 KCN77 KCR77 KCV77 KCZ77 KDD77 KDH77 KDL77 KDP77 KDT77 KDX77 KEB77 KEF77 KEJ77 KEN77 KER77 KEV77 KEZ77 KFD77 KFH77 KFL77 KFP77 KFT77 KFX77 KGB77 KGF77 KGJ77 KGN77 KGR77 KGV77 KGZ77 KHD77 KHH77 KHL77 KHP77 KHT77 KHX77 KIB77 KIF77 KIJ77 KIN77 KIR77 KIV77 KIZ77 KJD77 KJH77 KJL77 KJP77 KJT77 KJX77 KKB77 KKF77 KKJ77 KKN77 KKR77 KKV77 KKZ77 KLD77 KLH77 KLL77 KLP77 KLT77 KLX77 KMB77 KMF77 KMJ77 KMN77 KMR77 KMV77 KMZ77 KND77 KNH77 KNL77 KNP77 KNT77 KNX77 KOB77 KOF77 KOJ77 KON77 KOR77 KOV77 KOZ77 KPD77 KPH77 KPL77 KPP77 KPT77 KPX77 KQB77 KQF77 KQJ77 KQN77 KQR77 KQV77 KQZ77 KRD77 KRH77 KRL77 KRP77 KRT77 KRX77 KSB77 KSF77 KSJ77 KSN77 KSR77 KSV77 KSZ77 KTD77 KTH77 KTL77 KTP77 KTT77 KTX77 KUB77 KUF77 KUJ77 KUN77 KUR77 KUV77 KUZ77 KVD77 KVH77 KVL77 KVP77 KVT77 KVX77 KWB77 KWF77 KWJ77 KWN77 KWR77 KWV77 KWZ77 KXD77 KXH77 KXL77 KXP77 KXT77 KXX77 KYB77 KYF77 KYJ77 KYN77 KYR77 KYV77 KYZ77 KZD77 KZH77 KZL77 KZP77 KZT77 KZX77 LAB77 LAF77 LAJ77 LAN77 LAR77 LAV77 LAZ77 LBD77 LBH77 LBL77 LBP77 LBT77 LBX77 LCB77 LCF77 LCJ77 LCN77 LCR77 LCV77 LCZ77 LDD77 LDH77 LDL77 LDP77 LDT77 LDX77 LEB77 LEF77 LEJ77 LEN77 LER77 LEV77 LEZ77 LFD77 LFH77 LFL77 LFP77 LFT77 LFX77 LGB77 LGF77 LGJ77 LGN77 LGR77 LGV77 LGZ77 LHD77 LHH77 LHL77 LHP77 LHT77 LHX77 LIB77 LIF77 LIJ77 LIN77 LIR77 LIV77 LIZ77 LJD77 LJH77 LJL77 LJP77 LJT77 LJX77 LKB77 LKF77 LKJ77 LKN77 LKR77 LKV77 LKZ77 LLD77 LLH77 LLL77 LLP77 LLT77 LLX77 LMB77 LMF77 LMJ77 LMN77 LMR77 LMV77 LMZ77 LND77 LNH77 LNL77 LNP77 LNT77 LNX77 LOB77 LOF77 LOJ77 LON77 LOR77 LOV77 LOZ77 LPD77 LPH77 LPL77 LPP77 LPT77 LPX77 LQB77 LQF77 LQJ77 LQN77 LQR77 LQV77 LQZ77 LRD77 LRH77 LRL77 LRP77 LRT77 LRX77 LSB77 LSF77 LSJ77 LSN77 LSR77 LSV77 LSZ77 LTD77 LTH77 LTL77 LTP77 LTT77 LTX77 LUB77 LUF77 LUJ77 LUN77 LUR77 LUV77 LUZ77 LVD77 LVH77 LVL77 LVP77 LVT77 LVX77 LWB77 LWF77 LWJ77 LWN77 LWR77 LWV77 LWZ77 LXD77 LXH77 LXL77 LXP77 LXT77 LXX77 LYB77 LYF77 LYJ77 LYN77 LYR77 LYV77 LYZ77 LZD77 LZH77 LZL77 LZP77 LZT77 LZX77 MAB77 MAF77 MAJ77 MAN77 MAR77 MAV77 MAZ77 MBD77 MBH77 MBL77 MBP77 MBT77 MBX77 MCB77 MCF77 MCJ77 MCN77 MCR77 MCV77 MCZ77 MDD77 MDH77 MDL77 MDP77 MDT77 MDX77 MEB77 MEF77 MEJ77 MEN77 MER77 MEV77 MEZ77 MFD77 MFH77 MFL77 MFP77 MFT77 MFX77 MGB77 MGF77 MGJ77 MGN77 MGR77 MGV77 MGZ77 MHD77 MHH77 MHL77 MHP77 MHT77 MHX77 MIB77 MIF77 MIJ77 MIN77 MIR77 MIV77 MIZ77 MJD77 MJH77 MJL77 MJP77 MJT77 MJX77 MKB77 MKF77 MKJ77 MKN77 MKR77 MKV77 MKZ77 MLD77 MLH77 MLL77 MLP77 MLT77 MLX77 MMB77 MMF77 MMJ77 MMN77 MMR77 MMV77 MMZ77 MND77 MNH77 MNL77 MNP77 MNT77 MNX77 MOB77 MOF77 MOJ77 MON77 MOR77 MOV77 MOZ77 MPD77 MPH77 MPL77 MPP77 MPT77 MPX77 MQB77 MQF77 MQJ77 MQN77 MQR77 MQV77 MQZ77 MRD77 MRH77 MRL77 MRP77 MRT77 MRX77 MSB77 MSF77 MSJ77 MSN77 MSR77 MSV77 MSZ77 MTD77 MTH77 MTL77 MTP77 MTT77 MTX77 MUB77 MUF77 MUJ77 MUN77 MUR77 MUV77 MUZ77 MVD77 MVH77 MVL77 MVP77 MVT77 MVX77 MWB77 MWF77 MWJ77 MWN77 MWR77 MWV77 MWZ77 MXD77 MXH77 MXL77 MXP77 MXT77 MXX77 MYB77 MYF77 MYJ77 MYN77 MYR77 MYV77 MYZ77 MZD77 MZH77 MZL77 MZP77 MZT77 MZX77 NAB77 NAF77 NAJ77 NAN77 NAR77 NAV77 NAZ77 NBD77 NBH77 NBL77 NBP77 NBT77 NBX77 NCB77 NCF77 NCJ77 NCN77 NCR77 NCV77 NCZ77 NDD77 NDH77 NDL77 NDP77 NDT77 NDX77 NEB77 NEF77 NEJ77 NEN77 NER77 NEV77 NEZ77 NFD77 NFH77 NFL77 NFP77 NFT77 NFX77 NGB77 NGF77 NGJ77 NGN77 NGR77 NGV77 NGZ77 NHD77 NHH77 NHL77 NHP77 NHT77 NHX77 NIB77 NIF77 NIJ77 NIN77 NIR77 NIV77 NIZ77 NJD77 NJH77 NJL77 NJP77 NJT77 NJX77 NKB77 NKF77 NKJ77 NKN77 NKR77 NKV77 NKZ77 NLD77 NLH77 NLL77 NLP77 NLT77 NLX77 NMB77 NMF77 NMJ77 NMN77 NMR77 NMV77 NMZ77 NND77 NNH77 NNL77 NNP77 NNT77 NNX77 NOB77 NOF77 NOJ77 NON77 NOR77 NOV77 NOZ77 NPD77 NPH77 NPL77 NPP77 NPT77 NPX77 NQB77 NQF77 NQJ77 NQN77 NQR77 NQV77 NQZ77 NRD77 NRH77 NRL77 NRP77 NRT77 NRX77 NSB77 NSF77 NSJ77 NSN77 NSR77 NSV77 NSZ77 NTD77 NTH77 NTL77 NTP77 NTT77 NTX77 NUB77 NUF77 NUJ77 NUN77 NUR77 NUV77 NUZ77 NVD77 NVH77 NVL77 NVP77 NVT77 NVX77 NWB77 NWF77 NWJ77 NWN77 NWR77 NWV77 NWZ77 NXD77 NXH77 NXL77 NXP77 NXT77 NXX77 NYB77 NYF77 NYJ77 NYN77 NYR77 NYV77 NYZ77 NZD77 NZH77 NZL77 NZP77 NZT77 NZX77 OAB77 OAF77 OAJ77 OAN77 OAR77 OAV77 OAZ77 OBD77 OBH77 OBL77 OBP77 OBT77 OBX77 OCB77 OCF77 OCJ77 OCN77 OCR77 OCV77 OCZ77 ODD77 ODH77 ODL77 ODP77 ODT77 ODX77 OEB77 OEF77 OEJ77 OEN77 OER77 OEV77 OEZ77 OFD77 OFH77 OFL77 OFP77 OFT77 OFX77 OGB77 OGF77 OGJ77 OGN77 OGR77 OGV77 OGZ77 OHD77 OHH77 OHL77 OHP77 OHT77 OHX77 OIB77 OIF77 OIJ77 OIN77 OIR77 OIV77 OIZ77 OJD77 OJH77 OJL77 OJP77 OJT77 OJX77 OKB77 OKF77 OKJ77 OKN77 OKR77 OKV77 OKZ77 OLD77 OLH77 OLL77 OLP77 OLT77 OLX77 OMB77 OMF77 OMJ77 OMN77 OMR77 OMV77 OMZ77 OND77 ONH77 ONL77 ONP77 ONT77 ONX77 OOB77 OOF77 OOJ77 OON77 OOR77 OOV77 OOZ77 OPD77 OPH77 OPL77 OPP77 OPT77 OPX77 OQB77 OQF77 OQJ77 OQN77 OQR77 OQV77 OQZ77 ORD77 ORH77 ORL77 ORP77 ORT77 ORX77 OSB77 OSF77 OSJ77 OSN77 OSR77 OSV77 OSZ77 OTD77 OTH77 OTL77 OTP77 OTT77 OTX77 OUB77 OUF77 OUJ77 OUN77 OUR77 OUV77 OUZ77 OVD77 OVH77 OVL77 OVP77 OVT77 OVX77 OWB77 OWF77 OWJ77 OWN77 OWR77 OWV77 OWZ77 OXD77 OXH77 OXL77 OXP77 OXT77 OXX77 OYB77 OYF77 OYJ77 OYN77 OYR77 OYV77 OYZ77 OZD77 OZH77 OZL77 OZP77 OZT77 OZX77 PAB77 PAF77 PAJ77 PAN77 PAR77 PAV77 PAZ77 PBD77 PBH77 PBL77 PBP77 PBT77 PBX77 PCB77 PCF77 PCJ77 PCN77 PCR77 PCV77 PCZ77 PDD77 PDH77 PDL77 PDP77 PDT77 PDX77 PEB77 PEF77 PEJ77 PEN77 PER77 PEV77 PEZ77 PFD77 PFH77 PFL77 PFP77 PFT77 PFX77 PGB77 PGF77 PGJ77 PGN77 PGR77 PGV77 PGZ77 PHD77 PHH77 PHL77 PHP77 PHT77 PHX77 PIB77 PIF77 PIJ77 PIN77 PIR77 PIV77 PIZ77 PJD77 PJH77 PJL77 PJP77 PJT77 PJX77 PKB77 PKF77 PKJ77 PKN77 PKR77 PKV77 PKZ77 PLD77 PLH77 PLL77 PLP77 PLT77 PLX77 PMB77 PMF77 PMJ77 PMN77 PMR77 PMV77 PMZ77 PND77 PNH77 PNL77 PNP77 PNT77 PNX77 POB77 POF77 POJ77 PON77 POR77 POV77 POZ77 PPD77 PPH77 PPL77 PPP77 PPT77 PPX77 PQB77 PQF77 PQJ77 PQN77 PQR77 PQV77 PQZ77 PRD77 PRH77 PRL77 PRP77 PRT77 PRX77 PSB77 PSF77 PSJ77 PSN77 PSR77 PSV77 PSZ77 PTD77 PTH77 PTL77 PTP77 PTT77 PTX77 PUB77 PUF77 PUJ77 PUN77 PUR77 PUV77 PUZ77 PVD77 PVH77 PVL77 PVP77 PVT77 PVX77 PWB77 PWF77 PWJ77 PWN77 PWR77 PWV77 PWZ77 PXD77 PXH77 PXL77 PXP77 PXT77 PXX77 PYB77 PYF77 PYJ77 PYN77 PYR77 PYV77 PYZ77 PZD77 PZH77 PZL77 PZP77 PZT77 PZX77 QAB77 QAF77 QAJ77 QAN77 QAR77 QAV77 QAZ77 QBD77 QBH77 QBL77 QBP77 QBT77 QBX77 QCB77 QCF77 QCJ77 QCN77 QCR77 QCV77 QCZ77 QDD77 QDH77 QDL77 QDP77 QDT77 QDX77 QEB77 QEF77 QEJ77 QEN77 QER77 QEV77 QEZ77 QFD77 QFH77 QFL77 QFP77 QFT77 QFX77 QGB77 QGF77 QGJ77 QGN77 QGR77 QGV77 QGZ77 QHD77 QHH77 QHL77 QHP77 QHT77 QHX77 QIB77 QIF77 QIJ77 QIN77 QIR77 QIV77 QIZ77 QJD77 QJH77 QJL77 QJP77 QJT77 QJX77 QKB77 QKF77 QKJ77 QKN77 QKR77 QKV77 QKZ77 QLD77 QLH77 QLL77 QLP77 QLT77 QLX77 QMB77 QMF77 QMJ77 QMN77 QMR77 QMV77 QMZ77 QND77 QNH77 QNL77 QNP77 QNT77 QNX77 QOB77 QOF77 QOJ77 QON77 QOR77 QOV77 QOZ77 QPD77 QPH77 QPL77 QPP77 QPT77 QPX77 QQB77 QQF77 QQJ77 QQN77 QQR77 QQV77 QQZ77 QRD77 QRH77 QRL77 QRP77 QRT77 QRX77 QSB77 QSF77 QSJ77 QSN77 QSR77 QSV77 QSZ77 QTD77 QTH77 QTL77 QTP77 QTT77 QTX77 QUB77 QUF77 QUJ77 QUN77 QUR77 QUV77 QUZ77 QVD77 QVH77 QVL77 QVP77 QVT77 QVX77 QWB77 QWF77 QWJ77 QWN77 QWR77 QWV77 QWZ77 QXD77 QXH77 QXL77 QXP77 QXT77 QXX77 QYB77 QYF77 QYJ77 QYN77 QYR77 QYV77 QYZ77 QZD77 QZH77 QZL77 QZP77 QZT77 QZX77 RAB77 RAF77 RAJ77 RAN77 RAR77 RAV77 RAZ77 RBD77 RBH77 RBL77 RBP77 RBT77 RBX77 RCB77 RCF77 RCJ77 RCN77 RCR77 RCV77 RCZ77 RDD77 RDH77 RDL77 RDP77 RDT77 RDX77 REB77 REF77 REJ77 REN77 RER77 REV77 REZ77 RFD77 RFH77 RFL77 RFP77 RFT77 RFX77 RGB77 RGF77 RGJ77 RGN77 RGR77 RGV77 RGZ77 RHD77 RHH77 RHL77 RHP77 RHT77 RHX77 RIB77 RIF77 RIJ77 RIN77 RIR77 RIV77 RIZ77 RJD77 RJH77 RJL77 RJP77 RJT77 RJX77 RKB77 RKF77 RKJ77 RKN77 RKR77 RKV77 RKZ77 RLD77 RLH77 RLL77 RLP77 RLT77 RLX77 RMB77 RMF77 RMJ77 RMN77 RMR77 RMV77 RMZ77 RND77 RNH77 RNL77 RNP77 RNT77 RNX77 ROB77 ROF77 ROJ77 RON77 ROR77 ROV77 ROZ77 RPD77 RPH77 RPL77 RPP77 RPT77 RPX77 RQB77 RQF77 RQJ77 RQN77 RQR77 RQV77 RQZ77 RRD77 RRH77 RRL77 RRP77 RRT77 RRX77 RSB77 RSF77 RSJ77 RSN77 RSR77 RSV77 RSZ77 RTD77 RTH77 RTL77 RTP77 RTT77 RTX77 RUB77 RUF77 RUJ77 RUN77 RUR77 RUV77 RUZ77 RVD77 RVH77 RVL77 RVP77 RVT77 RVX77 RWB77 RWF77 RWJ77 RWN77 RWR77 RWV77 RWZ77 RXD77 RXH77 RXL77 RXP77 RXT77 RXX77 RYB77 RYF77 RYJ77 RYN77 RYR77 RYV77 RYZ77 RZD77 RZH77 RZL77 RZP77 RZT77 RZX77 SAB77 SAF77 SAJ77 SAN77 SAR77 SAV77 SAZ77 SBD77 SBH77 SBL77 SBP77 SBT77 SBX77 SCB77 SCF77 SCJ77 SCN77 SCR77 SCV77 SCZ77 SDD77 SDH77 SDL77 SDP77 SDT77 SDX77 SEB77 SEF77 SEJ77 SEN77 SER77 SEV77 SEZ77 SFD77 SFH77 SFL77 SFP77 SFT77 SFX77 SGB77 SGF77 SGJ77 SGN77 SGR77 SGV77 SGZ77 SHD77 SHH77 SHL77 SHP77 SHT77 SHX77 SIB77 SIF77 SIJ77 SIN77 SIR77 SIV77 SIZ77 SJD77 SJH77 SJL77 SJP77 SJT77 SJX77 SKB77 SKF77 SKJ77 SKN77 SKR77 SKV77 SKZ77 SLD77 SLH77 SLL77 SLP77 SLT77 SLX77 SMB77 SMF77 SMJ77 SMN77 SMR77 SMV77 SMZ77 SND77 SNH77 SNL77 SNP77 SNT77 SNX77 SOB77 SOF77 SOJ77 SON77 SOR77 SOV77 SOZ77 SPD77 SPH77 SPL77 SPP77 SPT77 SPX77 SQB77 SQF77 SQJ77 SQN77 SQR77 SQV77 SQZ77 SRD77 SRH77 SRL77 SRP77 SRT77 SRX77 SSB77 SSF77 SSJ77 SSN77 SSR77 SSV77 SSZ77 STD77 STH77 STL77 STP77 STT77 STX77 SUB77 SUF77 SUJ77 SUN77 SUR77 SUV77 SUZ77 SVD77 SVH77 SVL77 SVP77 SVT77 SVX77 SWB77 SWF77 SWJ77 SWN77 SWR77 SWV77 SWZ77 SXD77 SXH77 SXL77 SXP77 SXT77 SXX77 SYB77 SYF77 SYJ77 SYN77 SYR77 SYV77 SYZ77 SZD77 SZH77 SZL77 SZP77 SZT77 SZX77 TAB77 TAF77 TAJ77 TAN77 TAR77 TAV77 TAZ77 TBD77 TBH77 TBL77 TBP77 TBT77 TBX77 TCB77 TCF77 TCJ77 TCN77 TCR77 TCV77 TCZ77 TDD77 TDH77 TDL77 TDP77 TDT77 TDX77 TEB77 TEF77 TEJ77 TEN77 TER77 TEV77 TEZ77 TFD77 TFH77 TFL77 TFP77 TFT77 TFX77 TGB77 TGF77 TGJ77 TGN77 TGR77 TGV77 TGZ77 THD77 THH77 THL77 THP77 THT77 THX77 TIB77 TIF77 TIJ77 TIN77 TIR77 TIV77 TIZ77 TJD77 TJH77 TJL77 TJP77 TJT77 TJX77 TKB77 TKF77 TKJ77 TKN77 TKR77 TKV77 TKZ77 TLD77 TLH77 TLL77 TLP77 TLT77 TLX77 TMB77 TMF77 TMJ77 TMN77 TMR77 TMV77 TMZ77 TND77 TNH77 TNL77 TNP77 TNT77 TNX77 TOB77 TOF77 TOJ77 TON77 TOR77 TOV77 TOZ77 TPD77 TPH77 TPL77 TPP77 TPT77 TPX77 TQB77 TQF77 TQJ77 TQN77 TQR77 TQV77 TQZ77 TRD77 TRH77 TRL77 TRP77 TRT77 TRX77 TSB77 TSF77 TSJ77 TSN77 TSR77 TSV77 TSZ77 TTD77 TTH77 TTL77 TTP77 TTT77 TTX77 TUB77 TUF77 TUJ77 TUN77 TUR77 TUV77 TUZ77 TVD77 TVH77 TVL77 TVP77 TVT77 TVX77 TWB77 TWF77 TWJ77 TWN77 TWR77 TWV77 TWZ77 TXD77 TXH77 TXL77 TXP77 TXT77 TXX77 TYB77 TYF77 TYJ77 TYN77 TYR77 TYV77 TYZ77 TZD77 TZH77 TZL77 TZP77 TZT77 TZX77 UAB77 UAF77 UAJ77 UAN77 UAR77 UAV77 UAZ77 UBD77 UBH77 UBL77 UBP77 UBT77 UBX77 UCB77 UCF77 UCJ77 UCN77 UCR77 UCV77 UCZ77 UDD77 UDH77 UDL77 UDP77 UDT77 UDX77 UEB77 UEF77 UEJ77 UEN77 UER77 UEV77 UEZ77 UFD77 UFH77 UFL77 UFP77 UFT77 UFX77 UGB77 UGF77 UGJ77 UGN77 UGR77 UGV77 UGZ77 UHD77 UHH77 UHL77 UHP77 UHT77 UHX77 UIB77 UIF77 UIJ77 UIN77 UIR77 UIV77 UIZ77 UJD77 UJH77 UJL77 UJP77 UJT77 UJX77 UKB77 UKF77 UKJ77 UKN77 UKR77 UKV77 UKZ77 ULD77 ULH77 ULL77 ULP77 ULT77 ULX77 UMB77 UMF77 UMJ77 UMN77 UMR77 UMV77 UMZ77 UND77 UNH77 UNL77 UNP77 UNT77 UNX77 UOB77 UOF77 UOJ77 UON77 UOR77 UOV77 UOZ77 UPD77 UPH77 UPL77 UPP77 UPT77 UPX77 UQB77 UQF77 UQJ77 UQN77 UQR77 UQV77 UQZ77 URD77 URH77 URL77 URP77 URT77 URX77 USB77 USF77 USJ77 USN77 USR77 USV77 USZ77 UTD77 UTH77 UTL77 UTP77 UTT77 UTX77 UUB77 UUF77 UUJ77 UUN77 UUR77 UUV77 UUZ77 UVD77 UVH77 UVL77 UVP77 UVT77 UVX77 UWB77 UWF77 UWJ77 UWN77 UWR77 UWV77 UWZ77 UXD77 UXH77 UXL77 UXP77 UXT77 UXX77 UYB77 UYF77 UYJ77 UYN77 UYR77 UYV77 UYZ77 UZD77 UZH77 UZL77 UZP77 UZT77 UZX77 VAB77 VAF77 VAJ77 VAN77 VAR77 VAV77 VAZ77 VBD77 VBH77 VBL77 VBP77 VBT77 VBX77 VCB77 VCF77 VCJ77 VCN77 VCR77 VCV77 VCZ77 VDD77 VDH77 VDL77 VDP77 VDT77 VDX77 VEB77 VEF77 VEJ77 VEN77 VER77 VEV77 VEZ77 VFD77 VFH77 VFL77 VFP77 VFT77 VFX77 VGB77 VGF77 VGJ77 VGN77 VGR77 VGV77 VGZ77 VHD77 VHH77 VHL77 VHP77 VHT77 VHX77 VIB77 VIF77 VIJ77 VIN77 VIR77 VIV77 VIZ77 VJD77 VJH77 VJL77 VJP77 VJT77 VJX77 VKB77 VKF77 VKJ77 VKN77 VKR77 VKV77 VKZ77 VLD77 VLH77 VLL77 VLP77 VLT77 VLX77 VMB77 VMF77 VMJ77 VMN77 VMR77 VMV77 VMZ77 VND77 VNH77 VNL77 VNP77 VNT77 VNX77 VOB77 VOF77 VOJ77 VON77 VOR77 VOV77 VOZ77 VPD77 VPH77 VPL77 VPP77 VPT77 VPX77 VQB77 VQF77 VQJ77 VQN77 VQR77 VQV77 VQZ77 VRD77 VRH77 VRL77 VRP77 VRT77 VRX77 VSB77 VSF77 VSJ77 VSN77 VSR77 VSV77 VSZ77 VTD77 VTH77 VTL77 VTP77 VTT77 VTX77 VUB77 VUF77 VUJ77 VUN77 VUR77 VUV77 VUZ77 VVD77 VVH77 VVL77 VVP77 VVT77 VVX77 VWB77 VWF77 VWJ77 VWN77 VWR77 VWV77 VWZ77 VXD77 VXH77 VXL77 VXP77 VXT77 VXX77 VYB77 VYF77 VYJ77 VYN77 VYR77 VYV77 VYZ77 VZD77 VZH77 VZL77 VZP77 VZT77 VZX77 WAB77 WAF77 WAJ77 WAN77 WAR77 WAV77 WAZ77 WBD77 WBH77 WBL77 WBP77 WBT77 WBX77 WCB77 WCF77 WCJ77 WCN77 WCR77 WCV77 WCZ77 WDD77 WDH77 WDL77 WDP77 WDT77 WDX77 WEB77 WEF77 WEJ77 WEN77 WER77 WEV77 WEZ77 WFD77 WFH77 WFL77 WFP77 WFT77 WFX77 WGB77 WGF77 WGJ77 WGN77 WGR77 WGV77 WGZ77 WHD77 WHH77 WHL77 WHP77 WHT77 WHX77 WIB77 WIF77 WIJ77 WIN77 WIR77 WIV77 WIZ77 WJD77 WJH77 WJL77 WJP77 WJT77 WJX77 WKB77 WKF77 WKJ77 WKN77 WKR77 WKV77 WKZ77 WLD77 WLH77 WLL77 WLP77 WLT77 WLX77 WMB77 WMF77 WMJ77 WMN77 WMR77 WMV77 WMZ77 WND77 WNH77 WNL77 WNP77 WNT77 WNX77 WOB77 WOF77 WOJ77 WON77 WOR77 WOV77 WOZ77 WPD77 WPH77 WPL77 WPP77 WPT77 WPX77 WQB77 WQF77 WQJ77 WQN77 WQR77 WQV77 WQZ77 WRD77 WRH77 WRL77 WRP77 WRT77 WRX77 WSB77 WSF77 WSJ77 WSN77 WSR77 WSV77 WSZ77 WTD77 WTH77 WTL77 WTP77 WTT77 WTX77 WUB77 WUF77 WUJ77 WUN77 WUR77 WUV77 WUZ77 WVD77 WVH77 WVL77 WVP77 WVT77 WVX77 WWB77 WWF77 WWJ77 WWN77 WWR77 WWV77 WWZ77 WXD77 WXH77 WXL77 WXP77 WXT77 WXX77 WYB77 WYF77 WYJ77 WYN77 WYR77 WYV77 WYZ77 WZD77 WZH77 WZL77 WZP77 WZT77 WZX77 XAB77 XAF77 XAJ77 XAN77 XAR77 XAV77 XAZ77 XBD77 XBH77 XBL77 XBP77 XBT77 XBX77 XCB77 XCF77 XCJ77 XCN77 XCR77 XCV77 XCZ77 XDD77 XDH77 XDL77 XDP77 XDT77 XDX77 XEB77 XEF77 XEJ77 XEN77 XER77 XEV77 XEZ77 XFD77</xm:sqref>
        </x14:conditionalFormatting>
        <x14:conditionalFormatting xmlns:xm="http://schemas.microsoft.com/office/excel/2006/main">
          <x14:cfRule type="dataBar" id="{E53B8FBE-3994-41B4-B7BB-6CF99B3E78B1}">
            <x14:dataBar minLength="0" maxLength="100" border="1" negativeBarBorderColorSameAsPositive="0">
              <x14:cfvo type="autoMin"/>
              <x14:cfvo type="autoMax"/>
              <x14:borderColor rgb="FF63C384"/>
              <x14:negativeFillColor rgb="FFFF0000"/>
              <x14:negativeBorderColor rgb="FFFF0000"/>
              <x14:axisColor rgb="FF000000"/>
            </x14:dataBar>
          </x14:cfRule>
          <xm:sqref>L84 H84 P84 T84 X84 AB84 AF84 AJ84 AN84 AR84 AV84 AZ84 BD84 BH84 BL84 BP84 BT84 BX84 CB84 CF84 CJ84 CN84 CR84 CV84 CZ84 DD84 DH84 DL84 DP84 DT84 DX84 EB84 EF84 EJ84 EN84 ER84 EV84 EZ84 FD84 FH84 FL84 FP84 FT84 FX84 GB84 GF84 GJ84 GN84 GR84 GV84 GZ84 HD84 HH84 HL84 HP84 HT84 HX84 IB84 IF84 IJ84 IN84 IR84 IV84 IZ84 JD84 JH84 JL84 JP84 JT84 JX84 KB84 KF84 KJ84 KN84 KR84 KV84 KZ84 LD84 LH84 LL84 LP84 LT84 LX84 MB84 MF84 MJ84 MN84 MR84 MV84 MZ84 ND84 NH84 NL84 NP84 NT84 NX84 OB84 OF84 OJ84 ON84 OR84 OV84 OZ84 PD84 PH84 PL84 PP84 PT84 PX84 QB84 QF84 QJ84 QN84 QR84 QV84 QZ84 RD84 RH84 RL84 RP84 RT84 RX84 SB84 SF84 SJ84 SN84 SR84 SV84 SZ84 TD84 TH84 TL84 TP84 TT84 TX84 UB84 UF84 UJ84 UN84 UR84 UV84 UZ84 VD84 VH84 VL84 VP84 VT84 VX84 WB84 WF84 WJ84 WN84 WR84 WV84 WZ84 XD84 XH84 XL84 XP84 XT84 XX84 YB84 YF84 YJ84 YN84 YR84 YV84 YZ84 ZD84 ZH84 ZL84 ZP84 ZT84 ZX84 AAB84 AAF84 AAJ84 AAN84 AAR84 AAV84 AAZ84 ABD84 ABH84 ABL84 ABP84 ABT84 ABX84 ACB84 ACF84 ACJ84 ACN84 ACR84 ACV84 ACZ84 ADD84 ADH84 ADL84 ADP84 ADT84 ADX84 AEB84 AEF84 AEJ84 AEN84 AER84 AEV84 AEZ84 AFD84 AFH84 AFL84 AFP84 AFT84 AFX84 AGB84 AGF84 AGJ84 AGN84 AGR84 AGV84 AGZ84 AHD84 AHH84 AHL84 AHP84 AHT84 AHX84 AIB84 AIF84 AIJ84 AIN84 AIR84 AIV84 AIZ84 AJD84 AJH84 AJL84 AJP84 AJT84 AJX84 AKB84 AKF84 AKJ84 AKN84 AKR84 AKV84 AKZ84 ALD84 ALH84 ALL84 ALP84 ALT84 ALX84 AMB84 AMF84 AMJ84 AMN84 AMR84 AMV84 AMZ84 AND84 ANH84 ANL84 ANP84 ANT84 ANX84 AOB84 AOF84 AOJ84 AON84 AOR84 AOV84 AOZ84 APD84 APH84 APL84 APP84 APT84 APX84 AQB84 AQF84 AQJ84 AQN84 AQR84 AQV84 AQZ84 ARD84 ARH84 ARL84 ARP84 ART84 ARX84 ASB84 ASF84 ASJ84 ASN84 ASR84 ASV84 ASZ84 ATD84 ATH84 ATL84 ATP84 ATT84 ATX84 AUB84 AUF84 AUJ84 AUN84 AUR84 AUV84 AUZ84 AVD84 AVH84 AVL84 AVP84 AVT84 AVX84 AWB84 AWF84 AWJ84 AWN84 AWR84 AWV84 AWZ84 AXD84 AXH84 AXL84 AXP84 AXT84 AXX84 AYB84 AYF84 AYJ84 AYN84 AYR84 AYV84 AYZ84 AZD84 AZH84 AZL84 AZP84 AZT84 AZX84 BAB84 BAF84 BAJ84 BAN84 BAR84 BAV84 BAZ84 BBD84 BBH84 BBL84 BBP84 BBT84 BBX84 BCB84 BCF84 BCJ84 BCN84 BCR84 BCV84 BCZ84 BDD84 BDH84 BDL84 BDP84 BDT84 BDX84 BEB84 BEF84 BEJ84 BEN84 BER84 BEV84 BEZ84 BFD84 BFH84 BFL84 BFP84 BFT84 BFX84 BGB84 BGF84 BGJ84 BGN84 BGR84 BGV84 BGZ84 BHD84 BHH84 BHL84 BHP84 BHT84 BHX84 BIB84 BIF84 BIJ84 BIN84 BIR84 BIV84 BIZ84 BJD84 BJH84 BJL84 BJP84 BJT84 BJX84 BKB84 BKF84 BKJ84 BKN84 BKR84 BKV84 BKZ84 BLD84 BLH84 BLL84 BLP84 BLT84 BLX84 BMB84 BMF84 BMJ84 BMN84 BMR84 BMV84 BMZ84 BND84 BNH84 BNL84 BNP84 BNT84 BNX84 BOB84 BOF84 BOJ84 BON84 BOR84 BOV84 BOZ84 BPD84 BPH84 BPL84 BPP84 BPT84 BPX84 BQB84 BQF84 BQJ84 BQN84 BQR84 BQV84 BQZ84 BRD84 BRH84 BRL84 BRP84 BRT84 BRX84 BSB84 BSF84 BSJ84 BSN84 BSR84 BSV84 BSZ84 BTD84 BTH84 BTL84 BTP84 BTT84 BTX84 BUB84 BUF84 BUJ84 BUN84 BUR84 BUV84 BUZ84 BVD84 BVH84 BVL84 BVP84 BVT84 BVX84 BWB84 BWF84 BWJ84 BWN84 BWR84 BWV84 BWZ84 BXD84 BXH84 BXL84 BXP84 BXT84 BXX84 BYB84 BYF84 BYJ84 BYN84 BYR84 BYV84 BYZ84 BZD84 BZH84 BZL84 BZP84 BZT84 BZX84 CAB84 CAF84 CAJ84 CAN84 CAR84 CAV84 CAZ84 CBD84 CBH84 CBL84 CBP84 CBT84 CBX84 CCB84 CCF84 CCJ84 CCN84 CCR84 CCV84 CCZ84 CDD84 CDH84 CDL84 CDP84 CDT84 CDX84 CEB84 CEF84 CEJ84 CEN84 CER84 CEV84 CEZ84 CFD84 CFH84 CFL84 CFP84 CFT84 CFX84 CGB84 CGF84 CGJ84 CGN84 CGR84 CGV84 CGZ84 CHD84 CHH84 CHL84 CHP84 CHT84 CHX84 CIB84 CIF84 CIJ84 CIN84 CIR84 CIV84 CIZ84 CJD84 CJH84 CJL84 CJP84 CJT84 CJX84 CKB84 CKF84 CKJ84 CKN84 CKR84 CKV84 CKZ84 CLD84 CLH84 CLL84 CLP84 CLT84 CLX84 CMB84 CMF84 CMJ84 CMN84 CMR84 CMV84 CMZ84 CND84 CNH84 CNL84 CNP84 CNT84 CNX84 COB84 COF84 COJ84 CON84 COR84 COV84 COZ84 CPD84 CPH84 CPL84 CPP84 CPT84 CPX84 CQB84 CQF84 CQJ84 CQN84 CQR84 CQV84 CQZ84 CRD84 CRH84 CRL84 CRP84 CRT84 CRX84 CSB84 CSF84 CSJ84 CSN84 CSR84 CSV84 CSZ84 CTD84 CTH84 CTL84 CTP84 CTT84 CTX84 CUB84 CUF84 CUJ84 CUN84 CUR84 CUV84 CUZ84 CVD84 CVH84 CVL84 CVP84 CVT84 CVX84 CWB84 CWF84 CWJ84 CWN84 CWR84 CWV84 CWZ84 CXD84 CXH84 CXL84 CXP84 CXT84 CXX84 CYB84 CYF84 CYJ84 CYN84 CYR84 CYV84 CYZ84 CZD84 CZH84 CZL84 CZP84 CZT84 CZX84 DAB84 DAF84 DAJ84 DAN84 DAR84 DAV84 DAZ84 DBD84 DBH84 DBL84 DBP84 DBT84 DBX84 DCB84 DCF84 DCJ84 DCN84 DCR84 DCV84 DCZ84 DDD84 DDH84 DDL84 DDP84 DDT84 DDX84 DEB84 DEF84 DEJ84 DEN84 DER84 DEV84 DEZ84 DFD84 DFH84 DFL84 DFP84 DFT84 DFX84 DGB84 DGF84 DGJ84 DGN84 DGR84 DGV84 DGZ84 DHD84 DHH84 DHL84 DHP84 DHT84 DHX84 DIB84 DIF84 DIJ84 DIN84 DIR84 DIV84 DIZ84 DJD84 DJH84 DJL84 DJP84 DJT84 DJX84 DKB84 DKF84 DKJ84 DKN84 DKR84 DKV84 DKZ84 DLD84 DLH84 DLL84 DLP84 DLT84 DLX84 DMB84 DMF84 DMJ84 DMN84 DMR84 DMV84 DMZ84 DND84 DNH84 DNL84 DNP84 DNT84 DNX84 DOB84 DOF84 DOJ84 DON84 DOR84 DOV84 DOZ84 DPD84 DPH84 DPL84 DPP84 DPT84 DPX84 DQB84 DQF84 DQJ84 DQN84 DQR84 DQV84 DQZ84 DRD84 DRH84 DRL84 DRP84 DRT84 DRX84 DSB84 DSF84 DSJ84 DSN84 DSR84 DSV84 DSZ84 DTD84 DTH84 DTL84 DTP84 DTT84 DTX84 DUB84 DUF84 DUJ84 DUN84 DUR84 DUV84 DUZ84 DVD84 DVH84 DVL84 DVP84 DVT84 DVX84 DWB84 DWF84 DWJ84 DWN84 DWR84 DWV84 DWZ84 DXD84 DXH84 DXL84 DXP84 DXT84 DXX84 DYB84 DYF84 DYJ84 DYN84 DYR84 DYV84 DYZ84 DZD84 DZH84 DZL84 DZP84 DZT84 DZX84 EAB84 EAF84 EAJ84 EAN84 EAR84 EAV84 EAZ84 EBD84 EBH84 EBL84 EBP84 EBT84 EBX84 ECB84 ECF84 ECJ84 ECN84 ECR84 ECV84 ECZ84 EDD84 EDH84 EDL84 EDP84 EDT84 EDX84 EEB84 EEF84 EEJ84 EEN84 EER84 EEV84 EEZ84 EFD84 EFH84 EFL84 EFP84 EFT84 EFX84 EGB84 EGF84 EGJ84 EGN84 EGR84 EGV84 EGZ84 EHD84 EHH84 EHL84 EHP84 EHT84 EHX84 EIB84 EIF84 EIJ84 EIN84 EIR84 EIV84 EIZ84 EJD84 EJH84 EJL84 EJP84 EJT84 EJX84 EKB84 EKF84 EKJ84 EKN84 EKR84 EKV84 EKZ84 ELD84 ELH84 ELL84 ELP84 ELT84 ELX84 EMB84 EMF84 EMJ84 EMN84 EMR84 EMV84 EMZ84 END84 ENH84 ENL84 ENP84 ENT84 ENX84 EOB84 EOF84 EOJ84 EON84 EOR84 EOV84 EOZ84 EPD84 EPH84 EPL84 EPP84 EPT84 EPX84 EQB84 EQF84 EQJ84 EQN84 EQR84 EQV84 EQZ84 ERD84 ERH84 ERL84 ERP84 ERT84 ERX84 ESB84 ESF84 ESJ84 ESN84 ESR84 ESV84 ESZ84 ETD84 ETH84 ETL84 ETP84 ETT84 ETX84 EUB84 EUF84 EUJ84 EUN84 EUR84 EUV84 EUZ84 EVD84 EVH84 EVL84 EVP84 EVT84 EVX84 EWB84 EWF84 EWJ84 EWN84 EWR84 EWV84 EWZ84 EXD84 EXH84 EXL84 EXP84 EXT84 EXX84 EYB84 EYF84 EYJ84 EYN84 EYR84 EYV84 EYZ84 EZD84 EZH84 EZL84 EZP84 EZT84 EZX84 FAB84 FAF84 FAJ84 FAN84 FAR84 FAV84 FAZ84 FBD84 FBH84 FBL84 FBP84 FBT84 FBX84 FCB84 FCF84 FCJ84 FCN84 FCR84 FCV84 FCZ84 FDD84 FDH84 FDL84 FDP84 FDT84 FDX84 FEB84 FEF84 FEJ84 FEN84 FER84 FEV84 FEZ84 FFD84 FFH84 FFL84 FFP84 FFT84 FFX84 FGB84 FGF84 FGJ84 FGN84 FGR84 FGV84 FGZ84 FHD84 FHH84 FHL84 FHP84 FHT84 FHX84 FIB84 FIF84 FIJ84 FIN84 FIR84 FIV84 FIZ84 FJD84 FJH84 FJL84 FJP84 FJT84 FJX84 FKB84 FKF84 FKJ84 FKN84 FKR84 FKV84 FKZ84 FLD84 FLH84 FLL84 FLP84 FLT84 FLX84 FMB84 FMF84 FMJ84 FMN84 FMR84 FMV84 FMZ84 FND84 FNH84 FNL84 FNP84 FNT84 FNX84 FOB84 FOF84 FOJ84 FON84 FOR84 FOV84 FOZ84 FPD84 FPH84 FPL84 FPP84 FPT84 FPX84 FQB84 FQF84 FQJ84 FQN84 FQR84 FQV84 FQZ84 FRD84 FRH84 FRL84 FRP84 FRT84 FRX84 FSB84 FSF84 FSJ84 FSN84 FSR84 FSV84 FSZ84 FTD84 FTH84 FTL84 FTP84 FTT84 FTX84 FUB84 FUF84 FUJ84 FUN84 FUR84 FUV84 FUZ84 FVD84 FVH84 FVL84 FVP84 FVT84 FVX84 FWB84 FWF84 FWJ84 FWN84 FWR84 FWV84 FWZ84 FXD84 FXH84 FXL84 FXP84 FXT84 FXX84 FYB84 FYF84 FYJ84 FYN84 FYR84 FYV84 FYZ84 FZD84 FZH84 FZL84 FZP84 FZT84 FZX84 GAB84 GAF84 GAJ84 GAN84 GAR84 GAV84 GAZ84 GBD84 GBH84 GBL84 GBP84 GBT84 GBX84 GCB84 GCF84 GCJ84 GCN84 GCR84 GCV84 GCZ84 GDD84 GDH84 GDL84 GDP84 GDT84 GDX84 GEB84 GEF84 GEJ84 GEN84 GER84 GEV84 GEZ84 GFD84 GFH84 GFL84 GFP84 GFT84 GFX84 GGB84 GGF84 GGJ84 GGN84 GGR84 GGV84 GGZ84 GHD84 GHH84 GHL84 GHP84 GHT84 GHX84 GIB84 GIF84 GIJ84 GIN84 GIR84 GIV84 GIZ84 GJD84 GJH84 GJL84 GJP84 GJT84 GJX84 GKB84 GKF84 GKJ84 GKN84 GKR84 GKV84 GKZ84 GLD84 GLH84 GLL84 GLP84 GLT84 GLX84 GMB84 GMF84 GMJ84 GMN84 GMR84 GMV84 GMZ84 GND84 GNH84 GNL84 GNP84 GNT84 GNX84 GOB84 GOF84 GOJ84 GON84 GOR84 GOV84 GOZ84 GPD84 GPH84 GPL84 GPP84 GPT84 GPX84 GQB84 GQF84 GQJ84 GQN84 GQR84 GQV84 GQZ84 GRD84 GRH84 GRL84 GRP84 GRT84 GRX84 GSB84 GSF84 GSJ84 GSN84 GSR84 GSV84 GSZ84 GTD84 GTH84 GTL84 GTP84 GTT84 GTX84 GUB84 GUF84 GUJ84 GUN84 GUR84 GUV84 GUZ84 GVD84 GVH84 GVL84 GVP84 GVT84 GVX84 GWB84 GWF84 GWJ84 GWN84 GWR84 GWV84 GWZ84 GXD84 GXH84 GXL84 GXP84 GXT84 GXX84 GYB84 GYF84 GYJ84 GYN84 GYR84 GYV84 GYZ84 GZD84 GZH84 GZL84 GZP84 GZT84 GZX84 HAB84 HAF84 HAJ84 HAN84 HAR84 HAV84 HAZ84 HBD84 HBH84 HBL84 HBP84 HBT84 HBX84 HCB84 HCF84 HCJ84 HCN84 HCR84 HCV84 HCZ84 HDD84 HDH84 HDL84 HDP84 HDT84 HDX84 HEB84 HEF84 HEJ84 HEN84 HER84 HEV84 HEZ84 HFD84 HFH84 HFL84 HFP84 HFT84 HFX84 HGB84 HGF84 HGJ84 HGN84 HGR84 HGV84 HGZ84 HHD84 HHH84 HHL84 HHP84 HHT84 HHX84 HIB84 HIF84 HIJ84 HIN84 HIR84 HIV84 HIZ84 HJD84 HJH84 HJL84 HJP84 HJT84 HJX84 HKB84 HKF84 HKJ84 HKN84 HKR84 HKV84 HKZ84 HLD84 HLH84 HLL84 HLP84 HLT84 HLX84 HMB84 HMF84 HMJ84 HMN84 HMR84 HMV84 HMZ84 HND84 HNH84 HNL84 HNP84 HNT84 HNX84 HOB84 HOF84 HOJ84 HON84 HOR84 HOV84 HOZ84 HPD84 HPH84 HPL84 HPP84 HPT84 HPX84 HQB84 HQF84 HQJ84 HQN84 HQR84 HQV84 HQZ84 HRD84 HRH84 HRL84 HRP84 HRT84 HRX84 HSB84 HSF84 HSJ84 HSN84 HSR84 HSV84 HSZ84 HTD84 HTH84 HTL84 HTP84 HTT84 HTX84 HUB84 HUF84 HUJ84 HUN84 HUR84 HUV84 HUZ84 HVD84 HVH84 HVL84 HVP84 HVT84 HVX84 HWB84 HWF84 HWJ84 HWN84 HWR84 HWV84 HWZ84 HXD84 HXH84 HXL84 HXP84 HXT84 HXX84 HYB84 HYF84 HYJ84 HYN84 HYR84 HYV84 HYZ84 HZD84 HZH84 HZL84 HZP84 HZT84 HZX84 IAB84 IAF84 IAJ84 IAN84 IAR84 IAV84 IAZ84 IBD84 IBH84 IBL84 IBP84 IBT84 IBX84 ICB84 ICF84 ICJ84 ICN84 ICR84 ICV84 ICZ84 IDD84 IDH84 IDL84 IDP84 IDT84 IDX84 IEB84 IEF84 IEJ84 IEN84 IER84 IEV84 IEZ84 IFD84 IFH84 IFL84 IFP84 IFT84 IFX84 IGB84 IGF84 IGJ84 IGN84 IGR84 IGV84 IGZ84 IHD84 IHH84 IHL84 IHP84 IHT84 IHX84 IIB84 IIF84 IIJ84 IIN84 IIR84 IIV84 IIZ84 IJD84 IJH84 IJL84 IJP84 IJT84 IJX84 IKB84 IKF84 IKJ84 IKN84 IKR84 IKV84 IKZ84 ILD84 ILH84 ILL84 ILP84 ILT84 ILX84 IMB84 IMF84 IMJ84 IMN84 IMR84 IMV84 IMZ84 IND84 INH84 INL84 INP84 INT84 INX84 IOB84 IOF84 IOJ84 ION84 IOR84 IOV84 IOZ84 IPD84 IPH84 IPL84 IPP84 IPT84 IPX84 IQB84 IQF84 IQJ84 IQN84 IQR84 IQV84 IQZ84 IRD84 IRH84 IRL84 IRP84 IRT84 IRX84 ISB84 ISF84 ISJ84 ISN84 ISR84 ISV84 ISZ84 ITD84 ITH84 ITL84 ITP84 ITT84 ITX84 IUB84 IUF84 IUJ84 IUN84 IUR84 IUV84 IUZ84 IVD84 IVH84 IVL84 IVP84 IVT84 IVX84 IWB84 IWF84 IWJ84 IWN84 IWR84 IWV84 IWZ84 IXD84 IXH84 IXL84 IXP84 IXT84 IXX84 IYB84 IYF84 IYJ84 IYN84 IYR84 IYV84 IYZ84 IZD84 IZH84 IZL84 IZP84 IZT84 IZX84 JAB84 JAF84 JAJ84 JAN84 JAR84 JAV84 JAZ84 JBD84 JBH84 JBL84 JBP84 JBT84 JBX84 JCB84 JCF84 JCJ84 JCN84 JCR84 JCV84 JCZ84 JDD84 JDH84 JDL84 JDP84 JDT84 JDX84 JEB84 JEF84 JEJ84 JEN84 JER84 JEV84 JEZ84 JFD84 JFH84 JFL84 JFP84 JFT84 JFX84 JGB84 JGF84 JGJ84 JGN84 JGR84 JGV84 JGZ84 JHD84 JHH84 JHL84 JHP84 JHT84 JHX84 JIB84 JIF84 JIJ84 JIN84 JIR84 JIV84 JIZ84 JJD84 JJH84 JJL84 JJP84 JJT84 JJX84 JKB84 JKF84 JKJ84 JKN84 JKR84 JKV84 JKZ84 JLD84 JLH84 JLL84 JLP84 JLT84 JLX84 JMB84 JMF84 JMJ84 JMN84 JMR84 JMV84 JMZ84 JND84 JNH84 JNL84 JNP84 JNT84 JNX84 JOB84 JOF84 JOJ84 JON84 JOR84 JOV84 JOZ84 JPD84 JPH84 JPL84 JPP84 JPT84 JPX84 JQB84 JQF84 JQJ84 JQN84 JQR84 JQV84 JQZ84 JRD84 JRH84 JRL84 JRP84 JRT84 JRX84 JSB84 JSF84 JSJ84 JSN84 JSR84 JSV84 JSZ84 JTD84 JTH84 JTL84 JTP84 JTT84 JTX84 JUB84 JUF84 JUJ84 JUN84 JUR84 JUV84 JUZ84 JVD84 JVH84 JVL84 JVP84 JVT84 JVX84 JWB84 JWF84 JWJ84 JWN84 JWR84 JWV84 JWZ84 JXD84 JXH84 JXL84 JXP84 JXT84 JXX84 JYB84 JYF84 JYJ84 JYN84 JYR84 JYV84 JYZ84 JZD84 JZH84 JZL84 JZP84 JZT84 JZX84 KAB84 KAF84 KAJ84 KAN84 KAR84 KAV84 KAZ84 KBD84 KBH84 KBL84 KBP84 KBT84 KBX84 KCB84 KCF84 KCJ84 KCN84 KCR84 KCV84 KCZ84 KDD84 KDH84 KDL84 KDP84 KDT84 KDX84 KEB84 KEF84 KEJ84 KEN84 KER84 KEV84 KEZ84 KFD84 KFH84 KFL84 KFP84 KFT84 KFX84 KGB84 KGF84 KGJ84 KGN84 KGR84 KGV84 KGZ84 KHD84 KHH84 KHL84 KHP84 KHT84 KHX84 KIB84 KIF84 KIJ84 KIN84 KIR84 KIV84 KIZ84 KJD84 KJH84 KJL84 KJP84 KJT84 KJX84 KKB84 KKF84 KKJ84 KKN84 KKR84 KKV84 KKZ84 KLD84 KLH84 KLL84 KLP84 KLT84 KLX84 KMB84 KMF84 KMJ84 KMN84 KMR84 KMV84 KMZ84 KND84 KNH84 KNL84 KNP84 KNT84 KNX84 KOB84 KOF84 KOJ84 KON84 KOR84 KOV84 KOZ84 KPD84 KPH84 KPL84 KPP84 KPT84 KPX84 KQB84 KQF84 KQJ84 KQN84 KQR84 KQV84 KQZ84 KRD84 KRH84 KRL84 KRP84 KRT84 KRX84 KSB84 KSF84 KSJ84 KSN84 KSR84 KSV84 KSZ84 KTD84 KTH84 KTL84 KTP84 KTT84 KTX84 KUB84 KUF84 KUJ84 KUN84 KUR84 KUV84 KUZ84 KVD84 KVH84 KVL84 KVP84 KVT84 KVX84 KWB84 KWF84 KWJ84 KWN84 KWR84 KWV84 KWZ84 KXD84 KXH84 KXL84 KXP84 KXT84 KXX84 KYB84 KYF84 KYJ84 KYN84 KYR84 KYV84 KYZ84 KZD84 KZH84 KZL84 KZP84 KZT84 KZX84 LAB84 LAF84 LAJ84 LAN84 LAR84 LAV84 LAZ84 LBD84 LBH84 LBL84 LBP84 LBT84 LBX84 LCB84 LCF84 LCJ84 LCN84 LCR84 LCV84 LCZ84 LDD84 LDH84 LDL84 LDP84 LDT84 LDX84 LEB84 LEF84 LEJ84 LEN84 LER84 LEV84 LEZ84 LFD84 LFH84 LFL84 LFP84 LFT84 LFX84 LGB84 LGF84 LGJ84 LGN84 LGR84 LGV84 LGZ84 LHD84 LHH84 LHL84 LHP84 LHT84 LHX84 LIB84 LIF84 LIJ84 LIN84 LIR84 LIV84 LIZ84 LJD84 LJH84 LJL84 LJP84 LJT84 LJX84 LKB84 LKF84 LKJ84 LKN84 LKR84 LKV84 LKZ84 LLD84 LLH84 LLL84 LLP84 LLT84 LLX84 LMB84 LMF84 LMJ84 LMN84 LMR84 LMV84 LMZ84 LND84 LNH84 LNL84 LNP84 LNT84 LNX84 LOB84 LOF84 LOJ84 LON84 LOR84 LOV84 LOZ84 LPD84 LPH84 LPL84 LPP84 LPT84 LPX84 LQB84 LQF84 LQJ84 LQN84 LQR84 LQV84 LQZ84 LRD84 LRH84 LRL84 LRP84 LRT84 LRX84 LSB84 LSF84 LSJ84 LSN84 LSR84 LSV84 LSZ84 LTD84 LTH84 LTL84 LTP84 LTT84 LTX84 LUB84 LUF84 LUJ84 LUN84 LUR84 LUV84 LUZ84 LVD84 LVH84 LVL84 LVP84 LVT84 LVX84 LWB84 LWF84 LWJ84 LWN84 LWR84 LWV84 LWZ84 LXD84 LXH84 LXL84 LXP84 LXT84 LXX84 LYB84 LYF84 LYJ84 LYN84 LYR84 LYV84 LYZ84 LZD84 LZH84 LZL84 LZP84 LZT84 LZX84 MAB84 MAF84 MAJ84 MAN84 MAR84 MAV84 MAZ84 MBD84 MBH84 MBL84 MBP84 MBT84 MBX84 MCB84 MCF84 MCJ84 MCN84 MCR84 MCV84 MCZ84 MDD84 MDH84 MDL84 MDP84 MDT84 MDX84 MEB84 MEF84 MEJ84 MEN84 MER84 MEV84 MEZ84 MFD84 MFH84 MFL84 MFP84 MFT84 MFX84 MGB84 MGF84 MGJ84 MGN84 MGR84 MGV84 MGZ84 MHD84 MHH84 MHL84 MHP84 MHT84 MHX84 MIB84 MIF84 MIJ84 MIN84 MIR84 MIV84 MIZ84 MJD84 MJH84 MJL84 MJP84 MJT84 MJX84 MKB84 MKF84 MKJ84 MKN84 MKR84 MKV84 MKZ84 MLD84 MLH84 MLL84 MLP84 MLT84 MLX84 MMB84 MMF84 MMJ84 MMN84 MMR84 MMV84 MMZ84 MND84 MNH84 MNL84 MNP84 MNT84 MNX84 MOB84 MOF84 MOJ84 MON84 MOR84 MOV84 MOZ84 MPD84 MPH84 MPL84 MPP84 MPT84 MPX84 MQB84 MQF84 MQJ84 MQN84 MQR84 MQV84 MQZ84 MRD84 MRH84 MRL84 MRP84 MRT84 MRX84 MSB84 MSF84 MSJ84 MSN84 MSR84 MSV84 MSZ84 MTD84 MTH84 MTL84 MTP84 MTT84 MTX84 MUB84 MUF84 MUJ84 MUN84 MUR84 MUV84 MUZ84 MVD84 MVH84 MVL84 MVP84 MVT84 MVX84 MWB84 MWF84 MWJ84 MWN84 MWR84 MWV84 MWZ84 MXD84 MXH84 MXL84 MXP84 MXT84 MXX84 MYB84 MYF84 MYJ84 MYN84 MYR84 MYV84 MYZ84 MZD84 MZH84 MZL84 MZP84 MZT84 MZX84 NAB84 NAF84 NAJ84 NAN84 NAR84 NAV84 NAZ84 NBD84 NBH84 NBL84 NBP84 NBT84 NBX84 NCB84 NCF84 NCJ84 NCN84 NCR84 NCV84 NCZ84 NDD84 NDH84 NDL84 NDP84 NDT84 NDX84 NEB84 NEF84 NEJ84 NEN84 NER84 NEV84 NEZ84 NFD84 NFH84 NFL84 NFP84 NFT84 NFX84 NGB84 NGF84 NGJ84 NGN84 NGR84 NGV84 NGZ84 NHD84 NHH84 NHL84 NHP84 NHT84 NHX84 NIB84 NIF84 NIJ84 NIN84 NIR84 NIV84 NIZ84 NJD84 NJH84 NJL84 NJP84 NJT84 NJX84 NKB84 NKF84 NKJ84 NKN84 NKR84 NKV84 NKZ84 NLD84 NLH84 NLL84 NLP84 NLT84 NLX84 NMB84 NMF84 NMJ84 NMN84 NMR84 NMV84 NMZ84 NND84 NNH84 NNL84 NNP84 NNT84 NNX84 NOB84 NOF84 NOJ84 NON84 NOR84 NOV84 NOZ84 NPD84 NPH84 NPL84 NPP84 NPT84 NPX84 NQB84 NQF84 NQJ84 NQN84 NQR84 NQV84 NQZ84 NRD84 NRH84 NRL84 NRP84 NRT84 NRX84 NSB84 NSF84 NSJ84 NSN84 NSR84 NSV84 NSZ84 NTD84 NTH84 NTL84 NTP84 NTT84 NTX84 NUB84 NUF84 NUJ84 NUN84 NUR84 NUV84 NUZ84 NVD84 NVH84 NVL84 NVP84 NVT84 NVX84 NWB84 NWF84 NWJ84 NWN84 NWR84 NWV84 NWZ84 NXD84 NXH84 NXL84 NXP84 NXT84 NXX84 NYB84 NYF84 NYJ84 NYN84 NYR84 NYV84 NYZ84 NZD84 NZH84 NZL84 NZP84 NZT84 NZX84 OAB84 OAF84 OAJ84 OAN84 OAR84 OAV84 OAZ84 OBD84 OBH84 OBL84 OBP84 OBT84 OBX84 OCB84 OCF84 OCJ84 OCN84 OCR84 OCV84 OCZ84 ODD84 ODH84 ODL84 ODP84 ODT84 ODX84 OEB84 OEF84 OEJ84 OEN84 OER84 OEV84 OEZ84 OFD84 OFH84 OFL84 OFP84 OFT84 OFX84 OGB84 OGF84 OGJ84 OGN84 OGR84 OGV84 OGZ84 OHD84 OHH84 OHL84 OHP84 OHT84 OHX84 OIB84 OIF84 OIJ84 OIN84 OIR84 OIV84 OIZ84 OJD84 OJH84 OJL84 OJP84 OJT84 OJX84 OKB84 OKF84 OKJ84 OKN84 OKR84 OKV84 OKZ84 OLD84 OLH84 OLL84 OLP84 OLT84 OLX84 OMB84 OMF84 OMJ84 OMN84 OMR84 OMV84 OMZ84 OND84 ONH84 ONL84 ONP84 ONT84 ONX84 OOB84 OOF84 OOJ84 OON84 OOR84 OOV84 OOZ84 OPD84 OPH84 OPL84 OPP84 OPT84 OPX84 OQB84 OQF84 OQJ84 OQN84 OQR84 OQV84 OQZ84 ORD84 ORH84 ORL84 ORP84 ORT84 ORX84 OSB84 OSF84 OSJ84 OSN84 OSR84 OSV84 OSZ84 OTD84 OTH84 OTL84 OTP84 OTT84 OTX84 OUB84 OUF84 OUJ84 OUN84 OUR84 OUV84 OUZ84 OVD84 OVH84 OVL84 OVP84 OVT84 OVX84 OWB84 OWF84 OWJ84 OWN84 OWR84 OWV84 OWZ84 OXD84 OXH84 OXL84 OXP84 OXT84 OXX84 OYB84 OYF84 OYJ84 OYN84 OYR84 OYV84 OYZ84 OZD84 OZH84 OZL84 OZP84 OZT84 OZX84 PAB84 PAF84 PAJ84 PAN84 PAR84 PAV84 PAZ84 PBD84 PBH84 PBL84 PBP84 PBT84 PBX84 PCB84 PCF84 PCJ84 PCN84 PCR84 PCV84 PCZ84 PDD84 PDH84 PDL84 PDP84 PDT84 PDX84 PEB84 PEF84 PEJ84 PEN84 PER84 PEV84 PEZ84 PFD84 PFH84 PFL84 PFP84 PFT84 PFX84 PGB84 PGF84 PGJ84 PGN84 PGR84 PGV84 PGZ84 PHD84 PHH84 PHL84 PHP84 PHT84 PHX84 PIB84 PIF84 PIJ84 PIN84 PIR84 PIV84 PIZ84 PJD84 PJH84 PJL84 PJP84 PJT84 PJX84 PKB84 PKF84 PKJ84 PKN84 PKR84 PKV84 PKZ84 PLD84 PLH84 PLL84 PLP84 PLT84 PLX84 PMB84 PMF84 PMJ84 PMN84 PMR84 PMV84 PMZ84 PND84 PNH84 PNL84 PNP84 PNT84 PNX84 POB84 POF84 POJ84 PON84 POR84 POV84 POZ84 PPD84 PPH84 PPL84 PPP84 PPT84 PPX84 PQB84 PQF84 PQJ84 PQN84 PQR84 PQV84 PQZ84 PRD84 PRH84 PRL84 PRP84 PRT84 PRX84 PSB84 PSF84 PSJ84 PSN84 PSR84 PSV84 PSZ84 PTD84 PTH84 PTL84 PTP84 PTT84 PTX84 PUB84 PUF84 PUJ84 PUN84 PUR84 PUV84 PUZ84 PVD84 PVH84 PVL84 PVP84 PVT84 PVX84 PWB84 PWF84 PWJ84 PWN84 PWR84 PWV84 PWZ84 PXD84 PXH84 PXL84 PXP84 PXT84 PXX84 PYB84 PYF84 PYJ84 PYN84 PYR84 PYV84 PYZ84 PZD84 PZH84 PZL84 PZP84 PZT84 PZX84 QAB84 QAF84 QAJ84 QAN84 QAR84 QAV84 QAZ84 QBD84 QBH84 QBL84 QBP84 QBT84 QBX84 QCB84 QCF84 QCJ84 QCN84 QCR84 QCV84 QCZ84 QDD84 QDH84 QDL84 QDP84 QDT84 QDX84 QEB84 QEF84 QEJ84 QEN84 QER84 QEV84 QEZ84 QFD84 QFH84 QFL84 QFP84 QFT84 QFX84 QGB84 QGF84 QGJ84 QGN84 QGR84 QGV84 QGZ84 QHD84 QHH84 QHL84 QHP84 QHT84 QHX84 QIB84 QIF84 QIJ84 QIN84 QIR84 QIV84 QIZ84 QJD84 QJH84 QJL84 QJP84 QJT84 QJX84 QKB84 QKF84 QKJ84 QKN84 QKR84 QKV84 QKZ84 QLD84 QLH84 QLL84 QLP84 QLT84 QLX84 QMB84 QMF84 QMJ84 QMN84 QMR84 QMV84 QMZ84 QND84 QNH84 QNL84 QNP84 QNT84 QNX84 QOB84 QOF84 QOJ84 QON84 QOR84 QOV84 QOZ84 QPD84 QPH84 QPL84 QPP84 QPT84 QPX84 QQB84 QQF84 QQJ84 QQN84 QQR84 QQV84 QQZ84 QRD84 QRH84 QRL84 QRP84 QRT84 QRX84 QSB84 QSF84 QSJ84 QSN84 QSR84 QSV84 QSZ84 QTD84 QTH84 QTL84 QTP84 QTT84 QTX84 QUB84 QUF84 QUJ84 QUN84 QUR84 QUV84 QUZ84 QVD84 QVH84 QVL84 QVP84 QVT84 QVX84 QWB84 QWF84 QWJ84 QWN84 QWR84 QWV84 QWZ84 QXD84 QXH84 QXL84 QXP84 QXT84 QXX84 QYB84 QYF84 QYJ84 QYN84 QYR84 QYV84 QYZ84 QZD84 QZH84 QZL84 QZP84 QZT84 QZX84 RAB84 RAF84 RAJ84 RAN84 RAR84 RAV84 RAZ84 RBD84 RBH84 RBL84 RBP84 RBT84 RBX84 RCB84 RCF84 RCJ84 RCN84 RCR84 RCV84 RCZ84 RDD84 RDH84 RDL84 RDP84 RDT84 RDX84 REB84 REF84 REJ84 REN84 RER84 REV84 REZ84 RFD84 RFH84 RFL84 RFP84 RFT84 RFX84 RGB84 RGF84 RGJ84 RGN84 RGR84 RGV84 RGZ84 RHD84 RHH84 RHL84 RHP84 RHT84 RHX84 RIB84 RIF84 RIJ84 RIN84 RIR84 RIV84 RIZ84 RJD84 RJH84 RJL84 RJP84 RJT84 RJX84 RKB84 RKF84 RKJ84 RKN84 RKR84 RKV84 RKZ84 RLD84 RLH84 RLL84 RLP84 RLT84 RLX84 RMB84 RMF84 RMJ84 RMN84 RMR84 RMV84 RMZ84 RND84 RNH84 RNL84 RNP84 RNT84 RNX84 ROB84 ROF84 ROJ84 RON84 ROR84 ROV84 ROZ84 RPD84 RPH84 RPL84 RPP84 RPT84 RPX84 RQB84 RQF84 RQJ84 RQN84 RQR84 RQV84 RQZ84 RRD84 RRH84 RRL84 RRP84 RRT84 RRX84 RSB84 RSF84 RSJ84 RSN84 RSR84 RSV84 RSZ84 RTD84 RTH84 RTL84 RTP84 RTT84 RTX84 RUB84 RUF84 RUJ84 RUN84 RUR84 RUV84 RUZ84 RVD84 RVH84 RVL84 RVP84 RVT84 RVX84 RWB84 RWF84 RWJ84 RWN84 RWR84 RWV84 RWZ84 RXD84 RXH84 RXL84 RXP84 RXT84 RXX84 RYB84 RYF84 RYJ84 RYN84 RYR84 RYV84 RYZ84 RZD84 RZH84 RZL84 RZP84 RZT84 RZX84 SAB84 SAF84 SAJ84 SAN84 SAR84 SAV84 SAZ84 SBD84 SBH84 SBL84 SBP84 SBT84 SBX84 SCB84 SCF84 SCJ84 SCN84 SCR84 SCV84 SCZ84 SDD84 SDH84 SDL84 SDP84 SDT84 SDX84 SEB84 SEF84 SEJ84 SEN84 SER84 SEV84 SEZ84 SFD84 SFH84 SFL84 SFP84 SFT84 SFX84 SGB84 SGF84 SGJ84 SGN84 SGR84 SGV84 SGZ84 SHD84 SHH84 SHL84 SHP84 SHT84 SHX84 SIB84 SIF84 SIJ84 SIN84 SIR84 SIV84 SIZ84 SJD84 SJH84 SJL84 SJP84 SJT84 SJX84 SKB84 SKF84 SKJ84 SKN84 SKR84 SKV84 SKZ84 SLD84 SLH84 SLL84 SLP84 SLT84 SLX84 SMB84 SMF84 SMJ84 SMN84 SMR84 SMV84 SMZ84 SND84 SNH84 SNL84 SNP84 SNT84 SNX84 SOB84 SOF84 SOJ84 SON84 SOR84 SOV84 SOZ84 SPD84 SPH84 SPL84 SPP84 SPT84 SPX84 SQB84 SQF84 SQJ84 SQN84 SQR84 SQV84 SQZ84 SRD84 SRH84 SRL84 SRP84 SRT84 SRX84 SSB84 SSF84 SSJ84 SSN84 SSR84 SSV84 SSZ84 STD84 STH84 STL84 STP84 STT84 STX84 SUB84 SUF84 SUJ84 SUN84 SUR84 SUV84 SUZ84 SVD84 SVH84 SVL84 SVP84 SVT84 SVX84 SWB84 SWF84 SWJ84 SWN84 SWR84 SWV84 SWZ84 SXD84 SXH84 SXL84 SXP84 SXT84 SXX84 SYB84 SYF84 SYJ84 SYN84 SYR84 SYV84 SYZ84 SZD84 SZH84 SZL84 SZP84 SZT84 SZX84 TAB84 TAF84 TAJ84 TAN84 TAR84 TAV84 TAZ84 TBD84 TBH84 TBL84 TBP84 TBT84 TBX84 TCB84 TCF84 TCJ84 TCN84 TCR84 TCV84 TCZ84 TDD84 TDH84 TDL84 TDP84 TDT84 TDX84 TEB84 TEF84 TEJ84 TEN84 TER84 TEV84 TEZ84 TFD84 TFH84 TFL84 TFP84 TFT84 TFX84 TGB84 TGF84 TGJ84 TGN84 TGR84 TGV84 TGZ84 THD84 THH84 THL84 THP84 THT84 THX84 TIB84 TIF84 TIJ84 TIN84 TIR84 TIV84 TIZ84 TJD84 TJH84 TJL84 TJP84 TJT84 TJX84 TKB84 TKF84 TKJ84 TKN84 TKR84 TKV84 TKZ84 TLD84 TLH84 TLL84 TLP84 TLT84 TLX84 TMB84 TMF84 TMJ84 TMN84 TMR84 TMV84 TMZ84 TND84 TNH84 TNL84 TNP84 TNT84 TNX84 TOB84 TOF84 TOJ84 TON84 TOR84 TOV84 TOZ84 TPD84 TPH84 TPL84 TPP84 TPT84 TPX84 TQB84 TQF84 TQJ84 TQN84 TQR84 TQV84 TQZ84 TRD84 TRH84 TRL84 TRP84 TRT84 TRX84 TSB84 TSF84 TSJ84 TSN84 TSR84 TSV84 TSZ84 TTD84 TTH84 TTL84 TTP84 TTT84 TTX84 TUB84 TUF84 TUJ84 TUN84 TUR84 TUV84 TUZ84 TVD84 TVH84 TVL84 TVP84 TVT84 TVX84 TWB84 TWF84 TWJ84 TWN84 TWR84 TWV84 TWZ84 TXD84 TXH84 TXL84 TXP84 TXT84 TXX84 TYB84 TYF84 TYJ84 TYN84 TYR84 TYV84 TYZ84 TZD84 TZH84 TZL84 TZP84 TZT84 TZX84 UAB84 UAF84 UAJ84 UAN84 UAR84 UAV84 UAZ84 UBD84 UBH84 UBL84 UBP84 UBT84 UBX84 UCB84 UCF84 UCJ84 UCN84 UCR84 UCV84 UCZ84 UDD84 UDH84 UDL84 UDP84 UDT84 UDX84 UEB84 UEF84 UEJ84 UEN84 UER84 UEV84 UEZ84 UFD84 UFH84 UFL84 UFP84 UFT84 UFX84 UGB84 UGF84 UGJ84 UGN84 UGR84 UGV84 UGZ84 UHD84 UHH84 UHL84 UHP84 UHT84 UHX84 UIB84 UIF84 UIJ84 UIN84 UIR84 UIV84 UIZ84 UJD84 UJH84 UJL84 UJP84 UJT84 UJX84 UKB84 UKF84 UKJ84 UKN84 UKR84 UKV84 UKZ84 ULD84 ULH84 ULL84 ULP84 ULT84 ULX84 UMB84 UMF84 UMJ84 UMN84 UMR84 UMV84 UMZ84 UND84 UNH84 UNL84 UNP84 UNT84 UNX84 UOB84 UOF84 UOJ84 UON84 UOR84 UOV84 UOZ84 UPD84 UPH84 UPL84 UPP84 UPT84 UPX84 UQB84 UQF84 UQJ84 UQN84 UQR84 UQV84 UQZ84 URD84 URH84 URL84 URP84 URT84 URX84 USB84 USF84 USJ84 USN84 USR84 USV84 USZ84 UTD84 UTH84 UTL84 UTP84 UTT84 UTX84 UUB84 UUF84 UUJ84 UUN84 UUR84 UUV84 UUZ84 UVD84 UVH84 UVL84 UVP84 UVT84 UVX84 UWB84 UWF84 UWJ84 UWN84 UWR84 UWV84 UWZ84 UXD84 UXH84 UXL84 UXP84 UXT84 UXX84 UYB84 UYF84 UYJ84 UYN84 UYR84 UYV84 UYZ84 UZD84 UZH84 UZL84 UZP84 UZT84 UZX84 VAB84 VAF84 VAJ84 VAN84 VAR84 VAV84 VAZ84 VBD84 VBH84 VBL84 VBP84 VBT84 VBX84 VCB84 VCF84 VCJ84 VCN84 VCR84 VCV84 VCZ84 VDD84 VDH84 VDL84 VDP84 VDT84 VDX84 VEB84 VEF84 VEJ84 VEN84 VER84 VEV84 VEZ84 VFD84 VFH84 VFL84 VFP84 VFT84 VFX84 VGB84 VGF84 VGJ84 VGN84 VGR84 VGV84 VGZ84 VHD84 VHH84 VHL84 VHP84 VHT84 VHX84 VIB84 VIF84 VIJ84 VIN84 VIR84 VIV84 VIZ84 VJD84 VJH84 VJL84 VJP84 VJT84 VJX84 VKB84 VKF84 VKJ84 VKN84 VKR84 VKV84 VKZ84 VLD84 VLH84 VLL84 VLP84 VLT84 VLX84 VMB84 VMF84 VMJ84 VMN84 VMR84 VMV84 VMZ84 VND84 VNH84 VNL84 VNP84 VNT84 VNX84 VOB84 VOF84 VOJ84 VON84 VOR84 VOV84 VOZ84 VPD84 VPH84 VPL84 VPP84 VPT84 VPX84 VQB84 VQF84 VQJ84 VQN84 VQR84 VQV84 VQZ84 VRD84 VRH84 VRL84 VRP84 VRT84 VRX84 VSB84 VSF84 VSJ84 VSN84 VSR84 VSV84 VSZ84 VTD84 VTH84 VTL84 VTP84 VTT84 VTX84 VUB84 VUF84 VUJ84 VUN84 VUR84 VUV84 VUZ84 VVD84 VVH84 VVL84 VVP84 VVT84 VVX84 VWB84 VWF84 VWJ84 VWN84 VWR84 VWV84 VWZ84 VXD84 VXH84 VXL84 VXP84 VXT84 VXX84 VYB84 VYF84 VYJ84 VYN84 VYR84 VYV84 VYZ84 VZD84 VZH84 VZL84 VZP84 VZT84 VZX84 WAB84 WAF84 WAJ84 WAN84 WAR84 WAV84 WAZ84 WBD84 WBH84 WBL84 WBP84 WBT84 WBX84 WCB84 WCF84 WCJ84 WCN84 WCR84 WCV84 WCZ84 WDD84 WDH84 WDL84 WDP84 WDT84 WDX84 WEB84 WEF84 WEJ84 WEN84 WER84 WEV84 WEZ84 WFD84 WFH84 WFL84 WFP84 WFT84 WFX84 WGB84 WGF84 WGJ84 WGN84 WGR84 WGV84 WGZ84 WHD84 WHH84 WHL84 WHP84 WHT84 WHX84 WIB84 WIF84 WIJ84 WIN84 WIR84 WIV84 WIZ84 WJD84 WJH84 WJL84 WJP84 WJT84 WJX84 WKB84 WKF84 WKJ84 WKN84 WKR84 WKV84 WKZ84 WLD84 WLH84 WLL84 WLP84 WLT84 WLX84 WMB84 WMF84 WMJ84 WMN84 WMR84 WMV84 WMZ84 WND84 WNH84 WNL84 WNP84 WNT84 WNX84 WOB84 WOF84 WOJ84 WON84 WOR84 WOV84 WOZ84 WPD84 WPH84 WPL84 WPP84 WPT84 WPX84 WQB84 WQF84 WQJ84 WQN84 WQR84 WQV84 WQZ84 WRD84 WRH84 WRL84 WRP84 WRT84 WRX84 WSB84 WSF84 WSJ84 WSN84 WSR84 WSV84 WSZ84 WTD84 WTH84 WTL84 WTP84 WTT84 WTX84 WUB84 WUF84 WUJ84 WUN84 WUR84 WUV84 WUZ84 WVD84 WVH84 WVL84 WVP84 WVT84 WVX84 WWB84 WWF84 WWJ84 WWN84 WWR84 WWV84 WWZ84 WXD84 WXH84 WXL84 WXP84 WXT84 WXX84 WYB84 WYF84 WYJ84 WYN84 WYR84 WYV84 WYZ84 WZD84 WZH84 WZL84 WZP84 WZT84 WZX84 XAB84 XAF84 XAJ84 XAN84 XAR84 XAV84 XAZ84 XBD84 XBH84 XBL84 XBP84 XBT84 XBX84 XCB84 XCF84 XCJ84 XCN84 XCR84 XCV84 XCZ84 XDD84 XDH84 XDL84 XDP84 XDT84 XDX84 XEB84 XEF84 XEJ84 XEN84 XER84 XEV84 XEZ84 XFD84</xm:sqref>
        </x14:conditionalFormatting>
        <x14:conditionalFormatting xmlns:xm="http://schemas.microsoft.com/office/excel/2006/main">
          <x14:cfRule type="dataBar" id="{F03B087C-33B2-4769-BB50-CD8486AA558C}">
            <x14:dataBar minLength="0" maxLength="100" border="1" negativeBarBorderColorSameAsPositive="0">
              <x14:cfvo type="autoMin"/>
              <x14:cfvo type="autoMax"/>
              <x14:borderColor rgb="FF63C384"/>
              <x14:negativeFillColor rgb="FFFF0000"/>
              <x14:negativeBorderColor rgb="FFFF0000"/>
              <x14:axisColor rgb="FF000000"/>
            </x14:dataBar>
          </x14:cfRule>
          <xm:sqref>D84</xm:sqref>
        </x14:conditionalFormatting>
        <x14:conditionalFormatting xmlns:xm="http://schemas.microsoft.com/office/excel/2006/main">
          <x14:cfRule type="dataBar" id="{A94E779A-AD5F-4735-88DD-C7A9815DF517}">
            <x14:dataBar minLength="0" maxLength="100" border="1" negativeBarBorderColorSameAsPositive="0">
              <x14:cfvo type="autoMin"/>
              <x14:cfvo type="autoMax"/>
              <x14:borderColor rgb="FF63C384"/>
              <x14:negativeFillColor rgb="FFFF0000"/>
              <x14:negativeBorderColor rgb="FFFF0000"/>
              <x14:axisColor rgb="FF000000"/>
            </x14:dataBar>
          </x14:cfRule>
          <xm:sqref>H92 L92 P92 T92 X92 AB92 AF92 AJ92 AN92 AR92 AV92 AZ92 BD92 BH92 BL92 BP92 BT92 BX92 CB92 CF92 CJ92 CN92 CR92 CV92 CZ92 DD92 DH92 DL92 DP92 DT92 DX92 EB92 EF92 EJ92 EN92 ER92 EV92 EZ92 FD92 FH92 FL92 FP92 FT92 FX92 GB92 GF92 GJ92 GN92 GR92 GV92 GZ92 HD92 HH92 HL92 HP92 HT92 HX92 IB92 IF92 IJ92 IN92 IR92 IV92 IZ92 JD92 JH92 JL92 JP92 JT92 JX92 KB92 KF92 KJ92 KN92 KR92 KV92 KZ92 LD92 LH92 LL92 LP92 LT92 LX92 MB92 MF92 MJ92 MN92 MR92 MV92 MZ92 ND92 NH92 NL92 NP92 NT92 NX92 OB92 OF92 OJ92 ON92 OR92 OV92 OZ92 PD92 PH92 PL92 PP92 PT92 PX92 QB92 QF92 QJ92 QN92 QR92 QV92 QZ92 RD92 RH92 RL92 RP92 RT92 RX92 SB92 SF92 SJ92 SN92 SR92 SV92 SZ92 TD92 TH92 TL92 TP92 TT92 TX92 UB92 UF92 UJ92 UN92 UR92 UV92 UZ92 VD92 VH92 VL92 VP92 VT92 VX92 WB92 WF92 WJ92 WN92 WR92 WV92 WZ92 XD92 XH92 XL92 XP92 XT92 XX92 YB92 YF92 YJ92 YN92 YR92 YV92 YZ92 ZD92 ZH92 ZL92 ZP92 ZT92 ZX92 AAB92 AAF92 AAJ92 AAN92 AAR92 AAV92 AAZ92 ABD92 ABH92 ABL92 ABP92 ABT92 ABX92 ACB92 ACF92 ACJ92 ACN92 ACR92 ACV92 ACZ92 ADD92 ADH92 ADL92 ADP92 ADT92 ADX92 AEB92 AEF92 AEJ92 AEN92 AER92 AEV92 AEZ92 AFD92 AFH92 AFL92 AFP92 AFT92 AFX92 AGB92 AGF92 AGJ92 AGN92 AGR92 AGV92 AGZ92 AHD92 AHH92 AHL92 AHP92 AHT92 AHX92 AIB92 AIF92 AIJ92 AIN92 AIR92 AIV92 AIZ92 AJD92 AJH92 AJL92 AJP92 AJT92 AJX92 AKB92 AKF92 AKJ92 AKN92 AKR92 AKV92 AKZ92 ALD92 ALH92 ALL92 ALP92 ALT92 ALX92 AMB92 AMF92 AMJ92 AMN92 AMR92 AMV92 AMZ92 AND92 ANH92 ANL92 ANP92 ANT92 ANX92 AOB92 AOF92 AOJ92 AON92 AOR92 AOV92 AOZ92 APD92 APH92 APL92 APP92 APT92 APX92 AQB92 AQF92 AQJ92 AQN92 AQR92 AQV92 AQZ92 ARD92 ARH92 ARL92 ARP92 ART92 ARX92 ASB92 ASF92 ASJ92 ASN92 ASR92 ASV92 ASZ92 ATD92 ATH92 ATL92 ATP92 ATT92 ATX92 AUB92 AUF92 AUJ92 AUN92 AUR92 AUV92 AUZ92 AVD92 AVH92 AVL92 AVP92 AVT92 AVX92 AWB92 AWF92 AWJ92 AWN92 AWR92 AWV92 AWZ92 AXD92 AXH92 AXL92 AXP92 AXT92 AXX92 AYB92 AYF92 AYJ92 AYN92 AYR92 AYV92 AYZ92 AZD92 AZH92 AZL92 AZP92 AZT92 AZX92 BAB92 BAF92 BAJ92 BAN92 BAR92 BAV92 BAZ92 BBD92 BBH92 BBL92 BBP92 BBT92 BBX92 BCB92 BCF92 BCJ92 BCN92 BCR92 BCV92 BCZ92 BDD92 BDH92 BDL92 BDP92 BDT92 BDX92 BEB92 BEF92 BEJ92 BEN92 BER92 BEV92 BEZ92 BFD92 BFH92 BFL92 BFP92 BFT92 BFX92 BGB92 BGF92 BGJ92 BGN92 BGR92 BGV92 BGZ92 BHD92 BHH92 BHL92 BHP92 BHT92 BHX92 BIB92 BIF92 BIJ92 BIN92 BIR92 BIV92 BIZ92 BJD92 BJH92 BJL92 BJP92 BJT92 BJX92 BKB92 BKF92 BKJ92 BKN92 BKR92 BKV92 BKZ92 BLD92 BLH92 BLL92 BLP92 BLT92 BLX92 BMB92 BMF92 BMJ92 BMN92 BMR92 BMV92 BMZ92 BND92 BNH92 BNL92 BNP92 BNT92 BNX92 BOB92 BOF92 BOJ92 BON92 BOR92 BOV92 BOZ92 BPD92 BPH92 BPL92 BPP92 BPT92 BPX92 BQB92 BQF92 BQJ92 BQN92 BQR92 BQV92 BQZ92 BRD92 BRH92 BRL92 BRP92 BRT92 BRX92 BSB92 BSF92 BSJ92 BSN92 BSR92 BSV92 BSZ92 BTD92 BTH92 BTL92 BTP92 BTT92 BTX92 BUB92 BUF92 BUJ92 BUN92 BUR92 BUV92 BUZ92 BVD92 BVH92 BVL92 BVP92 BVT92 BVX92 BWB92 BWF92 BWJ92 BWN92 BWR92 BWV92 BWZ92 BXD92 BXH92 BXL92 BXP92 BXT92 BXX92 BYB92 BYF92 BYJ92 BYN92 BYR92 BYV92 BYZ92 BZD92 BZH92 BZL92 BZP92 BZT92 BZX92 CAB92 CAF92 CAJ92 CAN92 CAR92 CAV92 CAZ92 CBD92 CBH92 CBL92 CBP92 CBT92 CBX92 CCB92 CCF92 CCJ92 CCN92 CCR92 CCV92 CCZ92 CDD92 CDH92 CDL92 CDP92 CDT92 CDX92 CEB92 CEF92 CEJ92 CEN92 CER92 CEV92 CEZ92 CFD92 CFH92 CFL92 CFP92 CFT92 CFX92 CGB92 CGF92 CGJ92 CGN92 CGR92 CGV92 CGZ92 CHD92 CHH92 CHL92 CHP92 CHT92 CHX92 CIB92 CIF92 CIJ92 CIN92 CIR92 CIV92 CIZ92 CJD92 CJH92 CJL92 CJP92 CJT92 CJX92 CKB92 CKF92 CKJ92 CKN92 CKR92 CKV92 CKZ92 CLD92 CLH92 CLL92 CLP92 CLT92 CLX92 CMB92 CMF92 CMJ92 CMN92 CMR92 CMV92 CMZ92 CND92 CNH92 CNL92 CNP92 CNT92 CNX92 COB92 COF92 COJ92 CON92 COR92 COV92 COZ92 CPD92 CPH92 CPL92 CPP92 CPT92 CPX92 CQB92 CQF92 CQJ92 CQN92 CQR92 CQV92 CQZ92 CRD92 CRH92 CRL92 CRP92 CRT92 CRX92 CSB92 CSF92 CSJ92 CSN92 CSR92 CSV92 CSZ92 CTD92 CTH92 CTL92 CTP92 CTT92 CTX92 CUB92 CUF92 CUJ92 CUN92 CUR92 CUV92 CUZ92 CVD92 CVH92 CVL92 CVP92 CVT92 CVX92 CWB92 CWF92 CWJ92 CWN92 CWR92 CWV92 CWZ92 CXD92 CXH92 CXL92 CXP92 CXT92 CXX92 CYB92 CYF92 CYJ92 CYN92 CYR92 CYV92 CYZ92 CZD92 CZH92 CZL92 CZP92 CZT92 CZX92 DAB92 DAF92 DAJ92 DAN92 DAR92 DAV92 DAZ92 DBD92 DBH92 DBL92 DBP92 DBT92 DBX92 DCB92 DCF92 DCJ92 DCN92 DCR92 DCV92 DCZ92 DDD92 DDH92 DDL92 DDP92 DDT92 DDX92 DEB92 DEF92 DEJ92 DEN92 DER92 DEV92 DEZ92 DFD92 DFH92 DFL92 DFP92 DFT92 DFX92 DGB92 DGF92 DGJ92 DGN92 DGR92 DGV92 DGZ92 DHD92 DHH92 DHL92 DHP92 DHT92 DHX92 DIB92 DIF92 DIJ92 DIN92 DIR92 DIV92 DIZ92 DJD92 DJH92 DJL92 DJP92 DJT92 DJX92 DKB92 DKF92 DKJ92 DKN92 DKR92 DKV92 DKZ92 DLD92 DLH92 DLL92 DLP92 DLT92 DLX92 DMB92 DMF92 DMJ92 DMN92 DMR92 DMV92 DMZ92 DND92 DNH92 DNL92 DNP92 DNT92 DNX92 DOB92 DOF92 DOJ92 DON92 DOR92 DOV92 DOZ92 DPD92 DPH92 DPL92 DPP92 DPT92 DPX92 DQB92 DQF92 DQJ92 DQN92 DQR92 DQV92 DQZ92 DRD92 DRH92 DRL92 DRP92 DRT92 DRX92 DSB92 DSF92 DSJ92 DSN92 DSR92 DSV92 DSZ92 DTD92 DTH92 DTL92 DTP92 DTT92 DTX92 DUB92 DUF92 DUJ92 DUN92 DUR92 DUV92 DUZ92 DVD92 DVH92 DVL92 DVP92 DVT92 DVX92 DWB92 DWF92 DWJ92 DWN92 DWR92 DWV92 DWZ92 DXD92 DXH92 DXL92 DXP92 DXT92 DXX92 DYB92 DYF92 DYJ92 DYN92 DYR92 DYV92 DYZ92 DZD92 DZH92 DZL92 DZP92 DZT92 DZX92 EAB92 EAF92 EAJ92 EAN92 EAR92 EAV92 EAZ92 EBD92 EBH92 EBL92 EBP92 EBT92 EBX92 ECB92 ECF92 ECJ92 ECN92 ECR92 ECV92 ECZ92 EDD92 EDH92 EDL92 EDP92 EDT92 EDX92 EEB92 EEF92 EEJ92 EEN92 EER92 EEV92 EEZ92 EFD92 EFH92 EFL92 EFP92 EFT92 EFX92 EGB92 EGF92 EGJ92 EGN92 EGR92 EGV92 EGZ92 EHD92 EHH92 EHL92 EHP92 EHT92 EHX92 EIB92 EIF92 EIJ92 EIN92 EIR92 EIV92 EIZ92 EJD92 EJH92 EJL92 EJP92 EJT92 EJX92 EKB92 EKF92 EKJ92 EKN92 EKR92 EKV92 EKZ92 ELD92 ELH92 ELL92 ELP92 ELT92 ELX92 EMB92 EMF92 EMJ92 EMN92 EMR92 EMV92 EMZ92 END92 ENH92 ENL92 ENP92 ENT92 ENX92 EOB92 EOF92 EOJ92 EON92 EOR92 EOV92 EOZ92 EPD92 EPH92 EPL92 EPP92 EPT92 EPX92 EQB92 EQF92 EQJ92 EQN92 EQR92 EQV92 EQZ92 ERD92 ERH92 ERL92 ERP92 ERT92 ERX92 ESB92 ESF92 ESJ92 ESN92 ESR92 ESV92 ESZ92 ETD92 ETH92 ETL92 ETP92 ETT92 ETX92 EUB92 EUF92 EUJ92 EUN92 EUR92 EUV92 EUZ92 EVD92 EVH92 EVL92 EVP92 EVT92 EVX92 EWB92 EWF92 EWJ92 EWN92 EWR92 EWV92 EWZ92 EXD92 EXH92 EXL92 EXP92 EXT92 EXX92 EYB92 EYF92 EYJ92 EYN92 EYR92 EYV92 EYZ92 EZD92 EZH92 EZL92 EZP92 EZT92 EZX92 FAB92 FAF92 FAJ92 FAN92 FAR92 FAV92 FAZ92 FBD92 FBH92 FBL92 FBP92 FBT92 FBX92 FCB92 FCF92 FCJ92 FCN92 FCR92 FCV92 FCZ92 FDD92 FDH92 FDL92 FDP92 FDT92 FDX92 FEB92 FEF92 FEJ92 FEN92 FER92 FEV92 FEZ92 FFD92 FFH92 FFL92 FFP92 FFT92 FFX92 FGB92 FGF92 FGJ92 FGN92 FGR92 FGV92 FGZ92 FHD92 FHH92 FHL92 FHP92 FHT92 FHX92 FIB92 FIF92 FIJ92 FIN92 FIR92 FIV92 FIZ92 FJD92 FJH92 FJL92 FJP92 FJT92 FJX92 FKB92 FKF92 FKJ92 FKN92 FKR92 FKV92 FKZ92 FLD92 FLH92 FLL92 FLP92 FLT92 FLX92 FMB92 FMF92 FMJ92 FMN92 FMR92 FMV92 FMZ92 FND92 FNH92 FNL92 FNP92 FNT92 FNX92 FOB92 FOF92 FOJ92 FON92 FOR92 FOV92 FOZ92 FPD92 FPH92 FPL92 FPP92 FPT92 FPX92 FQB92 FQF92 FQJ92 FQN92 FQR92 FQV92 FQZ92 FRD92 FRH92 FRL92 FRP92 FRT92 FRX92 FSB92 FSF92 FSJ92 FSN92 FSR92 FSV92 FSZ92 FTD92 FTH92 FTL92 FTP92 FTT92 FTX92 FUB92 FUF92 FUJ92 FUN92 FUR92 FUV92 FUZ92 FVD92 FVH92 FVL92 FVP92 FVT92 FVX92 FWB92 FWF92 FWJ92 FWN92 FWR92 FWV92 FWZ92 FXD92 FXH92 FXL92 FXP92 FXT92 FXX92 FYB92 FYF92 FYJ92 FYN92 FYR92 FYV92 FYZ92 FZD92 FZH92 FZL92 FZP92 FZT92 FZX92 GAB92 GAF92 GAJ92 GAN92 GAR92 GAV92 GAZ92 GBD92 GBH92 GBL92 GBP92 GBT92 GBX92 GCB92 GCF92 GCJ92 GCN92 GCR92 GCV92 GCZ92 GDD92 GDH92 GDL92 GDP92 GDT92 GDX92 GEB92 GEF92 GEJ92 GEN92 GER92 GEV92 GEZ92 GFD92 GFH92 GFL92 GFP92 GFT92 GFX92 GGB92 GGF92 GGJ92 GGN92 GGR92 GGV92 GGZ92 GHD92 GHH92 GHL92 GHP92 GHT92 GHX92 GIB92 GIF92 GIJ92 GIN92 GIR92 GIV92 GIZ92 GJD92 GJH92 GJL92 GJP92 GJT92 GJX92 GKB92 GKF92 GKJ92 GKN92 GKR92 GKV92 GKZ92 GLD92 GLH92 GLL92 GLP92 GLT92 GLX92 GMB92 GMF92 GMJ92 GMN92 GMR92 GMV92 GMZ92 GND92 GNH92 GNL92 GNP92 GNT92 GNX92 GOB92 GOF92 GOJ92 GON92 GOR92 GOV92 GOZ92 GPD92 GPH92 GPL92 GPP92 GPT92 GPX92 GQB92 GQF92 GQJ92 GQN92 GQR92 GQV92 GQZ92 GRD92 GRH92 GRL92 GRP92 GRT92 GRX92 GSB92 GSF92 GSJ92 GSN92 GSR92 GSV92 GSZ92 GTD92 GTH92 GTL92 GTP92 GTT92 GTX92 GUB92 GUF92 GUJ92 GUN92 GUR92 GUV92 GUZ92 GVD92 GVH92 GVL92 GVP92 GVT92 GVX92 GWB92 GWF92 GWJ92 GWN92 GWR92 GWV92 GWZ92 GXD92 GXH92 GXL92 GXP92 GXT92 GXX92 GYB92 GYF92 GYJ92 GYN92 GYR92 GYV92 GYZ92 GZD92 GZH92 GZL92 GZP92 GZT92 GZX92 HAB92 HAF92 HAJ92 HAN92 HAR92 HAV92 HAZ92 HBD92 HBH92 HBL92 HBP92 HBT92 HBX92 HCB92 HCF92 HCJ92 HCN92 HCR92 HCV92 HCZ92 HDD92 HDH92 HDL92 HDP92 HDT92 HDX92 HEB92 HEF92 HEJ92 HEN92 HER92 HEV92 HEZ92 HFD92 HFH92 HFL92 HFP92 HFT92 HFX92 HGB92 HGF92 HGJ92 HGN92 HGR92 HGV92 HGZ92 HHD92 HHH92 HHL92 HHP92 HHT92 HHX92 HIB92 HIF92 HIJ92 HIN92 HIR92 HIV92 HIZ92 HJD92 HJH92 HJL92 HJP92 HJT92 HJX92 HKB92 HKF92 HKJ92 HKN92 HKR92 HKV92 HKZ92 HLD92 HLH92 HLL92 HLP92 HLT92 HLX92 HMB92 HMF92 HMJ92 HMN92 HMR92 HMV92 HMZ92 HND92 HNH92 HNL92 HNP92 HNT92 HNX92 HOB92 HOF92 HOJ92 HON92 HOR92 HOV92 HOZ92 HPD92 HPH92 HPL92 HPP92 HPT92 HPX92 HQB92 HQF92 HQJ92 HQN92 HQR92 HQV92 HQZ92 HRD92 HRH92 HRL92 HRP92 HRT92 HRX92 HSB92 HSF92 HSJ92 HSN92 HSR92 HSV92 HSZ92 HTD92 HTH92 HTL92 HTP92 HTT92 HTX92 HUB92 HUF92 HUJ92 HUN92 HUR92 HUV92 HUZ92 HVD92 HVH92 HVL92 HVP92 HVT92 HVX92 HWB92 HWF92 HWJ92 HWN92 HWR92 HWV92 HWZ92 HXD92 HXH92 HXL92 HXP92 HXT92 HXX92 HYB92 HYF92 HYJ92 HYN92 HYR92 HYV92 HYZ92 HZD92 HZH92 HZL92 HZP92 HZT92 HZX92 IAB92 IAF92 IAJ92 IAN92 IAR92 IAV92 IAZ92 IBD92 IBH92 IBL92 IBP92 IBT92 IBX92 ICB92 ICF92 ICJ92 ICN92 ICR92 ICV92 ICZ92 IDD92 IDH92 IDL92 IDP92 IDT92 IDX92 IEB92 IEF92 IEJ92 IEN92 IER92 IEV92 IEZ92 IFD92 IFH92 IFL92 IFP92 IFT92 IFX92 IGB92 IGF92 IGJ92 IGN92 IGR92 IGV92 IGZ92 IHD92 IHH92 IHL92 IHP92 IHT92 IHX92 IIB92 IIF92 IIJ92 IIN92 IIR92 IIV92 IIZ92 IJD92 IJH92 IJL92 IJP92 IJT92 IJX92 IKB92 IKF92 IKJ92 IKN92 IKR92 IKV92 IKZ92 ILD92 ILH92 ILL92 ILP92 ILT92 ILX92 IMB92 IMF92 IMJ92 IMN92 IMR92 IMV92 IMZ92 IND92 INH92 INL92 INP92 INT92 INX92 IOB92 IOF92 IOJ92 ION92 IOR92 IOV92 IOZ92 IPD92 IPH92 IPL92 IPP92 IPT92 IPX92 IQB92 IQF92 IQJ92 IQN92 IQR92 IQV92 IQZ92 IRD92 IRH92 IRL92 IRP92 IRT92 IRX92 ISB92 ISF92 ISJ92 ISN92 ISR92 ISV92 ISZ92 ITD92 ITH92 ITL92 ITP92 ITT92 ITX92 IUB92 IUF92 IUJ92 IUN92 IUR92 IUV92 IUZ92 IVD92 IVH92 IVL92 IVP92 IVT92 IVX92 IWB92 IWF92 IWJ92 IWN92 IWR92 IWV92 IWZ92 IXD92 IXH92 IXL92 IXP92 IXT92 IXX92 IYB92 IYF92 IYJ92 IYN92 IYR92 IYV92 IYZ92 IZD92 IZH92 IZL92 IZP92 IZT92 IZX92 JAB92 JAF92 JAJ92 JAN92 JAR92 JAV92 JAZ92 JBD92 JBH92 JBL92 JBP92 JBT92 JBX92 JCB92 JCF92 JCJ92 JCN92 JCR92 JCV92 JCZ92 JDD92 JDH92 JDL92 JDP92 JDT92 JDX92 JEB92 JEF92 JEJ92 JEN92 JER92 JEV92 JEZ92 JFD92 JFH92 JFL92 JFP92 JFT92 JFX92 JGB92 JGF92 JGJ92 JGN92 JGR92 JGV92 JGZ92 JHD92 JHH92 JHL92 JHP92 JHT92 JHX92 JIB92 JIF92 JIJ92 JIN92 JIR92 JIV92 JIZ92 JJD92 JJH92 JJL92 JJP92 JJT92 JJX92 JKB92 JKF92 JKJ92 JKN92 JKR92 JKV92 JKZ92 JLD92 JLH92 JLL92 JLP92 JLT92 JLX92 JMB92 JMF92 JMJ92 JMN92 JMR92 JMV92 JMZ92 JND92 JNH92 JNL92 JNP92 JNT92 JNX92 JOB92 JOF92 JOJ92 JON92 JOR92 JOV92 JOZ92 JPD92 JPH92 JPL92 JPP92 JPT92 JPX92 JQB92 JQF92 JQJ92 JQN92 JQR92 JQV92 JQZ92 JRD92 JRH92 JRL92 JRP92 JRT92 JRX92 JSB92 JSF92 JSJ92 JSN92 JSR92 JSV92 JSZ92 JTD92 JTH92 JTL92 JTP92 JTT92 JTX92 JUB92 JUF92 JUJ92 JUN92 JUR92 JUV92 JUZ92 JVD92 JVH92 JVL92 JVP92 JVT92 JVX92 JWB92 JWF92 JWJ92 JWN92 JWR92 JWV92 JWZ92 JXD92 JXH92 JXL92 JXP92 JXT92 JXX92 JYB92 JYF92 JYJ92 JYN92 JYR92 JYV92 JYZ92 JZD92 JZH92 JZL92 JZP92 JZT92 JZX92 KAB92 KAF92 KAJ92 KAN92 KAR92 KAV92 KAZ92 KBD92 KBH92 KBL92 KBP92 KBT92 KBX92 KCB92 KCF92 KCJ92 KCN92 KCR92 KCV92 KCZ92 KDD92 KDH92 KDL92 KDP92 KDT92 KDX92 KEB92 KEF92 KEJ92 KEN92 KER92 KEV92 KEZ92 KFD92 KFH92 KFL92 KFP92 KFT92 KFX92 KGB92 KGF92 KGJ92 KGN92 KGR92 KGV92 KGZ92 KHD92 KHH92 KHL92 KHP92 KHT92 KHX92 KIB92 KIF92 KIJ92 KIN92 KIR92 KIV92 KIZ92 KJD92 KJH92 KJL92 KJP92 KJT92 KJX92 KKB92 KKF92 KKJ92 KKN92 KKR92 KKV92 KKZ92 KLD92 KLH92 KLL92 KLP92 KLT92 KLX92 KMB92 KMF92 KMJ92 KMN92 KMR92 KMV92 KMZ92 KND92 KNH92 KNL92 KNP92 KNT92 KNX92 KOB92 KOF92 KOJ92 KON92 KOR92 KOV92 KOZ92 KPD92 KPH92 KPL92 KPP92 KPT92 KPX92 KQB92 KQF92 KQJ92 KQN92 KQR92 KQV92 KQZ92 KRD92 KRH92 KRL92 KRP92 KRT92 KRX92 KSB92 KSF92 KSJ92 KSN92 KSR92 KSV92 KSZ92 KTD92 KTH92 KTL92 KTP92 KTT92 KTX92 KUB92 KUF92 KUJ92 KUN92 KUR92 KUV92 KUZ92 KVD92 KVH92 KVL92 KVP92 KVT92 KVX92 KWB92 KWF92 KWJ92 KWN92 KWR92 KWV92 KWZ92 KXD92 KXH92 KXL92 KXP92 KXT92 KXX92 KYB92 KYF92 KYJ92 KYN92 KYR92 KYV92 KYZ92 KZD92 KZH92 KZL92 KZP92 KZT92 KZX92 LAB92 LAF92 LAJ92 LAN92 LAR92 LAV92 LAZ92 LBD92 LBH92 LBL92 LBP92 LBT92 LBX92 LCB92 LCF92 LCJ92 LCN92 LCR92 LCV92 LCZ92 LDD92 LDH92 LDL92 LDP92 LDT92 LDX92 LEB92 LEF92 LEJ92 LEN92 LER92 LEV92 LEZ92 LFD92 LFH92 LFL92 LFP92 LFT92 LFX92 LGB92 LGF92 LGJ92 LGN92 LGR92 LGV92 LGZ92 LHD92 LHH92 LHL92 LHP92 LHT92 LHX92 LIB92 LIF92 LIJ92 LIN92 LIR92 LIV92 LIZ92 LJD92 LJH92 LJL92 LJP92 LJT92 LJX92 LKB92 LKF92 LKJ92 LKN92 LKR92 LKV92 LKZ92 LLD92 LLH92 LLL92 LLP92 LLT92 LLX92 LMB92 LMF92 LMJ92 LMN92 LMR92 LMV92 LMZ92 LND92 LNH92 LNL92 LNP92 LNT92 LNX92 LOB92 LOF92 LOJ92 LON92 LOR92 LOV92 LOZ92 LPD92 LPH92 LPL92 LPP92 LPT92 LPX92 LQB92 LQF92 LQJ92 LQN92 LQR92 LQV92 LQZ92 LRD92 LRH92 LRL92 LRP92 LRT92 LRX92 LSB92 LSF92 LSJ92 LSN92 LSR92 LSV92 LSZ92 LTD92 LTH92 LTL92 LTP92 LTT92 LTX92 LUB92 LUF92 LUJ92 LUN92 LUR92 LUV92 LUZ92 LVD92 LVH92 LVL92 LVP92 LVT92 LVX92 LWB92 LWF92 LWJ92 LWN92 LWR92 LWV92 LWZ92 LXD92 LXH92 LXL92 LXP92 LXT92 LXX92 LYB92 LYF92 LYJ92 LYN92 LYR92 LYV92 LYZ92 LZD92 LZH92 LZL92 LZP92 LZT92 LZX92 MAB92 MAF92 MAJ92 MAN92 MAR92 MAV92 MAZ92 MBD92 MBH92 MBL92 MBP92 MBT92 MBX92 MCB92 MCF92 MCJ92 MCN92 MCR92 MCV92 MCZ92 MDD92 MDH92 MDL92 MDP92 MDT92 MDX92 MEB92 MEF92 MEJ92 MEN92 MER92 MEV92 MEZ92 MFD92 MFH92 MFL92 MFP92 MFT92 MFX92 MGB92 MGF92 MGJ92 MGN92 MGR92 MGV92 MGZ92 MHD92 MHH92 MHL92 MHP92 MHT92 MHX92 MIB92 MIF92 MIJ92 MIN92 MIR92 MIV92 MIZ92 MJD92 MJH92 MJL92 MJP92 MJT92 MJX92 MKB92 MKF92 MKJ92 MKN92 MKR92 MKV92 MKZ92 MLD92 MLH92 MLL92 MLP92 MLT92 MLX92 MMB92 MMF92 MMJ92 MMN92 MMR92 MMV92 MMZ92 MND92 MNH92 MNL92 MNP92 MNT92 MNX92 MOB92 MOF92 MOJ92 MON92 MOR92 MOV92 MOZ92 MPD92 MPH92 MPL92 MPP92 MPT92 MPX92 MQB92 MQF92 MQJ92 MQN92 MQR92 MQV92 MQZ92 MRD92 MRH92 MRL92 MRP92 MRT92 MRX92 MSB92 MSF92 MSJ92 MSN92 MSR92 MSV92 MSZ92 MTD92 MTH92 MTL92 MTP92 MTT92 MTX92 MUB92 MUF92 MUJ92 MUN92 MUR92 MUV92 MUZ92 MVD92 MVH92 MVL92 MVP92 MVT92 MVX92 MWB92 MWF92 MWJ92 MWN92 MWR92 MWV92 MWZ92 MXD92 MXH92 MXL92 MXP92 MXT92 MXX92 MYB92 MYF92 MYJ92 MYN92 MYR92 MYV92 MYZ92 MZD92 MZH92 MZL92 MZP92 MZT92 MZX92 NAB92 NAF92 NAJ92 NAN92 NAR92 NAV92 NAZ92 NBD92 NBH92 NBL92 NBP92 NBT92 NBX92 NCB92 NCF92 NCJ92 NCN92 NCR92 NCV92 NCZ92 NDD92 NDH92 NDL92 NDP92 NDT92 NDX92 NEB92 NEF92 NEJ92 NEN92 NER92 NEV92 NEZ92 NFD92 NFH92 NFL92 NFP92 NFT92 NFX92 NGB92 NGF92 NGJ92 NGN92 NGR92 NGV92 NGZ92 NHD92 NHH92 NHL92 NHP92 NHT92 NHX92 NIB92 NIF92 NIJ92 NIN92 NIR92 NIV92 NIZ92 NJD92 NJH92 NJL92 NJP92 NJT92 NJX92 NKB92 NKF92 NKJ92 NKN92 NKR92 NKV92 NKZ92 NLD92 NLH92 NLL92 NLP92 NLT92 NLX92 NMB92 NMF92 NMJ92 NMN92 NMR92 NMV92 NMZ92 NND92 NNH92 NNL92 NNP92 NNT92 NNX92 NOB92 NOF92 NOJ92 NON92 NOR92 NOV92 NOZ92 NPD92 NPH92 NPL92 NPP92 NPT92 NPX92 NQB92 NQF92 NQJ92 NQN92 NQR92 NQV92 NQZ92 NRD92 NRH92 NRL92 NRP92 NRT92 NRX92 NSB92 NSF92 NSJ92 NSN92 NSR92 NSV92 NSZ92 NTD92 NTH92 NTL92 NTP92 NTT92 NTX92 NUB92 NUF92 NUJ92 NUN92 NUR92 NUV92 NUZ92 NVD92 NVH92 NVL92 NVP92 NVT92 NVX92 NWB92 NWF92 NWJ92 NWN92 NWR92 NWV92 NWZ92 NXD92 NXH92 NXL92 NXP92 NXT92 NXX92 NYB92 NYF92 NYJ92 NYN92 NYR92 NYV92 NYZ92 NZD92 NZH92 NZL92 NZP92 NZT92 NZX92 OAB92 OAF92 OAJ92 OAN92 OAR92 OAV92 OAZ92 OBD92 OBH92 OBL92 OBP92 OBT92 OBX92 OCB92 OCF92 OCJ92 OCN92 OCR92 OCV92 OCZ92 ODD92 ODH92 ODL92 ODP92 ODT92 ODX92 OEB92 OEF92 OEJ92 OEN92 OER92 OEV92 OEZ92 OFD92 OFH92 OFL92 OFP92 OFT92 OFX92 OGB92 OGF92 OGJ92 OGN92 OGR92 OGV92 OGZ92 OHD92 OHH92 OHL92 OHP92 OHT92 OHX92 OIB92 OIF92 OIJ92 OIN92 OIR92 OIV92 OIZ92 OJD92 OJH92 OJL92 OJP92 OJT92 OJX92 OKB92 OKF92 OKJ92 OKN92 OKR92 OKV92 OKZ92 OLD92 OLH92 OLL92 OLP92 OLT92 OLX92 OMB92 OMF92 OMJ92 OMN92 OMR92 OMV92 OMZ92 OND92 ONH92 ONL92 ONP92 ONT92 ONX92 OOB92 OOF92 OOJ92 OON92 OOR92 OOV92 OOZ92 OPD92 OPH92 OPL92 OPP92 OPT92 OPX92 OQB92 OQF92 OQJ92 OQN92 OQR92 OQV92 OQZ92 ORD92 ORH92 ORL92 ORP92 ORT92 ORX92 OSB92 OSF92 OSJ92 OSN92 OSR92 OSV92 OSZ92 OTD92 OTH92 OTL92 OTP92 OTT92 OTX92 OUB92 OUF92 OUJ92 OUN92 OUR92 OUV92 OUZ92 OVD92 OVH92 OVL92 OVP92 OVT92 OVX92 OWB92 OWF92 OWJ92 OWN92 OWR92 OWV92 OWZ92 OXD92 OXH92 OXL92 OXP92 OXT92 OXX92 OYB92 OYF92 OYJ92 OYN92 OYR92 OYV92 OYZ92 OZD92 OZH92 OZL92 OZP92 OZT92 OZX92 PAB92 PAF92 PAJ92 PAN92 PAR92 PAV92 PAZ92 PBD92 PBH92 PBL92 PBP92 PBT92 PBX92 PCB92 PCF92 PCJ92 PCN92 PCR92 PCV92 PCZ92 PDD92 PDH92 PDL92 PDP92 PDT92 PDX92 PEB92 PEF92 PEJ92 PEN92 PER92 PEV92 PEZ92 PFD92 PFH92 PFL92 PFP92 PFT92 PFX92 PGB92 PGF92 PGJ92 PGN92 PGR92 PGV92 PGZ92 PHD92 PHH92 PHL92 PHP92 PHT92 PHX92 PIB92 PIF92 PIJ92 PIN92 PIR92 PIV92 PIZ92 PJD92 PJH92 PJL92 PJP92 PJT92 PJX92 PKB92 PKF92 PKJ92 PKN92 PKR92 PKV92 PKZ92 PLD92 PLH92 PLL92 PLP92 PLT92 PLX92 PMB92 PMF92 PMJ92 PMN92 PMR92 PMV92 PMZ92 PND92 PNH92 PNL92 PNP92 PNT92 PNX92 POB92 POF92 POJ92 PON92 POR92 POV92 POZ92 PPD92 PPH92 PPL92 PPP92 PPT92 PPX92 PQB92 PQF92 PQJ92 PQN92 PQR92 PQV92 PQZ92 PRD92 PRH92 PRL92 PRP92 PRT92 PRX92 PSB92 PSF92 PSJ92 PSN92 PSR92 PSV92 PSZ92 PTD92 PTH92 PTL92 PTP92 PTT92 PTX92 PUB92 PUF92 PUJ92 PUN92 PUR92 PUV92 PUZ92 PVD92 PVH92 PVL92 PVP92 PVT92 PVX92 PWB92 PWF92 PWJ92 PWN92 PWR92 PWV92 PWZ92 PXD92 PXH92 PXL92 PXP92 PXT92 PXX92 PYB92 PYF92 PYJ92 PYN92 PYR92 PYV92 PYZ92 PZD92 PZH92 PZL92 PZP92 PZT92 PZX92 QAB92 QAF92 QAJ92 QAN92 QAR92 QAV92 QAZ92 QBD92 QBH92 QBL92 QBP92 QBT92 QBX92 QCB92 QCF92 QCJ92 QCN92 QCR92 QCV92 QCZ92 QDD92 QDH92 QDL92 QDP92 QDT92 QDX92 QEB92 QEF92 QEJ92 QEN92 QER92 QEV92 QEZ92 QFD92 QFH92 QFL92 QFP92 QFT92 QFX92 QGB92 QGF92 QGJ92 QGN92 QGR92 QGV92 QGZ92 QHD92 QHH92 QHL92 QHP92 QHT92 QHX92 QIB92 QIF92 QIJ92 QIN92 QIR92 QIV92 QIZ92 QJD92 QJH92 QJL92 QJP92 QJT92 QJX92 QKB92 QKF92 QKJ92 QKN92 QKR92 QKV92 QKZ92 QLD92 QLH92 QLL92 QLP92 QLT92 QLX92 QMB92 QMF92 QMJ92 QMN92 QMR92 QMV92 QMZ92 QND92 QNH92 QNL92 QNP92 QNT92 QNX92 QOB92 QOF92 QOJ92 QON92 QOR92 QOV92 QOZ92 QPD92 QPH92 QPL92 QPP92 QPT92 QPX92 QQB92 QQF92 QQJ92 QQN92 QQR92 QQV92 QQZ92 QRD92 QRH92 QRL92 QRP92 QRT92 QRX92 QSB92 QSF92 QSJ92 QSN92 QSR92 QSV92 QSZ92 QTD92 QTH92 QTL92 QTP92 QTT92 QTX92 QUB92 QUF92 QUJ92 QUN92 QUR92 QUV92 QUZ92 QVD92 QVH92 QVL92 QVP92 QVT92 QVX92 QWB92 QWF92 QWJ92 QWN92 QWR92 QWV92 QWZ92 QXD92 QXH92 QXL92 QXP92 QXT92 QXX92 QYB92 QYF92 QYJ92 QYN92 QYR92 QYV92 QYZ92 QZD92 QZH92 QZL92 QZP92 QZT92 QZX92 RAB92 RAF92 RAJ92 RAN92 RAR92 RAV92 RAZ92 RBD92 RBH92 RBL92 RBP92 RBT92 RBX92 RCB92 RCF92 RCJ92 RCN92 RCR92 RCV92 RCZ92 RDD92 RDH92 RDL92 RDP92 RDT92 RDX92 REB92 REF92 REJ92 REN92 RER92 REV92 REZ92 RFD92 RFH92 RFL92 RFP92 RFT92 RFX92 RGB92 RGF92 RGJ92 RGN92 RGR92 RGV92 RGZ92 RHD92 RHH92 RHL92 RHP92 RHT92 RHX92 RIB92 RIF92 RIJ92 RIN92 RIR92 RIV92 RIZ92 RJD92 RJH92 RJL92 RJP92 RJT92 RJX92 RKB92 RKF92 RKJ92 RKN92 RKR92 RKV92 RKZ92 RLD92 RLH92 RLL92 RLP92 RLT92 RLX92 RMB92 RMF92 RMJ92 RMN92 RMR92 RMV92 RMZ92 RND92 RNH92 RNL92 RNP92 RNT92 RNX92 ROB92 ROF92 ROJ92 RON92 ROR92 ROV92 ROZ92 RPD92 RPH92 RPL92 RPP92 RPT92 RPX92 RQB92 RQF92 RQJ92 RQN92 RQR92 RQV92 RQZ92 RRD92 RRH92 RRL92 RRP92 RRT92 RRX92 RSB92 RSF92 RSJ92 RSN92 RSR92 RSV92 RSZ92 RTD92 RTH92 RTL92 RTP92 RTT92 RTX92 RUB92 RUF92 RUJ92 RUN92 RUR92 RUV92 RUZ92 RVD92 RVH92 RVL92 RVP92 RVT92 RVX92 RWB92 RWF92 RWJ92 RWN92 RWR92 RWV92 RWZ92 RXD92 RXH92 RXL92 RXP92 RXT92 RXX92 RYB92 RYF92 RYJ92 RYN92 RYR92 RYV92 RYZ92 RZD92 RZH92 RZL92 RZP92 RZT92 RZX92 SAB92 SAF92 SAJ92 SAN92 SAR92 SAV92 SAZ92 SBD92 SBH92 SBL92 SBP92 SBT92 SBX92 SCB92 SCF92 SCJ92 SCN92 SCR92 SCV92 SCZ92 SDD92 SDH92 SDL92 SDP92 SDT92 SDX92 SEB92 SEF92 SEJ92 SEN92 SER92 SEV92 SEZ92 SFD92 SFH92 SFL92 SFP92 SFT92 SFX92 SGB92 SGF92 SGJ92 SGN92 SGR92 SGV92 SGZ92 SHD92 SHH92 SHL92 SHP92 SHT92 SHX92 SIB92 SIF92 SIJ92 SIN92 SIR92 SIV92 SIZ92 SJD92 SJH92 SJL92 SJP92 SJT92 SJX92 SKB92 SKF92 SKJ92 SKN92 SKR92 SKV92 SKZ92 SLD92 SLH92 SLL92 SLP92 SLT92 SLX92 SMB92 SMF92 SMJ92 SMN92 SMR92 SMV92 SMZ92 SND92 SNH92 SNL92 SNP92 SNT92 SNX92 SOB92 SOF92 SOJ92 SON92 SOR92 SOV92 SOZ92 SPD92 SPH92 SPL92 SPP92 SPT92 SPX92 SQB92 SQF92 SQJ92 SQN92 SQR92 SQV92 SQZ92 SRD92 SRH92 SRL92 SRP92 SRT92 SRX92 SSB92 SSF92 SSJ92 SSN92 SSR92 SSV92 SSZ92 STD92 STH92 STL92 STP92 STT92 STX92 SUB92 SUF92 SUJ92 SUN92 SUR92 SUV92 SUZ92 SVD92 SVH92 SVL92 SVP92 SVT92 SVX92 SWB92 SWF92 SWJ92 SWN92 SWR92 SWV92 SWZ92 SXD92 SXH92 SXL92 SXP92 SXT92 SXX92 SYB92 SYF92 SYJ92 SYN92 SYR92 SYV92 SYZ92 SZD92 SZH92 SZL92 SZP92 SZT92 SZX92 TAB92 TAF92 TAJ92 TAN92 TAR92 TAV92 TAZ92 TBD92 TBH92 TBL92 TBP92 TBT92 TBX92 TCB92 TCF92 TCJ92 TCN92 TCR92 TCV92 TCZ92 TDD92 TDH92 TDL92 TDP92 TDT92 TDX92 TEB92 TEF92 TEJ92 TEN92 TER92 TEV92 TEZ92 TFD92 TFH92 TFL92 TFP92 TFT92 TFX92 TGB92 TGF92 TGJ92 TGN92 TGR92 TGV92 TGZ92 THD92 THH92 THL92 THP92 THT92 THX92 TIB92 TIF92 TIJ92 TIN92 TIR92 TIV92 TIZ92 TJD92 TJH92 TJL92 TJP92 TJT92 TJX92 TKB92 TKF92 TKJ92 TKN92 TKR92 TKV92 TKZ92 TLD92 TLH92 TLL92 TLP92 TLT92 TLX92 TMB92 TMF92 TMJ92 TMN92 TMR92 TMV92 TMZ92 TND92 TNH92 TNL92 TNP92 TNT92 TNX92 TOB92 TOF92 TOJ92 TON92 TOR92 TOV92 TOZ92 TPD92 TPH92 TPL92 TPP92 TPT92 TPX92 TQB92 TQF92 TQJ92 TQN92 TQR92 TQV92 TQZ92 TRD92 TRH92 TRL92 TRP92 TRT92 TRX92 TSB92 TSF92 TSJ92 TSN92 TSR92 TSV92 TSZ92 TTD92 TTH92 TTL92 TTP92 TTT92 TTX92 TUB92 TUF92 TUJ92 TUN92 TUR92 TUV92 TUZ92 TVD92 TVH92 TVL92 TVP92 TVT92 TVX92 TWB92 TWF92 TWJ92 TWN92 TWR92 TWV92 TWZ92 TXD92 TXH92 TXL92 TXP92 TXT92 TXX92 TYB92 TYF92 TYJ92 TYN92 TYR92 TYV92 TYZ92 TZD92 TZH92 TZL92 TZP92 TZT92 TZX92 UAB92 UAF92 UAJ92 UAN92 UAR92 UAV92 UAZ92 UBD92 UBH92 UBL92 UBP92 UBT92 UBX92 UCB92 UCF92 UCJ92 UCN92 UCR92 UCV92 UCZ92 UDD92 UDH92 UDL92 UDP92 UDT92 UDX92 UEB92 UEF92 UEJ92 UEN92 UER92 UEV92 UEZ92 UFD92 UFH92 UFL92 UFP92 UFT92 UFX92 UGB92 UGF92 UGJ92 UGN92 UGR92 UGV92 UGZ92 UHD92 UHH92 UHL92 UHP92 UHT92 UHX92 UIB92 UIF92 UIJ92 UIN92 UIR92 UIV92 UIZ92 UJD92 UJH92 UJL92 UJP92 UJT92 UJX92 UKB92 UKF92 UKJ92 UKN92 UKR92 UKV92 UKZ92 ULD92 ULH92 ULL92 ULP92 ULT92 ULX92 UMB92 UMF92 UMJ92 UMN92 UMR92 UMV92 UMZ92 UND92 UNH92 UNL92 UNP92 UNT92 UNX92 UOB92 UOF92 UOJ92 UON92 UOR92 UOV92 UOZ92 UPD92 UPH92 UPL92 UPP92 UPT92 UPX92 UQB92 UQF92 UQJ92 UQN92 UQR92 UQV92 UQZ92 URD92 URH92 URL92 URP92 URT92 URX92 USB92 USF92 USJ92 USN92 USR92 USV92 USZ92 UTD92 UTH92 UTL92 UTP92 UTT92 UTX92 UUB92 UUF92 UUJ92 UUN92 UUR92 UUV92 UUZ92 UVD92 UVH92 UVL92 UVP92 UVT92 UVX92 UWB92 UWF92 UWJ92 UWN92 UWR92 UWV92 UWZ92 UXD92 UXH92 UXL92 UXP92 UXT92 UXX92 UYB92 UYF92 UYJ92 UYN92 UYR92 UYV92 UYZ92 UZD92 UZH92 UZL92 UZP92 UZT92 UZX92 VAB92 VAF92 VAJ92 VAN92 VAR92 VAV92 VAZ92 VBD92 VBH92 VBL92 VBP92 VBT92 VBX92 VCB92 VCF92 VCJ92 VCN92 VCR92 VCV92 VCZ92 VDD92 VDH92 VDL92 VDP92 VDT92 VDX92 VEB92 VEF92 VEJ92 VEN92 VER92 VEV92 VEZ92 VFD92 VFH92 VFL92 VFP92 VFT92 VFX92 VGB92 VGF92 VGJ92 VGN92 VGR92 VGV92 VGZ92 VHD92 VHH92 VHL92 VHP92 VHT92 VHX92 VIB92 VIF92 VIJ92 VIN92 VIR92 VIV92 VIZ92 VJD92 VJH92 VJL92 VJP92 VJT92 VJX92 VKB92 VKF92 VKJ92 VKN92 VKR92 VKV92 VKZ92 VLD92 VLH92 VLL92 VLP92 VLT92 VLX92 VMB92 VMF92 VMJ92 VMN92 VMR92 VMV92 VMZ92 VND92 VNH92 VNL92 VNP92 VNT92 VNX92 VOB92 VOF92 VOJ92 VON92 VOR92 VOV92 VOZ92 VPD92 VPH92 VPL92 VPP92 VPT92 VPX92 VQB92 VQF92 VQJ92 VQN92 VQR92 VQV92 VQZ92 VRD92 VRH92 VRL92 VRP92 VRT92 VRX92 VSB92 VSF92 VSJ92 VSN92 VSR92 VSV92 VSZ92 VTD92 VTH92 VTL92 VTP92 VTT92 VTX92 VUB92 VUF92 VUJ92 VUN92 VUR92 VUV92 VUZ92 VVD92 VVH92 VVL92 VVP92 VVT92 VVX92 VWB92 VWF92 VWJ92 VWN92 VWR92 VWV92 VWZ92 VXD92 VXH92 VXL92 VXP92 VXT92 VXX92 VYB92 VYF92 VYJ92 VYN92 VYR92 VYV92 VYZ92 VZD92 VZH92 VZL92 VZP92 VZT92 VZX92 WAB92 WAF92 WAJ92 WAN92 WAR92 WAV92 WAZ92 WBD92 WBH92 WBL92 WBP92 WBT92 WBX92 WCB92 WCF92 WCJ92 WCN92 WCR92 WCV92 WCZ92 WDD92 WDH92 WDL92 WDP92 WDT92 WDX92 WEB92 WEF92 WEJ92 WEN92 WER92 WEV92 WEZ92 WFD92 WFH92 WFL92 WFP92 WFT92 WFX92 WGB92 WGF92 WGJ92 WGN92 WGR92 WGV92 WGZ92 WHD92 WHH92 WHL92 WHP92 WHT92 WHX92 WIB92 WIF92 WIJ92 WIN92 WIR92 WIV92 WIZ92 WJD92 WJH92 WJL92 WJP92 WJT92 WJX92 WKB92 WKF92 WKJ92 WKN92 WKR92 WKV92 WKZ92 WLD92 WLH92 WLL92 WLP92 WLT92 WLX92 WMB92 WMF92 WMJ92 WMN92 WMR92 WMV92 WMZ92 WND92 WNH92 WNL92 WNP92 WNT92 WNX92 WOB92 WOF92 WOJ92 WON92 WOR92 WOV92 WOZ92 WPD92 WPH92 WPL92 WPP92 WPT92 WPX92 WQB92 WQF92 WQJ92 WQN92 WQR92 WQV92 WQZ92 WRD92 WRH92 WRL92 WRP92 WRT92 WRX92 WSB92 WSF92 WSJ92 WSN92 WSR92 WSV92 WSZ92 WTD92 WTH92 WTL92 WTP92 WTT92 WTX92 WUB92 WUF92 WUJ92 WUN92 WUR92 WUV92 WUZ92 WVD92 WVH92 WVL92 WVP92 WVT92 WVX92 WWB92 WWF92 WWJ92 WWN92 WWR92 WWV92 WWZ92 WXD92 WXH92 WXL92 WXP92 WXT92 WXX92 WYB92 WYF92 WYJ92 WYN92 WYR92 WYV92 WYZ92 WZD92 WZH92 WZL92 WZP92 WZT92 WZX92 XAB92 XAF92 XAJ92 XAN92 XAR92 XAV92 XAZ92 XBD92 XBH92 XBL92 XBP92 XBT92 XBX92 XCB92 XCF92 XCJ92 XCN92 XCR92 XCV92 XCZ92 XDD92 XDH92 XDL92 XDP92 XDT92 XDX92 XEB92 XEF92 XEJ92 XEN92 XER92 XEV92 XEZ92 XFD92</xm:sqref>
        </x14:conditionalFormatting>
        <x14:conditionalFormatting xmlns:xm="http://schemas.microsoft.com/office/excel/2006/main">
          <x14:cfRule type="dataBar" id="{0E3C61B7-AA3A-4AC5-8C76-8A8C8A64B72E}">
            <x14:dataBar minLength="0" maxLength="100" border="1" negativeBarBorderColorSameAsPositive="0">
              <x14:cfvo type="autoMin"/>
              <x14:cfvo type="autoMax"/>
              <x14:borderColor rgb="FF63C384"/>
              <x14:negativeFillColor rgb="FFFF0000"/>
              <x14:negativeBorderColor rgb="FFFF0000"/>
              <x14:axisColor rgb="FF000000"/>
            </x14:dataBar>
          </x14:cfRule>
          <xm:sqref>D92</xm:sqref>
        </x14:conditionalFormatting>
        <x14:conditionalFormatting xmlns:xm="http://schemas.microsoft.com/office/excel/2006/main">
          <x14:cfRule type="dataBar" id="{8455A9BD-38C9-4A76-B1C7-2B4C977B36F4}">
            <x14:dataBar minLength="0" maxLength="100" border="1" negativeBarBorderColorSameAsPositive="0">
              <x14:cfvo type="autoMin"/>
              <x14:cfvo type="autoMax"/>
              <x14:borderColor rgb="FF63C384"/>
              <x14:negativeFillColor rgb="FFFF0000"/>
              <x14:negativeBorderColor rgb="FFFF0000"/>
              <x14:axisColor rgb="FF000000"/>
            </x14:dataBar>
          </x14:cfRule>
          <xm:sqref>D100</xm:sqref>
        </x14:conditionalFormatting>
        <x14:conditionalFormatting xmlns:xm="http://schemas.microsoft.com/office/excel/2006/main">
          <x14:cfRule type="dataBar" id="{042C9AB2-4ABD-474B-8C30-0C1931F648D2}">
            <x14:dataBar minLength="0" maxLength="100" border="1" negativeBarBorderColorSameAsPositive="0">
              <x14:cfvo type="autoMin"/>
              <x14:cfvo type="autoMax"/>
              <x14:borderColor rgb="FF63C384"/>
              <x14:negativeFillColor rgb="FFFF0000"/>
              <x14:negativeBorderColor rgb="FFFF0000"/>
              <x14:axisColor rgb="FF000000"/>
            </x14:dataBar>
          </x14:cfRule>
          <xm:sqref>D101:D108</xm:sqref>
        </x14:conditionalFormatting>
        <x14:conditionalFormatting xmlns:xm="http://schemas.microsoft.com/office/excel/2006/main">
          <x14:cfRule type="dataBar" id="{44A94229-3C71-49A7-AC34-0D5B3A6E4537}">
            <x14:dataBar minLength="0" maxLength="100" border="1" negativeBarBorderColorSameAsPositive="0">
              <x14:cfvo type="autoMin"/>
              <x14:cfvo type="autoMax"/>
              <x14:borderColor rgb="FF63C384"/>
              <x14:negativeFillColor rgb="FFFF0000"/>
              <x14:negativeBorderColor rgb="FFFF0000"/>
              <x14:axisColor rgb="FF000000"/>
            </x14:dataBar>
          </x14:cfRule>
          <xm:sqref>D4:D16</xm:sqref>
        </x14:conditionalFormatting>
        <x14:conditionalFormatting xmlns:xm="http://schemas.microsoft.com/office/excel/2006/main">
          <x14:cfRule type="dataBar" id="{5C7C34F7-627A-475C-A059-E3AC0898DFAA}">
            <x14:dataBar minLength="0" maxLength="100" border="1" negativeBarBorderColorSameAsPositive="0">
              <x14:cfvo type="autoMin"/>
              <x14:cfvo type="autoMax"/>
              <x14:borderColor rgb="FF63C384"/>
              <x14:negativeFillColor rgb="FFFF0000"/>
              <x14:negativeBorderColor rgb="FFFF0000"/>
              <x14:axisColor rgb="FF000000"/>
            </x14:dataBar>
          </x14:cfRule>
          <xm:sqref>D19:D26</xm:sqref>
        </x14:conditionalFormatting>
        <x14:conditionalFormatting xmlns:xm="http://schemas.microsoft.com/office/excel/2006/main">
          <x14:cfRule type="dataBar" id="{5BC18D42-72A5-4F8E-90D1-D1782A6AB643}">
            <x14:dataBar minLength="0" maxLength="100" border="1" negativeBarBorderColorSameAsPositive="0">
              <x14:cfvo type="autoMin"/>
              <x14:cfvo type="autoMax"/>
              <x14:borderColor rgb="FF63C384"/>
              <x14:negativeFillColor rgb="FFFF0000"/>
              <x14:negativeBorderColor rgb="FFFF0000"/>
              <x14:axisColor rgb="FF000000"/>
            </x14:dataBar>
          </x14:cfRule>
          <xm:sqref>D29:D35</xm:sqref>
        </x14:conditionalFormatting>
        <x14:conditionalFormatting xmlns:xm="http://schemas.microsoft.com/office/excel/2006/main">
          <x14:cfRule type="dataBar" id="{D19254F9-C19D-46DE-B5D2-3CE826885216}">
            <x14:dataBar minLength="0" maxLength="100" border="1" negativeBarBorderColorSameAsPositive="0">
              <x14:cfvo type="autoMin"/>
              <x14:cfvo type="autoMax"/>
              <x14:borderColor rgb="FF63C384"/>
              <x14:negativeFillColor rgb="FFFF0000"/>
              <x14:negativeBorderColor rgb="FFFF0000"/>
              <x14:axisColor rgb="FF000000"/>
            </x14:dataBar>
          </x14:cfRule>
          <xm:sqref>D38:D50</xm:sqref>
        </x14:conditionalFormatting>
        <x14:conditionalFormatting xmlns:xm="http://schemas.microsoft.com/office/excel/2006/main">
          <x14:cfRule type="dataBar" id="{DDB8DD69-C4F5-4C0D-AE72-20A6CFC2C490}">
            <x14:dataBar minLength="0" maxLength="100" border="1" negativeBarBorderColorSameAsPositive="0">
              <x14:cfvo type="autoMin"/>
              <x14:cfvo type="autoMax"/>
              <x14:borderColor rgb="FF63C384"/>
              <x14:negativeFillColor rgb="FFFF0000"/>
              <x14:negativeBorderColor rgb="FFFF0000"/>
              <x14:axisColor rgb="FF000000"/>
            </x14:dataBar>
          </x14:cfRule>
          <xm:sqref>D53:D60 D63</xm:sqref>
        </x14:conditionalFormatting>
        <x14:conditionalFormatting xmlns:xm="http://schemas.microsoft.com/office/excel/2006/main">
          <x14:cfRule type="dataBar" id="{63E31080-461C-4519-9517-692CFE2262F3}">
            <x14:dataBar minLength="0" maxLength="100" border="1" negativeBarBorderColorSameAsPositive="0">
              <x14:cfvo type="autoMin"/>
              <x14:cfvo type="autoMax"/>
              <x14:borderColor rgb="FF63C384"/>
              <x14:negativeFillColor rgb="FFFF0000"/>
              <x14:negativeBorderColor rgb="FFFF0000"/>
              <x14:axisColor rgb="FF000000"/>
            </x14:dataBar>
          </x14:cfRule>
          <xm:sqref>D66:D69</xm:sqref>
        </x14:conditionalFormatting>
        <x14:conditionalFormatting xmlns:xm="http://schemas.microsoft.com/office/excel/2006/main">
          <x14:cfRule type="dataBar" id="{0D8738E5-49AF-4A22-9923-DAF3BCC8303F}">
            <x14:dataBar minLength="0" maxLength="100" border="1" negativeBarBorderColorSameAsPositive="0">
              <x14:cfvo type="autoMin"/>
              <x14:cfvo type="autoMax"/>
              <x14:borderColor rgb="FF63C384"/>
              <x14:negativeFillColor rgb="FFFF0000"/>
              <x14:negativeBorderColor rgb="FFFF0000"/>
              <x14:axisColor rgb="FF000000"/>
            </x14:dataBar>
          </x14:cfRule>
          <xm:sqref>D72:D75</xm:sqref>
        </x14:conditionalFormatting>
        <x14:conditionalFormatting xmlns:xm="http://schemas.microsoft.com/office/excel/2006/main">
          <x14:cfRule type="dataBar" id="{136AF15A-3C9C-46C4-AFE0-BAB8D8626589}">
            <x14:dataBar minLength="0" maxLength="100" border="1" negativeBarBorderColorSameAsPositive="0">
              <x14:cfvo type="autoMin"/>
              <x14:cfvo type="autoMax"/>
              <x14:borderColor rgb="FF63C384"/>
              <x14:negativeFillColor rgb="FFFF0000"/>
              <x14:negativeBorderColor rgb="FFFF0000"/>
              <x14:axisColor rgb="FF000000"/>
            </x14:dataBar>
          </x14:cfRule>
          <xm:sqref>D78:D82</xm:sqref>
        </x14:conditionalFormatting>
        <x14:conditionalFormatting xmlns:xm="http://schemas.microsoft.com/office/excel/2006/main">
          <x14:cfRule type="dataBar" id="{B9374180-8657-47AE-8562-EA03BE503346}">
            <x14:dataBar minLength="0" maxLength="100" border="1" negativeBarBorderColorSameAsPositive="0">
              <x14:cfvo type="autoMin"/>
              <x14:cfvo type="autoMax"/>
              <x14:borderColor rgb="FF63C384"/>
              <x14:negativeFillColor rgb="FFFF0000"/>
              <x14:negativeBorderColor rgb="FFFF0000"/>
              <x14:axisColor rgb="FF000000"/>
            </x14:dataBar>
          </x14:cfRule>
          <xm:sqref>D85:D90</xm:sqref>
        </x14:conditionalFormatting>
        <x14:conditionalFormatting xmlns:xm="http://schemas.microsoft.com/office/excel/2006/main">
          <x14:cfRule type="dataBar" id="{11271249-0FB8-4244-ACEA-68BA2C7261D0}">
            <x14:dataBar minLength="0" maxLength="100" border="1" negativeBarBorderColorSameAsPositive="0">
              <x14:cfvo type="autoMin"/>
              <x14:cfvo type="autoMax"/>
              <x14:borderColor rgb="FF63C384"/>
              <x14:negativeFillColor rgb="FFFF0000"/>
              <x14:negativeBorderColor rgb="FFFF0000"/>
              <x14:axisColor rgb="FF000000"/>
            </x14:dataBar>
          </x14:cfRule>
          <xm:sqref>D93:D98</xm:sqref>
        </x14:conditionalFormatting>
        <x14:conditionalFormatting xmlns:xm="http://schemas.microsoft.com/office/excel/2006/main">
          <x14:cfRule type="dataBar" id="{739FEF00-8F53-49BE-9B3C-A917D771C4A0}">
            <x14:dataBar minLength="0" maxLength="100" border="1" negativeBarBorderColorSameAsPositive="0">
              <x14:cfvo type="autoMin"/>
              <x14:cfvo type="autoMax"/>
              <x14:borderColor rgb="FF63C384"/>
              <x14:negativeFillColor rgb="FFFF0000"/>
              <x14:negativeBorderColor rgb="FFFF0000"/>
              <x14:axisColor rgb="FF000000"/>
            </x14:dataBar>
          </x14:cfRule>
          <xm:sqref>D61:D62</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2:A1500"/>
  <sheetViews>
    <sheetView workbookViewId="0">
      <selection activeCell="E33" sqref="E33"/>
    </sheetView>
  </sheetViews>
  <sheetFormatPr baseColWidth="10" defaultRowHeight="15" x14ac:dyDescent="0.25"/>
  <sheetData>
    <row r="2" spans="1:1" x14ac:dyDescent="0.25">
      <c r="A2" s="216">
        <v>1</v>
      </c>
    </row>
    <row r="3" spans="1:1" x14ac:dyDescent="0.25">
      <c r="A3" s="216" t="str">
        <f>IF(B3&lt;&gt;"",A2+1,"")</f>
        <v/>
      </c>
    </row>
    <row r="4" spans="1:1" x14ac:dyDescent="0.25">
      <c r="A4" s="216" t="str">
        <f t="shared" ref="A4:A67" si="0">IF(B4&lt;&gt;"",A3+1,"")</f>
        <v/>
      </c>
    </row>
    <row r="5" spans="1:1" x14ac:dyDescent="0.25">
      <c r="A5" s="216" t="str">
        <f t="shared" si="0"/>
        <v/>
      </c>
    </row>
    <row r="6" spans="1:1" x14ac:dyDescent="0.25">
      <c r="A6" s="216" t="str">
        <f t="shared" si="0"/>
        <v/>
      </c>
    </row>
    <row r="7" spans="1:1" x14ac:dyDescent="0.25">
      <c r="A7" s="216" t="str">
        <f t="shared" si="0"/>
        <v/>
      </c>
    </row>
    <row r="8" spans="1:1" x14ac:dyDescent="0.25">
      <c r="A8" s="216" t="str">
        <f t="shared" si="0"/>
        <v/>
      </c>
    </row>
    <row r="9" spans="1:1" x14ac:dyDescent="0.25">
      <c r="A9" s="216" t="str">
        <f t="shared" si="0"/>
        <v/>
      </c>
    </row>
    <row r="10" spans="1:1" x14ac:dyDescent="0.25">
      <c r="A10" s="216" t="str">
        <f t="shared" si="0"/>
        <v/>
      </c>
    </row>
    <row r="11" spans="1:1" x14ac:dyDescent="0.25">
      <c r="A11" s="216" t="str">
        <f t="shared" si="0"/>
        <v/>
      </c>
    </row>
    <row r="12" spans="1:1" x14ac:dyDescent="0.25">
      <c r="A12" s="216" t="str">
        <f t="shared" si="0"/>
        <v/>
      </c>
    </row>
    <row r="13" spans="1:1" x14ac:dyDescent="0.25">
      <c r="A13" s="216" t="str">
        <f t="shared" si="0"/>
        <v/>
      </c>
    </row>
    <row r="14" spans="1:1" x14ac:dyDescent="0.25">
      <c r="A14" s="216" t="str">
        <f t="shared" si="0"/>
        <v/>
      </c>
    </row>
    <row r="15" spans="1:1" x14ac:dyDescent="0.25">
      <c r="A15" s="216" t="str">
        <f t="shared" si="0"/>
        <v/>
      </c>
    </row>
    <row r="16" spans="1:1" x14ac:dyDescent="0.25">
      <c r="A16" s="216" t="str">
        <f t="shared" si="0"/>
        <v/>
      </c>
    </row>
    <row r="17" spans="1:1" x14ac:dyDescent="0.25">
      <c r="A17" s="216" t="str">
        <f t="shared" si="0"/>
        <v/>
      </c>
    </row>
    <row r="18" spans="1:1" x14ac:dyDescent="0.25">
      <c r="A18" s="216" t="str">
        <f t="shared" si="0"/>
        <v/>
      </c>
    </row>
    <row r="19" spans="1:1" x14ac:dyDescent="0.25">
      <c r="A19" s="216" t="str">
        <f t="shared" si="0"/>
        <v/>
      </c>
    </row>
    <row r="20" spans="1:1" x14ac:dyDescent="0.25">
      <c r="A20" s="216" t="str">
        <f t="shared" si="0"/>
        <v/>
      </c>
    </row>
    <row r="21" spans="1:1" x14ac:dyDescent="0.25">
      <c r="A21" s="216" t="str">
        <f t="shared" si="0"/>
        <v/>
      </c>
    </row>
    <row r="22" spans="1:1" x14ac:dyDescent="0.25">
      <c r="A22" s="216" t="str">
        <f t="shared" si="0"/>
        <v/>
      </c>
    </row>
    <row r="23" spans="1:1" x14ac:dyDescent="0.25">
      <c r="A23" s="216" t="str">
        <f t="shared" si="0"/>
        <v/>
      </c>
    </row>
    <row r="24" spans="1:1" x14ac:dyDescent="0.25">
      <c r="A24" s="216" t="str">
        <f t="shared" si="0"/>
        <v/>
      </c>
    </row>
    <row r="25" spans="1:1" x14ac:dyDescent="0.25">
      <c r="A25" s="216" t="str">
        <f t="shared" si="0"/>
        <v/>
      </c>
    </row>
    <row r="26" spans="1:1" x14ac:dyDescent="0.25">
      <c r="A26" s="216" t="str">
        <f t="shared" si="0"/>
        <v/>
      </c>
    </row>
    <row r="27" spans="1:1" x14ac:dyDescent="0.25">
      <c r="A27" s="216" t="str">
        <f t="shared" si="0"/>
        <v/>
      </c>
    </row>
    <row r="28" spans="1:1" x14ac:dyDescent="0.25">
      <c r="A28" s="216" t="str">
        <f t="shared" si="0"/>
        <v/>
      </c>
    </row>
    <row r="29" spans="1:1" x14ac:dyDescent="0.25">
      <c r="A29" s="216" t="str">
        <f t="shared" si="0"/>
        <v/>
      </c>
    </row>
    <row r="30" spans="1:1" x14ac:dyDescent="0.25">
      <c r="A30" s="216" t="str">
        <f t="shared" si="0"/>
        <v/>
      </c>
    </row>
    <row r="31" spans="1:1" x14ac:dyDescent="0.25">
      <c r="A31" s="216" t="str">
        <f t="shared" si="0"/>
        <v/>
      </c>
    </row>
    <row r="32" spans="1:1" x14ac:dyDescent="0.25">
      <c r="A32" s="216" t="str">
        <f t="shared" si="0"/>
        <v/>
      </c>
    </row>
    <row r="33" spans="1:1" x14ac:dyDescent="0.25">
      <c r="A33" s="216" t="str">
        <f t="shared" si="0"/>
        <v/>
      </c>
    </row>
    <row r="34" spans="1:1" x14ac:dyDescent="0.25">
      <c r="A34" s="216" t="str">
        <f t="shared" si="0"/>
        <v/>
      </c>
    </row>
    <row r="35" spans="1:1" x14ac:dyDescent="0.25">
      <c r="A35" s="216" t="str">
        <f t="shared" si="0"/>
        <v/>
      </c>
    </row>
    <row r="36" spans="1:1" x14ac:dyDescent="0.25">
      <c r="A36" s="216" t="str">
        <f t="shared" si="0"/>
        <v/>
      </c>
    </row>
    <row r="37" spans="1:1" x14ac:dyDescent="0.25">
      <c r="A37" s="216" t="str">
        <f t="shared" si="0"/>
        <v/>
      </c>
    </row>
    <row r="38" spans="1:1" x14ac:dyDescent="0.25">
      <c r="A38" s="216" t="str">
        <f t="shared" si="0"/>
        <v/>
      </c>
    </row>
    <row r="39" spans="1:1" x14ac:dyDescent="0.25">
      <c r="A39" s="216" t="str">
        <f t="shared" si="0"/>
        <v/>
      </c>
    </row>
    <row r="40" spans="1:1" x14ac:dyDescent="0.25">
      <c r="A40" s="216" t="str">
        <f t="shared" si="0"/>
        <v/>
      </c>
    </row>
    <row r="41" spans="1:1" x14ac:dyDescent="0.25">
      <c r="A41" s="216" t="str">
        <f t="shared" si="0"/>
        <v/>
      </c>
    </row>
    <row r="42" spans="1:1" x14ac:dyDescent="0.25">
      <c r="A42" s="216" t="str">
        <f t="shared" si="0"/>
        <v/>
      </c>
    </row>
    <row r="43" spans="1:1" x14ac:dyDescent="0.25">
      <c r="A43" s="216" t="str">
        <f t="shared" si="0"/>
        <v/>
      </c>
    </row>
    <row r="44" spans="1:1" x14ac:dyDescent="0.25">
      <c r="A44" s="216" t="str">
        <f t="shared" si="0"/>
        <v/>
      </c>
    </row>
    <row r="45" spans="1:1" x14ac:dyDescent="0.25">
      <c r="A45" s="216" t="str">
        <f t="shared" si="0"/>
        <v/>
      </c>
    </row>
    <row r="46" spans="1:1" x14ac:dyDescent="0.25">
      <c r="A46" s="216" t="str">
        <f t="shared" si="0"/>
        <v/>
      </c>
    </row>
    <row r="47" spans="1:1" x14ac:dyDescent="0.25">
      <c r="A47" s="216" t="str">
        <f t="shared" si="0"/>
        <v/>
      </c>
    </row>
    <row r="48" spans="1:1" x14ac:dyDescent="0.25">
      <c r="A48" s="216" t="str">
        <f t="shared" si="0"/>
        <v/>
      </c>
    </row>
    <row r="49" spans="1:1" x14ac:dyDescent="0.25">
      <c r="A49" s="216" t="str">
        <f t="shared" si="0"/>
        <v/>
      </c>
    </row>
    <row r="50" spans="1:1" x14ac:dyDescent="0.25">
      <c r="A50" s="216" t="str">
        <f t="shared" si="0"/>
        <v/>
      </c>
    </row>
    <row r="51" spans="1:1" x14ac:dyDescent="0.25">
      <c r="A51" s="216" t="str">
        <f t="shared" si="0"/>
        <v/>
      </c>
    </row>
    <row r="52" spans="1:1" x14ac:dyDescent="0.25">
      <c r="A52" s="216" t="str">
        <f t="shared" si="0"/>
        <v/>
      </c>
    </row>
    <row r="53" spans="1:1" x14ac:dyDescent="0.25">
      <c r="A53" s="216" t="str">
        <f t="shared" si="0"/>
        <v/>
      </c>
    </row>
    <row r="54" spans="1:1" x14ac:dyDescent="0.25">
      <c r="A54" s="216" t="str">
        <f t="shared" si="0"/>
        <v/>
      </c>
    </row>
    <row r="55" spans="1:1" x14ac:dyDescent="0.25">
      <c r="A55" s="216" t="str">
        <f t="shared" si="0"/>
        <v/>
      </c>
    </row>
    <row r="56" spans="1:1" x14ac:dyDescent="0.25">
      <c r="A56" s="216" t="str">
        <f t="shared" si="0"/>
        <v/>
      </c>
    </row>
    <row r="57" spans="1:1" x14ac:dyDescent="0.25">
      <c r="A57" s="216" t="str">
        <f t="shared" si="0"/>
        <v/>
      </c>
    </row>
    <row r="58" spans="1:1" x14ac:dyDescent="0.25">
      <c r="A58" s="216" t="str">
        <f t="shared" si="0"/>
        <v/>
      </c>
    </row>
    <row r="59" spans="1:1" x14ac:dyDescent="0.25">
      <c r="A59" s="216" t="str">
        <f t="shared" si="0"/>
        <v/>
      </c>
    </row>
    <row r="60" spans="1:1" x14ac:dyDescent="0.25">
      <c r="A60" s="216" t="str">
        <f t="shared" si="0"/>
        <v/>
      </c>
    </row>
    <row r="61" spans="1:1" x14ac:dyDescent="0.25">
      <c r="A61" s="216" t="str">
        <f t="shared" si="0"/>
        <v/>
      </c>
    </row>
    <row r="62" spans="1:1" x14ac:dyDescent="0.25">
      <c r="A62" s="216" t="str">
        <f t="shared" si="0"/>
        <v/>
      </c>
    </row>
    <row r="63" spans="1:1" x14ac:dyDescent="0.25">
      <c r="A63" s="216" t="str">
        <f t="shared" si="0"/>
        <v/>
      </c>
    </row>
    <row r="64" spans="1:1" x14ac:dyDescent="0.25">
      <c r="A64" s="216" t="str">
        <f t="shared" si="0"/>
        <v/>
      </c>
    </row>
    <row r="65" spans="1:1" x14ac:dyDescent="0.25">
      <c r="A65" s="216" t="str">
        <f t="shared" si="0"/>
        <v/>
      </c>
    </row>
    <row r="66" spans="1:1" x14ac:dyDescent="0.25">
      <c r="A66" s="216" t="str">
        <f t="shared" si="0"/>
        <v/>
      </c>
    </row>
    <row r="67" spans="1:1" x14ac:dyDescent="0.25">
      <c r="A67" s="216" t="str">
        <f t="shared" si="0"/>
        <v/>
      </c>
    </row>
    <row r="68" spans="1:1" x14ac:dyDescent="0.25">
      <c r="A68" s="216" t="str">
        <f t="shared" ref="A68:A131" si="1">IF(B68&lt;&gt;"",A67+1,"")</f>
        <v/>
      </c>
    </row>
    <row r="69" spans="1:1" x14ac:dyDescent="0.25">
      <c r="A69" s="216" t="str">
        <f t="shared" si="1"/>
        <v/>
      </c>
    </row>
    <row r="70" spans="1:1" x14ac:dyDescent="0.25">
      <c r="A70" s="216" t="str">
        <f t="shared" si="1"/>
        <v/>
      </c>
    </row>
    <row r="71" spans="1:1" x14ac:dyDescent="0.25">
      <c r="A71" s="216" t="str">
        <f t="shared" si="1"/>
        <v/>
      </c>
    </row>
    <row r="72" spans="1:1" x14ac:dyDescent="0.25">
      <c r="A72" s="216" t="str">
        <f t="shared" si="1"/>
        <v/>
      </c>
    </row>
    <row r="73" spans="1:1" x14ac:dyDescent="0.25">
      <c r="A73" s="216" t="str">
        <f t="shared" si="1"/>
        <v/>
      </c>
    </row>
    <row r="74" spans="1:1" x14ac:dyDescent="0.25">
      <c r="A74" s="216" t="str">
        <f t="shared" si="1"/>
        <v/>
      </c>
    </row>
    <row r="75" spans="1:1" x14ac:dyDescent="0.25">
      <c r="A75" s="216" t="str">
        <f t="shared" si="1"/>
        <v/>
      </c>
    </row>
    <row r="76" spans="1:1" x14ac:dyDescent="0.25">
      <c r="A76" s="216" t="str">
        <f t="shared" si="1"/>
        <v/>
      </c>
    </row>
    <row r="77" spans="1:1" x14ac:dyDescent="0.25">
      <c r="A77" s="216" t="str">
        <f t="shared" si="1"/>
        <v/>
      </c>
    </row>
    <row r="78" spans="1:1" x14ac:dyDescent="0.25">
      <c r="A78" s="216" t="str">
        <f t="shared" si="1"/>
        <v/>
      </c>
    </row>
    <row r="79" spans="1:1" x14ac:dyDescent="0.25">
      <c r="A79" s="216" t="str">
        <f t="shared" si="1"/>
        <v/>
      </c>
    </row>
    <row r="80" spans="1:1" x14ac:dyDescent="0.25">
      <c r="A80" s="216" t="str">
        <f t="shared" si="1"/>
        <v/>
      </c>
    </row>
    <row r="81" spans="1:1" x14ac:dyDescent="0.25">
      <c r="A81" s="216" t="str">
        <f t="shared" si="1"/>
        <v/>
      </c>
    </row>
    <row r="82" spans="1:1" x14ac:dyDescent="0.25">
      <c r="A82" s="216" t="str">
        <f t="shared" si="1"/>
        <v/>
      </c>
    </row>
    <row r="83" spans="1:1" x14ac:dyDescent="0.25">
      <c r="A83" s="216" t="str">
        <f t="shared" si="1"/>
        <v/>
      </c>
    </row>
    <row r="84" spans="1:1" x14ac:dyDescent="0.25">
      <c r="A84" s="216" t="str">
        <f t="shared" si="1"/>
        <v/>
      </c>
    </row>
    <row r="85" spans="1:1" x14ac:dyDescent="0.25">
      <c r="A85" s="216" t="str">
        <f t="shared" si="1"/>
        <v/>
      </c>
    </row>
    <row r="86" spans="1:1" x14ac:dyDescent="0.25">
      <c r="A86" s="216" t="str">
        <f t="shared" si="1"/>
        <v/>
      </c>
    </row>
    <row r="87" spans="1:1" x14ac:dyDescent="0.25">
      <c r="A87" s="216" t="str">
        <f t="shared" si="1"/>
        <v/>
      </c>
    </row>
    <row r="88" spans="1:1" x14ac:dyDescent="0.25">
      <c r="A88" s="216" t="str">
        <f t="shared" si="1"/>
        <v/>
      </c>
    </row>
    <row r="89" spans="1:1" x14ac:dyDescent="0.25">
      <c r="A89" s="216" t="str">
        <f t="shared" si="1"/>
        <v/>
      </c>
    </row>
    <row r="90" spans="1:1" x14ac:dyDescent="0.25">
      <c r="A90" s="216" t="str">
        <f t="shared" si="1"/>
        <v/>
      </c>
    </row>
    <row r="91" spans="1:1" x14ac:dyDescent="0.25">
      <c r="A91" s="216" t="str">
        <f t="shared" si="1"/>
        <v/>
      </c>
    </row>
    <row r="92" spans="1:1" x14ac:dyDescent="0.25">
      <c r="A92" s="216" t="str">
        <f t="shared" si="1"/>
        <v/>
      </c>
    </row>
    <row r="93" spans="1:1" x14ac:dyDescent="0.25">
      <c r="A93" s="216" t="str">
        <f t="shared" si="1"/>
        <v/>
      </c>
    </row>
    <row r="94" spans="1:1" x14ac:dyDescent="0.25">
      <c r="A94" s="216" t="str">
        <f t="shared" si="1"/>
        <v/>
      </c>
    </row>
    <row r="95" spans="1:1" x14ac:dyDescent="0.25">
      <c r="A95" s="216" t="str">
        <f t="shared" si="1"/>
        <v/>
      </c>
    </row>
    <row r="96" spans="1:1" x14ac:dyDescent="0.25">
      <c r="A96" s="216" t="str">
        <f t="shared" si="1"/>
        <v/>
      </c>
    </row>
    <row r="97" spans="1:1" x14ac:dyDescent="0.25">
      <c r="A97" s="216" t="str">
        <f t="shared" si="1"/>
        <v/>
      </c>
    </row>
    <row r="98" spans="1:1" x14ac:dyDescent="0.25">
      <c r="A98" s="216" t="str">
        <f t="shared" si="1"/>
        <v/>
      </c>
    </row>
    <row r="99" spans="1:1" x14ac:dyDescent="0.25">
      <c r="A99" s="216" t="str">
        <f t="shared" si="1"/>
        <v/>
      </c>
    </row>
    <row r="100" spans="1:1" x14ac:dyDescent="0.25">
      <c r="A100" s="216" t="str">
        <f t="shared" si="1"/>
        <v/>
      </c>
    </row>
    <row r="101" spans="1:1" x14ac:dyDescent="0.25">
      <c r="A101" s="216" t="str">
        <f t="shared" si="1"/>
        <v/>
      </c>
    </row>
    <row r="102" spans="1:1" x14ac:dyDescent="0.25">
      <c r="A102" s="216" t="str">
        <f t="shared" si="1"/>
        <v/>
      </c>
    </row>
    <row r="103" spans="1:1" x14ac:dyDescent="0.25">
      <c r="A103" s="216" t="str">
        <f t="shared" si="1"/>
        <v/>
      </c>
    </row>
    <row r="104" spans="1:1" x14ac:dyDescent="0.25">
      <c r="A104" s="216" t="str">
        <f t="shared" si="1"/>
        <v/>
      </c>
    </row>
    <row r="105" spans="1:1" x14ac:dyDescent="0.25">
      <c r="A105" s="216" t="str">
        <f t="shared" si="1"/>
        <v/>
      </c>
    </row>
    <row r="106" spans="1:1" x14ac:dyDescent="0.25">
      <c r="A106" s="216" t="str">
        <f t="shared" si="1"/>
        <v/>
      </c>
    </row>
    <row r="107" spans="1:1" x14ac:dyDescent="0.25">
      <c r="A107" s="216" t="str">
        <f t="shared" si="1"/>
        <v/>
      </c>
    </row>
    <row r="108" spans="1:1" x14ac:dyDescent="0.25">
      <c r="A108" s="216" t="str">
        <f t="shared" si="1"/>
        <v/>
      </c>
    </row>
    <row r="109" spans="1:1" x14ac:dyDescent="0.25">
      <c r="A109" s="216" t="str">
        <f t="shared" si="1"/>
        <v/>
      </c>
    </row>
    <row r="110" spans="1:1" x14ac:dyDescent="0.25">
      <c r="A110" s="216" t="str">
        <f t="shared" si="1"/>
        <v/>
      </c>
    </row>
    <row r="111" spans="1:1" x14ac:dyDescent="0.25">
      <c r="A111" s="216" t="str">
        <f t="shared" si="1"/>
        <v/>
      </c>
    </row>
    <row r="112" spans="1:1" x14ac:dyDescent="0.25">
      <c r="A112" s="216" t="str">
        <f t="shared" si="1"/>
        <v/>
      </c>
    </row>
    <row r="113" spans="1:1" x14ac:dyDescent="0.25">
      <c r="A113" s="216" t="str">
        <f t="shared" si="1"/>
        <v/>
      </c>
    </row>
    <row r="114" spans="1:1" x14ac:dyDescent="0.25">
      <c r="A114" s="216" t="str">
        <f t="shared" si="1"/>
        <v/>
      </c>
    </row>
    <row r="115" spans="1:1" x14ac:dyDescent="0.25">
      <c r="A115" s="216" t="str">
        <f t="shared" si="1"/>
        <v/>
      </c>
    </row>
    <row r="116" spans="1:1" x14ac:dyDescent="0.25">
      <c r="A116" s="216" t="str">
        <f t="shared" si="1"/>
        <v/>
      </c>
    </row>
    <row r="117" spans="1:1" x14ac:dyDescent="0.25">
      <c r="A117" s="216" t="str">
        <f t="shared" si="1"/>
        <v/>
      </c>
    </row>
    <row r="118" spans="1:1" x14ac:dyDescent="0.25">
      <c r="A118" s="216" t="str">
        <f t="shared" si="1"/>
        <v/>
      </c>
    </row>
    <row r="119" spans="1:1" x14ac:dyDescent="0.25">
      <c r="A119" s="216" t="str">
        <f t="shared" si="1"/>
        <v/>
      </c>
    </row>
    <row r="120" spans="1:1" x14ac:dyDescent="0.25">
      <c r="A120" s="216" t="str">
        <f t="shared" si="1"/>
        <v/>
      </c>
    </row>
    <row r="121" spans="1:1" x14ac:dyDescent="0.25">
      <c r="A121" s="216" t="str">
        <f t="shared" si="1"/>
        <v/>
      </c>
    </row>
    <row r="122" spans="1:1" x14ac:dyDescent="0.25">
      <c r="A122" s="216" t="str">
        <f t="shared" si="1"/>
        <v/>
      </c>
    </row>
    <row r="123" spans="1:1" x14ac:dyDescent="0.25">
      <c r="A123" s="216" t="str">
        <f t="shared" si="1"/>
        <v/>
      </c>
    </row>
    <row r="124" spans="1:1" x14ac:dyDescent="0.25">
      <c r="A124" s="216" t="str">
        <f t="shared" si="1"/>
        <v/>
      </c>
    </row>
    <row r="125" spans="1:1" x14ac:dyDescent="0.25">
      <c r="A125" s="216" t="str">
        <f t="shared" si="1"/>
        <v/>
      </c>
    </row>
    <row r="126" spans="1:1" x14ac:dyDescent="0.25">
      <c r="A126" s="216" t="str">
        <f t="shared" si="1"/>
        <v/>
      </c>
    </row>
    <row r="127" spans="1:1" x14ac:dyDescent="0.25">
      <c r="A127" s="216" t="str">
        <f t="shared" si="1"/>
        <v/>
      </c>
    </row>
    <row r="128" spans="1:1" x14ac:dyDescent="0.25">
      <c r="A128" s="216" t="str">
        <f t="shared" si="1"/>
        <v/>
      </c>
    </row>
    <row r="129" spans="1:1" x14ac:dyDescent="0.25">
      <c r="A129" s="216" t="str">
        <f t="shared" si="1"/>
        <v/>
      </c>
    </row>
    <row r="130" spans="1:1" x14ac:dyDescent="0.25">
      <c r="A130" s="216" t="str">
        <f t="shared" si="1"/>
        <v/>
      </c>
    </row>
    <row r="131" spans="1:1" x14ac:dyDescent="0.25">
      <c r="A131" s="216" t="str">
        <f t="shared" si="1"/>
        <v/>
      </c>
    </row>
    <row r="132" spans="1:1" x14ac:dyDescent="0.25">
      <c r="A132" s="216" t="str">
        <f t="shared" ref="A132:A195" si="2">IF(B132&lt;&gt;"",A131+1,"")</f>
        <v/>
      </c>
    </row>
    <row r="133" spans="1:1" x14ac:dyDescent="0.25">
      <c r="A133" s="216" t="str">
        <f t="shared" si="2"/>
        <v/>
      </c>
    </row>
    <row r="134" spans="1:1" x14ac:dyDescent="0.25">
      <c r="A134" s="216" t="str">
        <f t="shared" si="2"/>
        <v/>
      </c>
    </row>
    <row r="135" spans="1:1" x14ac:dyDescent="0.25">
      <c r="A135" s="216" t="str">
        <f t="shared" si="2"/>
        <v/>
      </c>
    </row>
    <row r="136" spans="1:1" x14ac:dyDescent="0.25">
      <c r="A136" s="216" t="str">
        <f t="shared" si="2"/>
        <v/>
      </c>
    </row>
    <row r="137" spans="1:1" x14ac:dyDescent="0.25">
      <c r="A137" s="216" t="str">
        <f t="shared" si="2"/>
        <v/>
      </c>
    </row>
    <row r="138" spans="1:1" x14ac:dyDescent="0.25">
      <c r="A138" s="216" t="str">
        <f t="shared" si="2"/>
        <v/>
      </c>
    </row>
    <row r="139" spans="1:1" x14ac:dyDescent="0.25">
      <c r="A139" s="216" t="str">
        <f t="shared" si="2"/>
        <v/>
      </c>
    </row>
    <row r="140" spans="1:1" x14ac:dyDescent="0.25">
      <c r="A140" s="216" t="str">
        <f t="shared" si="2"/>
        <v/>
      </c>
    </row>
    <row r="141" spans="1:1" x14ac:dyDescent="0.25">
      <c r="A141" s="216" t="str">
        <f t="shared" si="2"/>
        <v/>
      </c>
    </row>
    <row r="142" spans="1:1" x14ac:dyDescent="0.25">
      <c r="A142" s="216" t="str">
        <f t="shared" si="2"/>
        <v/>
      </c>
    </row>
    <row r="143" spans="1:1" x14ac:dyDescent="0.25">
      <c r="A143" s="216" t="str">
        <f t="shared" si="2"/>
        <v/>
      </c>
    </row>
    <row r="144" spans="1:1" x14ac:dyDescent="0.25">
      <c r="A144" s="216" t="str">
        <f t="shared" si="2"/>
        <v/>
      </c>
    </row>
    <row r="145" spans="1:1" x14ac:dyDescent="0.25">
      <c r="A145" s="216" t="str">
        <f t="shared" si="2"/>
        <v/>
      </c>
    </row>
    <row r="146" spans="1:1" x14ac:dyDescent="0.25">
      <c r="A146" s="216" t="str">
        <f t="shared" si="2"/>
        <v/>
      </c>
    </row>
    <row r="147" spans="1:1" x14ac:dyDescent="0.25">
      <c r="A147" s="216" t="str">
        <f t="shared" si="2"/>
        <v/>
      </c>
    </row>
    <row r="148" spans="1:1" x14ac:dyDescent="0.25">
      <c r="A148" s="216" t="str">
        <f t="shared" si="2"/>
        <v/>
      </c>
    </row>
    <row r="149" spans="1:1" x14ac:dyDescent="0.25">
      <c r="A149" s="216" t="str">
        <f t="shared" si="2"/>
        <v/>
      </c>
    </row>
    <row r="150" spans="1:1" x14ac:dyDescent="0.25">
      <c r="A150" s="216" t="str">
        <f t="shared" si="2"/>
        <v/>
      </c>
    </row>
    <row r="151" spans="1:1" x14ac:dyDescent="0.25">
      <c r="A151" s="216" t="str">
        <f t="shared" si="2"/>
        <v/>
      </c>
    </row>
    <row r="152" spans="1:1" x14ac:dyDescent="0.25">
      <c r="A152" s="216" t="str">
        <f t="shared" si="2"/>
        <v/>
      </c>
    </row>
    <row r="153" spans="1:1" x14ac:dyDescent="0.25">
      <c r="A153" s="216" t="str">
        <f t="shared" si="2"/>
        <v/>
      </c>
    </row>
    <row r="154" spans="1:1" x14ac:dyDescent="0.25">
      <c r="A154" s="216" t="str">
        <f t="shared" si="2"/>
        <v/>
      </c>
    </row>
    <row r="155" spans="1:1" x14ac:dyDescent="0.25">
      <c r="A155" s="216" t="str">
        <f t="shared" si="2"/>
        <v/>
      </c>
    </row>
    <row r="156" spans="1:1" x14ac:dyDescent="0.25">
      <c r="A156" s="216" t="str">
        <f t="shared" si="2"/>
        <v/>
      </c>
    </row>
    <row r="157" spans="1:1" x14ac:dyDescent="0.25">
      <c r="A157" s="216" t="str">
        <f t="shared" si="2"/>
        <v/>
      </c>
    </row>
    <row r="158" spans="1:1" x14ac:dyDescent="0.25">
      <c r="A158" s="216" t="str">
        <f t="shared" si="2"/>
        <v/>
      </c>
    </row>
    <row r="159" spans="1:1" x14ac:dyDescent="0.25">
      <c r="A159" s="216" t="str">
        <f t="shared" si="2"/>
        <v/>
      </c>
    </row>
    <row r="160" spans="1:1" x14ac:dyDescent="0.25">
      <c r="A160" s="216" t="str">
        <f t="shared" si="2"/>
        <v/>
      </c>
    </row>
    <row r="161" spans="1:1" x14ac:dyDescent="0.25">
      <c r="A161" s="216" t="str">
        <f t="shared" si="2"/>
        <v/>
      </c>
    </row>
    <row r="162" spans="1:1" x14ac:dyDescent="0.25">
      <c r="A162" s="216" t="str">
        <f t="shared" si="2"/>
        <v/>
      </c>
    </row>
    <row r="163" spans="1:1" x14ac:dyDescent="0.25">
      <c r="A163" s="216" t="str">
        <f t="shared" si="2"/>
        <v/>
      </c>
    </row>
    <row r="164" spans="1:1" x14ac:dyDescent="0.25">
      <c r="A164" s="216" t="str">
        <f t="shared" si="2"/>
        <v/>
      </c>
    </row>
    <row r="165" spans="1:1" x14ac:dyDescent="0.25">
      <c r="A165" s="216" t="str">
        <f t="shared" si="2"/>
        <v/>
      </c>
    </row>
    <row r="166" spans="1:1" x14ac:dyDescent="0.25">
      <c r="A166" s="216" t="str">
        <f t="shared" si="2"/>
        <v/>
      </c>
    </row>
    <row r="167" spans="1:1" x14ac:dyDescent="0.25">
      <c r="A167" s="216" t="str">
        <f t="shared" si="2"/>
        <v/>
      </c>
    </row>
    <row r="168" spans="1:1" x14ac:dyDescent="0.25">
      <c r="A168" s="216" t="str">
        <f t="shared" si="2"/>
        <v/>
      </c>
    </row>
    <row r="169" spans="1:1" x14ac:dyDescent="0.25">
      <c r="A169" s="216" t="str">
        <f t="shared" si="2"/>
        <v/>
      </c>
    </row>
    <row r="170" spans="1:1" x14ac:dyDescent="0.25">
      <c r="A170" s="216" t="str">
        <f t="shared" si="2"/>
        <v/>
      </c>
    </row>
    <row r="171" spans="1:1" x14ac:dyDescent="0.25">
      <c r="A171" s="216" t="str">
        <f t="shared" si="2"/>
        <v/>
      </c>
    </row>
    <row r="172" spans="1:1" x14ac:dyDescent="0.25">
      <c r="A172" s="216" t="str">
        <f t="shared" si="2"/>
        <v/>
      </c>
    </row>
    <row r="173" spans="1:1" x14ac:dyDescent="0.25">
      <c r="A173" s="216" t="str">
        <f t="shared" si="2"/>
        <v/>
      </c>
    </row>
    <row r="174" spans="1:1" x14ac:dyDescent="0.25">
      <c r="A174" s="216" t="str">
        <f t="shared" si="2"/>
        <v/>
      </c>
    </row>
    <row r="175" spans="1:1" x14ac:dyDescent="0.25">
      <c r="A175" s="216" t="str">
        <f t="shared" si="2"/>
        <v/>
      </c>
    </row>
    <row r="176" spans="1:1" x14ac:dyDescent="0.25">
      <c r="A176" s="216" t="str">
        <f t="shared" si="2"/>
        <v/>
      </c>
    </row>
    <row r="177" spans="1:1" x14ac:dyDescent="0.25">
      <c r="A177" s="216" t="str">
        <f t="shared" si="2"/>
        <v/>
      </c>
    </row>
    <row r="178" spans="1:1" x14ac:dyDescent="0.25">
      <c r="A178" s="216" t="str">
        <f t="shared" si="2"/>
        <v/>
      </c>
    </row>
    <row r="179" spans="1:1" x14ac:dyDescent="0.25">
      <c r="A179" s="216" t="str">
        <f t="shared" si="2"/>
        <v/>
      </c>
    </row>
    <row r="180" spans="1:1" x14ac:dyDescent="0.25">
      <c r="A180" s="216" t="str">
        <f t="shared" si="2"/>
        <v/>
      </c>
    </row>
    <row r="181" spans="1:1" x14ac:dyDescent="0.25">
      <c r="A181" s="216" t="str">
        <f t="shared" si="2"/>
        <v/>
      </c>
    </row>
    <row r="182" spans="1:1" x14ac:dyDescent="0.25">
      <c r="A182" s="216" t="str">
        <f t="shared" si="2"/>
        <v/>
      </c>
    </row>
    <row r="183" spans="1:1" x14ac:dyDescent="0.25">
      <c r="A183" s="216" t="str">
        <f t="shared" si="2"/>
        <v/>
      </c>
    </row>
    <row r="184" spans="1:1" x14ac:dyDescent="0.25">
      <c r="A184" s="216" t="str">
        <f t="shared" si="2"/>
        <v/>
      </c>
    </row>
    <row r="185" spans="1:1" x14ac:dyDescent="0.25">
      <c r="A185" s="216" t="str">
        <f t="shared" si="2"/>
        <v/>
      </c>
    </row>
    <row r="186" spans="1:1" x14ac:dyDescent="0.25">
      <c r="A186" s="216" t="str">
        <f t="shared" si="2"/>
        <v/>
      </c>
    </row>
    <row r="187" spans="1:1" x14ac:dyDescent="0.25">
      <c r="A187" s="216" t="str">
        <f t="shared" si="2"/>
        <v/>
      </c>
    </row>
    <row r="188" spans="1:1" x14ac:dyDescent="0.25">
      <c r="A188" s="216" t="str">
        <f t="shared" si="2"/>
        <v/>
      </c>
    </row>
    <row r="189" spans="1:1" x14ac:dyDescent="0.25">
      <c r="A189" s="216" t="str">
        <f t="shared" si="2"/>
        <v/>
      </c>
    </row>
    <row r="190" spans="1:1" x14ac:dyDescent="0.25">
      <c r="A190" s="216" t="str">
        <f t="shared" si="2"/>
        <v/>
      </c>
    </row>
    <row r="191" spans="1:1" x14ac:dyDescent="0.25">
      <c r="A191" s="216" t="str">
        <f t="shared" si="2"/>
        <v/>
      </c>
    </row>
    <row r="192" spans="1:1" x14ac:dyDescent="0.25">
      <c r="A192" s="216" t="str">
        <f t="shared" si="2"/>
        <v/>
      </c>
    </row>
    <row r="193" spans="1:1" x14ac:dyDescent="0.25">
      <c r="A193" s="216" t="str">
        <f t="shared" si="2"/>
        <v/>
      </c>
    </row>
    <row r="194" spans="1:1" x14ac:dyDescent="0.25">
      <c r="A194" s="216" t="str">
        <f t="shared" si="2"/>
        <v/>
      </c>
    </row>
    <row r="195" spans="1:1" x14ac:dyDescent="0.25">
      <c r="A195" s="216" t="str">
        <f t="shared" si="2"/>
        <v/>
      </c>
    </row>
    <row r="196" spans="1:1" x14ac:dyDescent="0.25">
      <c r="A196" s="216" t="str">
        <f t="shared" ref="A196:A259" si="3">IF(B196&lt;&gt;"",A195+1,"")</f>
        <v/>
      </c>
    </row>
    <row r="197" spans="1:1" x14ac:dyDescent="0.25">
      <c r="A197" s="216" t="str">
        <f t="shared" si="3"/>
        <v/>
      </c>
    </row>
    <row r="198" spans="1:1" x14ac:dyDescent="0.25">
      <c r="A198" s="216" t="str">
        <f t="shared" si="3"/>
        <v/>
      </c>
    </row>
    <row r="199" spans="1:1" x14ac:dyDescent="0.25">
      <c r="A199" s="216" t="str">
        <f t="shared" si="3"/>
        <v/>
      </c>
    </row>
    <row r="200" spans="1:1" x14ac:dyDescent="0.25">
      <c r="A200" s="216" t="str">
        <f t="shared" si="3"/>
        <v/>
      </c>
    </row>
    <row r="201" spans="1:1" x14ac:dyDescent="0.25">
      <c r="A201" s="216" t="str">
        <f t="shared" si="3"/>
        <v/>
      </c>
    </row>
    <row r="202" spans="1:1" x14ac:dyDescent="0.25">
      <c r="A202" s="216" t="str">
        <f t="shared" si="3"/>
        <v/>
      </c>
    </row>
    <row r="203" spans="1:1" x14ac:dyDescent="0.25">
      <c r="A203" s="216" t="str">
        <f t="shared" si="3"/>
        <v/>
      </c>
    </row>
    <row r="204" spans="1:1" x14ac:dyDescent="0.25">
      <c r="A204" s="216" t="str">
        <f t="shared" si="3"/>
        <v/>
      </c>
    </row>
    <row r="205" spans="1:1" x14ac:dyDescent="0.25">
      <c r="A205" s="216" t="str">
        <f t="shared" si="3"/>
        <v/>
      </c>
    </row>
    <row r="206" spans="1:1" x14ac:dyDescent="0.25">
      <c r="A206" s="216" t="str">
        <f t="shared" si="3"/>
        <v/>
      </c>
    </row>
    <row r="207" spans="1:1" x14ac:dyDescent="0.25">
      <c r="A207" s="216" t="str">
        <f t="shared" si="3"/>
        <v/>
      </c>
    </row>
    <row r="208" spans="1:1" x14ac:dyDescent="0.25">
      <c r="A208" s="216" t="str">
        <f t="shared" si="3"/>
        <v/>
      </c>
    </row>
    <row r="209" spans="1:1" x14ac:dyDescent="0.25">
      <c r="A209" s="216" t="str">
        <f t="shared" si="3"/>
        <v/>
      </c>
    </row>
    <row r="210" spans="1:1" x14ac:dyDescent="0.25">
      <c r="A210" s="216" t="str">
        <f t="shared" si="3"/>
        <v/>
      </c>
    </row>
    <row r="211" spans="1:1" x14ac:dyDescent="0.25">
      <c r="A211" s="216" t="str">
        <f t="shared" si="3"/>
        <v/>
      </c>
    </row>
    <row r="212" spans="1:1" x14ac:dyDescent="0.25">
      <c r="A212" s="216" t="str">
        <f t="shared" si="3"/>
        <v/>
      </c>
    </row>
    <row r="213" spans="1:1" x14ac:dyDescent="0.25">
      <c r="A213" s="216" t="str">
        <f t="shared" si="3"/>
        <v/>
      </c>
    </row>
    <row r="214" spans="1:1" x14ac:dyDescent="0.25">
      <c r="A214" s="216" t="str">
        <f t="shared" si="3"/>
        <v/>
      </c>
    </row>
    <row r="215" spans="1:1" x14ac:dyDescent="0.25">
      <c r="A215" s="216" t="str">
        <f t="shared" si="3"/>
        <v/>
      </c>
    </row>
    <row r="216" spans="1:1" x14ac:dyDescent="0.25">
      <c r="A216" s="216" t="str">
        <f t="shared" si="3"/>
        <v/>
      </c>
    </row>
    <row r="217" spans="1:1" x14ac:dyDescent="0.25">
      <c r="A217" s="216" t="str">
        <f t="shared" si="3"/>
        <v/>
      </c>
    </row>
    <row r="218" spans="1:1" x14ac:dyDescent="0.25">
      <c r="A218" s="216" t="str">
        <f t="shared" si="3"/>
        <v/>
      </c>
    </row>
    <row r="219" spans="1:1" x14ac:dyDescent="0.25">
      <c r="A219" s="216" t="str">
        <f t="shared" si="3"/>
        <v/>
      </c>
    </row>
    <row r="220" spans="1:1" x14ac:dyDescent="0.25">
      <c r="A220" s="216" t="str">
        <f t="shared" si="3"/>
        <v/>
      </c>
    </row>
    <row r="221" spans="1:1" x14ac:dyDescent="0.25">
      <c r="A221" s="216" t="str">
        <f t="shared" si="3"/>
        <v/>
      </c>
    </row>
    <row r="222" spans="1:1" x14ac:dyDescent="0.25">
      <c r="A222" s="216" t="str">
        <f t="shared" si="3"/>
        <v/>
      </c>
    </row>
    <row r="223" spans="1:1" x14ac:dyDescent="0.25">
      <c r="A223" s="216" t="str">
        <f t="shared" si="3"/>
        <v/>
      </c>
    </row>
    <row r="224" spans="1:1" x14ac:dyDescent="0.25">
      <c r="A224" s="216" t="str">
        <f t="shared" si="3"/>
        <v/>
      </c>
    </row>
    <row r="225" spans="1:1" x14ac:dyDescent="0.25">
      <c r="A225" s="216" t="str">
        <f t="shared" si="3"/>
        <v/>
      </c>
    </row>
    <row r="226" spans="1:1" x14ac:dyDescent="0.25">
      <c r="A226" s="216" t="str">
        <f t="shared" si="3"/>
        <v/>
      </c>
    </row>
    <row r="227" spans="1:1" x14ac:dyDescent="0.25">
      <c r="A227" s="216" t="str">
        <f t="shared" si="3"/>
        <v/>
      </c>
    </row>
    <row r="228" spans="1:1" x14ac:dyDescent="0.25">
      <c r="A228" s="216" t="str">
        <f t="shared" si="3"/>
        <v/>
      </c>
    </row>
    <row r="229" spans="1:1" x14ac:dyDescent="0.25">
      <c r="A229" s="216" t="str">
        <f t="shared" si="3"/>
        <v/>
      </c>
    </row>
    <row r="230" spans="1:1" x14ac:dyDescent="0.25">
      <c r="A230" s="216" t="str">
        <f t="shared" si="3"/>
        <v/>
      </c>
    </row>
    <row r="231" spans="1:1" x14ac:dyDescent="0.25">
      <c r="A231" s="216" t="str">
        <f t="shared" si="3"/>
        <v/>
      </c>
    </row>
    <row r="232" spans="1:1" x14ac:dyDescent="0.25">
      <c r="A232" s="216" t="str">
        <f t="shared" si="3"/>
        <v/>
      </c>
    </row>
    <row r="233" spans="1:1" x14ac:dyDescent="0.25">
      <c r="A233" s="216" t="str">
        <f t="shared" si="3"/>
        <v/>
      </c>
    </row>
    <row r="234" spans="1:1" x14ac:dyDescent="0.25">
      <c r="A234" s="216" t="str">
        <f t="shared" si="3"/>
        <v/>
      </c>
    </row>
    <row r="235" spans="1:1" x14ac:dyDescent="0.25">
      <c r="A235" s="216" t="str">
        <f t="shared" si="3"/>
        <v/>
      </c>
    </row>
    <row r="236" spans="1:1" x14ac:dyDescent="0.25">
      <c r="A236" s="216" t="str">
        <f t="shared" si="3"/>
        <v/>
      </c>
    </row>
    <row r="237" spans="1:1" x14ac:dyDescent="0.25">
      <c r="A237" s="216" t="str">
        <f t="shared" si="3"/>
        <v/>
      </c>
    </row>
    <row r="238" spans="1:1" x14ac:dyDescent="0.25">
      <c r="A238" s="216" t="str">
        <f t="shared" si="3"/>
        <v/>
      </c>
    </row>
    <row r="239" spans="1:1" x14ac:dyDescent="0.25">
      <c r="A239" s="216" t="str">
        <f t="shared" si="3"/>
        <v/>
      </c>
    </row>
    <row r="240" spans="1:1" x14ac:dyDescent="0.25">
      <c r="A240" s="216" t="str">
        <f t="shared" si="3"/>
        <v/>
      </c>
    </row>
    <row r="241" spans="1:1" x14ac:dyDescent="0.25">
      <c r="A241" s="216" t="str">
        <f t="shared" si="3"/>
        <v/>
      </c>
    </row>
    <row r="242" spans="1:1" x14ac:dyDescent="0.25">
      <c r="A242" s="216" t="str">
        <f t="shared" si="3"/>
        <v/>
      </c>
    </row>
    <row r="243" spans="1:1" x14ac:dyDescent="0.25">
      <c r="A243" s="216" t="str">
        <f t="shared" si="3"/>
        <v/>
      </c>
    </row>
    <row r="244" spans="1:1" x14ac:dyDescent="0.25">
      <c r="A244" s="216" t="str">
        <f t="shared" si="3"/>
        <v/>
      </c>
    </row>
    <row r="245" spans="1:1" x14ac:dyDescent="0.25">
      <c r="A245" s="216" t="str">
        <f t="shared" si="3"/>
        <v/>
      </c>
    </row>
    <row r="246" spans="1:1" x14ac:dyDescent="0.25">
      <c r="A246" s="216" t="str">
        <f t="shared" si="3"/>
        <v/>
      </c>
    </row>
    <row r="247" spans="1:1" x14ac:dyDescent="0.25">
      <c r="A247" s="216" t="str">
        <f t="shared" si="3"/>
        <v/>
      </c>
    </row>
    <row r="248" spans="1:1" x14ac:dyDescent="0.25">
      <c r="A248" s="216" t="str">
        <f t="shared" si="3"/>
        <v/>
      </c>
    </row>
    <row r="249" spans="1:1" x14ac:dyDescent="0.25">
      <c r="A249" s="216" t="str">
        <f t="shared" si="3"/>
        <v/>
      </c>
    </row>
    <row r="250" spans="1:1" x14ac:dyDescent="0.25">
      <c r="A250" s="216" t="str">
        <f t="shared" si="3"/>
        <v/>
      </c>
    </row>
    <row r="251" spans="1:1" x14ac:dyDescent="0.25">
      <c r="A251" s="216" t="str">
        <f t="shared" si="3"/>
        <v/>
      </c>
    </row>
    <row r="252" spans="1:1" x14ac:dyDescent="0.25">
      <c r="A252" s="216" t="str">
        <f t="shared" si="3"/>
        <v/>
      </c>
    </row>
    <row r="253" spans="1:1" x14ac:dyDescent="0.25">
      <c r="A253" s="216" t="str">
        <f t="shared" si="3"/>
        <v/>
      </c>
    </row>
    <row r="254" spans="1:1" x14ac:dyDescent="0.25">
      <c r="A254" s="216" t="str">
        <f t="shared" si="3"/>
        <v/>
      </c>
    </row>
    <row r="255" spans="1:1" x14ac:dyDescent="0.25">
      <c r="A255" s="216" t="str">
        <f t="shared" si="3"/>
        <v/>
      </c>
    </row>
    <row r="256" spans="1:1" x14ac:dyDescent="0.25">
      <c r="A256" s="216" t="str">
        <f t="shared" si="3"/>
        <v/>
      </c>
    </row>
    <row r="257" spans="1:1" x14ac:dyDescent="0.25">
      <c r="A257" s="216" t="str">
        <f t="shared" si="3"/>
        <v/>
      </c>
    </row>
    <row r="258" spans="1:1" x14ac:dyDescent="0.25">
      <c r="A258" s="216" t="str">
        <f t="shared" si="3"/>
        <v/>
      </c>
    </row>
    <row r="259" spans="1:1" x14ac:dyDescent="0.25">
      <c r="A259" s="216" t="str">
        <f t="shared" si="3"/>
        <v/>
      </c>
    </row>
    <row r="260" spans="1:1" x14ac:dyDescent="0.25">
      <c r="A260" s="216" t="str">
        <f t="shared" ref="A260:A323" si="4">IF(B260&lt;&gt;"",A259+1,"")</f>
        <v/>
      </c>
    </row>
    <row r="261" spans="1:1" x14ac:dyDescent="0.25">
      <c r="A261" s="216" t="str">
        <f t="shared" si="4"/>
        <v/>
      </c>
    </row>
    <row r="262" spans="1:1" x14ac:dyDescent="0.25">
      <c r="A262" s="216" t="str">
        <f t="shared" si="4"/>
        <v/>
      </c>
    </row>
    <row r="263" spans="1:1" x14ac:dyDescent="0.25">
      <c r="A263" s="216" t="str">
        <f t="shared" si="4"/>
        <v/>
      </c>
    </row>
    <row r="264" spans="1:1" x14ac:dyDescent="0.25">
      <c r="A264" s="216" t="str">
        <f t="shared" si="4"/>
        <v/>
      </c>
    </row>
    <row r="265" spans="1:1" x14ac:dyDescent="0.25">
      <c r="A265" s="216" t="str">
        <f t="shared" si="4"/>
        <v/>
      </c>
    </row>
    <row r="266" spans="1:1" x14ac:dyDescent="0.25">
      <c r="A266" s="216" t="str">
        <f t="shared" si="4"/>
        <v/>
      </c>
    </row>
    <row r="267" spans="1:1" x14ac:dyDescent="0.25">
      <c r="A267" s="216" t="str">
        <f t="shared" si="4"/>
        <v/>
      </c>
    </row>
    <row r="268" spans="1:1" x14ac:dyDescent="0.25">
      <c r="A268" s="216" t="str">
        <f t="shared" si="4"/>
        <v/>
      </c>
    </row>
    <row r="269" spans="1:1" x14ac:dyDescent="0.25">
      <c r="A269" s="216" t="str">
        <f t="shared" si="4"/>
        <v/>
      </c>
    </row>
    <row r="270" spans="1:1" x14ac:dyDescent="0.25">
      <c r="A270" s="216" t="str">
        <f t="shared" si="4"/>
        <v/>
      </c>
    </row>
    <row r="271" spans="1:1" x14ac:dyDescent="0.25">
      <c r="A271" s="216" t="str">
        <f t="shared" si="4"/>
        <v/>
      </c>
    </row>
    <row r="272" spans="1:1" x14ac:dyDescent="0.25">
      <c r="A272" s="216" t="str">
        <f t="shared" si="4"/>
        <v/>
      </c>
    </row>
    <row r="273" spans="1:1" x14ac:dyDescent="0.25">
      <c r="A273" s="216" t="str">
        <f t="shared" si="4"/>
        <v/>
      </c>
    </row>
    <row r="274" spans="1:1" x14ac:dyDescent="0.25">
      <c r="A274" s="216" t="str">
        <f t="shared" si="4"/>
        <v/>
      </c>
    </row>
    <row r="275" spans="1:1" x14ac:dyDescent="0.25">
      <c r="A275" s="216" t="str">
        <f t="shared" si="4"/>
        <v/>
      </c>
    </row>
    <row r="276" spans="1:1" x14ac:dyDescent="0.25">
      <c r="A276" s="216" t="str">
        <f t="shared" si="4"/>
        <v/>
      </c>
    </row>
    <row r="277" spans="1:1" x14ac:dyDescent="0.25">
      <c r="A277" s="216" t="str">
        <f t="shared" si="4"/>
        <v/>
      </c>
    </row>
    <row r="278" spans="1:1" x14ac:dyDescent="0.25">
      <c r="A278" s="216" t="str">
        <f t="shared" si="4"/>
        <v/>
      </c>
    </row>
    <row r="279" spans="1:1" x14ac:dyDescent="0.25">
      <c r="A279" s="216" t="str">
        <f t="shared" si="4"/>
        <v/>
      </c>
    </row>
    <row r="280" spans="1:1" x14ac:dyDescent="0.25">
      <c r="A280" s="216" t="str">
        <f t="shared" si="4"/>
        <v/>
      </c>
    </row>
    <row r="281" spans="1:1" x14ac:dyDescent="0.25">
      <c r="A281" s="216" t="str">
        <f t="shared" si="4"/>
        <v/>
      </c>
    </row>
    <row r="282" spans="1:1" x14ac:dyDescent="0.25">
      <c r="A282" s="216" t="str">
        <f t="shared" si="4"/>
        <v/>
      </c>
    </row>
    <row r="283" spans="1:1" x14ac:dyDescent="0.25">
      <c r="A283" s="216" t="str">
        <f t="shared" si="4"/>
        <v/>
      </c>
    </row>
    <row r="284" spans="1:1" x14ac:dyDescent="0.25">
      <c r="A284" s="216" t="str">
        <f t="shared" si="4"/>
        <v/>
      </c>
    </row>
    <row r="285" spans="1:1" x14ac:dyDescent="0.25">
      <c r="A285" s="216" t="str">
        <f t="shared" si="4"/>
        <v/>
      </c>
    </row>
    <row r="286" spans="1:1" x14ac:dyDescent="0.25">
      <c r="A286" s="216" t="str">
        <f t="shared" si="4"/>
        <v/>
      </c>
    </row>
    <row r="287" spans="1:1" x14ac:dyDescent="0.25">
      <c r="A287" s="216" t="str">
        <f t="shared" si="4"/>
        <v/>
      </c>
    </row>
    <row r="288" spans="1:1" x14ac:dyDescent="0.25">
      <c r="A288" s="216" t="str">
        <f t="shared" si="4"/>
        <v/>
      </c>
    </row>
    <row r="289" spans="1:1" x14ac:dyDescent="0.25">
      <c r="A289" s="216" t="str">
        <f t="shared" si="4"/>
        <v/>
      </c>
    </row>
    <row r="290" spans="1:1" x14ac:dyDescent="0.25">
      <c r="A290" s="216" t="str">
        <f t="shared" si="4"/>
        <v/>
      </c>
    </row>
    <row r="291" spans="1:1" x14ac:dyDescent="0.25">
      <c r="A291" s="216" t="str">
        <f t="shared" si="4"/>
        <v/>
      </c>
    </row>
    <row r="292" spans="1:1" x14ac:dyDescent="0.25">
      <c r="A292" s="216" t="str">
        <f t="shared" si="4"/>
        <v/>
      </c>
    </row>
    <row r="293" spans="1:1" x14ac:dyDescent="0.25">
      <c r="A293" s="216" t="str">
        <f t="shared" si="4"/>
        <v/>
      </c>
    </row>
    <row r="294" spans="1:1" x14ac:dyDescent="0.25">
      <c r="A294" s="216" t="str">
        <f t="shared" si="4"/>
        <v/>
      </c>
    </row>
    <row r="295" spans="1:1" x14ac:dyDescent="0.25">
      <c r="A295" s="216" t="str">
        <f t="shared" si="4"/>
        <v/>
      </c>
    </row>
    <row r="296" spans="1:1" x14ac:dyDescent="0.25">
      <c r="A296" s="216" t="str">
        <f t="shared" si="4"/>
        <v/>
      </c>
    </row>
    <row r="297" spans="1:1" x14ac:dyDescent="0.25">
      <c r="A297" s="216" t="str">
        <f t="shared" si="4"/>
        <v/>
      </c>
    </row>
    <row r="298" spans="1:1" x14ac:dyDescent="0.25">
      <c r="A298" s="216" t="str">
        <f t="shared" si="4"/>
        <v/>
      </c>
    </row>
    <row r="299" spans="1:1" x14ac:dyDescent="0.25">
      <c r="A299" s="216" t="str">
        <f t="shared" si="4"/>
        <v/>
      </c>
    </row>
    <row r="300" spans="1:1" x14ac:dyDescent="0.25">
      <c r="A300" s="216" t="str">
        <f t="shared" si="4"/>
        <v/>
      </c>
    </row>
    <row r="301" spans="1:1" x14ac:dyDescent="0.25">
      <c r="A301" s="216" t="str">
        <f t="shared" si="4"/>
        <v/>
      </c>
    </row>
    <row r="302" spans="1:1" x14ac:dyDescent="0.25">
      <c r="A302" s="216" t="str">
        <f t="shared" si="4"/>
        <v/>
      </c>
    </row>
    <row r="303" spans="1:1" x14ac:dyDescent="0.25">
      <c r="A303" s="216" t="str">
        <f t="shared" si="4"/>
        <v/>
      </c>
    </row>
    <row r="304" spans="1:1" x14ac:dyDescent="0.25">
      <c r="A304" s="216" t="str">
        <f t="shared" si="4"/>
        <v/>
      </c>
    </row>
    <row r="305" spans="1:1" x14ac:dyDescent="0.25">
      <c r="A305" s="216" t="str">
        <f t="shared" si="4"/>
        <v/>
      </c>
    </row>
    <row r="306" spans="1:1" x14ac:dyDescent="0.25">
      <c r="A306" s="216" t="str">
        <f t="shared" si="4"/>
        <v/>
      </c>
    </row>
    <row r="307" spans="1:1" x14ac:dyDescent="0.25">
      <c r="A307" s="216" t="str">
        <f t="shared" si="4"/>
        <v/>
      </c>
    </row>
    <row r="308" spans="1:1" x14ac:dyDescent="0.25">
      <c r="A308" s="216" t="str">
        <f t="shared" si="4"/>
        <v/>
      </c>
    </row>
    <row r="309" spans="1:1" x14ac:dyDescent="0.25">
      <c r="A309" s="216" t="str">
        <f t="shared" si="4"/>
        <v/>
      </c>
    </row>
    <row r="310" spans="1:1" x14ac:dyDescent="0.25">
      <c r="A310" s="216" t="str">
        <f t="shared" si="4"/>
        <v/>
      </c>
    </row>
    <row r="311" spans="1:1" x14ac:dyDescent="0.25">
      <c r="A311" s="216" t="str">
        <f t="shared" si="4"/>
        <v/>
      </c>
    </row>
    <row r="312" spans="1:1" x14ac:dyDescent="0.25">
      <c r="A312" s="216" t="str">
        <f t="shared" si="4"/>
        <v/>
      </c>
    </row>
    <row r="313" spans="1:1" x14ac:dyDescent="0.25">
      <c r="A313" s="216" t="str">
        <f t="shared" si="4"/>
        <v/>
      </c>
    </row>
    <row r="314" spans="1:1" x14ac:dyDescent="0.25">
      <c r="A314" s="216" t="str">
        <f t="shared" si="4"/>
        <v/>
      </c>
    </row>
    <row r="315" spans="1:1" x14ac:dyDescent="0.25">
      <c r="A315" s="216" t="str">
        <f t="shared" si="4"/>
        <v/>
      </c>
    </row>
    <row r="316" spans="1:1" x14ac:dyDescent="0.25">
      <c r="A316" s="216" t="str">
        <f t="shared" si="4"/>
        <v/>
      </c>
    </row>
    <row r="317" spans="1:1" x14ac:dyDescent="0.25">
      <c r="A317" s="216" t="str">
        <f t="shared" si="4"/>
        <v/>
      </c>
    </row>
    <row r="318" spans="1:1" x14ac:dyDescent="0.25">
      <c r="A318" s="216" t="str">
        <f t="shared" si="4"/>
        <v/>
      </c>
    </row>
    <row r="319" spans="1:1" x14ac:dyDescent="0.25">
      <c r="A319" s="216" t="str">
        <f t="shared" si="4"/>
        <v/>
      </c>
    </row>
    <row r="320" spans="1:1" x14ac:dyDescent="0.25">
      <c r="A320" s="216" t="str">
        <f t="shared" si="4"/>
        <v/>
      </c>
    </row>
    <row r="321" spans="1:1" x14ac:dyDescent="0.25">
      <c r="A321" s="216" t="str">
        <f t="shared" si="4"/>
        <v/>
      </c>
    </row>
    <row r="322" spans="1:1" x14ac:dyDescent="0.25">
      <c r="A322" s="216" t="str">
        <f t="shared" si="4"/>
        <v/>
      </c>
    </row>
    <row r="323" spans="1:1" x14ac:dyDescent="0.25">
      <c r="A323" s="216" t="str">
        <f t="shared" si="4"/>
        <v/>
      </c>
    </row>
    <row r="324" spans="1:1" x14ac:dyDescent="0.25">
      <c r="A324" s="216" t="str">
        <f t="shared" ref="A324:A387" si="5">IF(B324&lt;&gt;"",A323+1,"")</f>
        <v/>
      </c>
    </row>
    <row r="325" spans="1:1" x14ac:dyDescent="0.25">
      <c r="A325" s="216" t="str">
        <f t="shared" si="5"/>
        <v/>
      </c>
    </row>
    <row r="326" spans="1:1" x14ac:dyDescent="0.25">
      <c r="A326" s="216" t="str">
        <f t="shared" si="5"/>
        <v/>
      </c>
    </row>
    <row r="327" spans="1:1" x14ac:dyDescent="0.25">
      <c r="A327" s="216" t="str">
        <f t="shared" si="5"/>
        <v/>
      </c>
    </row>
    <row r="328" spans="1:1" x14ac:dyDescent="0.25">
      <c r="A328" s="216" t="str">
        <f t="shared" si="5"/>
        <v/>
      </c>
    </row>
    <row r="329" spans="1:1" x14ac:dyDescent="0.25">
      <c r="A329" s="216" t="str">
        <f t="shared" si="5"/>
        <v/>
      </c>
    </row>
    <row r="330" spans="1:1" x14ac:dyDescent="0.25">
      <c r="A330" s="216" t="str">
        <f t="shared" si="5"/>
        <v/>
      </c>
    </row>
    <row r="331" spans="1:1" x14ac:dyDescent="0.25">
      <c r="A331" s="216" t="str">
        <f t="shared" si="5"/>
        <v/>
      </c>
    </row>
    <row r="332" spans="1:1" x14ac:dyDescent="0.25">
      <c r="A332" s="216" t="str">
        <f t="shared" si="5"/>
        <v/>
      </c>
    </row>
    <row r="333" spans="1:1" x14ac:dyDescent="0.25">
      <c r="A333" s="216" t="str">
        <f t="shared" si="5"/>
        <v/>
      </c>
    </row>
    <row r="334" spans="1:1" x14ac:dyDescent="0.25">
      <c r="A334" s="216" t="str">
        <f t="shared" si="5"/>
        <v/>
      </c>
    </row>
    <row r="335" spans="1:1" x14ac:dyDescent="0.25">
      <c r="A335" s="216" t="str">
        <f t="shared" si="5"/>
        <v/>
      </c>
    </row>
    <row r="336" spans="1:1" x14ac:dyDescent="0.25">
      <c r="A336" s="216" t="str">
        <f t="shared" si="5"/>
        <v/>
      </c>
    </row>
    <row r="337" spans="1:1" x14ac:dyDescent="0.25">
      <c r="A337" s="216" t="str">
        <f t="shared" si="5"/>
        <v/>
      </c>
    </row>
    <row r="338" spans="1:1" x14ac:dyDescent="0.25">
      <c r="A338" s="216" t="str">
        <f t="shared" si="5"/>
        <v/>
      </c>
    </row>
    <row r="339" spans="1:1" x14ac:dyDescent="0.25">
      <c r="A339" s="216" t="str">
        <f t="shared" si="5"/>
        <v/>
      </c>
    </row>
    <row r="340" spans="1:1" x14ac:dyDescent="0.25">
      <c r="A340" s="216" t="str">
        <f t="shared" si="5"/>
        <v/>
      </c>
    </row>
    <row r="341" spans="1:1" x14ac:dyDescent="0.25">
      <c r="A341" s="216" t="str">
        <f t="shared" si="5"/>
        <v/>
      </c>
    </row>
    <row r="342" spans="1:1" x14ac:dyDescent="0.25">
      <c r="A342" s="216" t="str">
        <f t="shared" si="5"/>
        <v/>
      </c>
    </row>
    <row r="343" spans="1:1" x14ac:dyDescent="0.25">
      <c r="A343" s="216" t="str">
        <f t="shared" si="5"/>
        <v/>
      </c>
    </row>
    <row r="344" spans="1:1" x14ac:dyDescent="0.25">
      <c r="A344" s="216" t="str">
        <f t="shared" si="5"/>
        <v/>
      </c>
    </row>
    <row r="345" spans="1:1" x14ac:dyDescent="0.25">
      <c r="A345" s="216" t="str">
        <f t="shared" si="5"/>
        <v/>
      </c>
    </row>
    <row r="346" spans="1:1" x14ac:dyDescent="0.25">
      <c r="A346" s="216" t="str">
        <f t="shared" si="5"/>
        <v/>
      </c>
    </row>
    <row r="347" spans="1:1" x14ac:dyDescent="0.25">
      <c r="A347" s="216" t="str">
        <f t="shared" si="5"/>
        <v/>
      </c>
    </row>
    <row r="348" spans="1:1" x14ac:dyDescent="0.25">
      <c r="A348" s="216" t="str">
        <f t="shared" si="5"/>
        <v/>
      </c>
    </row>
    <row r="349" spans="1:1" x14ac:dyDescent="0.25">
      <c r="A349" s="216" t="str">
        <f t="shared" si="5"/>
        <v/>
      </c>
    </row>
    <row r="350" spans="1:1" x14ac:dyDescent="0.25">
      <c r="A350" s="216" t="str">
        <f t="shared" si="5"/>
        <v/>
      </c>
    </row>
    <row r="351" spans="1:1" x14ac:dyDescent="0.25">
      <c r="A351" s="216" t="str">
        <f t="shared" si="5"/>
        <v/>
      </c>
    </row>
    <row r="352" spans="1:1" x14ac:dyDescent="0.25">
      <c r="A352" s="216" t="str">
        <f t="shared" si="5"/>
        <v/>
      </c>
    </row>
    <row r="353" spans="1:1" x14ac:dyDescent="0.25">
      <c r="A353" s="216" t="str">
        <f t="shared" si="5"/>
        <v/>
      </c>
    </row>
    <row r="354" spans="1:1" x14ac:dyDescent="0.25">
      <c r="A354" s="216" t="str">
        <f t="shared" si="5"/>
        <v/>
      </c>
    </row>
    <row r="355" spans="1:1" x14ac:dyDescent="0.25">
      <c r="A355" s="216" t="str">
        <f t="shared" si="5"/>
        <v/>
      </c>
    </row>
    <row r="356" spans="1:1" x14ac:dyDescent="0.25">
      <c r="A356" s="216" t="str">
        <f t="shared" si="5"/>
        <v/>
      </c>
    </row>
    <row r="357" spans="1:1" x14ac:dyDescent="0.25">
      <c r="A357" s="216" t="str">
        <f t="shared" si="5"/>
        <v/>
      </c>
    </row>
    <row r="358" spans="1:1" x14ac:dyDescent="0.25">
      <c r="A358" s="216" t="str">
        <f t="shared" si="5"/>
        <v/>
      </c>
    </row>
    <row r="359" spans="1:1" x14ac:dyDescent="0.25">
      <c r="A359" s="216" t="str">
        <f t="shared" si="5"/>
        <v/>
      </c>
    </row>
    <row r="360" spans="1:1" x14ac:dyDescent="0.25">
      <c r="A360" s="216" t="str">
        <f t="shared" si="5"/>
        <v/>
      </c>
    </row>
    <row r="361" spans="1:1" x14ac:dyDescent="0.25">
      <c r="A361" s="216" t="str">
        <f t="shared" si="5"/>
        <v/>
      </c>
    </row>
    <row r="362" spans="1:1" x14ac:dyDescent="0.25">
      <c r="A362" s="216" t="str">
        <f t="shared" si="5"/>
        <v/>
      </c>
    </row>
    <row r="363" spans="1:1" x14ac:dyDescent="0.25">
      <c r="A363" s="216" t="str">
        <f t="shared" si="5"/>
        <v/>
      </c>
    </row>
    <row r="364" spans="1:1" x14ac:dyDescent="0.25">
      <c r="A364" s="216" t="str">
        <f t="shared" si="5"/>
        <v/>
      </c>
    </row>
    <row r="365" spans="1:1" x14ac:dyDescent="0.25">
      <c r="A365" s="216" t="str">
        <f t="shared" si="5"/>
        <v/>
      </c>
    </row>
    <row r="366" spans="1:1" x14ac:dyDescent="0.25">
      <c r="A366" s="216" t="str">
        <f t="shared" si="5"/>
        <v/>
      </c>
    </row>
    <row r="367" spans="1:1" x14ac:dyDescent="0.25">
      <c r="A367" s="216" t="str">
        <f t="shared" si="5"/>
        <v/>
      </c>
    </row>
    <row r="368" spans="1:1" x14ac:dyDescent="0.25">
      <c r="A368" s="216" t="str">
        <f t="shared" si="5"/>
        <v/>
      </c>
    </row>
    <row r="369" spans="1:1" x14ac:dyDescent="0.25">
      <c r="A369" s="216" t="str">
        <f t="shared" si="5"/>
        <v/>
      </c>
    </row>
    <row r="370" spans="1:1" x14ac:dyDescent="0.25">
      <c r="A370" s="216" t="str">
        <f t="shared" si="5"/>
        <v/>
      </c>
    </row>
    <row r="371" spans="1:1" x14ac:dyDescent="0.25">
      <c r="A371" s="216" t="str">
        <f t="shared" si="5"/>
        <v/>
      </c>
    </row>
    <row r="372" spans="1:1" x14ac:dyDescent="0.25">
      <c r="A372" s="216" t="str">
        <f t="shared" si="5"/>
        <v/>
      </c>
    </row>
    <row r="373" spans="1:1" x14ac:dyDescent="0.25">
      <c r="A373" s="216" t="str">
        <f t="shared" si="5"/>
        <v/>
      </c>
    </row>
    <row r="374" spans="1:1" x14ac:dyDescent="0.25">
      <c r="A374" s="216" t="str">
        <f t="shared" si="5"/>
        <v/>
      </c>
    </row>
    <row r="375" spans="1:1" x14ac:dyDescent="0.25">
      <c r="A375" s="216" t="str">
        <f t="shared" si="5"/>
        <v/>
      </c>
    </row>
    <row r="376" spans="1:1" x14ac:dyDescent="0.25">
      <c r="A376" s="216" t="str">
        <f t="shared" si="5"/>
        <v/>
      </c>
    </row>
    <row r="377" spans="1:1" x14ac:dyDescent="0.25">
      <c r="A377" s="216" t="str">
        <f t="shared" si="5"/>
        <v/>
      </c>
    </row>
    <row r="378" spans="1:1" x14ac:dyDescent="0.25">
      <c r="A378" s="216" t="str">
        <f t="shared" si="5"/>
        <v/>
      </c>
    </row>
    <row r="379" spans="1:1" x14ac:dyDescent="0.25">
      <c r="A379" s="216" t="str">
        <f t="shared" si="5"/>
        <v/>
      </c>
    </row>
    <row r="380" spans="1:1" x14ac:dyDescent="0.25">
      <c r="A380" s="216" t="str">
        <f t="shared" si="5"/>
        <v/>
      </c>
    </row>
    <row r="381" spans="1:1" x14ac:dyDescent="0.25">
      <c r="A381" s="216" t="str">
        <f t="shared" si="5"/>
        <v/>
      </c>
    </row>
    <row r="382" spans="1:1" x14ac:dyDescent="0.25">
      <c r="A382" s="216" t="str">
        <f t="shared" si="5"/>
        <v/>
      </c>
    </row>
    <row r="383" spans="1:1" x14ac:dyDescent="0.25">
      <c r="A383" s="216" t="str">
        <f t="shared" si="5"/>
        <v/>
      </c>
    </row>
    <row r="384" spans="1:1" x14ac:dyDescent="0.25">
      <c r="A384" s="216" t="str">
        <f t="shared" si="5"/>
        <v/>
      </c>
    </row>
    <row r="385" spans="1:1" x14ac:dyDescent="0.25">
      <c r="A385" s="216" t="str">
        <f t="shared" si="5"/>
        <v/>
      </c>
    </row>
    <row r="386" spans="1:1" x14ac:dyDescent="0.25">
      <c r="A386" s="216" t="str">
        <f t="shared" si="5"/>
        <v/>
      </c>
    </row>
    <row r="387" spans="1:1" x14ac:dyDescent="0.25">
      <c r="A387" s="216" t="str">
        <f t="shared" si="5"/>
        <v/>
      </c>
    </row>
    <row r="388" spans="1:1" x14ac:dyDescent="0.25">
      <c r="A388" s="216" t="str">
        <f t="shared" ref="A388:A451" si="6">IF(B388&lt;&gt;"",A387+1,"")</f>
        <v/>
      </c>
    </row>
    <row r="389" spans="1:1" x14ac:dyDescent="0.25">
      <c r="A389" s="216" t="str">
        <f t="shared" si="6"/>
        <v/>
      </c>
    </row>
    <row r="390" spans="1:1" x14ac:dyDescent="0.25">
      <c r="A390" s="216" t="str">
        <f t="shared" si="6"/>
        <v/>
      </c>
    </row>
    <row r="391" spans="1:1" x14ac:dyDescent="0.25">
      <c r="A391" s="216" t="str">
        <f t="shared" si="6"/>
        <v/>
      </c>
    </row>
    <row r="392" spans="1:1" x14ac:dyDescent="0.25">
      <c r="A392" s="216" t="str">
        <f t="shared" si="6"/>
        <v/>
      </c>
    </row>
    <row r="393" spans="1:1" x14ac:dyDescent="0.25">
      <c r="A393" s="216" t="str">
        <f t="shared" si="6"/>
        <v/>
      </c>
    </row>
    <row r="394" spans="1:1" x14ac:dyDescent="0.25">
      <c r="A394" s="216" t="str">
        <f t="shared" si="6"/>
        <v/>
      </c>
    </row>
    <row r="395" spans="1:1" x14ac:dyDescent="0.25">
      <c r="A395" s="216" t="str">
        <f t="shared" si="6"/>
        <v/>
      </c>
    </row>
    <row r="396" spans="1:1" x14ac:dyDescent="0.25">
      <c r="A396" s="216" t="str">
        <f t="shared" si="6"/>
        <v/>
      </c>
    </row>
    <row r="397" spans="1:1" x14ac:dyDescent="0.25">
      <c r="A397" s="216" t="str">
        <f t="shared" si="6"/>
        <v/>
      </c>
    </row>
    <row r="398" spans="1:1" x14ac:dyDescent="0.25">
      <c r="A398" s="216" t="str">
        <f t="shared" si="6"/>
        <v/>
      </c>
    </row>
    <row r="399" spans="1:1" x14ac:dyDescent="0.25">
      <c r="A399" s="216" t="str">
        <f t="shared" si="6"/>
        <v/>
      </c>
    </row>
    <row r="400" spans="1:1" x14ac:dyDescent="0.25">
      <c r="A400" s="216" t="str">
        <f t="shared" si="6"/>
        <v/>
      </c>
    </row>
    <row r="401" spans="1:1" x14ac:dyDescent="0.25">
      <c r="A401" s="216" t="str">
        <f t="shared" si="6"/>
        <v/>
      </c>
    </row>
    <row r="402" spans="1:1" x14ac:dyDescent="0.25">
      <c r="A402" s="216" t="str">
        <f t="shared" si="6"/>
        <v/>
      </c>
    </row>
    <row r="403" spans="1:1" x14ac:dyDescent="0.25">
      <c r="A403" s="216" t="str">
        <f t="shared" si="6"/>
        <v/>
      </c>
    </row>
    <row r="404" spans="1:1" x14ac:dyDescent="0.25">
      <c r="A404" s="216" t="str">
        <f t="shared" si="6"/>
        <v/>
      </c>
    </row>
    <row r="405" spans="1:1" x14ac:dyDescent="0.25">
      <c r="A405" s="216" t="str">
        <f t="shared" si="6"/>
        <v/>
      </c>
    </row>
    <row r="406" spans="1:1" x14ac:dyDescent="0.25">
      <c r="A406" s="216" t="str">
        <f t="shared" si="6"/>
        <v/>
      </c>
    </row>
    <row r="407" spans="1:1" x14ac:dyDescent="0.25">
      <c r="A407" s="216" t="str">
        <f t="shared" si="6"/>
        <v/>
      </c>
    </row>
    <row r="408" spans="1:1" x14ac:dyDescent="0.25">
      <c r="A408" s="216" t="str">
        <f t="shared" si="6"/>
        <v/>
      </c>
    </row>
    <row r="409" spans="1:1" x14ac:dyDescent="0.25">
      <c r="A409" s="216" t="str">
        <f t="shared" si="6"/>
        <v/>
      </c>
    </row>
    <row r="410" spans="1:1" x14ac:dyDescent="0.25">
      <c r="A410" s="216" t="str">
        <f t="shared" si="6"/>
        <v/>
      </c>
    </row>
    <row r="411" spans="1:1" x14ac:dyDescent="0.25">
      <c r="A411" s="216" t="str">
        <f t="shared" si="6"/>
        <v/>
      </c>
    </row>
    <row r="412" spans="1:1" x14ac:dyDescent="0.25">
      <c r="A412" s="216" t="str">
        <f t="shared" si="6"/>
        <v/>
      </c>
    </row>
    <row r="413" spans="1:1" x14ac:dyDescent="0.25">
      <c r="A413" s="216" t="str">
        <f t="shared" si="6"/>
        <v/>
      </c>
    </row>
    <row r="414" spans="1:1" x14ac:dyDescent="0.25">
      <c r="A414" s="216" t="str">
        <f t="shared" si="6"/>
        <v/>
      </c>
    </row>
    <row r="415" spans="1:1" x14ac:dyDescent="0.25">
      <c r="A415" s="216" t="str">
        <f t="shared" si="6"/>
        <v/>
      </c>
    </row>
    <row r="416" spans="1:1" x14ac:dyDescent="0.25">
      <c r="A416" s="216" t="str">
        <f t="shared" si="6"/>
        <v/>
      </c>
    </row>
    <row r="417" spans="1:1" x14ac:dyDescent="0.25">
      <c r="A417" s="216" t="str">
        <f t="shared" si="6"/>
        <v/>
      </c>
    </row>
    <row r="418" spans="1:1" x14ac:dyDescent="0.25">
      <c r="A418" s="216" t="str">
        <f t="shared" si="6"/>
        <v/>
      </c>
    </row>
    <row r="419" spans="1:1" x14ac:dyDescent="0.25">
      <c r="A419" s="216" t="str">
        <f t="shared" si="6"/>
        <v/>
      </c>
    </row>
    <row r="420" spans="1:1" x14ac:dyDescent="0.25">
      <c r="A420" s="216" t="str">
        <f t="shared" si="6"/>
        <v/>
      </c>
    </row>
    <row r="421" spans="1:1" x14ac:dyDescent="0.25">
      <c r="A421" s="216" t="str">
        <f t="shared" si="6"/>
        <v/>
      </c>
    </row>
    <row r="422" spans="1:1" x14ac:dyDescent="0.25">
      <c r="A422" s="216" t="str">
        <f t="shared" si="6"/>
        <v/>
      </c>
    </row>
    <row r="423" spans="1:1" x14ac:dyDescent="0.25">
      <c r="A423" s="216" t="str">
        <f t="shared" si="6"/>
        <v/>
      </c>
    </row>
    <row r="424" spans="1:1" x14ac:dyDescent="0.25">
      <c r="A424" s="216" t="str">
        <f t="shared" si="6"/>
        <v/>
      </c>
    </row>
    <row r="425" spans="1:1" x14ac:dyDescent="0.25">
      <c r="A425" s="216" t="str">
        <f t="shared" si="6"/>
        <v/>
      </c>
    </row>
    <row r="426" spans="1:1" x14ac:dyDescent="0.25">
      <c r="A426" s="216" t="str">
        <f t="shared" si="6"/>
        <v/>
      </c>
    </row>
    <row r="427" spans="1:1" x14ac:dyDescent="0.25">
      <c r="A427" s="216" t="str">
        <f t="shared" si="6"/>
        <v/>
      </c>
    </row>
    <row r="428" spans="1:1" x14ac:dyDescent="0.25">
      <c r="A428" s="216" t="str">
        <f t="shared" si="6"/>
        <v/>
      </c>
    </row>
    <row r="429" spans="1:1" x14ac:dyDescent="0.25">
      <c r="A429" s="216" t="str">
        <f t="shared" si="6"/>
        <v/>
      </c>
    </row>
    <row r="430" spans="1:1" x14ac:dyDescent="0.25">
      <c r="A430" s="216" t="str">
        <f t="shared" si="6"/>
        <v/>
      </c>
    </row>
    <row r="431" spans="1:1" x14ac:dyDescent="0.25">
      <c r="A431" s="216" t="str">
        <f t="shared" si="6"/>
        <v/>
      </c>
    </row>
    <row r="432" spans="1:1" x14ac:dyDescent="0.25">
      <c r="A432" s="216" t="str">
        <f t="shared" si="6"/>
        <v/>
      </c>
    </row>
    <row r="433" spans="1:1" x14ac:dyDescent="0.25">
      <c r="A433" s="216" t="str">
        <f t="shared" si="6"/>
        <v/>
      </c>
    </row>
    <row r="434" spans="1:1" x14ac:dyDescent="0.25">
      <c r="A434" s="216" t="str">
        <f t="shared" si="6"/>
        <v/>
      </c>
    </row>
    <row r="435" spans="1:1" x14ac:dyDescent="0.25">
      <c r="A435" s="216" t="str">
        <f t="shared" si="6"/>
        <v/>
      </c>
    </row>
    <row r="436" spans="1:1" x14ac:dyDescent="0.25">
      <c r="A436" s="216" t="str">
        <f t="shared" si="6"/>
        <v/>
      </c>
    </row>
    <row r="437" spans="1:1" x14ac:dyDescent="0.25">
      <c r="A437" s="216" t="str">
        <f t="shared" si="6"/>
        <v/>
      </c>
    </row>
    <row r="438" spans="1:1" x14ac:dyDescent="0.25">
      <c r="A438" s="216" t="str">
        <f t="shared" si="6"/>
        <v/>
      </c>
    </row>
    <row r="439" spans="1:1" x14ac:dyDescent="0.25">
      <c r="A439" s="216" t="str">
        <f t="shared" si="6"/>
        <v/>
      </c>
    </row>
    <row r="440" spans="1:1" x14ac:dyDescent="0.25">
      <c r="A440" s="216" t="str">
        <f t="shared" si="6"/>
        <v/>
      </c>
    </row>
    <row r="441" spans="1:1" x14ac:dyDescent="0.25">
      <c r="A441" s="216" t="str">
        <f t="shared" si="6"/>
        <v/>
      </c>
    </row>
    <row r="442" spans="1:1" x14ac:dyDescent="0.25">
      <c r="A442" s="216" t="str">
        <f t="shared" si="6"/>
        <v/>
      </c>
    </row>
    <row r="443" spans="1:1" x14ac:dyDescent="0.25">
      <c r="A443" s="216" t="str">
        <f t="shared" si="6"/>
        <v/>
      </c>
    </row>
    <row r="444" spans="1:1" x14ac:dyDescent="0.25">
      <c r="A444" s="216" t="str">
        <f t="shared" si="6"/>
        <v/>
      </c>
    </row>
    <row r="445" spans="1:1" x14ac:dyDescent="0.25">
      <c r="A445" s="216" t="str">
        <f t="shared" si="6"/>
        <v/>
      </c>
    </row>
    <row r="446" spans="1:1" x14ac:dyDescent="0.25">
      <c r="A446" s="216" t="str">
        <f t="shared" si="6"/>
        <v/>
      </c>
    </row>
    <row r="447" spans="1:1" x14ac:dyDescent="0.25">
      <c r="A447" s="216" t="str">
        <f t="shared" si="6"/>
        <v/>
      </c>
    </row>
    <row r="448" spans="1:1" x14ac:dyDescent="0.25">
      <c r="A448" s="216" t="str">
        <f t="shared" si="6"/>
        <v/>
      </c>
    </row>
    <row r="449" spans="1:1" x14ac:dyDescent="0.25">
      <c r="A449" s="216" t="str">
        <f t="shared" si="6"/>
        <v/>
      </c>
    </row>
    <row r="450" spans="1:1" x14ac:dyDescent="0.25">
      <c r="A450" s="216" t="str">
        <f t="shared" si="6"/>
        <v/>
      </c>
    </row>
    <row r="451" spans="1:1" x14ac:dyDescent="0.25">
      <c r="A451" s="216" t="str">
        <f t="shared" si="6"/>
        <v/>
      </c>
    </row>
    <row r="452" spans="1:1" x14ac:dyDescent="0.25">
      <c r="A452" s="216" t="str">
        <f t="shared" ref="A452:A515" si="7">IF(B452&lt;&gt;"",A451+1,"")</f>
        <v/>
      </c>
    </row>
    <row r="453" spans="1:1" x14ac:dyDescent="0.25">
      <c r="A453" s="216" t="str">
        <f t="shared" si="7"/>
        <v/>
      </c>
    </row>
    <row r="454" spans="1:1" x14ac:dyDescent="0.25">
      <c r="A454" s="216" t="str">
        <f t="shared" si="7"/>
        <v/>
      </c>
    </row>
    <row r="455" spans="1:1" x14ac:dyDescent="0.25">
      <c r="A455" s="216" t="str">
        <f t="shared" si="7"/>
        <v/>
      </c>
    </row>
    <row r="456" spans="1:1" x14ac:dyDescent="0.25">
      <c r="A456" s="216" t="str">
        <f t="shared" si="7"/>
        <v/>
      </c>
    </row>
    <row r="457" spans="1:1" x14ac:dyDescent="0.25">
      <c r="A457" s="216" t="str">
        <f t="shared" si="7"/>
        <v/>
      </c>
    </row>
    <row r="458" spans="1:1" x14ac:dyDescent="0.25">
      <c r="A458" s="216" t="str">
        <f t="shared" si="7"/>
        <v/>
      </c>
    </row>
    <row r="459" spans="1:1" x14ac:dyDescent="0.25">
      <c r="A459" s="216" t="str">
        <f t="shared" si="7"/>
        <v/>
      </c>
    </row>
    <row r="460" spans="1:1" x14ac:dyDescent="0.25">
      <c r="A460" s="216" t="str">
        <f t="shared" si="7"/>
        <v/>
      </c>
    </row>
    <row r="461" spans="1:1" x14ac:dyDescent="0.25">
      <c r="A461" s="216" t="str">
        <f t="shared" si="7"/>
        <v/>
      </c>
    </row>
    <row r="462" spans="1:1" x14ac:dyDescent="0.25">
      <c r="A462" s="216" t="str">
        <f t="shared" si="7"/>
        <v/>
      </c>
    </row>
    <row r="463" spans="1:1" x14ac:dyDescent="0.25">
      <c r="A463" s="216" t="str">
        <f t="shared" si="7"/>
        <v/>
      </c>
    </row>
    <row r="464" spans="1:1" x14ac:dyDescent="0.25">
      <c r="A464" s="216" t="str">
        <f t="shared" si="7"/>
        <v/>
      </c>
    </row>
    <row r="465" spans="1:1" x14ac:dyDescent="0.25">
      <c r="A465" s="216" t="str">
        <f t="shared" si="7"/>
        <v/>
      </c>
    </row>
    <row r="466" spans="1:1" x14ac:dyDescent="0.25">
      <c r="A466" s="216" t="str">
        <f t="shared" si="7"/>
        <v/>
      </c>
    </row>
    <row r="467" spans="1:1" x14ac:dyDescent="0.25">
      <c r="A467" s="216" t="str">
        <f t="shared" si="7"/>
        <v/>
      </c>
    </row>
    <row r="468" spans="1:1" x14ac:dyDescent="0.25">
      <c r="A468" s="216" t="str">
        <f t="shared" si="7"/>
        <v/>
      </c>
    </row>
    <row r="469" spans="1:1" x14ac:dyDescent="0.25">
      <c r="A469" s="216" t="str">
        <f t="shared" si="7"/>
        <v/>
      </c>
    </row>
    <row r="470" spans="1:1" x14ac:dyDescent="0.25">
      <c r="A470" s="216" t="str">
        <f t="shared" si="7"/>
        <v/>
      </c>
    </row>
    <row r="471" spans="1:1" x14ac:dyDescent="0.25">
      <c r="A471" s="216" t="str">
        <f t="shared" si="7"/>
        <v/>
      </c>
    </row>
    <row r="472" spans="1:1" x14ac:dyDescent="0.25">
      <c r="A472" s="216" t="str">
        <f t="shared" si="7"/>
        <v/>
      </c>
    </row>
    <row r="473" spans="1:1" x14ac:dyDescent="0.25">
      <c r="A473" s="216" t="str">
        <f t="shared" si="7"/>
        <v/>
      </c>
    </row>
    <row r="474" spans="1:1" x14ac:dyDescent="0.25">
      <c r="A474" s="216" t="str">
        <f t="shared" si="7"/>
        <v/>
      </c>
    </row>
    <row r="475" spans="1:1" x14ac:dyDescent="0.25">
      <c r="A475" s="216" t="str">
        <f t="shared" si="7"/>
        <v/>
      </c>
    </row>
    <row r="476" spans="1:1" x14ac:dyDescent="0.25">
      <c r="A476" s="216" t="str">
        <f t="shared" si="7"/>
        <v/>
      </c>
    </row>
    <row r="477" spans="1:1" x14ac:dyDescent="0.25">
      <c r="A477" s="216" t="str">
        <f t="shared" si="7"/>
        <v/>
      </c>
    </row>
    <row r="478" spans="1:1" x14ac:dyDescent="0.25">
      <c r="A478" s="216" t="str">
        <f t="shared" si="7"/>
        <v/>
      </c>
    </row>
    <row r="479" spans="1:1" x14ac:dyDescent="0.25">
      <c r="A479" s="216" t="str">
        <f t="shared" si="7"/>
        <v/>
      </c>
    </row>
    <row r="480" spans="1:1" x14ac:dyDescent="0.25">
      <c r="A480" s="216" t="str">
        <f t="shared" si="7"/>
        <v/>
      </c>
    </row>
    <row r="481" spans="1:1" x14ac:dyDescent="0.25">
      <c r="A481" s="216" t="str">
        <f t="shared" si="7"/>
        <v/>
      </c>
    </row>
    <row r="482" spans="1:1" x14ac:dyDescent="0.25">
      <c r="A482" s="216" t="str">
        <f t="shared" si="7"/>
        <v/>
      </c>
    </row>
    <row r="483" spans="1:1" x14ac:dyDescent="0.25">
      <c r="A483" s="216" t="str">
        <f t="shared" si="7"/>
        <v/>
      </c>
    </row>
    <row r="484" spans="1:1" x14ac:dyDescent="0.25">
      <c r="A484" s="216" t="str">
        <f t="shared" si="7"/>
        <v/>
      </c>
    </row>
    <row r="485" spans="1:1" x14ac:dyDescent="0.25">
      <c r="A485" s="216" t="str">
        <f t="shared" si="7"/>
        <v/>
      </c>
    </row>
    <row r="486" spans="1:1" x14ac:dyDescent="0.25">
      <c r="A486" s="216" t="str">
        <f t="shared" si="7"/>
        <v/>
      </c>
    </row>
    <row r="487" spans="1:1" x14ac:dyDescent="0.25">
      <c r="A487" s="216" t="str">
        <f t="shared" si="7"/>
        <v/>
      </c>
    </row>
    <row r="488" spans="1:1" x14ac:dyDescent="0.25">
      <c r="A488" s="216" t="str">
        <f t="shared" si="7"/>
        <v/>
      </c>
    </row>
    <row r="489" spans="1:1" x14ac:dyDescent="0.25">
      <c r="A489" s="216" t="str">
        <f t="shared" si="7"/>
        <v/>
      </c>
    </row>
    <row r="490" spans="1:1" x14ac:dyDescent="0.25">
      <c r="A490" s="216" t="str">
        <f t="shared" si="7"/>
        <v/>
      </c>
    </row>
    <row r="491" spans="1:1" x14ac:dyDescent="0.25">
      <c r="A491" s="216" t="str">
        <f t="shared" si="7"/>
        <v/>
      </c>
    </row>
    <row r="492" spans="1:1" x14ac:dyDescent="0.25">
      <c r="A492" s="216" t="str">
        <f t="shared" si="7"/>
        <v/>
      </c>
    </row>
    <row r="493" spans="1:1" x14ac:dyDescent="0.25">
      <c r="A493" s="216" t="str">
        <f t="shared" si="7"/>
        <v/>
      </c>
    </row>
    <row r="494" spans="1:1" x14ac:dyDescent="0.25">
      <c r="A494" s="216" t="str">
        <f t="shared" si="7"/>
        <v/>
      </c>
    </row>
    <row r="495" spans="1:1" x14ac:dyDescent="0.25">
      <c r="A495" s="216" t="str">
        <f t="shared" si="7"/>
        <v/>
      </c>
    </row>
    <row r="496" spans="1:1" x14ac:dyDescent="0.25">
      <c r="A496" s="216" t="str">
        <f t="shared" si="7"/>
        <v/>
      </c>
    </row>
    <row r="497" spans="1:1" x14ac:dyDescent="0.25">
      <c r="A497" s="216" t="str">
        <f t="shared" si="7"/>
        <v/>
      </c>
    </row>
    <row r="498" spans="1:1" x14ac:dyDescent="0.25">
      <c r="A498" s="216" t="str">
        <f t="shared" si="7"/>
        <v/>
      </c>
    </row>
    <row r="499" spans="1:1" x14ac:dyDescent="0.25">
      <c r="A499" s="216" t="str">
        <f t="shared" si="7"/>
        <v/>
      </c>
    </row>
    <row r="500" spans="1:1" x14ac:dyDescent="0.25">
      <c r="A500" s="216" t="str">
        <f t="shared" si="7"/>
        <v/>
      </c>
    </row>
    <row r="501" spans="1:1" x14ac:dyDescent="0.25">
      <c r="A501" s="216" t="str">
        <f t="shared" si="7"/>
        <v/>
      </c>
    </row>
    <row r="502" spans="1:1" x14ac:dyDescent="0.25">
      <c r="A502" s="216" t="str">
        <f t="shared" si="7"/>
        <v/>
      </c>
    </row>
    <row r="503" spans="1:1" x14ac:dyDescent="0.25">
      <c r="A503" s="216" t="str">
        <f t="shared" si="7"/>
        <v/>
      </c>
    </row>
    <row r="504" spans="1:1" x14ac:dyDescent="0.25">
      <c r="A504" s="216" t="str">
        <f t="shared" si="7"/>
        <v/>
      </c>
    </row>
    <row r="505" spans="1:1" x14ac:dyDescent="0.25">
      <c r="A505" s="216" t="str">
        <f t="shared" si="7"/>
        <v/>
      </c>
    </row>
    <row r="506" spans="1:1" x14ac:dyDescent="0.25">
      <c r="A506" s="216" t="str">
        <f t="shared" si="7"/>
        <v/>
      </c>
    </row>
    <row r="507" spans="1:1" x14ac:dyDescent="0.25">
      <c r="A507" s="216" t="str">
        <f t="shared" si="7"/>
        <v/>
      </c>
    </row>
    <row r="508" spans="1:1" x14ac:dyDescent="0.25">
      <c r="A508" s="216" t="str">
        <f t="shared" si="7"/>
        <v/>
      </c>
    </row>
    <row r="509" spans="1:1" x14ac:dyDescent="0.25">
      <c r="A509" s="216" t="str">
        <f t="shared" si="7"/>
        <v/>
      </c>
    </row>
    <row r="510" spans="1:1" x14ac:dyDescent="0.25">
      <c r="A510" s="216" t="str">
        <f t="shared" si="7"/>
        <v/>
      </c>
    </row>
    <row r="511" spans="1:1" x14ac:dyDescent="0.25">
      <c r="A511" s="216" t="str">
        <f t="shared" si="7"/>
        <v/>
      </c>
    </row>
    <row r="512" spans="1:1" x14ac:dyDescent="0.25">
      <c r="A512" s="216" t="str">
        <f t="shared" si="7"/>
        <v/>
      </c>
    </row>
    <row r="513" spans="1:1" x14ac:dyDescent="0.25">
      <c r="A513" s="216" t="str">
        <f t="shared" si="7"/>
        <v/>
      </c>
    </row>
    <row r="514" spans="1:1" x14ac:dyDescent="0.25">
      <c r="A514" s="216" t="str">
        <f t="shared" si="7"/>
        <v/>
      </c>
    </row>
    <row r="515" spans="1:1" x14ac:dyDescent="0.25">
      <c r="A515" s="216" t="str">
        <f t="shared" si="7"/>
        <v/>
      </c>
    </row>
    <row r="516" spans="1:1" x14ac:dyDescent="0.25">
      <c r="A516" s="216" t="str">
        <f t="shared" ref="A516:A579" si="8">IF(B516&lt;&gt;"",A515+1,"")</f>
        <v/>
      </c>
    </row>
    <row r="517" spans="1:1" x14ac:dyDescent="0.25">
      <c r="A517" s="216" t="str">
        <f t="shared" si="8"/>
        <v/>
      </c>
    </row>
    <row r="518" spans="1:1" x14ac:dyDescent="0.25">
      <c r="A518" s="216" t="str">
        <f t="shared" si="8"/>
        <v/>
      </c>
    </row>
    <row r="519" spans="1:1" x14ac:dyDescent="0.25">
      <c r="A519" s="216" t="str">
        <f t="shared" si="8"/>
        <v/>
      </c>
    </row>
    <row r="520" spans="1:1" x14ac:dyDescent="0.25">
      <c r="A520" s="216" t="str">
        <f t="shared" si="8"/>
        <v/>
      </c>
    </row>
    <row r="521" spans="1:1" x14ac:dyDescent="0.25">
      <c r="A521" s="216" t="str">
        <f t="shared" si="8"/>
        <v/>
      </c>
    </row>
    <row r="522" spans="1:1" x14ac:dyDescent="0.25">
      <c r="A522" s="216" t="str">
        <f t="shared" si="8"/>
        <v/>
      </c>
    </row>
    <row r="523" spans="1:1" x14ac:dyDescent="0.25">
      <c r="A523" s="216" t="str">
        <f t="shared" si="8"/>
        <v/>
      </c>
    </row>
    <row r="524" spans="1:1" x14ac:dyDescent="0.25">
      <c r="A524" s="216" t="str">
        <f t="shared" si="8"/>
        <v/>
      </c>
    </row>
    <row r="525" spans="1:1" x14ac:dyDescent="0.25">
      <c r="A525" s="216" t="str">
        <f t="shared" si="8"/>
        <v/>
      </c>
    </row>
    <row r="526" spans="1:1" x14ac:dyDescent="0.25">
      <c r="A526" s="216" t="str">
        <f t="shared" si="8"/>
        <v/>
      </c>
    </row>
    <row r="527" spans="1:1" x14ac:dyDescent="0.25">
      <c r="A527" s="216" t="str">
        <f t="shared" si="8"/>
        <v/>
      </c>
    </row>
    <row r="528" spans="1:1" x14ac:dyDescent="0.25">
      <c r="A528" s="216" t="str">
        <f t="shared" si="8"/>
        <v/>
      </c>
    </row>
    <row r="529" spans="1:1" x14ac:dyDescent="0.25">
      <c r="A529" s="216" t="str">
        <f t="shared" si="8"/>
        <v/>
      </c>
    </row>
    <row r="530" spans="1:1" x14ac:dyDescent="0.25">
      <c r="A530" s="216" t="str">
        <f t="shared" si="8"/>
        <v/>
      </c>
    </row>
    <row r="531" spans="1:1" x14ac:dyDescent="0.25">
      <c r="A531" s="216" t="str">
        <f t="shared" si="8"/>
        <v/>
      </c>
    </row>
    <row r="532" spans="1:1" x14ac:dyDescent="0.25">
      <c r="A532" s="216" t="str">
        <f t="shared" si="8"/>
        <v/>
      </c>
    </row>
    <row r="533" spans="1:1" x14ac:dyDescent="0.25">
      <c r="A533" s="216" t="str">
        <f t="shared" si="8"/>
        <v/>
      </c>
    </row>
    <row r="534" spans="1:1" x14ac:dyDescent="0.25">
      <c r="A534" s="216" t="str">
        <f t="shared" si="8"/>
        <v/>
      </c>
    </row>
    <row r="535" spans="1:1" x14ac:dyDescent="0.25">
      <c r="A535" s="216" t="str">
        <f t="shared" si="8"/>
        <v/>
      </c>
    </row>
    <row r="536" spans="1:1" x14ac:dyDescent="0.25">
      <c r="A536" s="216" t="str">
        <f t="shared" si="8"/>
        <v/>
      </c>
    </row>
    <row r="537" spans="1:1" x14ac:dyDescent="0.25">
      <c r="A537" s="216" t="str">
        <f t="shared" si="8"/>
        <v/>
      </c>
    </row>
    <row r="538" spans="1:1" x14ac:dyDescent="0.25">
      <c r="A538" s="216" t="str">
        <f t="shared" si="8"/>
        <v/>
      </c>
    </row>
    <row r="539" spans="1:1" x14ac:dyDescent="0.25">
      <c r="A539" s="216" t="str">
        <f t="shared" si="8"/>
        <v/>
      </c>
    </row>
    <row r="540" spans="1:1" x14ac:dyDescent="0.25">
      <c r="A540" s="216" t="str">
        <f t="shared" si="8"/>
        <v/>
      </c>
    </row>
    <row r="541" spans="1:1" x14ac:dyDescent="0.25">
      <c r="A541" s="216" t="str">
        <f t="shared" si="8"/>
        <v/>
      </c>
    </row>
    <row r="542" spans="1:1" x14ac:dyDescent="0.25">
      <c r="A542" s="216" t="str">
        <f t="shared" si="8"/>
        <v/>
      </c>
    </row>
    <row r="543" spans="1:1" x14ac:dyDescent="0.25">
      <c r="A543" s="216" t="str">
        <f t="shared" si="8"/>
        <v/>
      </c>
    </row>
    <row r="544" spans="1:1" x14ac:dyDescent="0.25">
      <c r="A544" s="216" t="str">
        <f t="shared" si="8"/>
        <v/>
      </c>
    </row>
    <row r="545" spans="1:1" x14ac:dyDescent="0.25">
      <c r="A545" s="216" t="str">
        <f t="shared" si="8"/>
        <v/>
      </c>
    </row>
    <row r="546" spans="1:1" x14ac:dyDescent="0.25">
      <c r="A546" s="216" t="str">
        <f t="shared" si="8"/>
        <v/>
      </c>
    </row>
    <row r="547" spans="1:1" x14ac:dyDescent="0.25">
      <c r="A547" s="216" t="str">
        <f t="shared" si="8"/>
        <v/>
      </c>
    </row>
    <row r="548" spans="1:1" x14ac:dyDescent="0.25">
      <c r="A548" s="216" t="str">
        <f t="shared" si="8"/>
        <v/>
      </c>
    </row>
    <row r="549" spans="1:1" x14ac:dyDescent="0.25">
      <c r="A549" s="216" t="str">
        <f t="shared" si="8"/>
        <v/>
      </c>
    </row>
    <row r="550" spans="1:1" x14ac:dyDescent="0.25">
      <c r="A550" s="216" t="str">
        <f t="shared" si="8"/>
        <v/>
      </c>
    </row>
    <row r="551" spans="1:1" x14ac:dyDescent="0.25">
      <c r="A551" s="216" t="str">
        <f t="shared" si="8"/>
        <v/>
      </c>
    </row>
    <row r="552" spans="1:1" x14ac:dyDescent="0.25">
      <c r="A552" s="216" t="str">
        <f t="shared" si="8"/>
        <v/>
      </c>
    </row>
    <row r="553" spans="1:1" x14ac:dyDescent="0.25">
      <c r="A553" s="216" t="str">
        <f t="shared" si="8"/>
        <v/>
      </c>
    </row>
    <row r="554" spans="1:1" x14ac:dyDescent="0.25">
      <c r="A554" s="216" t="str">
        <f t="shared" si="8"/>
        <v/>
      </c>
    </row>
    <row r="555" spans="1:1" x14ac:dyDescent="0.25">
      <c r="A555" s="216" t="str">
        <f t="shared" si="8"/>
        <v/>
      </c>
    </row>
    <row r="556" spans="1:1" x14ac:dyDescent="0.25">
      <c r="A556" s="216" t="str">
        <f t="shared" si="8"/>
        <v/>
      </c>
    </row>
    <row r="557" spans="1:1" x14ac:dyDescent="0.25">
      <c r="A557" s="216" t="str">
        <f t="shared" si="8"/>
        <v/>
      </c>
    </row>
    <row r="558" spans="1:1" x14ac:dyDescent="0.25">
      <c r="A558" s="216" t="str">
        <f t="shared" si="8"/>
        <v/>
      </c>
    </row>
    <row r="559" spans="1:1" x14ac:dyDescent="0.25">
      <c r="A559" s="216" t="str">
        <f t="shared" si="8"/>
        <v/>
      </c>
    </row>
    <row r="560" spans="1:1" x14ac:dyDescent="0.25">
      <c r="A560" s="216" t="str">
        <f t="shared" si="8"/>
        <v/>
      </c>
    </row>
    <row r="561" spans="1:1" x14ac:dyDescent="0.25">
      <c r="A561" s="216" t="str">
        <f t="shared" si="8"/>
        <v/>
      </c>
    </row>
    <row r="562" spans="1:1" x14ac:dyDescent="0.25">
      <c r="A562" s="216" t="str">
        <f t="shared" si="8"/>
        <v/>
      </c>
    </row>
    <row r="563" spans="1:1" x14ac:dyDescent="0.25">
      <c r="A563" s="216" t="str">
        <f t="shared" si="8"/>
        <v/>
      </c>
    </row>
    <row r="564" spans="1:1" x14ac:dyDescent="0.25">
      <c r="A564" s="216" t="str">
        <f t="shared" si="8"/>
        <v/>
      </c>
    </row>
    <row r="565" spans="1:1" x14ac:dyDescent="0.25">
      <c r="A565" s="216" t="str">
        <f t="shared" si="8"/>
        <v/>
      </c>
    </row>
    <row r="566" spans="1:1" x14ac:dyDescent="0.25">
      <c r="A566" s="216" t="str">
        <f t="shared" si="8"/>
        <v/>
      </c>
    </row>
    <row r="567" spans="1:1" x14ac:dyDescent="0.25">
      <c r="A567" s="216" t="str">
        <f t="shared" si="8"/>
        <v/>
      </c>
    </row>
    <row r="568" spans="1:1" x14ac:dyDescent="0.25">
      <c r="A568" s="216" t="str">
        <f t="shared" si="8"/>
        <v/>
      </c>
    </row>
    <row r="569" spans="1:1" x14ac:dyDescent="0.25">
      <c r="A569" s="216" t="str">
        <f t="shared" si="8"/>
        <v/>
      </c>
    </row>
    <row r="570" spans="1:1" x14ac:dyDescent="0.25">
      <c r="A570" s="216" t="str">
        <f t="shared" si="8"/>
        <v/>
      </c>
    </row>
    <row r="571" spans="1:1" x14ac:dyDescent="0.25">
      <c r="A571" s="216" t="str">
        <f t="shared" si="8"/>
        <v/>
      </c>
    </row>
    <row r="572" spans="1:1" x14ac:dyDescent="0.25">
      <c r="A572" s="216" t="str">
        <f t="shared" si="8"/>
        <v/>
      </c>
    </row>
    <row r="573" spans="1:1" x14ac:dyDescent="0.25">
      <c r="A573" s="216" t="str">
        <f t="shared" si="8"/>
        <v/>
      </c>
    </row>
    <row r="574" spans="1:1" x14ac:dyDescent="0.25">
      <c r="A574" s="216" t="str">
        <f t="shared" si="8"/>
        <v/>
      </c>
    </row>
    <row r="575" spans="1:1" x14ac:dyDescent="0.25">
      <c r="A575" s="216" t="str">
        <f t="shared" si="8"/>
        <v/>
      </c>
    </row>
    <row r="576" spans="1:1" x14ac:dyDescent="0.25">
      <c r="A576" s="216" t="str">
        <f t="shared" si="8"/>
        <v/>
      </c>
    </row>
    <row r="577" spans="1:1" x14ac:dyDescent="0.25">
      <c r="A577" s="216" t="str">
        <f t="shared" si="8"/>
        <v/>
      </c>
    </row>
    <row r="578" spans="1:1" x14ac:dyDescent="0.25">
      <c r="A578" s="216" t="str">
        <f t="shared" si="8"/>
        <v/>
      </c>
    </row>
    <row r="579" spans="1:1" x14ac:dyDescent="0.25">
      <c r="A579" s="216" t="str">
        <f t="shared" si="8"/>
        <v/>
      </c>
    </row>
    <row r="580" spans="1:1" x14ac:dyDescent="0.25">
      <c r="A580" s="216" t="str">
        <f t="shared" ref="A580:A643" si="9">IF(B580&lt;&gt;"",A579+1,"")</f>
        <v/>
      </c>
    </row>
    <row r="581" spans="1:1" x14ac:dyDescent="0.25">
      <c r="A581" s="216" t="str">
        <f t="shared" si="9"/>
        <v/>
      </c>
    </row>
    <row r="582" spans="1:1" x14ac:dyDescent="0.25">
      <c r="A582" s="216" t="str">
        <f t="shared" si="9"/>
        <v/>
      </c>
    </row>
    <row r="583" spans="1:1" x14ac:dyDescent="0.25">
      <c r="A583" s="216" t="str">
        <f t="shared" si="9"/>
        <v/>
      </c>
    </row>
    <row r="584" spans="1:1" x14ac:dyDescent="0.25">
      <c r="A584" s="216" t="str">
        <f t="shared" si="9"/>
        <v/>
      </c>
    </row>
    <row r="585" spans="1:1" x14ac:dyDescent="0.25">
      <c r="A585" s="216" t="str">
        <f t="shared" si="9"/>
        <v/>
      </c>
    </row>
    <row r="586" spans="1:1" x14ac:dyDescent="0.25">
      <c r="A586" s="216" t="str">
        <f t="shared" si="9"/>
        <v/>
      </c>
    </row>
    <row r="587" spans="1:1" x14ac:dyDescent="0.25">
      <c r="A587" s="216" t="str">
        <f t="shared" si="9"/>
        <v/>
      </c>
    </row>
    <row r="588" spans="1:1" x14ac:dyDescent="0.25">
      <c r="A588" s="216" t="str">
        <f t="shared" si="9"/>
        <v/>
      </c>
    </row>
    <row r="589" spans="1:1" x14ac:dyDescent="0.25">
      <c r="A589" s="216" t="str">
        <f t="shared" si="9"/>
        <v/>
      </c>
    </row>
    <row r="590" spans="1:1" x14ac:dyDescent="0.25">
      <c r="A590" s="216" t="str">
        <f t="shared" si="9"/>
        <v/>
      </c>
    </row>
    <row r="591" spans="1:1" x14ac:dyDescent="0.25">
      <c r="A591" s="216" t="str">
        <f t="shared" si="9"/>
        <v/>
      </c>
    </row>
    <row r="592" spans="1:1" x14ac:dyDescent="0.25">
      <c r="A592" s="216" t="str">
        <f t="shared" si="9"/>
        <v/>
      </c>
    </row>
    <row r="593" spans="1:1" x14ac:dyDescent="0.25">
      <c r="A593" s="216" t="str">
        <f t="shared" si="9"/>
        <v/>
      </c>
    </row>
    <row r="594" spans="1:1" x14ac:dyDescent="0.25">
      <c r="A594" s="216" t="str">
        <f t="shared" si="9"/>
        <v/>
      </c>
    </row>
    <row r="595" spans="1:1" x14ac:dyDescent="0.25">
      <c r="A595" s="216" t="str">
        <f t="shared" si="9"/>
        <v/>
      </c>
    </row>
    <row r="596" spans="1:1" x14ac:dyDescent="0.25">
      <c r="A596" s="216" t="str">
        <f t="shared" si="9"/>
        <v/>
      </c>
    </row>
    <row r="597" spans="1:1" x14ac:dyDescent="0.25">
      <c r="A597" s="216" t="str">
        <f t="shared" si="9"/>
        <v/>
      </c>
    </row>
    <row r="598" spans="1:1" x14ac:dyDescent="0.25">
      <c r="A598" s="216" t="str">
        <f t="shared" si="9"/>
        <v/>
      </c>
    </row>
    <row r="599" spans="1:1" x14ac:dyDescent="0.25">
      <c r="A599" s="216" t="str">
        <f t="shared" si="9"/>
        <v/>
      </c>
    </row>
    <row r="600" spans="1:1" x14ac:dyDescent="0.25">
      <c r="A600" s="216" t="str">
        <f t="shared" si="9"/>
        <v/>
      </c>
    </row>
    <row r="601" spans="1:1" x14ac:dyDescent="0.25">
      <c r="A601" s="216" t="str">
        <f t="shared" si="9"/>
        <v/>
      </c>
    </row>
    <row r="602" spans="1:1" x14ac:dyDescent="0.25">
      <c r="A602" s="216" t="str">
        <f t="shared" si="9"/>
        <v/>
      </c>
    </row>
    <row r="603" spans="1:1" x14ac:dyDescent="0.25">
      <c r="A603" s="216" t="str">
        <f t="shared" si="9"/>
        <v/>
      </c>
    </row>
    <row r="604" spans="1:1" x14ac:dyDescent="0.25">
      <c r="A604" s="216" t="str">
        <f t="shared" si="9"/>
        <v/>
      </c>
    </row>
    <row r="605" spans="1:1" x14ac:dyDescent="0.25">
      <c r="A605" s="216" t="str">
        <f t="shared" si="9"/>
        <v/>
      </c>
    </row>
    <row r="606" spans="1:1" x14ac:dyDescent="0.25">
      <c r="A606" s="216" t="str">
        <f t="shared" si="9"/>
        <v/>
      </c>
    </row>
    <row r="607" spans="1:1" x14ac:dyDescent="0.25">
      <c r="A607" s="216" t="str">
        <f t="shared" si="9"/>
        <v/>
      </c>
    </row>
    <row r="608" spans="1:1" x14ac:dyDescent="0.25">
      <c r="A608" s="216" t="str">
        <f t="shared" si="9"/>
        <v/>
      </c>
    </row>
    <row r="609" spans="1:1" x14ac:dyDescent="0.25">
      <c r="A609" s="216" t="str">
        <f t="shared" si="9"/>
        <v/>
      </c>
    </row>
    <row r="610" spans="1:1" x14ac:dyDescent="0.25">
      <c r="A610" s="216" t="str">
        <f t="shared" si="9"/>
        <v/>
      </c>
    </row>
    <row r="611" spans="1:1" x14ac:dyDescent="0.25">
      <c r="A611" s="216" t="str">
        <f t="shared" si="9"/>
        <v/>
      </c>
    </row>
    <row r="612" spans="1:1" x14ac:dyDescent="0.25">
      <c r="A612" s="216" t="str">
        <f t="shared" si="9"/>
        <v/>
      </c>
    </row>
    <row r="613" spans="1:1" x14ac:dyDescent="0.25">
      <c r="A613" s="216" t="str">
        <f t="shared" si="9"/>
        <v/>
      </c>
    </row>
    <row r="614" spans="1:1" x14ac:dyDescent="0.25">
      <c r="A614" s="216" t="str">
        <f t="shared" si="9"/>
        <v/>
      </c>
    </row>
    <row r="615" spans="1:1" x14ac:dyDescent="0.25">
      <c r="A615" s="216" t="str">
        <f t="shared" si="9"/>
        <v/>
      </c>
    </row>
    <row r="616" spans="1:1" x14ac:dyDescent="0.25">
      <c r="A616" s="216" t="str">
        <f t="shared" si="9"/>
        <v/>
      </c>
    </row>
    <row r="617" spans="1:1" x14ac:dyDescent="0.25">
      <c r="A617" s="216" t="str">
        <f t="shared" si="9"/>
        <v/>
      </c>
    </row>
    <row r="618" spans="1:1" x14ac:dyDescent="0.25">
      <c r="A618" s="216" t="str">
        <f t="shared" si="9"/>
        <v/>
      </c>
    </row>
    <row r="619" spans="1:1" x14ac:dyDescent="0.25">
      <c r="A619" s="216" t="str">
        <f t="shared" si="9"/>
        <v/>
      </c>
    </row>
    <row r="620" spans="1:1" x14ac:dyDescent="0.25">
      <c r="A620" s="216" t="str">
        <f t="shared" si="9"/>
        <v/>
      </c>
    </row>
    <row r="621" spans="1:1" x14ac:dyDescent="0.25">
      <c r="A621" s="216" t="str">
        <f t="shared" si="9"/>
        <v/>
      </c>
    </row>
    <row r="622" spans="1:1" x14ac:dyDescent="0.25">
      <c r="A622" s="216" t="str">
        <f t="shared" si="9"/>
        <v/>
      </c>
    </row>
    <row r="623" spans="1:1" x14ac:dyDescent="0.25">
      <c r="A623" s="216" t="str">
        <f t="shared" si="9"/>
        <v/>
      </c>
    </row>
    <row r="624" spans="1:1" x14ac:dyDescent="0.25">
      <c r="A624" s="216" t="str">
        <f t="shared" si="9"/>
        <v/>
      </c>
    </row>
    <row r="625" spans="1:1" x14ac:dyDescent="0.25">
      <c r="A625" s="216" t="str">
        <f t="shared" si="9"/>
        <v/>
      </c>
    </row>
    <row r="626" spans="1:1" x14ac:dyDescent="0.25">
      <c r="A626" s="216" t="str">
        <f t="shared" si="9"/>
        <v/>
      </c>
    </row>
    <row r="627" spans="1:1" x14ac:dyDescent="0.25">
      <c r="A627" s="216" t="str">
        <f t="shared" si="9"/>
        <v/>
      </c>
    </row>
    <row r="628" spans="1:1" x14ac:dyDescent="0.25">
      <c r="A628" s="216" t="str">
        <f t="shared" si="9"/>
        <v/>
      </c>
    </row>
    <row r="629" spans="1:1" x14ac:dyDescent="0.25">
      <c r="A629" s="216" t="str">
        <f t="shared" si="9"/>
        <v/>
      </c>
    </row>
    <row r="630" spans="1:1" x14ac:dyDescent="0.25">
      <c r="A630" s="216" t="str">
        <f t="shared" si="9"/>
        <v/>
      </c>
    </row>
    <row r="631" spans="1:1" x14ac:dyDescent="0.25">
      <c r="A631" s="216" t="str">
        <f t="shared" si="9"/>
        <v/>
      </c>
    </row>
    <row r="632" spans="1:1" x14ac:dyDescent="0.25">
      <c r="A632" s="216" t="str">
        <f t="shared" si="9"/>
        <v/>
      </c>
    </row>
    <row r="633" spans="1:1" x14ac:dyDescent="0.25">
      <c r="A633" s="216" t="str">
        <f t="shared" si="9"/>
        <v/>
      </c>
    </row>
    <row r="634" spans="1:1" x14ac:dyDescent="0.25">
      <c r="A634" s="216" t="str">
        <f t="shared" si="9"/>
        <v/>
      </c>
    </row>
    <row r="635" spans="1:1" x14ac:dyDescent="0.25">
      <c r="A635" s="216" t="str">
        <f t="shared" si="9"/>
        <v/>
      </c>
    </row>
    <row r="636" spans="1:1" x14ac:dyDescent="0.25">
      <c r="A636" s="216" t="str">
        <f t="shared" si="9"/>
        <v/>
      </c>
    </row>
    <row r="637" spans="1:1" x14ac:dyDescent="0.25">
      <c r="A637" s="216" t="str">
        <f t="shared" si="9"/>
        <v/>
      </c>
    </row>
    <row r="638" spans="1:1" x14ac:dyDescent="0.25">
      <c r="A638" s="216" t="str">
        <f t="shared" si="9"/>
        <v/>
      </c>
    </row>
    <row r="639" spans="1:1" x14ac:dyDescent="0.25">
      <c r="A639" s="216" t="str">
        <f t="shared" si="9"/>
        <v/>
      </c>
    </row>
    <row r="640" spans="1:1" x14ac:dyDescent="0.25">
      <c r="A640" s="216" t="str">
        <f t="shared" si="9"/>
        <v/>
      </c>
    </row>
    <row r="641" spans="1:1" x14ac:dyDescent="0.25">
      <c r="A641" s="216" t="str">
        <f t="shared" si="9"/>
        <v/>
      </c>
    </row>
    <row r="642" spans="1:1" x14ac:dyDescent="0.25">
      <c r="A642" s="216" t="str">
        <f t="shared" si="9"/>
        <v/>
      </c>
    </row>
    <row r="643" spans="1:1" x14ac:dyDescent="0.25">
      <c r="A643" s="216" t="str">
        <f t="shared" si="9"/>
        <v/>
      </c>
    </row>
    <row r="644" spans="1:1" x14ac:dyDescent="0.25">
      <c r="A644" s="216" t="str">
        <f t="shared" ref="A644:A707" si="10">IF(B644&lt;&gt;"",A643+1,"")</f>
        <v/>
      </c>
    </row>
    <row r="645" spans="1:1" x14ac:dyDescent="0.25">
      <c r="A645" s="216" t="str">
        <f t="shared" si="10"/>
        <v/>
      </c>
    </row>
    <row r="646" spans="1:1" x14ac:dyDescent="0.25">
      <c r="A646" s="216" t="str">
        <f t="shared" si="10"/>
        <v/>
      </c>
    </row>
    <row r="647" spans="1:1" x14ac:dyDescent="0.25">
      <c r="A647" s="216" t="str">
        <f t="shared" si="10"/>
        <v/>
      </c>
    </row>
    <row r="648" spans="1:1" x14ac:dyDescent="0.25">
      <c r="A648" s="216" t="str">
        <f t="shared" si="10"/>
        <v/>
      </c>
    </row>
    <row r="649" spans="1:1" x14ac:dyDescent="0.25">
      <c r="A649" s="216" t="str">
        <f t="shared" si="10"/>
        <v/>
      </c>
    </row>
    <row r="650" spans="1:1" x14ac:dyDescent="0.25">
      <c r="A650" s="216" t="str">
        <f t="shared" si="10"/>
        <v/>
      </c>
    </row>
    <row r="651" spans="1:1" x14ac:dyDescent="0.25">
      <c r="A651" s="216" t="str">
        <f t="shared" si="10"/>
        <v/>
      </c>
    </row>
    <row r="652" spans="1:1" x14ac:dyDescent="0.25">
      <c r="A652" s="216" t="str">
        <f t="shared" si="10"/>
        <v/>
      </c>
    </row>
    <row r="653" spans="1:1" x14ac:dyDescent="0.25">
      <c r="A653" s="216" t="str">
        <f t="shared" si="10"/>
        <v/>
      </c>
    </row>
    <row r="654" spans="1:1" x14ac:dyDescent="0.25">
      <c r="A654" s="216" t="str">
        <f t="shared" si="10"/>
        <v/>
      </c>
    </row>
    <row r="655" spans="1:1" x14ac:dyDescent="0.25">
      <c r="A655" s="216" t="str">
        <f t="shared" si="10"/>
        <v/>
      </c>
    </row>
    <row r="656" spans="1:1" x14ac:dyDescent="0.25">
      <c r="A656" s="216" t="str">
        <f t="shared" si="10"/>
        <v/>
      </c>
    </row>
    <row r="657" spans="1:1" x14ac:dyDescent="0.25">
      <c r="A657" s="216" t="str">
        <f t="shared" si="10"/>
        <v/>
      </c>
    </row>
    <row r="658" spans="1:1" x14ac:dyDescent="0.25">
      <c r="A658" s="216" t="str">
        <f t="shared" si="10"/>
        <v/>
      </c>
    </row>
    <row r="659" spans="1:1" x14ac:dyDescent="0.25">
      <c r="A659" s="216" t="str">
        <f t="shared" si="10"/>
        <v/>
      </c>
    </row>
    <row r="660" spans="1:1" x14ac:dyDescent="0.25">
      <c r="A660" s="216" t="str">
        <f t="shared" si="10"/>
        <v/>
      </c>
    </row>
    <row r="661" spans="1:1" x14ac:dyDescent="0.25">
      <c r="A661" s="216" t="str">
        <f t="shared" si="10"/>
        <v/>
      </c>
    </row>
    <row r="662" spans="1:1" x14ac:dyDescent="0.25">
      <c r="A662" s="216" t="str">
        <f t="shared" si="10"/>
        <v/>
      </c>
    </row>
    <row r="663" spans="1:1" x14ac:dyDescent="0.25">
      <c r="A663" s="216" t="str">
        <f t="shared" si="10"/>
        <v/>
      </c>
    </row>
    <row r="664" spans="1:1" x14ac:dyDescent="0.25">
      <c r="A664" s="216" t="str">
        <f t="shared" si="10"/>
        <v/>
      </c>
    </row>
    <row r="665" spans="1:1" x14ac:dyDescent="0.25">
      <c r="A665" s="216" t="str">
        <f t="shared" si="10"/>
        <v/>
      </c>
    </row>
    <row r="666" spans="1:1" x14ac:dyDescent="0.25">
      <c r="A666" s="216" t="str">
        <f t="shared" si="10"/>
        <v/>
      </c>
    </row>
    <row r="667" spans="1:1" x14ac:dyDescent="0.25">
      <c r="A667" s="216" t="str">
        <f t="shared" si="10"/>
        <v/>
      </c>
    </row>
    <row r="668" spans="1:1" x14ac:dyDescent="0.25">
      <c r="A668" s="216" t="str">
        <f t="shared" si="10"/>
        <v/>
      </c>
    </row>
    <row r="669" spans="1:1" x14ac:dyDescent="0.25">
      <c r="A669" s="216" t="str">
        <f t="shared" si="10"/>
        <v/>
      </c>
    </row>
    <row r="670" spans="1:1" x14ac:dyDescent="0.25">
      <c r="A670" s="216" t="str">
        <f t="shared" si="10"/>
        <v/>
      </c>
    </row>
    <row r="671" spans="1:1" x14ac:dyDescent="0.25">
      <c r="A671" s="216" t="str">
        <f t="shared" si="10"/>
        <v/>
      </c>
    </row>
    <row r="672" spans="1:1" x14ac:dyDescent="0.25">
      <c r="A672" s="216" t="str">
        <f t="shared" si="10"/>
        <v/>
      </c>
    </row>
    <row r="673" spans="1:1" x14ac:dyDescent="0.25">
      <c r="A673" s="216" t="str">
        <f t="shared" si="10"/>
        <v/>
      </c>
    </row>
    <row r="674" spans="1:1" x14ac:dyDescent="0.25">
      <c r="A674" s="216" t="str">
        <f t="shared" si="10"/>
        <v/>
      </c>
    </row>
    <row r="675" spans="1:1" x14ac:dyDescent="0.25">
      <c r="A675" s="216" t="str">
        <f t="shared" si="10"/>
        <v/>
      </c>
    </row>
    <row r="676" spans="1:1" x14ac:dyDescent="0.25">
      <c r="A676" s="216" t="str">
        <f t="shared" si="10"/>
        <v/>
      </c>
    </row>
    <row r="677" spans="1:1" x14ac:dyDescent="0.25">
      <c r="A677" s="216" t="str">
        <f t="shared" si="10"/>
        <v/>
      </c>
    </row>
    <row r="678" spans="1:1" x14ac:dyDescent="0.25">
      <c r="A678" s="216" t="str">
        <f t="shared" si="10"/>
        <v/>
      </c>
    </row>
    <row r="679" spans="1:1" x14ac:dyDescent="0.25">
      <c r="A679" s="216" t="str">
        <f t="shared" si="10"/>
        <v/>
      </c>
    </row>
    <row r="680" spans="1:1" x14ac:dyDescent="0.25">
      <c r="A680" s="216" t="str">
        <f t="shared" si="10"/>
        <v/>
      </c>
    </row>
    <row r="681" spans="1:1" x14ac:dyDescent="0.25">
      <c r="A681" s="216" t="str">
        <f t="shared" si="10"/>
        <v/>
      </c>
    </row>
    <row r="682" spans="1:1" x14ac:dyDescent="0.25">
      <c r="A682" s="216" t="str">
        <f t="shared" si="10"/>
        <v/>
      </c>
    </row>
    <row r="683" spans="1:1" x14ac:dyDescent="0.25">
      <c r="A683" s="216" t="str">
        <f t="shared" si="10"/>
        <v/>
      </c>
    </row>
    <row r="684" spans="1:1" x14ac:dyDescent="0.25">
      <c r="A684" s="216" t="str">
        <f t="shared" si="10"/>
        <v/>
      </c>
    </row>
    <row r="685" spans="1:1" x14ac:dyDescent="0.25">
      <c r="A685" s="216" t="str">
        <f t="shared" si="10"/>
        <v/>
      </c>
    </row>
    <row r="686" spans="1:1" x14ac:dyDescent="0.25">
      <c r="A686" s="216" t="str">
        <f t="shared" si="10"/>
        <v/>
      </c>
    </row>
    <row r="687" spans="1:1" x14ac:dyDescent="0.25">
      <c r="A687" s="216" t="str">
        <f t="shared" si="10"/>
        <v/>
      </c>
    </row>
    <row r="688" spans="1:1" x14ac:dyDescent="0.25">
      <c r="A688" s="216" t="str">
        <f t="shared" si="10"/>
        <v/>
      </c>
    </row>
    <row r="689" spans="1:1" x14ac:dyDescent="0.25">
      <c r="A689" s="216" t="str">
        <f t="shared" si="10"/>
        <v/>
      </c>
    </row>
    <row r="690" spans="1:1" x14ac:dyDescent="0.25">
      <c r="A690" s="216" t="str">
        <f t="shared" si="10"/>
        <v/>
      </c>
    </row>
    <row r="691" spans="1:1" x14ac:dyDescent="0.25">
      <c r="A691" s="216" t="str">
        <f t="shared" si="10"/>
        <v/>
      </c>
    </row>
    <row r="692" spans="1:1" x14ac:dyDescent="0.25">
      <c r="A692" s="216" t="str">
        <f t="shared" si="10"/>
        <v/>
      </c>
    </row>
    <row r="693" spans="1:1" x14ac:dyDescent="0.25">
      <c r="A693" s="216" t="str">
        <f t="shared" si="10"/>
        <v/>
      </c>
    </row>
    <row r="694" spans="1:1" x14ac:dyDescent="0.25">
      <c r="A694" s="216" t="str">
        <f t="shared" si="10"/>
        <v/>
      </c>
    </row>
    <row r="695" spans="1:1" x14ac:dyDescent="0.25">
      <c r="A695" s="216" t="str">
        <f t="shared" si="10"/>
        <v/>
      </c>
    </row>
    <row r="696" spans="1:1" x14ac:dyDescent="0.25">
      <c r="A696" s="216" t="str">
        <f t="shared" si="10"/>
        <v/>
      </c>
    </row>
    <row r="697" spans="1:1" x14ac:dyDescent="0.25">
      <c r="A697" s="216" t="str">
        <f t="shared" si="10"/>
        <v/>
      </c>
    </row>
    <row r="698" spans="1:1" x14ac:dyDescent="0.25">
      <c r="A698" s="216" t="str">
        <f t="shared" si="10"/>
        <v/>
      </c>
    </row>
    <row r="699" spans="1:1" x14ac:dyDescent="0.25">
      <c r="A699" s="216" t="str">
        <f t="shared" si="10"/>
        <v/>
      </c>
    </row>
    <row r="700" spans="1:1" x14ac:dyDescent="0.25">
      <c r="A700" s="216" t="str">
        <f t="shared" si="10"/>
        <v/>
      </c>
    </row>
    <row r="701" spans="1:1" x14ac:dyDescent="0.25">
      <c r="A701" s="216" t="str">
        <f t="shared" si="10"/>
        <v/>
      </c>
    </row>
    <row r="702" spans="1:1" x14ac:dyDescent="0.25">
      <c r="A702" s="216" t="str">
        <f t="shared" si="10"/>
        <v/>
      </c>
    </row>
    <row r="703" spans="1:1" x14ac:dyDescent="0.25">
      <c r="A703" s="216" t="str">
        <f t="shared" si="10"/>
        <v/>
      </c>
    </row>
    <row r="704" spans="1:1" x14ac:dyDescent="0.25">
      <c r="A704" s="216" t="str">
        <f t="shared" si="10"/>
        <v/>
      </c>
    </row>
    <row r="705" spans="1:1" x14ac:dyDescent="0.25">
      <c r="A705" s="216" t="str">
        <f t="shared" si="10"/>
        <v/>
      </c>
    </row>
    <row r="706" spans="1:1" x14ac:dyDescent="0.25">
      <c r="A706" s="216" t="str">
        <f t="shared" si="10"/>
        <v/>
      </c>
    </row>
    <row r="707" spans="1:1" x14ac:dyDescent="0.25">
      <c r="A707" s="216" t="str">
        <f t="shared" si="10"/>
        <v/>
      </c>
    </row>
    <row r="708" spans="1:1" x14ac:dyDescent="0.25">
      <c r="A708" s="216" t="str">
        <f t="shared" ref="A708:A771" si="11">IF(B708&lt;&gt;"",A707+1,"")</f>
        <v/>
      </c>
    </row>
    <row r="709" spans="1:1" x14ac:dyDescent="0.25">
      <c r="A709" s="216" t="str">
        <f t="shared" si="11"/>
        <v/>
      </c>
    </row>
    <row r="710" spans="1:1" x14ac:dyDescent="0.25">
      <c r="A710" s="216" t="str">
        <f t="shared" si="11"/>
        <v/>
      </c>
    </row>
    <row r="711" spans="1:1" x14ac:dyDescent="0.25">
      <c r="A711" s="216" t="str">
        <f t="shared" si="11"/>
        <v/>
      </c>
    </row>
    <row r="712" spans="1:1" x14ac:dyDescent="0.25">
      <c r="A712" s="216" t="str">
        <f t="shared" si="11"/>
        <v/>
      </c>
    </row>
    <row r="713" spans="1:1" x14ac:dyDescent="0.25">
      <c r="A713" s="216" t="str">
        <f t="shared" si="11"/>
        <v/>
      </c>
    </row>
    <row r="714" spans="1:1" x14ac:dyDescent="0.25">
      <c r="A714" s="216" t="str">
        <f t="shared" si="11"/>
        <v/>
      </c>
    </row>
    <row r="715" spans="1:1" x14ac:dyDescent="0.25">
      <c r="A715" s="216" t="str">
        <f t="shared" si="11"/>
        <v/>
      </c>
    </row>
    <row r="716" spans="1:1" x14ac:dyDescent="0.25">
      <c r="A716" s="216" t="str">
        <f t="shared" si="11"/>
        <v/>
      </c>
    </row>
    <row r="717" spans="1:1" x14ac:dyDescent="0.25">
      <c r="A717" s="216" t="str">
        <f t="shared" si="11"/>
        <v/>
      </c>
    </row>
    <row r="718" spans="1:1" x14ac:dyDescent="0.25">
      <c r="A718" s="216" t="str">
        <f t="shared" si="11"/>
        <v/>
      </c>
    </row>
    <row r="719" spans="1:1" x14ac:dyDescent="0.25">
      <c r="A719" s="216" t="str">
        <f t="shared" si="11"/>
        <v/>
      </c>
    </row>
    <row r="720" spans="1:1" x14ac:dyDescent="0.25">
      <c r="A720" s="216" t="str">
        <f t="shared" si="11"/>
        <v/>
      </c>
    </row>
    <row r="721" spans="1:1" x14ac:dyDescent="0.25">
      <c r="A721" s="216" t="str">
        <f t="shared" si="11"/>
        <v/>
      </c>
    </row>
    <row r="722" spans="1:1" x14ac:dyDescent="0.25">
      <c r="A722" s="216" t="str">
        <f t="shared" si="11"/>
        <v/>
      </c>
    </row>
    <row r="723" spans="1:1" x14ac:dyDescent="0.25">
      <c r="A723" s="216" t="str">
        <f t="shared" si="11"/>
        <v/>
      </c>
    </row>
    <row r="724" spans="1:1" x14ac:dyDescent="0.25">
      <c r="A724" s="216" t="str">
        <f t="shared" si="11"/>
        <v/>
      </c>
    </row>
    <row r="725" spans="1:1" x14ac:dyDescent="0.25">
      <c r="A725" s="216" t="str">
        <f t="shared" si="11"/>
        <v/>
      </c>
    </row>
    <row r="726" spans="1:1" x14ac:dyDescent="0.25">
      <c r="A726" s="216" t="str">
        <f t="shared" si="11"/>
        <v/>
      </c>
    </row>
    <row r="727" spans="1:1" x14ac:dyDescent="0.25">
      <c r="A727" s="216" t="str">
        <f t="shared" si="11"/>
        <v/>
      </c>
    </row>
    <row r="728" spans="1:1" x14ac:dyDescent="0.25">
      <c r="A728" s="216" t="str">
        <f t="shared" si="11"/>
        <v/>
      </c>
    </row>
    <row r="729" spans="1:1" x14ac:dyDescent="0.25">
      <c r="A729" s="216" t="str">
        <f t="shared" si="11"/>
        <v/>
      </c>
    </row>
    <row r="730" spans="1:1" x14ac:dyDescent="0.25">
      <c r="A730" s="216" t="str">
        <f t="shared" si="11"/>
        <v/>
      </c>
    </row>
    <row r="731" spans="1:1" x14ac:dyDescent="0.25">
      <c r="A731" s="216" t="str">
        <f t="shared" si="11"/>
        <v/>
      </c>
    </row>
    <row r="732" spans="1:1" x14ac:dyDescent="0.25">
      <c r="A732" s="216" t="str">
        <f t="shared" si="11"/>
        <v/>
      </c>
    </row>
    <row r="733" spans="1:1" x14ac:dyDescent="0.25">
      <c r="A733" s="216" t="str">
        <f t="shared" si="11"/>
        <v/>
      </c>
    </row>
    <row r="734" spans="1:1" x14ac:dyDescent="0.25">
      <c r="A734" s="216" t="str">
        <f t="shared" si="11"/>
        <v/>
      </c>
    </row>
    <row r="735" spans="1:1" x14ac:dyDescent="0.25">
      <c r="A735" s="216" t="str">
        <f t="shared" si="11"/>
        <v/>
      </c>
    </row>
    <row r="736" spans="1:1" x14ac:dyDescent="0.25">
      <c r="A736" s="216" t="str">
        <f t="shared" si="11"/>
        <v/>
      </c>
    </row>
    <row r="737" spans="1:1" x14ac:dyDescent="0.25">
      <c r="A737" s="216" t="str">
        <f t="shared" si="11"/>
        <v/>
      </c>
    </row>
    <row r="738" spans="1:1" x14ac:dyDescent="0.25">
      <c r="A738" s="216" t="str">
        <f t="shared" si="11"/>
        <v/>
      </c>
    </row>
    <row r="739" spans="1:1" x14ac:dyDescent="0.25">
      <c r="A739" s="216" t="str">
        <f t="shared" si="11"/>
        <v/>
      </c>
    </row>
    <row r="740" spans="1:1" x14ac:dyDescent="0.25">
      <c r="A740" s="216" t="str">
        <f t="shared" si="11"/>
        <v/>
      </c>
    </row>
    <row r="741" spans="1:1" x14ac:dyDescent="0.25">
      <c r="A741" s="216" t="str">
        <f t="shared" si="11"/>
        <v/>
      </c>
    </row>
    <row r="742" spans="1:1" x14ac:dyDescent="0.25">
      <c r="A742" s="216" t="str">
        <f t="shared" si="11"/>
        <v/>
      </c>
    </row>
    <row r="743" spans="1:1" x14ac:dyDescent="0.25">
      <c r="A743" s="216" t="str">
        <f t="shared" si="11"/>
        <v/>
      </c>
    </row>
    <row r="744" spans="1:1" x14ac:dyDescent="0.25">
      <c r="A744" s="216" t="str">
        <f t="shared" si="11"/>
        <v/>
      </c>
    </row>
    <row r="745" spans="1:1" x14ac:dyDescent="0.25">
      <c r="A745" s="216" t="str">
        <f t="shared" si="11"/>
        <v/>
      </c>
    </row>
    <row r="746" spans="1:1" x14ac:dyDescent="0.25">
      <c r="A746" s="216" t="str">
        <f t="shared" si="11"/>
        <v/>
      </c>
    </row>
    <row r="747" spans="1:1" x14ac:dyDescent="0.25">
      <c r="A747" s="216" t="str">
        <f t="shared" si="11"/>
        <v/>
      </c>
    </row>
    <row r="748" spans="1:1" x14ac:dyDescent="0.25">
      <c r="A748" s="216" t="str">
        <f t="shared" si="11"/>
        <v/>
      </c>
    </row>
    <row r="749" spans="1:1" x14ac:dyDescent="0.25">
      <c r="A749" s="216" t="str">
        <f t="shared" si="11"/>
        <v/>
      </c>
    </row>
    <row r="750" spans="1:1" x14ac:dyDescent="0.25">
      <c r="A750" s="216" t="str">
        <f t="shared" si="11"/>
        <v/>
      </c>
    </row>
    <row r="751" spans="1:1" x14ac:dyDescent="0.25">
      <c r="A751" s="216" t="str">
        <f t="shared" si="11"/>
        <v/>
      </c>
    </row>
    <row r="752" spans="1:1" x14ac:dyDescent="0.25">
      <c r="A752" s="216" t="str">
        <f t="shared" si="11"/>
        <v/>
      </c>
    </row>
    <row r="753" spans="1:1" x14ac:dyDescent="0.25">
      <c r="A753" s="216" t="str">
        <f t="shared" si="11"/>
        <v/>
      </c>
    </row>
    <row r="754" spans="1:1" x14ac:dyDescent="0.25">
      <c r="A754" s="216" t="str">
        <f t="shared" si="11"/>
        <v/>
      </c>
    </row>
    <row r="755" spans="1:1" x14ac:dyDescent="0.25">
      <c r="A755" s="216" t="str">
        <f t="shared" si="11"/>
        <v/>
      </c>
    </row>
    <row r="756" spans="1:1" x14ac:dyDescent="0.25">
      <c r="A756" s="216" t="str">
        <f t="shared" si="11"/>
        <v/>
      </c>
    </row>
    <row r="757" spans="1:1" x14ac:dyDescent="0.25">
      <c r="A757" s="216" t="str">
        <f t="shared" si="11"/>
        <v/>
      </c>
    </row>
    <row r="758" spans="1:1" x14ac:dyDescent="0.25">
      <c r="A758" s="216" t="str">
        <f t="shared" si="11"/>
        <v/>
      </c>
    </row>
    <row r="759" spans="1:1" x14ac:dyDescent="0.25">
      <c r="A759" s="216" t="str">
        <f t="shared" si="11"/>
        <v/>
      </c>
    </row>
    <row r="760" spans="1:1" x14ac:dyDescent="0.25">
      <c r="A760" s="216" t="str">
        <f t="shared" si="11"/>
        <v/>
      </c>
    </row>
    <row r="761" spans="1:1" x14ac:dyDescent="0.25">
      <c r="A761" s="216" t="str">
        <f t="shared" si="11"/>
        <v/>
      </c>
    </row>
    <row r="762" spans="1:1" x14ac:dyDescent="0.25">
      <c r="A762" s="216" t="str">
        <f t="shared" si="11"/>
        <v/>
      </c>
    </row>
    <row r="763" spans="1:1" x14ac:dyDescent="0.25">
      <c r="A763" s="216" t="str">
        <f t="shared" si="11"/>
        <v/>
      </c>
    </row>
    <row r="764" spans="1:1" x14ac:dyDescent="0.25">
      <c r="A764" s="216" t="str">
        <f t="shared" si="11"/>
        <v/>
      </c>
    </row>
    <row r="765" spans="1:1" x14ac:dyDescent="0.25">
      <c r="A765" s="216" t="str">
        <f t="shared" si="11"/>
        <v/>
      </c>
    </row>
    <row r="766" spans="1:1" x14ac:dyDescent="0.25">
      <c r="A766" s="216" t="str">
        <f t="shared" si="11"/>
        <v/>
      </c>
    </row>
    <row r="767" spans="1:1" x14ac:dyDescent="0.25">
      <c r="A767" s="216" t="str">
        <f t="shared" si="11"/>
        <v/>
      </c>
    </row>
    <row r="768" spans="1:1" x14ac:dyDescent="0.25">
      <c r="A768" s="216" t="str">
        <f t="shared" si="11"/>
        <v/>
      </c>
    </row>
    <row r="769" spans="1:1" x14ac:dyDescent="0.25">
      <c r="A769" s="216" t="str">
        <f t="shared" si="11"/>
        <v/>
      </c>
    </row>
    <row r="770" spans="1:1" x14ac:dyDescent="0.25">
      <c r="A770" s="216" t="str">
        <f t="shared" si="11"/>
        <v/>
      </c>
    </row>
    <row r="771" spans="1:1" x14ac:dyDescent="0.25">
      <c r="A771" s="216" t="str">
        <f t="shared" si="11"/>
        <v/>
      </c>
    </row>
    <row r="772" spans="1:1" x14ac:dyDescent="0.25">
      <c r="A772" s="216" t="str">
        <f t="shared" ref="A772:A835" si="12">IF(B772&lt;&gt;"",A771+1,"")</f>
        <v/>
      </c>
    </row>
    <row r="773" spans="1:1" x14ac:dyDescent="0.25">
      <c r="A773" s="216" t="str">
        <f t="shared" si="12"/>
        <v/>
      </c>
    </row>
    <row r="774" spans="1:1" x14ac:dyDescent="0.25">
      <c r="A774" s="216" t="str">
        <f t="shared" si="12"/>
        <v/>
      </c>
    </row>
    <row r="775" spans="1:1" x14ac:dyDescent="0.25">
      <c r="A775" s="216" t="str">
        <f t="shared" si="12"/>
        <v/>
      </c>
    </row>
    <row r="776" spans="1:1" x14ac:dyDescent="0.25">
      <c r="A776" s="216" t="str">
        <f t="shared" si="12"/>
        <v/>
      </c>
    </row>
    <row r="777" spans="1:1" x14ac:dyDescent="0.25">
      <c r="A777" s="216" t="str">
        <f t="shared" si="12"/>
        <v/>
      </c>
    </row>
    <row r="778" spans="1:1" x14ac:dyDescent="0.25">
      <c r="A778" s="216" t="str">
        <f t="shared" si="12"/>
        <v/>
      </c>
    </row>
    <row r="779" spans="1:1" x14ac:dyDescent="0.25">
      <c r="A779" s="216" t="str">
        <f t="shared" si="12"/>
        <v/>
      </c>
    </row>
    <row r="780" spans="1:1" x14ac:dyDescent="0.25">
      <c r="A780" s="216" t="str">
        <f t="shared" si="12"/>
        <v/>
      </c>
    </row>
    <row r="781" spans="1:1" x14ac:dyDescent="0.25">
      <c r="A781" s="216" t="str">
        <f t="shared" si="12"/>
        <v/>
      </c>
    </row>
    <row r="782" spans="1:1" x14ac:dyDescent="0.25">
      <c r="A782" s="216" t="str">
        <f t="shared" si="12"/>
        <v/>
      </c>
    </row>
    <row r="783" spans="1:1" x14ac:dyDescent="0.25">
      <c r="A783" s="216" t="str">
        <f t="shared" si="12"/>
        <v/>
      </c>
    </row>
    <row r="784" spans="1:1" x14ac:dyDescent="0.25">
      <c r="A784" s="216" t="str">
        <f t="shared" si="12"/>
        <v/>
      </c>
    </row>
    <row r="785" spans="1:1" x14ac:dyDescent="0.25">
      <c r="A785" s="216" t="str">
        <f t="shared" si="12"/>
        <v/>
      </c>
    </row>
    <row r="786" spans="1:1" x14ac:dyDescent="0.25">
      <c r="A786" s="216" t="str">
        <f t="shared" si="12"/>
        <v/>
      </c>
    </row>
    <row r="787" spans="1:1" x14ac:dyDescent="0.25">
      <c r="A787" s="216" t="str">
        <f t="shared" si="12"/>
        <v/>
      </c>
    </row>
    <row r="788" spans="1:1" x14ac:dyDescent="0.25">
      <c r="A788" s="216" t="str">
        <f t="shared" si="12"/>
        <v/>
      </c>
    </row>
    <row r="789" spans="1:1" x14ac:dyDescent="0.25">
      <c r="A789" s="216" t="str">
        <f t="shared" si="12"/>
        <v/>
      </c>
    </row>
    <row r="790" spans="1:1" x14ac:dyDescent="0.25">
      <c r="A790" s="216" t="str">
        <f t="shared" si="12"/>
        <v/>
      </c>
    </row>
    <row r="791" spans="1:1" x14ac:dyDescent="0.25">
      <c r="A791" s="216" t="str">
        <f t="shared" si="12"/>
        <v/>
      </c>
    </row>
    <row r="792" spans="1:1" x14ac:dyDescent="0.25">
      <c r="A792" s="216" t="str">
        <f t="shared" si="12"/>
        <v/>
      </c>
    </row>
    <row r="793" spans="1:1" x14ac:dyDescent="0.25">
      <c r="A793" s="216" t="str">
        <f t="shared" si="12"/>
        <v/>
      </c>
    </row>
    <row r="794" spans="1:1" x14ac:dyDescent="0.25">
      <c r="A794" s="216" t="str">
        <f t="shared" si="12"/>
        <v/>
      </c>
    </row>
    <row r="795" spans="1:1" x14ac:dyDescent="0.25">
      <c r="A795" s="216" t="str">
        <f t="shared" si="12"/>
        <v/>
      </c>
    </row>
    <row r="796" spans="1:1" x14ac:dyDescent="0.25">
      <c r="A796" s="216" t="str">
        <f t="shared" si="12"/>
        <v/>
      </c>
    </row>
    <row r="797" spans="1:1" x14ac:dyDescent="0.25">
      <c r="A797" s="216" t="str">
        <f t="shared" si="12"/>
        <v/>
      </c>
    </row>
    <row r="798" spans="1:1" x14ac:dyDescent="0.25">
      <c r="A798" s="216" t="str">
        <f t="shared" si="12"/>
        <v/>
      </c>
    </row>
    <row r="799" spans="1:1" x14ac:dyDescent="0.25">
      <c r="A799" s="216" t="str">
        <f t="shared" si="12"/>
        <v/>
      </c>
    </row>
    <row r="800" spans="1:1" x14ac:dyDescent="0.25">
      <c r="A800" s="216" t="str">
        <f t="shared" si="12"/>
        <v/>
      </c>
    </row>
    <row r="801" spans="1:1" x14ac:dyDescent="0.25">
      <c r="A801" s="216" t="str">
        <f t="shared" si="12"/>
        <v/>
      </c>
    </row>
    <row r="802" spans="1:1" x14ac:dyDescent="0.25">
      <c r="A802" s="216" t="str">
        <f t="shared" si="12"/>
        <v/>
      </c>
    </row>
    <row r="803" spans="1:1" x14ac:dyDescent="0.25">
      <c r="A803" s="216" t="str">
        <f t="shared" si="12"/>
        <v/>
      </c>
    </row>
    <row r="804" spans="1:1" x14ac:dyDescent="0.25">
      <c r="A804" s="216" t="str">
        <f t="shared" si="12"/>
        <v/>
      </c>
    </row>
    <row r="805" spans="1:1" x14ac:dyDescent="0.25">
      <c r="A805" s="216" t="str">
        <f t="shared" si="12"/>
        <v/>
      </c>
    </row>
    <row r="806" spans="1:1" x14ac:dyDescent="0.25">
      <c r="A806" s="216" t="str">
        <f t="shared" si="12"/>
        <v/>
      </c>
    </row>
    <row r="807" spans="1:1" x14ac:dyDescent="0.25">
      <c r="A807" s="216" t="str">
        <f t="shared" si="12"/>
        <v/>
      </c>
    </row>
    <row r="808" spans="1:1" x14ac:dyDescent="0.25">
      <c r="A808" s="216" t="str">
        <f t="shared" si="12"/>
        <v/>
      </c>
    </row>
    <row r="809" spans="1:1" x14ac:dyDescent="0.25">
      <c r="A809" s="216" t="str">
        <f t="shared" si="12"/>
        <v/>
      </c>
    </row>
    <row r="810" spans="1:1" x14ac:dyDescent="0.25">
      <c r="A810" s="216" t="str">
        <f t="shared" si="12"/>
        <v/>
      </c>
    </row>
    <row r="811" spans="1:1" x14ac:dyDescent="0.25">
      <c r="A811" s="216" t="str">
        <f t="shared" si="12"/>
        <v/>
      </c>
    </row>
    <row r="812" spans="1:1" x14ac:dyDescent="0.25">
      <c r="A812" s="216" t="str">
        <f t="shared" si="12"/>
        <v/>
      </c>
    </row>
    <row r="813" spans="1:1" x14ac:dyDescent="0.25">
      <c r="A813" s="216" t="str">
        <f t="shared" si="12"/>
        <v/>
      </c>
    </row>
    <row r="814" spans="1:1" x14ac:dyDescent="0.25">
      <c r="A814" s="216" t="str">
        <f t="shared" si="12"/>
        <v/>
      </c>
    </row>
    <row r="815" spans="1:1" x14ac:dyDescent="0.25">
      <c r="A815" s="216" t="str">
        <f t="shared" si="12"/>
        <v/>
      </c>
    </row>
    <row r="816" spans="1:1" x14ac:dyDescent="0.25">
      <c r="A816" s="216" t="str">
        <f t="shared" si="12"/>
        <v/>
      </c>
    </row>
    <row r="817" spans="1:1" x14ac:dyDescent="0.25">
      <c r="A817" s="216" t="str">
        <f t="shared" si="12"/>
        <v/>
      </c>
    </row>
    <row r="818" spans="1:1" x14ac:dyDescent="0.25">
      <c r="A818" s="216" t="str">
        <f t="shared" si="12"/>
        <v/>
      </c>
    </row>
    <row r="819" spans="1:1" x14ac:dyDescent="0.25">
      <c r="A819" s="216" t="str">
        <f t="shared" si="12"/>
        <v/>
      </c>
    </row>
    <row r="820" spans="1:1" x14ac:dyDescent="0.25">
      <c r="A820" s="216" t="str">
        <f t="shared" si="12"/>
        <v/>
      </c>
    </row>
    <row r="821" spans="1:1" x14ac:dyDescent="0.25">
      <c r="A821" s="216" t="str">
        <f t="shared" si="12"/>
        <v/>
      </c>
    </row>
    <row r="822" spans="1:1" x14ac:dyDescent="0.25">
      <c r="A822" s="216" t="str">
        <f t="shared" si="12"/>
        <v/>
      </c>
    </row>
    <row r="823" spans="1:1" x14ac:dyDescent="0.25">
      <c r="A823" s="216" t="str">
        <f t="shared" si="12"/>
        <v/>
      </c>
    </row>
    <row r="824" spans="1:1" x14ac:dyDescent="0.25">
      <c r="A824" s="216" t="str">
        <f t="shared" si="12"/>
        <v/>
      </c>
    </row>
    <row r="825" spans="1:1" x14ac:dyDescent="0.25">
      <c r="A825" s="216" t="str">
        <f t="shared" si="12"/>
        <v/>
      </c>
    </row>
    <row r="826" spans="1:1" x14ac:dyDescent="0.25">
      <c r="A826" s="216" t="str">
        <f t="shared" si="12"/>
        <v/>
      </c>
    </row>
    <row r="827" spans="1:1" x14ac:dyDescent="0.25">
      <c r="A827" s="216" t="str">
        <f t="shared" si="12"/>
        <v/>
      </c>
    </row>
    <row r="828" spans="1:1" x14ac:dyDescent="0.25">
      <c r="A828" s="216" t="str">
        <f t="shared" si="12"/>
        <v/>
      </c>
    </row>
    <row r="829" spans="1:1" x14ac:dyDescent="0.25">
      <c r="A829" s="216" t="str">
        <f t="shared" si="12"/>
        <v/>
      </c>
    </row>
    <row r="830" spans="1:1" x14ac:dyDescent="0.25">
      <c r="A830" s="216" t="str">
        <f t="shared" si="12"/>
        <v/>
      </c>
    </row>
    <row r="831" spans="1:1" x14ac:dyDescent="0.25">
      <c r="A831" s="216" t="str">
        <f t="shared" si="12"/>
        <v/>
      </c>
    </row>
    <row r="832" spans="1:1" x14ac:dyDescent="0.25">
      <c r="A832" s="216" t="str">
        <f t="shared" si="12"/>
        <v/>
      </c>
    </row>
    <row r="833" spans="1:1" x14ac:dyDescent="0.25">
      <c r="A833" s="216" t="str">
        <f t="shared" si="12"/>
        <v/>
      </c>
    </row>
    <row r="834" spans="1:1" x14ac:dyDescent="0.25">
      <c r="A834" s="216" t="str">
        <f t="shared" si="12"/>
        <v/>
      </c>
    </row>
    <row r="835" spans="1:1" x14ac:dyDescent="0.25">
      <c r="A835" s="216" t="str">
        <f t="shared" si="12"/>
        <v/>
      </c>
    </row>
    <row r="836" spans="1:1" x14ac:dyDescent="0.25">
      <c r="A836" s="216" t="str">
        <f t="shared" ref="A836:A899" si="13">IF(B836&lt;&gt;"",A835+1,"")</f>
        <v/>
      </c>
    </row>
    <row r="837" spans="1:1" x14ac:dyDescent="0.25">
      <c r="A837" s="216" t="str">
        <f t="shared" si="13"/>
        <v/>
      </c>
    </row>
    <row r="838" spans="1:1" x14ac:dyDescent="0.25">
      <c r="A838" s="216" t="str">
        <f t="shared" si="13"/>
        <v/>
      </c>
    </row>
    <row r="839" spans="1:1" x14ac:dyDescent="0.25">
      <c r="A839" s="216" t="str">
        <f t="shared" si="13"/>
        <v/>
      </c>
    </row>
    <row r="840" spans="1:1" x14ac:dyDescent="0.25">
      <c r="A840" s="216" t="str">
        <f t="shared" si="13"/>
        <v/>
      </c>
    </row>
    <row r="841" spans="1:1" x14ac:dyDescent="0.25">
      <c r="A841" s="216" t="str">
        <f t="shared" si="13"/>
        <v/>
      </c>
    </row>
    <row r="842" spans="1:1" x14ac:dyDescent="0.25">
      <c r="A842" s="216" t="str">
        <f t="shared" si="13"/>
        <v/>
      </c>
    </row>
    <row r="843" spans="1:1" x14ac:dyDescent="0.25">
      <c r="A843" s="216" t="str">
        <f t="shared" si="13"/>
        <v/>
      </c>
    </row>
    <row r="844" spans="1:1" x14ac:dyDescent="0.25">
      <c r="A844" s="216" t="str">
        <f t="shared" si="13"/>
        <v/>
      </c>
    </row>
    <row r="845" spans="1:1" x14ac:dyDescent="0.25">
      <c r="A845" s="216" t="str">
        <f t="shared" si="13"/>
        <v/>
      </c>
    </row>
    <row r="846" spans="1:1" x14ac:dyDescent="0.25">
      <c r="A846" s="216" t="str">
        <f t="shared" si="13"/>
        <v/>
      </c>
    </row>
    <row r="847" spans="1:1" x14ac:dyDescent="0.25">
      <c r="A847" s="216" t="str">
        <f t="shared" si="13"/>
        <v/>
      </c>
    </row>
    <row r="848" spans="1:1" x14ac:dyDescent="0.25">
      <c r="A848" s="216" t="str">
        <f t="shared" si="13"/>
        <v/>
      </c>
    </row>
    <row r="849" spans="1:1" x14ac:dyDescent="0.25">
      <c r="A849" s="216" t="str">
        <f t="shared" si="13"/>
        <v/>
      </c>
    </row>
    <row r="850" spans="1:1" x14ac:dyDescent="0.25">
      <c r="A850" s="216" t="str">
        <f t="shared" si="13"/>
        <v/>
      </c>
    </row>
    <row r="851" spans="1:1" x14ac:dyDescent="0.25">
      <c r="A851" s="216" t="str">
        <f t="shared" si="13"/>
        <v/>
      </c>
    </row>
    <row r="852" spans="1:1" x14ac:dyDescent="0.25">
      <c r="A852" s="216" t="str">
        <f t="shared" si="13"/>
        <v/>
      </c>
    </row>
    <row r="853" spans="1:1" x14ac:dyDescent="0.25">
      <c r="A853" s="216" t="str">
        <f t="shared" si="13"/>
        <v/>
      </c>
    </row>
    <row r="854" spans="1:1" x14ac:dyDescent="0.25">
      <c r="A854" s="216" t="str">
        <f t="shared" si="13"/>
        <v/>
      </c>
    </row>
    <row r="855" spans="1:1" x14ac:dyDescent="0.25">
      <c r="A855" s="216" t="str">
        <f t="shared" si="13"/>
        <v/>
      </c>
    </row>
    <row r="856" spans="1:1" x14ac:dyDescent="0.25">
      <c r="A856" s="216" t="str">
        <f t="shared" si="13"/>
        <v/>
      </c>
    </row>
    <row r="857" spans="1:1" x14ac:dyDescent="0.25">
      <c r="A857" s="216" t="str">
        <f t="shared" si="13"/>
        <v/>
      </c>
    </row>
    <row r="858" spans="1:1" x14ac:dyDescent="0.25">
      <c r="A858" s="216" t="str">
        <f t="shared" si="13"/>
        <v/>
      </c>
    </row>
    <row r="859" spans="1:1" x14ac:dyDescent="0.25">
      <c r="A859" s="216" t="str">
        <f t="shared" si="13"/>
        <v/>
      </c>
    </row>
    <row r="860" spans="1:1" x14ac:dyDescent="0.25">
      <c r="A860" s="216" t="str">
        <f t="shared" si="13"/>
        <v/>
      </c>
    </row>
    <row r="861" spans="1:1" x14ac:dyDescent="0.25">
      <c r="A861" s="216" t="str">
        <f t="shared" si="13"/>
        <v/>
      </c>
    </row>
    <row r="862" spans="1:1" x14ac:dyDescent="0.25">
      <c r="A862" s="216" t="str">
        <f t="shared" si="13"/>
        <v/>
      </c>
    </row>
    <row r="863" spans="1:1" x14ac:dyDescent="0.25">
      <c r="A863" s="216" t="str">
        <f t="shared" si="13"/>
        <v/>
      </c>
    </row>
    <row r="864" spans="1:1" x14ac:dyDescent="0.25">
      <c r="A864" s="216" t="str">
        <f t="shared" si="13"/>
        <v/>
      </c>
    </row>
    <row r="865" spans="1:1" x14ac:dyDescent="0.25">
      <c r="A865" s="216" t="str">
        <f t="shared" si="13"/>
        <v/>
      </c>
    </row>
    <row r="866" spans="1:1" x14ac:dyDescent="0.25">
      <c r="A866" s="216" t="str">
        <f t="shared" si="13"/>
        <v/>
      </c>
    </row>
    <row r="867" spans="1:1" x14ac:dyDescent="0.25">
      <c r="A867" s="216" t="str">
        <f t="shared" si="13"/>
        <v/>
      </c>
    </row>
    <row r="868" spans="1:1" x14ac:dyDescent="0.25">
      <c r="A868" s="216" t="str">
        <f t="shared" si="13"/>
        <v/>
      </c>
    </row>
    <row r="869" spans="1:1" x14ac:dyDescent="0.25">
      <c r="A869" s="216" t="str">
        <f t="shared" si="13"/>
        <v/>
      </c>
    </row>
    <row r="870" spans="1:1" x14ac:dyDescent="0.25">
      <c r="A870" s="216" t="str">
        <f t="shared" si="13"/>
        <v/>
      </c>
    </row>
    <row r="871" spans="1:1" x14ac:dyDescent="0.25">
      <c r="A871" s="216" t="str">
        <f t="shared" si="13"/>
        <v/>
      </c>
    </row>
    <row r="872" spans="1:1" x14ac:dyDescent="0.25">
      <c r="A872" s="216" t="str">
        <f t="shared" si="13"/>
        <v/>
      </c>
    </row>
    <row r="873" spans="1:1" x14ac:dyDescent="0.25">
      <c r="A873" s="216" t="str">
        <f t="shared" si="13"/>
        <v/>
      </c>
    </row>
    <row r="874" spans="1:1" x14ac:dyDescent="0.25">
      <c r="A874" s="216" t="str">
        <f t="shared" si="13"/>
        <v/>
      </c>
    </row>
    <row r="875" spans="1:1" x14ac:dyDescent="0.25">
      <c r="A875" s="216" t="str">
        <f t="shared" si="13"/>
        <v/>
      </c>
    </row>
    <row r="876" spans="1:1" x14ac:dyDescent="0.25">
      <c r="A876" s="216" t="str">
        <f t="shared" si="13"/>
        <v/>
      </c>
    </row>
    <row r="877" spans="1:1" x14ac:dyDescent="0.25">
      <c r="A877" s="216" t="str">
        <f t="shared" si="13"/>
        <v/>
      </c>
    </row>
    <row r="878" spans="1:1" x14ac:dyDescent="0.25">
      <c r="A878" s="216" t="str">
        <f t="shared" si="13"/>
        <v/>
      </c>
    </row>
    <row r="879" spans="1:1" x14ac:dyDescent="0.25">
      <c r="A879" s="216" t="str">
        <f t="shared" si="13"/>
        <v/>
      </c>
    </row>
    <row r="880" spans="1:1" x14ac:dyDescent="0.25">
      <c r="A880" s="216" t="str">
        <f t="shared" si="13"/>
        <v/>
      </c>
    </row>
    <row r="881" spans="1:1" x14ac:dyDescent="0.25">
      <c r="A881" s="216" t="str">
        <f t="shared" si="13"/>
        <v/>
      </c>
    </row>
    <row r="882" spans="1:1" x14ac:dyDescent="0.25">
      <c r="A882" s="216" t="str">
        <f t="shared" si="13"/>
        <v/>
      </c>
    </row>
    <row r="883" spans="1:1" x14ac:dyDescent="0.25">
      <c r="A883" s="216" t="str">
        <f t="shared" si="13"/>
        <v/>
      </c>
    </row>
    <row r="884" spans="1:1" x14ac:dyDescent="0.25">
      <c r="A884" s="216" t="str">
        <f t="shared" si="13"/>
        <v/>
      </c>
    </row>
    <row r="885" spans="1:1" x14ac:dyDescent="0.25">
      <c r="A885" s="216" t="str">
        <f t="shared" si="13"/>
        <v/>
      </c>
    </row>
    <row r="886" spans="1:1" x14ac:dyDescent="0.25">
      <c r="A886" s="216" t="str">
        <f t="shared" si="13"/>
        <v/>
      </c>
    </row>
    <row r="887" spans="1:1" x14ac:dyDescent="0.25">
      <c r="A887" s="216" t="str">
        <f t="shared" si="13"/>
        <v/>
      </c>
    </row>
    <row r="888" spans="1:1" x14ac:dyDescent="0.25">
      <c r="A888" s="216" t="str">
        <f t="shared" si="13"/>
        <v/>
      </c>
    </row>
    <row r="889" spans="1:1" x14ac:dyDescent="0.25">
      <c r="A889" s="216" t="str">
        <f t="shared" si="13"/>
        <v/>
      </c>
    </row>
    <row r="890" spans="1:1" x14ac:dyDescent="0.25">
      <c r="A890" s="216" t="str">
        <f t="shared" si="13"/>
        <v/>
      </c>
    </row>
    <row r="891" spans="1:1" x14ac:dyDescent="0.25">
      <c r="A891" s="216" t="str">
        <f t="shared" si="13"/>
        <v/>
      </c>
    </row>
    <row r="892" spans="1:1" x14ac:dyDescent="0.25">
      <c r="A892" s="216" t="str">
        <f t="shared" si="13"/>
        <v/>
      </c>
    </row>
    <row r="893" spans="1:1" x14ac:dyDescent="0.25">
      <c r="A893" s="216" t="str">
        <f t="shared" si="13"/>
        <v/>
      </c>
    </row>
    <row r="894" spans="1:1" x14ac:dyDescent="0.25">
      <c r="A894" s="216" t="str">
        <f t="shared" si="13"/>
        <v/>
      </c>
    </row>
    <row r="895" spans="1:1" x14ac:dyDescent="0.25">
      <c r="A895" s="216" t="str">
        <f t="shared" si="13"/>
        <v/>
      </c>
    </row>
    <row r="896" spans="1:1" x14ac:dyDescent="0.25">
      <c r="A896" s="216" t="str">
        <f t="shared" si="13"/>
        <v/>
      </c>
    </row>
    <row r="897" spans="1:1" x14ac:dyDescent="0.25">
      <c r="A897" s="216" t="str">
        <f t="shared" si="13"/>
        <v/>
      </c>
    </row>
    <row r="898" spans="1:1" x14ac:dyDescent="0.25">
      <c r="A898" s="216" t="str">
        <f t="shared" si="13"/>
        <v/>
      </c>
    </row>
    <row r="899" spans="1:1" x14ac:dyDescent="0.25">
      <c r="A899" s="216" t="str">
        <f t="shared" si="13"/>
        <v/>
      </c>
    </row>
    <row r="900" spans="1:1" x14ac:dyDescent="0.25">
      <c r="A900" s="216" t="str">
        <f t="shared" ref="A900:A963" si="14">IF(B900&lt;&gt;"",A899+1,"")</f>
        <v/>
      </c>
    </row>
    <row r="901" spans="1:1" x14ac:dyDescent="0.25">
      <c r="A901" s="216" t="str">
        <f t="shared" si="14"/>
        <v/>
      </c>
    </row>
    <row r="902" spans="1:1" x14ac:dyDescent="0.25">
      <c r="A902" s="216" t="str">
        <f t="shared" si="14"/>
        <v/>
      </c>
    </row>
    <row r="903" spans="1:1" x14ac:dyDescent="0.25">
      <c r="A903" s="216" t="str">
        <f t="shared" si="14"/>
        <v/>
      </c>
    </row>
    <row r="904" spans="1:1" x14ac:dyDescent="0.25">
      <c r="A904" s="216" t="str">
        <f t="shared" si="14"/>
        <v/>
      </c>
    </row>
    <row r="905" spans="1:1" x14ac:dyDescent="0.25">
      <c r="A905" s="216" t="str">
        <f t="shared" si="14"/>
        <v/>
      </c>
    </row>
    <row r="906" spans="1:1" x14ac:dyDescent="0.25">
      <c r="A906" s="216" t="str">
        <f t="shared" si="14"/>
        <v/>
      </c>
    </row>
    <row r="907" spans="1:1" x14ac:dyDescent="0.25">
      <c r="A907" s="216" t="str">
        <f t="shared" si="14"/>
        <v/>
      </c>
    </row>
    <row r="908" spans="1:1" x14ac:dyDescent="0.25">
      <c r="A908" s="216" t="str">
        <f t="shared" si="14"/>
        <v/>
      </c>
    </row>
    <row r="909" spans="1:1" x14ac:dyDescent="0.25">
      <c r="A909" s="216" t="str">
        <f t="shared" si="14"/>
        <v/>
      </c>
    </row>
    <row r="910" spans="1:1" x14ac:dyDescent="0.25">
      <c r="A910" s="216" t="str">
        <f t="shared" si="14"/>
        <v/>
      </c>
    </row>
    <row r="911" spans="1:1" x14ac:dyDescent="0.25">
      <c r="A911" s="216" t="str">
        <f t="shared" si="14"/>
        <v/>
      </c>
    </row>
    <row r="912" spans="1:1" x14ac:dyDescent="0.25">
      <c r="A912" s="216" t="str">
        <f t="shared" si="14"/>
        <v/>
      </c>
    </row>
    <row r="913" spans="1:1" x14ac:dyDescent="0.25">
      <c r="A913" s="216" t="str">
        <f t="shared" si="14"/>
        <v/>
      </c>
    </row>
    <row r="914" spans="1:1" x14ac:dyDescent="0.25">
      <c r="A914" s="216" t="str">
        <f t="shared" si="14"/>
        <v/>
      </c>
    </row>
    <row r="915" spans="1:1" x14ac:dyDescent="0.25">
      <c r="A915" s="216" t="str">
        <f t="shared" si="14"/>
        <v/>
      </c>
    </row>
    <row r="916" spans="1:1" x14ac:dyDescent="0.25">
      <c r="A916" s="216" t="str">
        <f t="shared" si="14"/>
        <v/>
      </c>
    </row>
    <row r="917" spans="1:1" x14ac:dyDescent="0.25">
      <c r="A917" s="216" t="str">
        <f t="shared" si="14"/>
        <v/>
      </c>
    </row>
    <row r="918" spans="1:1" x14ac:dyDescent="0.25">
      <c r="A918" s="216" t="str">
        <f t="shared" si="14"/>
        <v/>
      </c>
    </row>
    <row r="919" spans="1:1" x14ac:dyDescent="0.25">
      <c r="A919" s="216" t="str">
        <f t="shared" si="14"/>
        <v/>
      </c>
    </row>
    <row r="920" spans="1:1" x14ac:dyDescent="0.25">
      <c r="A920" s="216" t="str">
        <f t="shared" si="14"/>
        <v/>
      </c>
    </row>
    <row r="921" spans="1:1" x14ac:dyDescent="0.25">
      <c r="A921" s="216" t="str">
        <f t="shared" si="14"/>
        <v/>
      </c>
    </row>
    <row r="922" spans="1:1" x14ac:dyDescent="0.25">
      <c r="A922" s="216" t="str">
        <f t="shared" si="14"/>
        <v/>
      </c>
    </row>
    <row r="923" spans="1:1" x14ac:dyDescent="0.25">
      <c r="A923" s="216" t="str">
        <f t="shared" si="14"/>
        <v/>
      </c>
    </row>
    <row r="924" spans="1:1" x14ac:dyDescent="0.25">
      <c r="A924" s="216" t="str">
        <f t="shared" si="14"/>
        <v/>
      </c>
    </row>
    <row r="925" spans="1:1" x14ac:dyDescent="0.25">
      <c r="A925" s="216" t="str">
        <f t="shared" si="14"/>
        <v/>
      </c>
    </row>
    <row r="926" spans="1:1" x14ac:dyDescent="0.25">
      <c r="A926" s="216" t="str">
        <f t="shared" si="14"/>
        <v/>
      </c>
    </row>
    <row r="927" spans="1:1" x14ac:dyDescent="0.25">
      <c r="A927" s="216" t="str">
        <f t="shared" si="14"/>
        <v/>
      </c>
    </row>
    <row r="928" spans="1:1" x14ac:dyDescent="0.25">
      <c r="A928" s="216" t="str">
        <f t="shared" si="14"/>
        <v/>
      </c>
    </row>
    <row r="929" spans="1:1" x14ac:dyDescent="0.25">
      <c r="A929" s="216" t="str">
        <f t="shared" si="14"/>
        <v/>
      </c>
    </row>
    <row r="930" spans="1:1" x14ac:dyDescent="0.25">
      <c r="A930" s="216" t="str">
        <f t="shared" si="14"/>
        <v/>
      </c>
    </row>
    <row r="931" spans="1:1" x14ac:dyDescent="0.25">
      <c r="A931" s="216" t="str">
        <f t="shared" si="14"/>
        <v/>
      </c>
    </row>
    <row r="932" spans="1:1" x14ac:dyDescent="0.25">
      <c r="A932" s="216" t="str">
        <f t="shared" si="14"/>
        <v/>
      </c>
    </row>
    <row r="933" spans="1:1" x14ac:dyDescent="0.25">
      <c r="A933" s="216" t="str">
        <f t="shared" si="14"/>
        <v/>
      </c>
    </row>
    <row r="934" spans="1:1" x14ac:dyDescent="0.25">
      <c r="A934" s="216" t="str">
        <f t="shared" si="14"/>
        <v/>
      </c>
    </row>
    <row r="935" spans="1:1" x14ac:dyDescent="0.25">
      <c r="A935" s="216" t="str">
        <f t="shared" si="14"/>
        <v/>
      </c>
    </row>
    <row r="936" spans="1:1" x14ac:dyDescent="0.25">
      <c r="A936" s="216" t="str">
        <f t="shared" si="14"/>
        <v/>
      </c>
    </row>
    <row r="937" spans="1:1" x14ac:dyDescent="0.25">
      <c r="A937" s="216" t="str">
        <f t="shared" si="14"/>
        <v/>
      </c>
    </row>
    <row r="938" spans="1:1" x14ac:dyDescent="0.25">
      <c r="A938" s="216" t="str">
        <f t="shared" si="14"/>
        <v/>
      </c>
    </row>
    <row r="939" spans="1:1" x14ac:dyDescent="0.25">
      <c r="A939" s="216" t="str">
        <f t="shared" si="14"/>
        <v/>
      </c>
    </row>
    <row r="940" spans="1:1" x14ac:dyDescent="0.25">
      <c r="A940" s="216" t="str">
        <f t="shared" si="14"/>
        <v/>
      </c>
    </row>
    <row r="941" spans="1:1" x14ac:dyDescent="0.25">
      <c r="A941" s="216" t="str">
        <f t="shared" si="14"/>
        <v/>
      </c>
    </row>
    <row r="942" spans="1:1" x14ac:dyDescent="0.25">
      <c r="A942" s="216" t="str">
        <f t="shared" si="14"/>
        <v/>
      </c>
    </row>
    <row r="943" spans="1:1" x14ac:dyDescent="0.25">
      <c r="A943" s="216" t="str">
        <f t="shared" si="14"/>
        <v/>
      </c>
    </row>
    <row r="944" spans="1:1" x14ac:dyDescent="0.25">
      <c r="A944" s="216" t="str">
        <f t="shared" si="14"/>
        <v/>
      </c>
    </row>
    <row r="945" spans="1:1" x14ac:dyDescent="0.25">
      <c r="A945" s="216" t="str">
        <f t="shared" si="14"/>
        <v/>
      </c>
    </row>
    <row r="946" spans="1:1" x14ac:dyDescent="0.25">
      <c r="A946" s="216" t="str">
        <f t="shared" si="14"/>
        <v/>
      </c>
    </row>
    <row r="947" spans="1:1" x14ac:dyDescent="0.25">
      <c r="A947" s="216" t="str">
        <f t="shared" si="14"/>
        <v/>
      </c>
    </row>
    <row r="948" spans="1:1" x14ac:dyDescent="0.25">
      <c r="A948" s="216" t="str">
        <f t="shared" si="14"/>
        <v/>
      </c>
    </row>
    <row r="949" spans="1:1" x14ac:dyDescent="0.25">
      <c r="A949" s="216" t="str">
        <f t="shared" si="14"/>
        <v/>
      </c>
    </row>
    <row r="950" spans="1:1" x14ac:dyDescent="0.25">
      <c r="A950" s="216" t="str">
        <f t="shared" si="14"/>
        <v/>
      </c>
    </row>
    <row r="951" spans="1:1" x14ac:dyDescent="0.25">
      <c r="A951" s="216" t="str">
        <f t="shared" si="14"/>
        <v/>
      </c>
    </row>
    <row r="952" spans="1:1" x14ac:dyDescent="0.25">
      <c r="A952" s="216" t="str">
        <f t="shared" si="14"/>
        <v/>
      </c>
    </row>
    <row r="953" spans="1:1" x14ac:dyDescent="0.25">
      <c r="A953" s="216" t="str">
        <f t="shared" si="14"/>
        <v/>
      </c>
    </row>
    <row r="954" spans="1:1" x14ac:dyDescent="0.25">
      <c r="A954" s="216" t="str">
        <f t="shared" si="14"/>
        <v/>
      </c>
    </row>
    <row r="955" spans="1:1" x14ac:dyDescent="0.25">
      <c r="A955" s="216" t="str">
        <f t="shared" si="14"/>
        <v/>
      </c>
    </row>
    <row r="956" spans="1:1" x14ac:dyDescent="0.25">
      <c r="A956" s="216" t="str">
        <f t="shared" si="14"/>
        <v/>
      </c>
    </row>
    <row r="957" spans="1:1" x14ac:dyDescent="0.25">
      <c r="A957" s="216" t="str">
        <f t="shared" si="14"/>
        <v/>
      </c>
    </row>
    <row r="958" spans="1:1" x14ac:dyDescent="0.25">
      <c r="A958" s="216" t="str">
        <f t="shared" si="14"/>
        <v/>
      </c>
    </row>
    <row r="959" spans="1:1" x14ac:dyDescent="0.25">
      <c r="A959" s="216" t="str">
        <f t="shared" si="14"/>
        <v/>
      </c>
    </row>
    <row r="960" spans="1:1" x14ac:dyDescent="0.25">
      <c r="A960" s="216" t="str">
        <f t="shared" si="14"/>
        <v/>
      </c>
    </row>
    <row r="961" spans="1:1" x14ac:dyDescent="0.25">
      <c r="A961" s="216" t="str">
        <f t="shared" si="14"/>
        <v/>
      </c>
    </row>
    <row r="962" spans="1:1" x14ac:dyDescent="0.25">
      <c r="A962" s="216" t="str">
        <f t="shared" si="14"/>
        <v/>
      </c>
    </row>
    <row r="963" spans="1:1" x14ac:dyDescent="0.25">
      <c r="A963" s="216" t="str">
        <f t="shared" si="14"/>
        <v/>
      </c>
    </row>
    <row r="964" spans="1:1" x14ac:dyDescent="0.25">
      <c r="A964" s="216" t="str">
        <f t="shared" ref="A964:A1027" si="15">IF(B964&lt;&gt;"",A963+1,"")</f>
        <v/>
      </c>
    </row>
    <row r="965" spans="1:1" x14ac:dyDescent="0.25">
      <c r="A965" s="216" t="str">
        <f t="shared" si="15"/>
        <v/>
      </c>
    </row>
    <row r="966" spans="1:1" x14ac:dyDescent="0.25">
      <c r="A966" s="216" t="str">
        <f t="shared" si="15"/>
        <v/>
      </c>
    </row>
    <row r="967" spans="1:1" x14ac:dyDescent="0.25">
      <c r="A967" s="216" t="str">
        <f t="shared" si="15"/>
        <v/>
      </c>
    </row>
    <row r="968" spans="1:1" x14ac:dyDescent="0.25">
      <c r="A968" s="216" t="str">
        <f t="shared" si="15"/>
        <v/>
      </c>
    </row>
    <row r="969" spans="1:1" x14ac:dyDescent="0.25">
      <c r="A969" s="216" t="str">
        <f t="shared" si="15"/>
        <v/>
      </c>
    </row>
    <row r="970" spans="1:1" x14ac:dyDescent="0.25">
      <c r="A970" s="216" t="str">
        <f t="shared" si="15"/>
        <v/>
      </c>
    </row>
    <row r="971" spans="1:1" x14ac:dyDescent="0.25">
      <c r="A971" s="216" t="str">
        <f t="shared" si="15"/>
        <v/>
      </c>
    </row>
    <row r="972" spans="1:1" x14ac:dyDescent="0.25">
      <c r="A972" s="216" t="str">
        <f t="shared" si="15"/>
        <v/>
      </c>
    </row>
    <row r="973" spans="1:1" x14ac:dyDescent="0.25">
      <c r="A973" s="216" t="str">
        <f t="shared" si="15"/>
        <v/>
      </c>
    </row>
    <row r="974" spans="1:1" x14ac:dyDescent="0.25">
      <c r="A974" s="216" t="str">
        <f t="shared" si="15"/>
        <v/>
      </c>
    </row>
    <row r="975" spans="1:1" x14ac:dyDescent="0.25">
      <c r="A975" s="216" t="str">
        <f t="shared" si="15"/>
        <v/>
      </c>
    </row>
    <row r="976" spans="1:1" x14ac:dyDescent="0.25">
      <c r="A976" s="216" t="str">
        <f t="shared" si="15"/>
        <v/>
      </c>
    </row>
    <row r="977" spans="1:1" x14ac:dyDescent="0.25">
      <c r="A977" s="216" t="str">
        <f t="shared" si="15"/>
        <v/>
      </c>
    </row>
    <row r="978" spans="1:1" x14ac:dyDescent="0.25">
      <c r="A978" s="216" t="str">
        <f t="shared" si="15"/>
        <v/>
      </c>
    </row>
    <row r="979" spans="1:1" x14ac:dyDescent="0.25">
      <c r="A979" s="216" t="str">
        <f t="shared" si="15"/>
        <v/>
      </c>
    </row>
    <row r="980" spans="1:1" x14ac:dyDescent="0.25">
      <c r="A980" s="216" t="str">
        <f t="shared" si="15"/>
        <v/>
      </c>
    </row>
    <row r="981" spans="1:1" x14ac:dyDescent="0.25">
      <c r="A981" s="216" t="str">
        <f t="shared" si="15"/>
        <v/>
      </c>
    </row>
    <row r="982" spans="1:1" x14ac:dyDescent="0.25">
      <c r="A982" s="216" t="str">
        <f t="shared" si="15"/>
        <v/>
      </c>
    </row>
    <row r="983" spans="1:1" x14ac:dyDescent="0.25">
      <c r="A983" s="216" t="str">
        <f t="shared" si="15"/>
        <v/>
      </c>
    </row>
    <row r="984" spans="1:1" x14ac:dyDescent="0.25">
      <c r="A984" s="216" t="str">
        <f t="shared" si="15"/>
        <v/>
      </c>
    </row>
    <row r="985" spans="1:1" x14ac:dyDescent="0.25">
      <c r="A985" s="216" t="str">
        <f t="shared" si="15"/>
        <v/>
      </c>
    </row>
    <row r="986" spans="1:1" x14ac:dyDescent="0.25">
      <c r="A986" s="216" t="str">
        <f t="shared" si="15"/>
        <v/>
      </c>
    </row>
    <row r="987" spans="1:1" x14ac:dyDescent="0.25">
      <c r="A987" s="216" t="str">
        <f t="shared" si="15"/>
        <v/>
      </c>
    </row>
    <row r="988" spans="1:1" x14ac:dyDescent="0.25">
      <c r="A988" s="216" t="str">
        <f t="shared" si="15"/>
        <v/>
      </c>
    </row>
    <row r="989" spans="1:1" x14ac:dyDescent="0.25">
      <c r="A989" s="216" t="str">
        <f t="shared" si="15"/>
        <v/>
      </c>
    </row>
    <row r="990" spans="1:1" x14ac:dyDescent="0.25">
      <c r="A990" s="216" t="str">
        <f t="shared" si="15"/>
        <v/>
      </c>
    </row>
    <row r="991" spans="1:1" x14ac:dyDescent="0.25">
      <c r="A991" s="216" t="str">
        <f t="shared" si="15"/>
        <v/>
      </c>
    </row>
    <row r="992" spans="1:1" x14ac:dyDescent="0.25">
      <c r="A992" s="216" t="str">
        <f t="shared" si="15"/>
        <v/>
      </c>
    </row>
    <row r="993" spans="1:1" x14ac:dyDescent="0.25">
      <c r="A993" s="216" t="str">
        <f t="shared" si="15"/>
        <v/>
      </c>
    </row>
    <row r="994" spans="1:1" x14ac:dyDescent="0.25">
      <c r="A994" s="216" t="str">
        <f t="shared" si="15"/>
        <v/>
      </c>
    </row>
    <row r="995" spans="1:1" x14ac:dyDescent="0.25">
      <c r="A995" s="216" t="str">
        <f t="shared" si="15"/>
        <v/>
      </c>
    </row>
    <row r="996" spans="1:1" x14ac:dyDescent="0.25">
      <c r="A996" s="216" t="str">
        <f t="shared" si="15"/>
        <v/>
      </c>
    </row>
    <row r="997" spans="1:1" x14ac:dyDescent="0.25">
      <c r="A997" s="216" t="str">
        <f t="shared" si="15"/>
        <v/>
      </c>
    </row>
    <row r="998" spans="1:1" x14ac:dyDescent="0.25">
      <c r="A998" s="216" t="str">
        <f t="shared" si="15"/>
        <v/>
      </c>
    </row>
    <row r="999" spans="1:1" x14ac:dyDescent="0.25">
      <c r="A999" s="216" t="str">
        <f t="shared" si="15"/>
        <v/>
      </c>
    </row>
    <row r="1000" spans="1:1" x14ac:dyDescent="0.25">
      <c r="A1000" s="216" t="str">
        <f t="shared" si="15"/>
        <v/>
      </c>
    </row>
    <row r="1001" spans="1:1" x14ac:dyDescent="0.25">
      <c r="A1001" s="216" t="str">
        <f t="shared" si="15"/>
        <v/>
      </c>
    </row>
    <row r="1002" spans="1:1" x14ac:dyDescent="0.25">
      <c r="A1002" s="216" t="str">
        <f t="shared" si="15"/>
        <v/>
      </c>
    </row>
    <row r="1003" spans="1:1" x14ac:dyDescent="0.25">
      <c r="A1003" s="216" t="str">
        <f t="shared" si="15"/>
        <v/>
      </c>
    </row>
    <row r="1004" spans="1:1" x14ac:dyDescent="0.25">
      <c r="A1004" s="216" t="str">
        <f t="shared" si="15"/>
        <v/>
      </c>
    </row>
    <row r="1005" spans="1:1" x14ac:dyDescent="0.25">
      <c r="A1005" s="216" t="str">
        <f t="shared" si="15"/>
        <v/>
      </c>
    </row>
    <row r="1006" spans="1:1" x14ac:dyDescent="0.25">
      <c r="A1006" s="216" t="str">
        <f t="shared" si="15"/>
        <v/>
      </c>
    </row>
    <row r="1007" spans="1:1" x14ac:dyDescent="0.25">
      <c r="A1007" s="216" t="str">
        <f t="shared" si="15"/>
        <v/>
      </c>
    </row>
    <row r="1008" spans="1:1" x14ac:dyDescent="0.25">
      <c r="A1008" s="216" t="str">
        <f t="shared" si="15"/>
        <v/>
      </c>
    </row>
    <row r="1009" spans="1:1" x14ac:dyDescent="0.25">
      <c r="A1009" s="216" t="str">
        <f t="shared" si="15"/>
        <v/>
      </c>
    </row>
    <row r="1010" spans="1:1" x14ac:dyDescent="0.25">
      <c r="A1010" s="216" t="str">
        <f t="shared" si="15"/>
        <v/>
      </c>
    </row>
    <row r="1011" spans="1:1" x14ac:dyDescent="0.25">
      <c r="A1011" s="216" t="str">
        <f t="shared" si="15"/>
        <v/>
      </c>
    </row>
    <row r="1012" spans="1:1" x14ac:dyDescent="0.25">
      <c r="A1012" s="216" t="str">
        <f t="shared" si="15"/>
        <v/>
      </c>
    </row>
    <row r="1013" spans="1:1" x14ac:dyDescent="0.25">
      <c r="A1013" s="216" t="str">
        <f t="shared" si="15"/>
        <v/>
      </c>
    </row>
    <row r="1014" spans="1:1" x14ac:dyDescent="0.25">
      <c r="A1014" s="216" t="str">
        <f t="shared" si="15"/>
        <v/>
      </c>
    </row>
    <row r="1015" spans="1:1" x14ac:dyDescent="0.25">
      <c r="A1015" s="216" t="str">
        <f t="shared" si="15"/>
        <v/>
      </c>
    </row>
    <row r="1016" spans="1:1" x14ac:dyDescent="0.25">
      <c r="A1016" s="216" t="str">
        <f t="shared" si="15"/>
        <v/>
      </c>
    </row>
    <row r="1017" spans="1:1" x14ac:dyDescent="0.25">
      <c r="A1017" s="216" t="str">
        <f t="shared" si="15"/>
        <v/>
      </c>
    </row>
    <row r="1018" spans="1:1" x14ac:dyDescent="0.25">
      <c r="A1018" s="216" t="str">
        <f t="shared" si="15"/>
        <v/>
      </c>
    </row>
    <row r="1019" spans="1:1" x14ac:dyDescent="0.25">
      <c r="A1019" s="216" t="str">
        <f t="shared" si="15"/>
        <v/>
      </c>
    </row>
    <row r="1020" spans="1:1" x14ac:dyDescent="0.25">
      <c r="A1020" s="216" t="str">
        <f t="shared" si="15"/>
        <v/>
      </c>
    </row>
    <row r="1021" spans="1:1" x14ac:dyDescent="0.25">
      <c r="A1021" s="216" t="str">
        <f t="shared" si="15"/>
        <v/>
      </c>
    </row>
    <row r="1022" spans="1:1" x14ac:dyDescent="0.25">
      <c r="A1022" s="216" t="str">
        <f t="shared" si="15"/>
        <v/>
      </c>
    </row>
    <row r="1023" spans="1:1" x14ac:dyDescent="0.25">
      <c r="A1023" s="216" t="str">
        <f t="shared" si="15"/>
        <v/>
      </c>
    </row>
    <row r="1024" spans="1:1" x14ac:dyDescent="0.25">
      <c r="A1024" s="216" t="str">
        <f t="shared" si="15"/>
        <v/>
      </c>
    </row>
    <row r="1025" spans="1:1" x14ac:dyDescent="0.25">
      <c r="A1025" s="216" t="str">
        <f t="shared" si="15"/>
        <v/>
      </c>
    </row>
    <row r="1026" spans="1:1" x14ac:dyDescent="0.25">
      <c r="A1026" s="216" t="str">
        <f t="shared" si="15"/>
        <v/>
      </c>
    </row>
    <row r="1027" spans="1:1" x14ac:dyDescent="0.25">
      <c r="A1027" s="216" t="str">
        <f t="shared" si="15"/>
        <v/>
      </c>
    </row>
    <row r="1028" spans="1:1" x14ac:dyDescent="0.25">
      <c r="A1028" s="216" t="str">
        <f t="shared" ref="A1028:A1091" si="16">IF(B1028&lt;&gt;"",A1027+1,"")</f>
        <v/>
      </c>
    </row>
    <row r="1029" spans="1:1" x14ac:dyDescent="0.25">
      <c r="A1029" s="216" t="str">
        <f t="shared" si="16"/>
        <v/>
      </c>
    </row>
    <row r="1030" spans="1:1" x14ac:dyDescent="0.25">
      <c r="A1030" s="216" t="str">
        <f t="shared" si="16"/>
        <v/>
      </c>
    </row>
    <row r="1031" spans="1:1" x14ac:dyDescent="0.25">
      <c r="A1031" s="216" t="str">
        <f t="shared" si="16"/>
        <v/>
      </c>
    </row>
    <row r="1032" spans="1:1" x14ac:dyDescent="0.25">
      <c r="A1032" s="216" t="str">
        <f t="shared" si="16"/>
        <v/>
      </c>
    </row>
    <row r="1033" spans="1:1" x14ac:dyDescent="0.25">
      <c r="A1033" s="216" t="str">
        <f t="shared" si="16"/>
        <v/>
      </c>
    </row>
    <row r="1034" spans="1:1" x14ac:dyDescent="0.25">
      <c r="A1034" s="216" t="str">
        <f t="shared" si="16"/>
        <v/>
      </c>
    </row>
    <row r="1035" spans="1:1" x14ac:dyDescent="0.25">
      <c r="A1035" s="216" t="str">
        <f t="shared" si="16"/>
        <v/>
      </c>
    </row>
    <row r="1036" spans="1:1" x14ac:dyDescent="0.25">
      <c r="A1036" s="216" t="str">
        <f t="shared" si="16"/>
        <v/>
      </c>
    </row>
    <row r="1037" spans="1:1" x14ac:dyDescent="0.25">
      <c r="A1037" s="216" t="str">
        <f t="shared" si="16"/>
        <v/>
      </c>
    </row>
    <row r="1038" spans="1:1" x14ac:dyDescent="0.25">
      <c r="A1038" s="216" t="str">
        <f t="shared" si="16"/>
        <v/>
      </c>
    </row>
    <row r="1039" spans="1:1" x14ac:dyDescent="0.25">
      <c r="A1039" s="216" t="str">
        <f t="shared" si="16"/>
        <v/>
      </c>
    </row>
    <row r="1040" spans="1:1" x14ac:dyDescent="0.25">
      <c r="A1040" s="216" t="str">
        <f t="shared" si="16"/>
        <v/>
      </c>
    </row>
    <row r="1041" spans="1:1" x14ac:dyDescent="0.25">
      <c r="A1041" s="216" t="str">
        <f t="shared" si="16"/>
        <v/>
      </c>
    </row>
    <row r="1042" spans="1:1" x14ac:dyDescent="0.25">
      <c r="A1042" s="216" t="str">
        <f t="shared" si="16"/>
        <v/>
      </c>
    </row>
    <row r="1043" spans="1:1" x14ac:dyDescent="0.25">
      <c r="A1043" s="216" t="str">
        <f t="shared" si="16"/>
        <v/>
      </c>
    </row>
    <row r="1044" spans="1:1" x14ac:dyDescent="0.25">
      <c r="A1044" s="216" t="str">
        <f t="shared" si="16"/>
        <v/>
      </c>
    </row>
    <row r="1045" spans="1:1" x14ac:dyDescent="0.25">
      <c r="A1045" s="216" t="str">
        <f t="shared" si="16"/>
        <v/>
      </c>
    </row>
    <row r="1046" spans="1:1" x14ac:dyDescent="0.25">
      <c r="A1046" s="216" t="str">
        <f t="shared" si="16"/>
        <v/>
      </c>
    </row>
    <row r="1047" spans="1:1" x14ac:dyDescent="0.25">
      <c r="A1047" s="216" t="str">
        <f t="shared" si="16"/>
        <v/>
      </c>
    </row>
    <row r="1048" spans="1:1" x14ac:dyDescent="0.25">
      <c r="A1048" s="216" t="str">
        <f t="shared" si="16"/>
        <v/>
      </c>
    </row>
    <row r="1049" spans="1:1" x14ac:dyDescent="0.25">
      <c r="A1049" s="216" t="str">
        <f t="shared" si="16"/>
        <v/>
      </c>
    </row>
    <row r="1050" spans="1:1" x14ac:dyDescent="0.25">
      <c r="A1050" s="216" t="str">
        <f t="shared" si="16"/>
        <v/>
      </c>
    </row>
    <row r="1051" spans="1:1" x14ac:dyDescent="0.25">
      <c r="A1051" s="216" t="str">
        <f t="shared" si="16"/>
        <v/>
      </c>
    </row>
    <row r="1052" spans="1:1" x14ac:dyDescent="0.25">
      <c r="A1052" s="216" t="str">
        <f t="shared" si="16"/>
        <v/>
      </c>
    </row>
    <row r="1053" spans="1:1" x14ac:dyDescent="0.25">
      <c r="A1053" s="216" t="str">
        <f t="shared" si="16"/>
        <v/>
      </c>
    </row>
    <row r="1054" spans="1:1" x14ac:dyDescent="0.25">
      <c r="A1054" s="216" t="str">
        <f t="shared" si="16"/>
        <v/>
      </c>
    </row>
    <row r="1055" spans="1:1" x14ac:dyDescent="0.25">
      <c r="A1055" s="216" t="str">
        <f t="shared" si="16"/>
        <v/>
      </c>
    </row>
    <row r="1056" spans="1:1" x14ac:dyDescent="0.25">
      <c r="A1056" s="216" t="str">
        <f t="shared" si="16"/>
        <v/>
      </c>
    </row>
    <row r="1057" spans="1:1" x14ac:dyDescent="0.25">
      <c r="A1057" s="216" t="str">
        <f t="shared" si="16"/>
        <v/>
      </c>
    </row>
    <row r="1058" spans="1:1" x14ac:dyDescent="0.25">
      <c r="A1058" s="216" t="str">
        <f t="shared" si="16"/>
        <v/>
      </c>
    </row>
    <row r="1059" spans="1:1" x14ac:dyDescent="0.25">
      <c r="A1059" s="216" t="str">
        <f t="shared" si="16"/>
        <v/>
      </c>
    </row>
    <row r="1060" spans="1:1" x14ac:dyDescent="0.25">
      <c r="A1060" s="216" t="str">
        <f t="shared" si="16"/>
        <v/>
      </c>
    </row>
    <row r="1061" spans="1:1" x14ac:dyDescent="0.25">
      <c r="A1061" s="216" t="str">
        <f t="shared" si="16"/>
        <v/>
      </c>
    </row>
    <row r="1062" spans="1:1" x14ac:dyDescent="0.25">
      <c r="A1062" s="216" t="str">
        <f t="shared" si="16"/>
        <v/>
      </c>
    </row>
    <row r="1063" spans="1:1" x14ac:dyDescent="0.25">
      <c r="A1063" s="216" t="str">
        <f t="shared" si="16"/>
        <v/>
      </c>
    </row>
    <row r="1064" spans="1:1" x14ac:dyDescent="0.25">
      <c r="A1064" s="216" t="str">
        <f t="shared" si="16"/>
        <v/>
      </c>
    </row>
    <row r="1065" spans="1:1" x14ac:dyDescent="0.25">
      <c r="A1065" s="216" t="str">
        <f t="shared" si="16"/>
        <v/>
      </c>
    </row>
    <row r="1066" spans="1:1" x14ac:dyDescent="0.25">
      <c r="A1066" s="216" t="str">
        <f t="shared" si="16"/>
        <v/>
      </c>
    </row>
    <row r="1067" spans="1:1" x14ac:dyDescent="0.25">
      <c r="A1067" s="216" t="str">
        <f t="shared" si="16"/>
        <v/>
      </c>
    </row>
    <row r="1068" spans="1:1" x14ac:dyDescent="0.25">
      <c r="A1068" s="216" t="str">
        <f t="shared" si="16"/>
        <v/>
      </c>
    </row>
    <row r="1069" spans="1:1" x14ac:dyDescent="0.25">
      <c r="A1069" s="216" t="str">
        <f t="shared" si="16"/>
        <v/>
      </c>
    </row>
    <row r="1070" spans="1:1" x14ac:dyDescent="0.25">
      <c r="A1070" s="216" t="str">
        <f t="shared" si="16"/>
        <v/>
      </c>
    </row>
    <row r="1071" spans="1:1" x14ac:dyDescent="0.25">
      <c r="A1071" s="216" t="str">
        <f t="shared" si="16"/>
        <v/>
      </c>
    </row>
    <row r="1072" spans="1:1" x14ac:dyDescent="0.25">
      <c r="A1072" s="216" t="str">
        <f t="shared" si="16"/>
        <v/>
      </c>
    </row>
    <row r="1073" spans="1:1" x14ac:dyDescent="0.25">
      <c r="A1073" s="216" t="str">
        <f t="shared" si="16"/>
        <v/>
      </c>
    </row>
    <row r="1074" spans="1:1" x14ac:dyDescent="0.25">
      <c r="A1074" s="216" t="str">
        <f t="shared" si="16"/>
        <v/>
      </c>
    </row>
    <row r="1075" spans="1:1" x14ac:dyDescent="0.25">
      <c r="A1075" s="216" t="str">
        <f t="shared" si="16"/>
        <v/>
      </c>
    </row>
    <row r="1076" spans="1:1" x14ac:dyDescent="0.25">
      <c r="A1076" s="216" t="str">
        <f t="shared" si="16"/>
        <v/>
      </c>
    </row>
    <row r="1077" spans="1:1" x14ac:dyDescent="0.25">
      <c r="A1077" s="216" t="str">
        <f t="shared" si="16"/>
        <v/>
      </c>
    </row>
    <row r="1078" spans="1:1" x14ac:dyDescent="0.25">
      <c r="A1078" s="216" t="str">
        <f t="shared" si="16"/>
        <v/>
      </c>
    </row>
    <row r="1079" spans="1:1" x14ac:dyDescent="0.25">
      <c r="A1079" s="216" t="str">
        <f t="shared" si="16"/>
        <v/>
      </c>
    </row>
    <row r="1080" spans="1:1" x14ac:dyDescent="0.25">
      <c r="A1080" s="216" t="str">
        <f t="shared" si="16"/>
        <v/>
      </c>
    </row>
    <row r="1081" spans="1:1" x14ac:dyDescent="0.25">
      <c r="A1081" s="216" t="str">
        <f t="shared" si="16"/>
        <v/>
      </c>
    </row>
    <row r="1082" spans="1:1" x14ac:dyDescent="0.25">
      <c r="A1082" s="216" t="str">
        <f t="shared" si="16"/>
        <v/>
      </c>
    </row>
    <row r="1083" spans="1:1" x14ac:dyDescent="0.25">
      <c r="A1083" s="216" t="str">
        <f t="shared" si="16"/>
        <v/>
      </c>
    </row>
    <row r="1084" spans="1:1" x14ac:dyDescent="0.25">
      <c r="A1084" s="216" t="str">
        <f t="shared" si="16"/>
        <v/>
      </c>
    </row>
    <row r="1085" spans="1:1" x14ac:dyDescent="0.25">
      <c r="A1085" s="216" t="str">
        <f t="shared" si="16"/>
        <v/>
      </c>
    </row>
    <row r="1086" spans="1:1" x14ac:dyDescent="0.25">
      <c r="A1086" s="216" t="str">
        <f t="shared" si="16"/>
        <v/>
      </c>
    </row>
    <row r="1087" spans="1:1" x14ac:dyDescent="0.25">
      <c r="A1087" s="216" t="str">
        <f t="shared" si="16"/>
        <v/>
      </c>
    </row>
    <row r="1088" spans="1:1" x14ac:dyDescent="0.25">
      <c r="A1088" s="216" t="str">
        <f t="shared" si="16"/>
        <v/>
      </c>
    </row>
    <row r="1089" spans="1:1" x14ac:dyDescent="0.25">
      <c r="A1089" s="216" t="str">
        <f t="shared" si="16"/>
        <v/>
      </c>
    </row>
    <row r="1090" spans="1:1" x14ac:dyDescent="0.25">
      <c r="A1090" s="216" t="str">
        <f t="shared" si="16"/>
        <v/>
      </c>
    </row>
    <row r="1091" spans="1:1" x14ac:dyDescent="0.25">
      <c r="A1091" s="216" t="str">
        <f t="shared" si="16"/>
        <v/>
      </c>
    </row>
    <row r="1092" spans="1:1" x14ac:dyDescent="0.25">
      <c r="A1092" s="216" t="str">
        <f t="shared" ref="A1092:A1155" si="17">IF(B1092&lt;&gt;"",A1091+1,"")</f>
        <v/>
      </c>
    </row>
    <row r="1093" spans="1:1" x14ac:dyDescent="0.25">
      <c r="A1093" s="216" t="str">
        <f t="shared" si="17"/>
        <v/>
      </c>
    </row>
    <row r="1094" spans="1:1" x14ac:dyDescent="0.25">
      <c r="A1094" s="216" t="str">
        <f t="shared" si="17"/>
        <v/>
      </c>
    </row>
    <row r="1095" spans="1:1" x14ac:dyDescent="0.25">
      <c r="A1095" s="216" t="str">
        <f t="shared" si="17"/>
        <v/>
      </c>
    </row>
    <row r="1096" spans="1:1" x14ac:dyDescent="0.25">
      <c r="A1096" s="216" t="str">
        <f t="shared" si="17"/>
        <v/>
      </c>
    </row>
    <row r="1097" spans="1:1" x14ac:dyDescent="0.25">
      <c r="A1097" s="216" t="str">
        <f t="shared" si="17"/>
        <v/>
      </c>
    </row>
    <row r="1098" spans="1:1" x14ac:dyDescent="0.25">
      <c r="A1098" s="216" t="str">
        <f t="shared" si="17"/>
        <v/>
      </c>
    </row>
    <row r="1099" spans="1:1" x14ac:dyDescent="0.25">
      <c r="A1099" s="216" t="str">
        <f t="shared" si="17"/>
        <v/>
      </c>
    </row>
    <row r="1100" spans="1:1" x14ac:dyDescent="0.25">
      <c r="A1100" s="216" t="str">
        <f t="shared" si="17"/>
        <v/>
      </c>
    </row>
    <row r="1101" spans="1:1" x14ac:dyDescent="0.25">
      <c r="A1101" s="216" t="str">
        <f t="shared" si="17"/>
        <v/>
      </c>
    </row>
    <row r="1102" spans="1:1" x14ac:dyDescent="0.25">
      <c r="A1102" s="216" t="str">
        <f t="shared" si="17"/>
        <v/>
      </c>
    </row>
    <row r="1103" spans="1:1" x14ac:dyDescent="0.25">
      <c r="A1103" s="216" t="str">
        <f t="shared" si="17"/>
        <v/>
      </c>
    </row>
    <row r="1104" spans="1:1" x14ac:dyDescent="0.25">
      <c r="A1104" s="216" t="str">
        <f t="shared" si="17"/>
        <v/>
      </c>
    </row>
    <row r="1105" spans="1:1" x14ac:dyDescent="0.25">
      <c r="A1105" s="216" t="str">
        <f t="shared" si="17"/>
        <v/>
      </c>
    </row>
    <row r="1106" spans="1:1" x14ac:dyDescent="0.25">
      <c r="A1106" s="216" t="str">
        <f t="shared" si="17"/>
        <v/>
      </c>
    </row>
    <row r="1107" spans="1:1" x14ac:dyDescent="0.25">
      <c r="A1107" s="216" t="str">
        <f t="shared" si="17"/>
        <v/>
      </c>
    </row>
    <row r="1108" spans="1:1" x14ac:dyDescent="0.25">
      <c r="A1108" s="216" t="str">
        <f t="shared" si="17"/>
        <v/>
      </c>
    </row>
    <row r="1109" spans="1:1" x14ac:dyDescent="0.25">
      <c r="A1109" s="216" t="str">
        <f t="shared" si="17"/>
        <v/>
      </c>
    </row>
    <row r="1110" spans="1:1" x14ac:dyDescent="0.25">
      <c r="A1110" s="216" t="str">
        <f t="shared" si="17"/>
        <v/>
      </c>
    </row>
    <row r="1111" spans="1:1" x14ac:dyDescent="0.25">
      <c r="A1111" s="216" t="str">
        <f t="shared" si="17"/>
        <v/>
      </c>
    </row>
    <row r="1112" spans="1:1" x14ac:dyDescent="0.25">
      <c r="A1112" s="216" t="str">
        <f t="shared" si="17"/>
        <v/>
      </c>
    </row>
    <row r="1113" spans="1:1" x14ac:dyDescent="0.25">
      <c r="A1113" s="216" t="str">
        <f t="shared" si="17"/>
        <v/>
      </c>
    </row>
    <row r="1114" spans="1:1" x14ac:dyDescent="0.25">
      <c r="A1114" s="216" t="str">
        <f t="shared" si="17"/>
        <v/>
      </c>
    </row>
    <row r="1115" spans="1:1" x14ac:dyDescent="0.25">
      <c r="A1115" s="216" t="str">
        <f t="shared" si="17"/>
        <v/>
      </c>
    </row>
    <row r="1116" spans="1:1" x14ac:dyDescent="0.25">
      <c r="A1116" s="216" t="str">
        <f t="shared" si="17"/>
        <v/>
      </c>
    </row>
    <row r="1117" spans="1:1" x14ac:dyDescent="0.25">
      <c r="A1117" s="216" t="str">
        <f t="shared" si="17"/>
        <v/>
      </c>
    </row>
    <row r="1118" spans="1:1" x14ac:dyDescent="0.25">
      <c r="A1118" s="216" t="str">
        <f t="shared" si="17"/>
        <v/>
      </c>
    </row>
    <row r="1119" spans="1:1" x14ac:dyDescent="0.25">
      <c r="A1119" s="216" t="str">
        <f t="shared" si="17"/>
        <v/>
      </c>
    </row>
    <row r="1120" spans="1:1" x14ac:dyDescent="0.25">
      <c r="A1120" s="216" t="str">
        <f t="shared" si="17"/>
        <v/>
      </c>
    </row>
    <row r="1121" spans="1:1" x14ac:dyDescent="0.25">
      <c r="A1121" s="216" t="str">
        <f t="shared" si="17"/>
        <v/>
      </c>
    </row>
    <row r="1122" spans="1:1" x14ac:dyDescent="0.25">
      <c r="A1122" s="216" t="str">
        <f t="shared" si="17"/>
        <v/>
      </c>
    </row>
    <row r="1123" spans="1:1" x14ac:dyDescent="0.25">
      <c r="A1123" s="216" t="str">
        <f t="shared" si="17"/>
        <v/>
      </c>
    </row>
    <row r="1124" spans="1:1" x14ac:dyDescent="0.25">
      <c r="A1124" s="216" t="str">
        <f t="shared" si="17"/>
        <v/>
      </c>
    </row>
    <row r="1125" spans="1:1" x14ac:dyDescent="0.25">
      <c r="A1125" s="216" t="str">
        <f t="shared" si="17"/>
        <v/>
      </c>
    </row>
    <row r="1126" spans="1:1" x14ac:dyDescent="0.25">
      <c r="A1126" s="216" t="str">
        <f t="shared" si="17"/>
        <v/>
      </c>
    </row>
    <row r="1127" spans="1:1" x14ac:dyDescent="0.25">
      <c r="A1127" s="216" t="str">
        <f t="shared" si="17"/>
        <v/>
      </c>
    </row>
    <row r="1128" spans="1:1" x14ac:dyDescent="0.25">
      <c r="A1128" s="216" t="str">
        <f t="shared" si="17"/>
        <v/>
      </c>
    </row>
    <row r="1129" spans="1:1" x14ac:dyDescent="0.25">
      <c r="A1129" s="216" t="str">
        <f t="shared" si="17"/>
        <v/>
      </c>
    </row>
    <row r="1130" spans="1:1" x14ac:dyDescent="0.25">
      <c r="A1130" s="216" t="str">
        <f t="shared" si="17"/>
        <v/>
      </c>
    </row>
    <row r="1131" spans="1:1" x14ac:dyDescent="0.25">
      <c r="A1131" s="216" t="str">
        <f t="shared" si="17"/>
        <v/>
      </c>
    </row>
    <row r="1132" spans="1:1" x14ac:dyDescent="0.25">
      <c r="A1132" s="216" t="str">
        <f t="shared" si="17"/>
        <v/>
      </c>
    </row>
    <row r="1133" spans="1:1" x14ac:dyDescent="0.25">
      <c r="A1133" s="216" t="str">
        <f t="shared" si="17"/>
        <v/>
      </c>
    </row>
    <row r="1134" spans="1:1" x14ac:dyDescent="0.25">
      <c r="A1134" s="216" t="str">
        <f t="shared" si="17"/>
        <v/>
      </c>
    </row>
    <row r="1135" spans="1:1" x14ac:dyDescent="0.25">
      <c r="A1135" s="216" t="str">
        <f t="shared" si="17"/>
        <v/>
      </c>
    </row>
    <row r="1136" spans="1:1" x14ac:dyDescent="0.25">
      <c r="A1136" s="216" t="str">
        <f t="shared" si="17"/>
        <v/>
      </c>
    </row>
    <row r="1137" spans="1:1" x14ac:dyDescent="0.25">
      <c r="A1137" s="216" t="str">
        <f t="shared" si="17"/>
        <v/>
      </c>
    </row>
    <row r="1138" spans="1:1" x14ac:dyDescent="0.25">
      <c r="A1138" s="216" t="str">
        <f t="shared" si="17"/>
        <v/>
      </c>
    </row>
    <row r="1139" spans="1:1" x14ac:dyDescent="0.25">
      <c r="A1139" s="216" t="str">
        <f t="shared" si="17"/>
        <v/>
      </c>
    </row>
    <row r="1140" spans="1:1" x14ac:dyDescent="0.25">
      <c r="A1140" s="216" t="str">
        <f t="shared" si="17"/>
        <v/>
      </c>
    </row>
    <row r="1141" spans="1:1" x14ac:dyDescent="0.25">
      <c r="A1141" s="216" t="str">
        <f t="shared" si="17"/>
        <v/>
      </c>
    </row>
    <row r="1142" spans="1:1" x14ac:dyDescent="0.25">
      <c r="A1142" s="216" t="str">
        <f t="shared" si="17"/>
        <v/>
      </c>
    </row>
    <row r="1143" spans="1:1" x14ac:dyDescent="0.25">
      <c r="A1143" s="216" t="str">
        <f t="shared" si="17"/>
        <v/>
      </c>
    </row>
    <row r="1144" spans="1:1" x14ac:dyDescent="0.25">
      <c r="A1144" s="216" t="str">
        <f t="shared" si="17"/>
        <v/>
      </c>
    </row>
    <row r="1145" spans="1:1" x14ac:dyDescent="0.25">
      <c r="A1145" s="216" t="str">
        <f t="shared" si="17"/>
        <v/>
      </c>
    </row>
    <row r="1146" spans="1:1" x14ac:dyDescent="0.25">
      <c r="A1146" s="216" t="str">
        <f t="shared" si="17"/>
        <v/>
      </c>
    </row>
    <row r="1147" spans="1:1" x14ac:dyDescent="0.25">
      <c r="A1147" s="216" t="str">
        <f t="shared" si="17"/>
        <v/>
      </c>
    </row>
    <row r="1148" spans="1:1" x14ac:dyDescent="0.25">
      <c r="A1148" s="216" t="str">
        <f t="shared" si="17"/>
        <v/>
      </c>
    </row>
    <row r="1149" spans="1:1" x14ac:dyDescent="0.25">
      <c r="A1149" s="216" t="str">
        <f t="shared" si="17"/>
        <v/>
      </c>
    </row>
    <row r="1150" spans="1:1" x14ac:dyDescent="0.25">
      <c r="A1150" s="216" t="str">
        <f t="shared" si="17"/>
        <v/>
      </c>
    </row>
    <row r="1151" spans="1:1" x14ac:dyDescent="0.25">
      <c r="A1151" s="216" t="str">
        <f t="shared" si="17"/>
        <v/>
      </c>
    </row>
    <row r="1152" spans="1:1" x14ac:dyDescent="0.25">
      <c r="A1152" s="216" t="str">
        <f t="shared" si="17"/>
        <v/>
      </c>
    </row>
    <row r="1153" spans="1:1" x14ac:dyDescent="0.25">
      <c r="A1153" s="216" t="str">
        <f t="shared" si="17"/>
        <v/>
      </c>
    </row>
    <row r="1154" spans="1:1" x14ac:dyDescent="0.25">
      <c r="A1154" s="216" t="str">
        <f t="shared" si="17"/>
        <v/>
      </c>
    </row>
    <row r="1155" spans="1:1" x14ac:dyDescent="0.25">
      <c r="A1155" s="216" t="str">
        <f t="shared" si="17"/>
        <v/>
      </c>
    </row>
    <row r="1156" spans="1:1" x14ac:dyDescent="0.25">
      <c r="A1156" s="216" t="str">
        <f t="shared" ref="A1156:A1219" si="18">IF(B1156&lt;&gt;"",A1155+1,"")</f>
        <v/>
      </c>
    </row>
    <row r="1157" spans="1:1" x14ac:dyDescent="0.25">
      <c r="A1157" s="216" t="str">
        <f t="shared" si="18"/>
        <v/>
      </c>
    </row>
    <row r="1158" spans="1:1" x14ac:dyDescent="0.25">
      <c r="A1158" s="216" t="str">
        <f t="shared" si="18"/>
        <v/>
      </c>
    </row>
    <row r="1159" spans="1:1" x14ac:dyDescent="0.25">
      <c r="A1159" s="216" t="str">
        <f t="shared" si="18"/>
        <v/>
      </c>
    </row>
    <row r="1160" spans="1:1" x14ac:dyDescent="0.25">
      <c r="A1160" s="216" t="str">
        <f t="shared" si="18"/>
        <v/>
      </c>
    </row>
    <row r="1161" spans="1:1" x14ac:dyDescent="0.25">
      <c r="A1161" s="216" t="str">
        <f t="shared" si="18"/>
        <v/>
      </c>
    </row>
    <row r="1162" spans="1:1" x14ac:dyDescent="0.25">
      <c r="A1162" s="216" t="str">
        <f t="shared" si="18"/>
        <v/>
      </c>
    </row>
    <row r="1163" spans="1:1" x14ac:dyDescent="0.25">
      <c r="A1163" s="216" t="str">
        <f t="shared" si="18"/>
        <v/>
      </c>
    </row>
    <row r="1164" spans="1:1" x14ac:dyDescent="0.25">
      <c r="A1164" s="216" t="str">
        <f t="shared" si="18"/>
        <v/>
      </c>
    </row>
    <row r="1165" spans="1:1" x14ac:dyDescent="0.25">
      <c r="A1165" s="216" t="str">
        <f t="shared" si="18"/>
        <v/>
      </c>
    </row>
    <row r="1166" spans="1:1" x14ac:dyDescent="0.25">
      <c r="A1166" s="216" t="str">
        <f t="shared" si="18"/>
        <v/>
      </c>
    </row>
    <row r="1167" spans="1:1" x14ac:dyDescent="0.25">
      <c r="A1167" s="216" t="str">
        <f t="shared" si="18"/>
        <v/>
      </c>
    </row>
    <row r="1168" spans="1:1" x14ac:dyDescent="0.25">
      <c r="A1168" s="216" t="str">
        <f t="shared" si="18"/>
        <v/>
      </c>
    </row>
    <row r="1169" spans="1:1" x14ac:dyDescent="0.25">
      <c r="A1169" s="216" t="str">
        <f t="shared" si="18"/>
        <v/>
      </c>
    </row>
    <row r="1170" spans="1:1" x14ac:dyDescent="0.25">
      <c r="A1170" s="216" t="str">
        <f t="shared" si="18"/>
        <v/>
      </c>
    </row>
    <row r="1171" spans="1:1" x14ac:dyDescent="0.25">
      <c r="A1171" s="216" t="str">
        <f t="shared" si="18"/>
        <v/>
      </c>
    </row>
    <row r="1172" spans="1:1" x14ac:dyDescent="0.25">
      <c r="A1172" s="216" t="str">
        <f t="shared" si="18"/>
        <v/>
      </c>
    </row>
    <row r="1173" spans="1:1" x14ac:dyDescent="0.25">
      <c r="A1173" s="216" t="str">
        <f t="shared" si="18"/>
        <v/>
      </c>
    </row>
    <row r="1174" spans="1:1" x14ac:dyDescent="0.25">
      <c r="A1174" s="216" t="str">
        <f t="shared" si="18"/>
        <v/>
      </c>
    </row>
    <row r="1175" spans="1:1" x14ac:dyDescent="0.25">
      <c r="A1175" s="216" t="str">
        <f t="shared" si="18"/>
        <v/>
      </c>
    </row>
    <row r="1176" spans="1:1" x14ac:dyDescent="0.25">
      <c r="A1176" s="216" t="str">
        <f t="shared" si="18"/>
        <v/>
      </c>
    </row>
    <row r="1177" spans="1:1" x14ac:dyDescent="0.25">
      <c r="A1177" s="216" t="str">
        <f t="shared" si="18"/>
        <v/>
      </c>
    </row>
    <row r="1178" spans="1:1" x14ac:dyDescent="0.25">
      <c r="A1178" s="216" t="str">
        <f t="shared" si="18"/>
        <v/>
      </c>
    </row>
    <row r="1179" spans="1:1" x14ac:dyDescent="0.25">
      <c r="A1179" s="216" t="str">
        <f t="shared" si="18"/>
        <v/>
      </c>
    </row>
    <row r="1180" spans="1:1" x14ac:dyDescent="0.25">
      <c r="A1180" s="216" t="str">
        <f t="shared" si="18"/>
        <v/>
      </c>
    </row>
    <row r="1181" spans="1:1" x14ac:dyDescent="0.25">
      <c r="A1181" s="216" t="str">
        <f t="shared" si="18"/>
        <v/>
      </c>
    </row>
    <row r="1182" spans="1:1" x14ac:dyDescent="0.25">
      <c r="A1182" s="216" t="str">
        <f t="shared" si="18"/>
        <v/>
      </c>
    </row>
    <row r="1183" spans="1:1" x14ac:dyDescent="0.25">
      <c r="A1183" s="216" t="str">
        <f t="shared" si="18"/>
        <v/>
      </c>
    </row>
    <row r="1184" spans="1:1" x14ac:dyDescent="0.25">
      <c r="A1184" s="216" t="str">
        <f t="shared" si="18"/>
        <v/>
      </c>
    </row>
    <row r="1185" spans="1:1" x14ac:dyDescent="0.25">
      <c r="A1185" s="216" t="str">
        <f t="shared" si="18"/>
        <v/>
      </c>
    </row>
    <row r="1186" spans="1:1" x14ac:dyDescent="0.25">
      <c r="A1186" s="216" t="str">
        <f t="shared" si="18"/>
        <v/>
      </c>
    </row>
    <row r="1187" spans="1:1" x14ac:dyDescent="0.25">
      <c r="A1187" s="216" t="str">
        <f t="shared" si="18"/>
        <v/>
      </c>
    </row>
    <row r="1188" spans="1:1" x14ac:dyDescent="0.25">
      <c r="A1188" s="216" t="str">
        <f t="shared" si="18"/>
        <v/>
      </c>
    </row>
    <row r="1189" spans="1:1" x14ac:dyDescent="0.25">
      <c r="A1189" s="216" t="str">
        <f t="shared" si="18"/>
        <v/>
      </c>
    </row>
    <row r="1190" spans="1:1" x14ac:dyDescent="0.25">
      <c r="A1190" s="216" t="str">
        <f t="shared" si="18"/>
        <v/>
      </c>
    </row>
    <row r="1191" spans="1:1" x14ac:dyDescent="0.25">
      <c r="A1191" s="216" t="str">
        <f t="shared" si="18"/>
        <v/>
      </c>
    </row>
    <row r="1192" spans="1:1" x14ac:dyDescent="0.25">
      <c r="A1192" s="216" t="str">
        <f t="shared" si="18"/>
        <v/>
      </c>
    </row>
    <row r="1193" spans="1:1" x14ac:dyDescent="0.25">
      <c r="A1193" s="216" t="str">
        <f t="shared" si="18"/>
        <v/>
      </c>
    </row>
    <row r="1194" spans="1:1" x14ac:dyDescent="0.25">
      <c r="A1194" s="216" t="str">
        <f t="shared" si="18"/>
        <v/>
      </c>
    </row>
    <row r="1195" spans="1:1" x14ac:dyDescent="0.25">
      <c r="A1195" s="216" t="str">
        <f t="shared" si="18"/>
        <v/>
      </c>
    </row>
    <row r="1196" spans="1:1" x14ac:dyDescent="0.25">
      <c r="A1196" s="216" t="str">
        <f t="shared" si="18"/>
        <v/>
      </c>
    </row>
    <row r="1197" spans="1:1" x14ac:dyDescent="0.25">
      <c r="A1197" s="216" t="str">
        <f t="shared" si="18"/>
        <v/>
      </c>
    </row>
    <row r="1198" spans="1:1" x14ac:dyDescent="0.25">
      <c r="A1198" s="216" t="str">
        <f t="shared" si="18"/>
        <v/>
      </c>
    </row>
    <row r="1199" spans="1:1" x14ac:dyDescent="0.25">
      <c r="A1199" s="216" t="str">
        <f t="shared" si="18"/>
        <v/>
      </c>
    </row>
    <row r="1200" spans="1:1" x14ac:dyDescent="0.25">
      <c r="A1200" s="216" t="str">
        <f t="shared" si="18"/>
        <v/>
      </c>
    </row>
    <row r="1201" spans="1:1" x14ac:dyDescent="0.25">
      <c r="A1201" s="216" t="str">
        <f t="shared" si="18"/>
        <v/>
      </c>
    </row>
    <row r="1202" spans="1:1" x14ac:dyDescent="0.25">
      <c r="A1202" s="216" t="str">
        <f t="shared" si="18"/>
        <v/>
      </c>
    </row>
    <row r="1203" spans="1:1" x14ac:dyDescent="0.25">
      <c r="A1203" s="216" t="str">
        <f t="shared" si="18"/>
        <v/>
      </c>
    </row>
    <row r="1204" spans="1:1" x14ac:dyDescent="0.25">
      <c r="A1204" s="216" t="str">
        <f t="shared" si="18"/>
        <v/>
      </c>
    </row>
    <row r="1205" spans="1:1" x14ac:dyDescent="0.25">
      <c r="A1205" s="216" t="str">
        <f t="shared" si="18"/>
        <v/>
      </c>
    </row>
    <row r="1206" spans="1:1" x14ac:dyDescent="0.25">
      <c r="A1206" s="216" t="str">
        <f t="shared" si="18"/>
        <v/>
      </c>
    </row>
    <row r="1207" spans="1:1" x14ac:dyDescent="0.25">
      <c r="A1207" s="216" t="str">
        <f t="shared" si="18"/>
        <v/>
      </c>
    </row>
    <row r="1208" spans="1:1" x14ac:dyDescent="0.25">
      <c r="A1208" s="216" t="str">
        <f t="shared" si="18"/>
        <v/>
      </c>
    </row>
    <row r="1209" spans="1:1" x14ac:dyDescent="0.25">
      <c r="A1209" s="216" t="str">
        <f t="shared" si="18"/>
        <v/>
      </c>
    </row>
    <row r="1210" spans="1:1" x14ac:dyDescent="0.25">
      <c r="A1210" s="216" t="str">
        <f t="shared" si="18"/>
        <v/>
      </c>
    </row>
    <row r="1211" spans="1:1" x14ac:dyDescent="0.25">
      <c r="A1211" s="216" t="str">
        <f t="shared" si="18"/>
        <v/>
      </c>
    </row>
    <row r="1212" spans="1:1" x14ac:dyDescent="0.25">
      <c r="A1212" s="216" t="str">
        <f t="shared" si="18"/>
        <v/>
      </c>
    </row>
    <row r="1213" spans="1:1" x14ac:dyDescent="0.25">
      <c r="A1213" s="216" t="str">
        <f t="shared" si="18"/>
        <v/>
      </c>
    </row>
    <row r="1214" spans="1:1" x14ac:dyDescent="0.25">
      <c r="A1214" s="216" t="str">
        <f t="shared" si="18"/>
        <v/>
      </c>
    </row>
    <row r="1215" spans="1:1" x14ac:dyDescent="0.25">
      <c r="A1215" s="216" t="str">
        <f t="shared" si="18"/>
        <v/>
      </c>
    </row>
    <row r="1216" spans="1:1" x14ac:dyDescent="0.25">
      <c r="A1216" s="216" t="str">
        <f t="shared" si="18"/>
        <v/>
      </c>
    </row>
    <row r="1217" spans="1:1" x14ac:dyDescent="0.25">
      <c r="A1217" s="216" t="str">
        <f t="shared" si="18"/>
        <v/>
      </c>
    </row>
    <row r="1218" spans="1:1" x14ac:dyDescent="0.25">
      <c r="A1218" s="216" t="str">
        <f t="shared" si="18"/>
        <v/>
      </c>
    </row>
    <row r="1219" spans="1:1" x14ac:dyDescent="0.25">
      <c r="A1219" s="216" t="str">
        <f t="shared" si="18"/>
        <v/>
      </c>
    </row>
    <row r="1220" spans="1:1" x14ac:dyDescent="0.25">
      <c r="A1220" s="216" t="str">
        <f t="shared" ref="A1220:A1283" si="19">IF(B1220&lt;&gt;"",A1219+1,"")</f>
        <v/>
      </c>
    </row>
    <row r="1221" spans="1:1" x14ac:dyDescent="0.25">
      <c r="A1221" s="216" t="str">
        <f t="shared" si="19"/>
        <v/>
      </c>
    </row>
    <row r="1222" spans="1:1" x14ac:dyDescent="0.25">
      <c r="A1222" s="216" t="str">
        <f t="shared" si="19"/>
        <v/>
      </c>
    </row>
    <row r="1223" spans="1:1" x14ac:dyDescent="0.25">
      <c r="A1223" s="216" t="str">
        <f t="shared" si="19"/>
        <v/>
      </c>
    </row>
    <row r="1224" spans="1:1" x14ac:dyDescent="0.25">
      <c r="A1224" s="216" t="str">
        <f t="shared" si="19"/>
        <v/>
      </c>
    </row>
    <row r="1225" spans="1:1" x14ac:dyDescent="0.25">
      <c r="A1225" s="216" t="str">
        <f t="shared" si="19"/>
        <v/>
      </c>
    </row>
    <row r="1226" spans="1:1" x14ac:dyDescent="0.25">
      <c r="A1226" s="216" t="str">
        <f t="shared" si="19"/>
        <v/>
      </c>
    </row>
    <row r="1227" spans="1:1" x14ac:dyDescent="0.25">
      <c r="A1227" s="216" t="str">
        <f t="shared" si="19"/>
        <v/>
      </c>
    </row>
    <row r="1228" spans="1:1" x14ac:dyDescent="0.25">
      <c r="A1228" s="216" t="str">
        <f t="shared" si="19"/>
        <v/>
      </c>
    </row>
    <row r="1229" spans="1:1" x14ac:dyDescent="0.25">
      <c r="A1229" s="216" t="str">
        <f t="shared" si="19"/>
        <v/>
      </c>
    </row>
    <row r="1230" spans="1:1" x14ac:dyDescent="0.25">
      <c r="A1230" s="216" t="str">
        <f t="shared" si="19"/>
        <v/>
      </c>
    </row>
    <row r="1231" spans="1:1" x14ac:dyDescent="0.25">
      <c r="A1231" s="216" t="str">
        <f t="shared" si="19"/>
        <v/>
      </c>
    </row>
    <row r="1232" spans="1:1" x14ac:dyDescent="0.25">
      <c r="A1232" s="216" t="str">
        <f t="shared" si="19"/>
        <v/>
      </c>
    </row>
    <row r="1233" spans="1:1" x14ac:dyDescent="0.25">
      <c r="A1233" s="216" t="str">
        <f t="shared" si="19"/>
        <v/>
      </c>
    </row>
    <row r="1234" spans="1:1" x14ac:dyDescent="0.25">
      <c r="A1234" s="216" t="str">
        <f t="shared" si="19"/>
        <v/>
      </c>
    </row>
    <row r="1235" spans="1:1" x14ac:dyDescent="0.25">
      <c r="A1235" s="216" t="str">
        <f t="shared" si="19"/>
        <v/>
      </c>
    </row>
    <row r="1236" spans="1:1" x14ac:dyDescent="0.25">
      <c r="A1236" s="216" t="str">
        <f t="shared" si="19"/>
        <v/>
      </c>
    </row>
    <row r="1237" spans="1:1" x14ac:dyDescent="0.25">
      <c r="A1237" s="216" t="str">
        <f t="shared" si="19"/>
        <v/>
      </c>
    </row>
    <row r="1238" spans="1:1" x14ac:dyDescent="0.25">
      <c r="A1238" s="216" t="str">
        <f t="shared" si="19"/>
        <v/>
      </c>
    </row>
    <row r="1239" spans="1:1" x14ac:dyDescent="0.25">
      <c r="A1239" s="216" t="str">
        <f t="shared" si="19"/>
        <v/>
      </c>
    </row>
    <row r="1240" spans="1:1" x14ac:dyDescent="0.25">
      <c r="A1240" s="216" t="str">
        <f t="shared" si="19"/>
        <v/>
      </c>
    </row>
    <row r="1241" spans="1:1" x14ac:dyDescent="0.25">
      <c r="A1241" s="216" t="str">
        <f t="shared" si="19"/>
        <v/>
      </c>
    </row>
    <row r="1242" spans="1:1" x14ac:dyDescent="0.25">
      <c r="A1242" s="216" t="str">
        <f t="shared" si="19"/>
        <v/>
      </c>
    </row>
    <row r="1243" spans="1:1" x14ac:dyDescent="0.25">
      <c r="A1243" s="216" t="str">
        <f t="shared" si="19"/>
        <v/>
      </c>
    </row>
    <row r="1244" spans="1:1" x14ac:dyDescent="0.25">
      <c r="A1244" s="216" t="str">
        <f t="shared" si="19"/>
        <v/>
      </c>
    </row>
    <row r="1245" spans="1:1" x14ac:dyDescent="0.25">
      <c r="A1245" s="216" t="str">
        <f t="shared" si="19"/>
        <v/>
      </c>
    </row>
    <row r="1246" spans="1:1" x14ac:dyDescent="0.25">
      <c r="A1246" s="216" t="str">
        <f t="shared" si="19"/>
        <v/>
      </c>
    </row>
    <row r="1247" spans="1:1" x14ac:dyDescent="0.25">
      <c r="A1247" s="216" t="str">
        <f t="shared" si="19"/>
        <v/>
      </c>
    </row>
    <row r="1248" spans="1:1" x14ac:dyDescent="0.25">
      <c r="A1248" s="216" t="str">
        <f t="shared" si="19"/>
        <v/>
      </c>
    </row>
    <row r="1249" spans="1:1" x14ac:dyDescent="0.25">
      <c r="A1249" s="216" t="str">
        <f t="shared" si="19"/>
        <v/>
      </c>
    </row>
    <row r="1250" spans="1:1" x14ac:dyDescent="0.25">
      <c r="A1250" s="216" t="str">
        <f t="shared" si="19"/>
        <v/>
      </c>
    </row>
    <row r="1251" spans="1:1" x14ac:dyDescent="0.25">
      <c r="A1251" s="216" t="str">
        <f t="shared" si="19"/>
        <v/>
      </c>
    </row>
    <row r="1252" spans="1:1" x14ac:dyDescent="0.25">
      <c r="A1252" s="216" t="str">
        <f t="shared" si="19"/>
        <v/>
      </c>
    </row>
    <row r="1253" spans="1:1" x14ac:dyDescent="0.25">
      <c r="A1253" s="216" t="str">
        <f t="shared" si="19"/>
        <v/>
      </c>
    </row>
    <row r="1254" spans="1:1" x14ac:dyDescent="0.25">
      <c r="A1254" s="216" t="str">
        <f t="shared" si="19"/>
        <v/>
      </c>
    </row>
    <row r="1255" spans="1:1" x14ac:dyDescent="0.25">
      <c r="A1255" s="216" t="str">
        <f t="shared" si="19"/>
        <v/>
      </c>
    </row>
    <row r="1256" spans="1:1" x14ac:dyDescent="0.25">
      <c r="A1256" s="216" t="str">
        <f t="shared" si="19"/>
        <v/>
      </c>
    </row>
    <row r="1257" spans="1:1" x14ac:dyDescent="0.25">
      <c r="A1257" s="216" t="str">
        <f t="shared" si="19"/>
        <v/>
      </c>
    </row>
    <row r="1258" spans="1:1" x14ac:dyDescent="0.25">
      <c r="A1258" s="216" t="str">
        <f t="shared" si="19"/>
        <v/>
      </c>
    </row>
    <row r="1259" spans="1:1" x14ac:dyDescent="0.25">
      <c r="A1259" s="216" t="str">
        <f t="shared" si="19"/>
        <v/>
      </c>
    </row>
    <row r="1260" spans="1:1" x14ac:dyDescent="0.25">
      <c r="A1260" s="216" t="str">
        <f t="shared" si="19"/>
        <v/>
      </c>
    </row>
    <row r="1261" spans="1:1" x14ac:dyDescent="0.25">
      <c r="A1261" s="216" t="str">
        <f t="shared" si="19"/>
        <v/>
      </c>
    </row>
    <row r="1262" spans="1:1" x14ac:dyDescent="0.25">
      <c r="A1262" s="216" t="str">
        <f t="shared" si="19"/>
        <v/>
      </c>
    </row>
    <row r="1263" spans="1:1" x14ac:dyDescent="0.25">
      <c r="A1263" s="216" t="str">
        <f t="shared" si="19"/>
        <v/>
      </c>
    </row>
    <row r="1264" spans="1:1" x14ac:dyDescent="0.25">
      <c r="A1264" s="216" t="str">
        <f t="shared" si="19"/>
        <v/>
      </c>
    </row>
    <row r="1265" spans="1:1" x14ac:dyDescent="0.25">
      <c r="A1265" s="216" t="str">
        <f t="shared" si="19"/>
        <v/>
      </c>
    </row>
    <row r="1266" spans="1:1" x14ac:dyDescent="0.25">
      <c r="A1266" s="216" t="str">
        <f t="shared" si="19"/>
        <v/>
      </c>
    </row>
    <row r="1267" spans="1:1" x14ac:dyDescent="0.25">
      <c r="A1267" s="216" t="str">
        <f t="shared" si="19"/>
        <v/>
      </c>
    </row>
    <row r="1268" spans="1:1" x14ac:dyDescent="0.25">
      <c r="A1268" s="216" t="str">
        <f t="shared" si="19"/>
        <v/>
      </c>
    </row>
    <row r="1269" spans="1:1" x14ac:dyDescent="0.25">
      <c r="A1269" s="216" t="str">
        <f t="shared" si="19"/>
        <v/>
      </c>
    </row>
    <row r="1270" spans="1:1" x14ac:dyDescent="0.25">
      <c r="A1270" s="216" t="str">
        <f t="shared" si="19"/>
        <v/>
      </c>
    </row>
    <row r="1271" spans="1:1" x14ac:dyDescent="0.25">
      <c r="A1271" s="216" t="str">
        <f t="shared" si="19"/>
        <v/>
      </c>
    </row>
    <row r="1272" spans="1:1" x14ac:dyDescent="0.25">
      <c r="A1272" s="216" t="str">
        <f t="shared" si="19"/>
        <v/>
      </c>
    </row>
    <row r="1273" spans="1:1" x14ac:dyDescent="0.25">
      <c r="A1273" s="216" t="str">
        <f t="shared" si="19"/>
        <v/>
      </c>
    </row>
    <row r="1274" spans="1:1" x14ac:dyDescent="0.25">
      <c r="A1274" s="216" t="str">
        <f t="shared" si="19"/>
        <v/>
      </c>
    </row>
    <row r="1275" spans="1:1" x14ac:dyDescent="0.25">
      <c r="A1275" s="216" t="str">
        <f t="shared" si="19"/>
        <v/>
      </c>
    </row>
    <row r="1276" spans="1:1" x14ac:dyDescent="0.25">
      <c r="A1276" s="216" t="str">
        <f t="shared" si="19"/>
        <v/>
      </c>
    </row>
    <row r="1277" spans="1:1" x14ac:dyDescent="0.25">
      <c r="A1277" s="216" t="str">
        <f t="shared" si="19"/>
        <v/>
      </c>
    </row>
    <row r="1278" spans="1:1" x14ac:dyDescent="0.25">
      <c r="A1278" s="216" t="str">
        <f t="shared" si="19"/>
        <v/>
      </c>
    </row>
    <row r="1279" spans="1:1" x14ac:dyDescent="0.25">
      <c r="A1279" s="216" t="str">
        <f t="shared" si="19"/>
        <v/>
      </c>
    </row>
    <row r="1280" spans="1:1" x14ac:dyDescent="0.25">
      <c r="A1280" s="216" t="str">
        <f t="shared" si="19"/>
        <v/>
      </c>
    </row>
    <row r="1281" spans="1:1" x14ac:dyDescent="0.25">
      <c r="A1281" s="216" t="str">
        <f t="shared" si="19"/>
        <v/>
      </c>
    </row>
    <row r="1282" spans="1:1" x14ac:dyDescent="0.25">
      <c r="A1282" s="216" t="str">
        <f t="shared" si="19"/>
        <v/>
      </c>
    </row>
    <row r="1283" spans="1:1" x14ac:dyDescent="0.25">
      <c r="A1283" s="216" t="str">
        <f t="shared" si="19"/>
        <v/>
      </c>
    </row>
    <row r="1284" spans="1:1" x14ac:dyDescent="0.25">
      <c r="A1284" s="216" t="str">
        <f t="shared" ref="A1284:A1347" si="20">IF(B1284&lt;&gt;"",A1283+1,"")</f>
        <v/>
      </c>
    </row>
    <row r="1285" spans="1:1" x14ac:dyDescent="0.25">
      <c r="A1285" s="216" t="str">
        <f t="shared" si="20"/>
        <v/>
      </c>
    </row>
    <row r="1286" spans="1:1" x14ac:dyDescent="0.25">
      <c r="A1286" s="216" t="str">
        <f t="shared" si="20"/>
        <v/>
      </c>
    </row>
    <row r="1287" spans="1:1" x14ac:dyDescent="0.25">
      <c r="A1287" s="216" t="str">
        <f t="shared" si="20"/>
        <v/>
      </c>
    </row>
    <row r="1288" spans="1:1" x14ac:dyDescent="0.25">
      <c r="A1288" s="216" t="str">
        <f t="shared" si="20"/>
        <v/>
      </c>
    </row>
    <row r="1289" spans="1:1" x14ac:dyDescent="0.25">
      <c r="A1289" s="216" t="str">
        <f t="shared" si="20"/>
        <v/>
      </c>
    </row>
    <row r="1290" spans="1:1" x14ac:dyDescent="0.25">
      <c r="A1290" s="216" t="str">
        <f t="shared" si="20"/>
        <v/>
      </c>
    </row>
    <row r="1291" spans="1:1" x14ac:dyDescent="0.25">
      <c r="A1291" s="216" t="str">
        <f t="shared" si="20"/>
        <v/>
      </c>
    </row>
    <row r="1292" spans="1:1" x14ac:dyDescent="0.25">
      <c r="A1292" s="216" t="str">
        <f t="shared" si="20"/>
        <v/>
      </c>
    </row>
    <row r="1293" spans="1:1" x14ac:dyDescent="0.25">
      <c r="A1293" s="216" t="str">
        <f t="shared" si="20"/>
        <v/>
      </c>
    </row>
    <row r="1294" spans="1:1" x14ac:dyDescent="0.25">
      <c r="A1294" s="216" t="str">
        <f t="shared" si="20"/>
        <v/>
      </c>
    </row>
    <row r="1295" spans="1:1" x14ac:dyDescent="0.25">
      <c r="A1295" s="216" t="str">
        <f t="shared" si="20"/>
        <v/>
      </c>
    </row>
    <row r="1296" spans="1:1" x14ac:dyDescent="0.25">
      <c r="A1296" s="216" t="str">
        <f t="shared" si="20"/>
        <v/>
      </c>
    </row>
    <row r="1297" spans="1:1" x14ac:dyDescent="0.25">
      <c r="A1297" s="216" t="str">
        <f t="shared" si="20"/>
        <v/>
      </c>
    </row>
    <row r="1298" spans="1:1" x14ac:dyDescent="0.25">
      <c r="A1298" s="216" t="str">
        <f t="shared" si="20"/>
        <v/>
      </c>
    </row>
    <row r="1299" spans="1:1" x14ac:dyDescent="0.25">
      <c r="A1299" s="216" t="str">
        <f t="shared" si="20"/>
        <v/>
      </c>
    </row>
    <row r="1300" spans="1:1" x14ac:dyDescent="0.25">
      <c r="A1300" s="216" t="str">
        <f t="shared" si="20"/>
        <v/>
      </c>
    </row>
    <row r="1301" spans="1:1" x14ac:dyDescent="0.25">
      <c r="A1301" s="216" t="str">
        <f t="shared" si="20"/>
        <v/>
      </c>
    </row>
    <row r="1302" spans="1:1" x14ac:dyDescent="0.25">
      <c r="A1302" s="216" t="str">
        <f t="shared" si="20"/>
        <v/>
      </c>
    </row>
    <row r="1303" spans="1:1" x14ac:dyDescent="0.25">
      <c r="A1303" s="216" t="str">
        <f t="shared" si="20"/>
        <v/>
      </c>
    </row>
    <row r="1304" spans="1:1" x14ac:dyDescent="0.25">
      <c r="A1304" s="216" t="str">
        <f t="shared" si="20"/>
        <v/>
      </c>
    </row>
    <row r="1305" spans="1:1" x14ac:dyDescent="0.25">
      <c r="A1305" s="216" t="str">
        <f t="shared" si="20"/>
        <v/>
      </c>
    </row>
    <row r="1306" spans="1:1" x14ac:dyDescent="0.25">
      <c r="A1306" s="216" t="str">
        <f t="shared" si="20"/>
        <v/>
      </c>
    </row>
    <row r="1307" spans="1:1" x14ac:dyDescent="0.25">
      <c r="A1307" s="216" t="str">
        <f t="shared" si="20"/>
        <v/>
      </c>
    </row>
    <row r="1308" spans="1:1" x14ac:dyDescent="0.25">
      <c r="A1308" s="216" t="str">
        <f t="shared" si="20"/>
        <v/>
      </c>
    </row>
    <row r="1309" spans="1:1" x14ac:dyDescent="0.25">
      <c r="A1309" s="216" t="str">
        <f t="shared" si="20"/>
        <v/>
      </c>
    </row>
    <row r="1310" spans="1:1" x14ac:dyDescent="0.25">
      <c r="A1310" s="216" t="str">
        <f t="shared" si="20"/>
        <v/>
      </c>
    </row>
    <row r="1311" spans="1:1" x14ac:dyDescent="0.25">
      <c r="A1311" s="216" t="str">
        <f t="shared" si="20"/>
        <v/>
      </c>
    </row>
    <row r="1312" spans="1:1" x14ac:dyDescent="0.25">
      <c r="A1312" s="216" t="str">
        <f t="shared" si="20"/>
        <v/>
      </c>
    </row>
    <row r="1313" spans="1:1" x14ac:dyDescent="0.25">
      <c r="A1313" s="216" t="str">
        <f t="shared" si="20"/>
        <v/>
      </c>
    </row>
    <row r="1314" spans="1:1" x14ac:dyDescent="0.25">
      <c r="A1314" s="216" t="str">
        <f t="shared" si="20"/>
        <v/>
      </c>
    </row>
    <row r="1315" spans="1:1" x14ac:dyDescent="0.25">
      <c r="A1315" s="216" t="str">
        <f t="shared" si="20"/>
        <v/>
      </c>
    </row>
    <row r="1316" spans="1:1" x14ac:dyDescent="0.25">
      <c r="A1316" s="216" t="str">
        <f t="shared" si="20"/>
        <v/>
      </c>
    </row>
    <row r="1317" spans="1:1" x14ac:dyDescent="0.25">
      <c r="A1317" s="216" t="str">
        <f t="shared" si="20"/>
        <v/>
      </c>
    </row>
    <row r="1318" spans="1:1" x14ac:dyDescent="0.25">
      <c r="A1318" s="216" t="str">
        <f t="shared" si="20"/>
        <v/>
      </c>
    </row>
    <row r="1319" spans="1:1" x14ac:dyDescent="0.25">
      <c r="A1319" s="216" t="str">
        <f t="shared" si="20"/>
        <v/>
      </c>
    </row>
    <row r="1320" spans="1:1" x14ac:dyDescent="0.25">
      <c r="A1320" s="216" t="str">
        <f t="shared" si="20"/>
        <v/>
      </c>
    </row>
    <row r="1321" spans="1:1" x14ac:dyDescent="0.25">
      <c r="A1321" s="216" t="str">
        <f t="shared" si="20"/>
        <v/>
      </c>
    </row>
    <row r="1322" spans="1:1" x14ac:dyDescent="0.25">
      <c r="A1322" s="216" t="str">
        <f t="shared" si="20"/>
        <v/>
      </c>
    </row>
    <row r="1323" spans="1:1" x14ac:dyDescent="0.25">
      <c r="A1323" s="216" t="str">
        <f t="shared" si="20"/>
        <v/>
      </c>
    </row>
    <row r="1324" spans="1:1" x14ac:dyDescent="0.25">
      <c r="A1324" s="216" t="str">
        <f t="shared" si="20"/>
        <v/>
      </c>
    </row>
    <row r="1325" spans="1:1" x14ac:dyDescent="0.25">
      <c r="A1325" s="216" t="str">
        <f t="shared" si="20"/>
        <v/>
      </c>
    </row>
    <row r="1326" spans="1:1" x14ac:dyDescent="0.25">
      <c r="A1326" s="216" t="str">
        <f t="shared" si="20"/>
        <v/>
      </c>
    </row>
    <row r="1327" spans="1:1" x14ac:dyDescent="0.25">
      <c r="A1327" s="216" t="str">
        <f t="shared" si="20"/>
        <v/>
      </c>
    </row>
    <row r="1328" spans="1:1" x14ac:dyDescent="0.25">
      <c r="A1328" s="216" t="str">
        <f t="shared" si="20"/>
        <v/>
      </c>
    </row>
    <row r="1329" spans="1:1" x14ac:dyDescent="0.25">
      <c r="A1329" s="216" t="str">
        <f t="shared" si="20"/>
        <v/>
      </c>
    </row>
    <row r="1330" spans="1:1" x14ac:dyDescent="0.25">
      <c r="A1330" s="216" t="str">
        <f t="shared" si="20"/>
        <v/>
      </c>
    </row>
    <row r="1331" spans="1:1" x14ac:dyDescent="0.25">
      <c r="A1331" s="216" t="str">
        <f t="shared" si="20"/>
        <v/>
      </c>
    </row>
    <row r="1332" spans="1:1" x14ac:dyDescent="0.25">
      <c r="A1332" s="216" t="str">
        <f t="shared" si="20"/>
        <v/>
      </c>
    </row>
    <row r="1333" spans="1:1" x14ac:dyDescent="0.25">
      <c r="A1333" s="216" t="str">
        <f t="shared" si="20"/>
        <v/>
      </c>
    </row>
    <row r="1334" spans="1:1" x14ac:dyDescent="0.25">
      <c r="A1334" s="216" t="str">
        <f t="shared" si="20"/>
        <v/>
      </c>
    </row>
    <row r="1335" spans="1:1" x14ac:dyDescent="0.25">
      <c r="A1335" s="216" t="str">
        <f t="shared" si="20"/>
        <v/>
      </c>
    </row>
    <row r="1336" spans="1:1" x14ac:dyDescent="0.25">
      <c r="A1336" s="216" t="str">
        <f t="shared" si="20"/>
        <v/>
      </c>
    </row>
    <row r="1337" spans="1:1" x14ac:dyDescent="0.25">
      <c r="A1337" s="216" t="str">
        <f t="shared" si="20"/>
        <v/>
      </c>
    </row>
    <row r="1338" spans="1:1" x14ac:dyDescent="0.25">
      <c r="A1338" s="216" t="str">
        <f t="shared" si="20"/>
        <v/>
      </c>
    </row>
    <row r="1339" spans="1:1" x14ac:dyDescent="0.25">
      <c r="A1339" s="216" t="str">
        <f t="shared" si="20"/>
        <v/>
      </c>
    </row>
    <row r="1340" spans="1:1" x14ac:dyDescent="0.25">
      <c r="A1340" s="216" t="str">
        <f t="shared" si="20"/>
        <v/>
      </c>
    </row>
    <row r="1341" spans="1:1" x14ac:dyDescent="0.25">
      <c r="A1341" s="216" t="str">
        <f t="shared" si="20"/>
        <v/>
      </c>
    </row>
    <row r="1342" spans="1:1" x14ac:dyDescent="0.25">
      <c r="A1342" s="216" t="str">
        <f t="shared" si="20"/>
        <v/>
      </c>
    </row>
    <row r="1343" spans="1:1" x14ac:dyDescent="0.25">
      <c r="A1343" s="216" t="str">
        <f t="shared" si="20"/>
        <v/>
      </c>
    </row>
    <row r="1344" spans="1:1" x14ac:dyDescent="0.25">
      <c r="A1344" s="216" t="str">
        <f t="shared" si="20"/>
        <v/>
      </c>
    </row>
    <row r="1345" spans="1:1" x14ac:dyDescent="0.25">
      <c r="A1345" s="216" t="str">
        <f t="shared" si="20"/>
        <v/>
      </c>
    </row>
    <row r="1346" spans="1:1" x14ac:dyDescent="0.25">
      <c r="A1346" s="216" t="str">
        <f t="shared" si="20"/>
        <v/>
      </c>
    </row>
    <row r="1347" spans="1:1" x14ac:dyDescent="0.25">
      <c r="A1347" s="216" t="str">
        <f t="shared" si="20"/>
        <v/>
      </c>
    </row>
    <row r="1348" spans="1:1" x14ac:dyDescent="0.25">
      <c r="A1348" s="216" t="str">
        <f t="shared" ref="A1348:A1411" si="21">IF(B1348&lt;&gt;"",A1347+1,"")</f>
        <v/>
      </c>
    </row>
    <row r="1349" spans="1:1" x14ac:dyDescent="0.25">
      <c r="A1349" s="216" t="str">
        <f t="shared" si="21"/>
        <v/>
      </c>
    </row>
    <row r="1350" spans="1:1" x14ac:dyDescent="0.25">
      <c r="A1350" s="216" t="str">
        <f t="shared" si="21"/>
        <v/>
      </c>
    </row>
    <row r="1351" spans="1:1" x14ac:dyDescent="0.25">
      <c r="A1351" s="216" t="str">
        <f t="shared" si="21"/>
        <v/>
      </c>
    </row>
    <row r="1352" spans="1:1" x14ac:dyDescent="0.25">
      <c r="A1352" s="216" t="str">
        <f t="shared" si="21"/>
        <v/>
      </c>
    </row>
    <row r="1353" spans="1:1" x14ac:dyDescent="0.25">
      <c r="A1353" s="216" t="str">
        <f t="shared" si="21"/>
        <v/>
      </c>
    </row>
    <row r="1354" spans="1:1" x14ac:dyDescent="0.25">
      <c r="A1354" s="216" t="str">
        <f t="shared" si="21"/>
        <v/>
      </c>
    </row>
    <row r="1355" spans="1:1" x14ac:dyDescent="0.25">
      <c r="A1355" s="216" t="str">
        <f t="shared" si="21"/>
        <v/>
      </c>
    </row>
    <row r="1356" spans="1:1" x14ac:dyDescent="0.25">
      <c r="A1356" s="216" t="str">
        <f t="shared" si="21"/>
        <v/>
      </c>
    </row>
    <row r="1357" spans="1:1" x14ac:dyDescent="0.25">
      <c r="A1357" s="216" t="str">
        <f t="shared" si="21"/>
        <v/>
      </c>
    </row>
    <row r="1358" spans="1:1" x14ac:dyDescent="0.25">
      <c r="A1358" s="216" t="str">
        <f t="shared" si="21"/>
        <v/>
      </c>
    </row>
    <row r="1359" spans="1:1" x14ac:dyDescent="0.25">
      <c r="A1359" s="216" t="str">
        <f t="shared" si="21"/>
        <v/>
      </c>
    </row>
    <row r="1360" spans="1:1" x14ac:dyDescent="0.25">
      <c r="A1360" s="216" t="str">
        <f t="shared" si="21"/>
        <v/>
      </c>
    </row>
    <row r="1361" spans="1:1" x14ac:dyDescent="0.25">
      <c r="A1361" s="216" t="str">
        <f t="shared" si="21"/>
        <v/>
      </c>
    </row>
    <row r="1362" spans="1:1" x14ac:dyDescent="0.25">
      <c r="A1362" s="216" t="str">
        <f t="shared" si="21"/>
        <v/>
      </c>
    </row>
    <row r="1363" spans="1:1" x14ac:dyDescent="0.25">
      <c r="A1363" s="216" t="str">
        <f t="shared" si="21"/>
        <v/>
      </c>
    </row>
    <row r="1364" spans="1:1" x14ac:dyDescent="0.25">
      <c r="A1364" s="216" t="str">
        <f t="shared" si="21"/>
        <v/>
      </c>
    </row>
    <row r="1365" spans="1:1" x14ac:dyDescent="0.25">
      <c r="A1365" s="216" t="str">
        <f t="shared" si="21"/>
        <v/>
      </c>
    </row>
    <row r="1366" spans="1:1" x14ac:dyDescent="0.25">
      <c r="A1366" s="216" t="str">
        <f t="shared" si="21"/>
        <v/>
      </c>
    </row>
    <row r="1367" spans="1:1" x14ac:dyDescent="0.25">
      <c r="A1367" s="216" t="str">
        <f t="shared" si="21"/>
        <v/>
      </c>
    </row>
    <row r="1368" spans="1:1" x14ac:dyDescent="0.25">
      <c r="A1368" s="216" t="str">
        <f t="shared" si="21"/>
        <v/>
      </c>
    </row>
    <row r="1369" spans="1:1" x14ac:dyDescent="0.25">
      <c r="A1369" s="216" t="str">
        <f t="shared" si="21"/>
        <v/>
      </c>
    </row>
    <row r="1370" spans="1:1" x14ac:dyDescent="0.25">
      <c r="A1370" s="216" t="str">
        <f t="shared" si="21"/>
        <v/>
      </c>
    </row>
    <row r="1371" spans="1:1" x14ac:dyDescent="0.25">
      <c r="A1371" s="216" t="str">
        <f t="shared" si="21"/>
        <v/>
      </c>
    </row>
    <row r="1372" spans="1:1" x14ac:dyDescent="0.25">
      <c r="A1372" s="216" t="str">
        <f t="shared" si="21"/>
        <v/>
      </c>
    </row>
    <row r="1373" spans="1:1" x14ac:dyDescent="0.25">
      <c r="A1373" s="216" t="str">
        <f t="shared" si="21"/>
        <v/>
      </c>
    </row>
    <row r="1374" spans="1:1" x14ac:dyDescent="0.25">
      <c r="A1374" s="216" t="str">
        <f t="shared" si="21"/>
        <v/>
      </c>
    </row>
    <row r="1375" spans="1:1" x14ac:dyDescent="0.25">
      <c r="A1375" s="216" t="str">
        <f t="shared" si="21"/>
        <v/>
      </c>
    </row>
    <row r="1376" spans="1:1" x14ac:dyDescent="0.25">
      <c r="A1376" s="216" t="str">
        <f t="shared" si="21"/>
        <v/>
      </c>
    </row>
    <row r="1377" spans="1:1" x14ac:dyDescent="0.25">
      <c r="A1377" s="216" t="str">
        <f t="shared" si="21"/>
        <v/>
      </c>
    </row>
    <row r="1378" spans="1:1" x14ac:dyDescent="0.25">
      <c r="A1378" s="216" t="str">
        <f t="shared" si="21"/>
        <v/>
      </c>
    </row>
    <row r="1379" spans="1:1" x14ac:dyDescent="0.25">
      <c r="A1379" s="216" t="str">
        <f t="shared" si="21"/>
        <v/>
      </c>
    </row>
    <row r="1380" spans="1:1" x14ac:dyDescent="0.25">
      <c r="A1380" s="216" t="str">
        <f t="shared" si="21"/>
        <v/>
      </c>
    </row>
    <row r="1381" spans="1:1" x14ac:dyDescent="0.25">
      <c r="A1381" s="216" t="str">
        <f t="shared" si="21"/>
        <v/>
      </c>
    </row>
    <row r="1382" spans="1:1" x14ac:dyDescent="0.25">
      <c r="A1382" s="216" t="str">
        <f t="shared" si="21"/>
        <v/>
      </c>
    </row>
    <row r="1383" spans="1:1" x14ac:dyDescent="0.25">
      <c r="A1383" s="216" t="str">
        <f t="shared" si="21"/>
        <v/>
      </c>
    </row>
    <row r="1384" spans="1:1" x14ac:dyDescent="0.25">
      <c r="A1384" s="216" t="str">
        <f t="shared" si="21"/>
        <v/>
      </c>
    </row>
    <row r="1385" spans="1:1" x14ac:dyDescent="0.25">
      <c r="A1385" s="216" t="str">
        <f t="shared" si="21"/>
        <v/>
      </c>
    </row>
    <row r="1386" spans="1:1" x14ac:dyDescent="0.25">
      <c r="A1386" s="216" t="str">
        <f t="shared" si="21"/>
        <v/>
      </c>
    </row>
    <row r="1387" spans="1:1" x14ac:dyDescent="0.25">
      <c r="A1387" s="216" t="str">
        <f t="shared" si="21"/>
        <v/>
      </c>
    </row>
    <row r="1388" spans="1:1" x14ac:dyDescent="0.25">
      <c r="A1388" s="216" t="str">
        <f t="shared" si="21"/>
        <v/>
      </c>
    </row>
    <row r="1389" spans="1:1" x14ac:dyDescent="0.25">
      <c r="A1389" s="216" t="str">
        <f t="shared" si="21"/>
        <v/>
      </c>
    </row>
    <row r="1390" spans="1:1" x14ac:dyDescent="0.25">
      <c r="A1390" s="216" t="str">
        <f t="shared" si="21"/>
        <v/>
      </c>
    </row>
    <row r="1391" spans="1:1" x14ac:dyDescent="0.25">
      <c r="A1391" s="216" t="str">
        <f t="shared" si="21"/>
        <v/>
      </c>
    </row>
    <row r="1392" spans="1:1" x14ac:dyDescent="0.25">
      <c r="A1392" s="216" t="str">
        <f t="shared" si="21"/>
        <v/>
      </c>
    </row>
    <row r="1393" spans="1:1" x14ac:dyDescent="0.25">
      <c r="A1393" s="216" t="str">
        <f t="shared" si="21"/>
        <v/>
      </c>
    </row>
    <row r="1394" spans="1:1" x14ac:dyDescent="0.25">
      <c r="A1394" s="216" t="str">
        <f t="shared" si="21"/>
        <v/>
      </c>
    </row>
    <row r="1395" spans="1:1" x14ac:dyDescent="0.25">
      <c r="A1395" s="216" t="str">
        <f t="shared" si="21"/>
        <v/>
      </c>
    </row>
    <row r="1396" spans="1:1" x14ac:dyDescent="0.25">
      <c r="A1396" s="216" t="str">
        <f t="shared" si="21"/>
        <v/>
      </c>
    </row>
    <row r="1397" spans="1:1" x14ac:dyDescent="0.25">
      <c r="A1397" s="216" t="str">
        <f t="shared" si="21"/>
        <v/>
      </c>
    </row>
    <row r="1398" spans="1:1" x14ac:dyDescent="0.25">
      <c r="A1398" s="216" t="str">
        <f t="shared" si="21"/>
        <v/>
      </c>
    </row>
    <row r="1399" spans="1:1" x14ac:dyDescent="0.25">
      <c r="A1399" s="216" t="str">
        <f t="shared" si="21"/>
        <v/>
      </c>
    </row>
    <row r="1400" spans="1:1" x14ac:dyDescent="0.25">
      <c r="A1400" s="216" t="str">
        <f t="shared" si="21"/>
        <v/>
      </c>
    </row>
    <row r="1401" spans="1:1" x14ac:dyDescent="0.25">
      <c r="A1401" s="216" t="str">
        <f t="shared" si="21"/>
        <v/>
      </c>
    </row>
    <row r="1402" spans="1:1" x14ac:dyDescent="0.25">
      <c r="A1402" s="216" t="str">
        <f t="shared" si="21"/>
        <v/>
      </c>
    </row>
    <row r="1403" spans="1:1" x14ac:dyDescent="0.25">
      <c r="A1403" s="216" t="str">
        <f t="shared" si="21"/>
        <v/>
      </c>
    </row>
    <row r="1404" spans="1:1" x14ac:dyDescent="0.25">
      <c r="A1404" s="216" t="str">
        <f t="shared" si="21"/>
        <v/>
      </c>
    </row>
    <row r="1405" spans="1:1" x14ac:dyDescent="0.25">
      <c r="A1405" s="216" t="str">
        <f t="shared" si="21"/>
        <v/>
      </c>
    </row>
    <row r="1406" spans="1:1" x14ac:dyDescent="0.25">
      <c r="A1406" s="216" t="str">
        <f t="shared" si="21"/>
        <v/>
      </c>
    </row>
    <row r="1407" spans="1:1" x14ac:dyDescent="0.25">
      <c r="A1407" s="216" t="str">
        <f t="shared" si="21"/>
        <v/>
      </c>
    </row>
    <row r="1408" spans="1:1" x14ac:dyDescent="0.25">
      <c r="A1408" s="216" t="str">
        <f t="shared" si="21"/>
        <v/>
      </c>
    </row>
    <row r="1409" spans="1:1" x14ac:dyDescent="0.25">
      <c r="A1409" s="216" t="str">
        <f t="shared" si="21"/>
        <v/>
      </c>
    </row>
    <row r="1410" spans="1:1" x14ac:dyDescent="0.25">
      <c r="A1410" s="216" t="str">
        <f t="shared" si="21"/>
        <v/>
      </c>
    </row>
    <row r="1411" spans="1:1" x14ac:dyDescent="0.25">
      <c r="A1411" s="216" t="str">
        <f t="shared" si="21"/>
        <v/>
      </c>
    </row>
    <row r="1412" spans="1:1" x14ac:dyDescent="0.25">
      <c r="A1412" s="216" t="str">
        <f t="shared" ref="A1412:A1475" si="22">IF(B1412&lt;&gt;"",A1411+1,"")</f>
        <v/>
      </c>
    </row>
    <row r="1413" spans="1:1" x14ac:dyDescent="0.25">
      <c r="A1413" s="216" t="str">
        <f t="shared" si="22"/>
        <v/>
      </c>
    </row>
    <row r="1414" spans="1:1" x14ac:dyDescent="0.25">
      <c r="A1414" s="216" t="str">
        <f t="shared" si="22"/>
        <v/>
      </c>
    </row>
    <row r="1415" spans="1:1" x14ac:dyDescent="0.25">
      <c r="A1415" s="216" t="str">
        <f t="shared" si="22"/>
        <v/>
      </c>
    </row>
    <row r="1416" spans="1:1" x14ac:dyDescent="0.25">
      <c r="A1416" s="216" t="str">
        <f t="shared" si="22"/>
        <v/>
      </c>
    </row>
    <row r="1417" spans="1:1" x14ac:dyDescent="0.25">
      <c r="A1417" s="216" t="str">
        <f t="shared" si="22"/>
        <v/>
      </c>
    </row>
    <row r="1418" spans="1:1" x14ac:dyDescent="0.25">
      <c r="A1418" s="216" t="str">
        <f t="shared" si="22"/>
        <v/>
      </c>
    </row>
    <row r="1419" spans="1:1" x14ac:dyDescent="0.25">
      <c r="A1419" s="216" t="str">
        <f t="shared" si="22"/>
        <v/>
      </c>
    </row>
    <row r="1420" spans="1:1" x14ac:dyDescent="0.25">
      <c r="A1420" s="216" t="str">
        <f t="shared" si="22"/>
        <v/>
      </c>
    </row>
    <row r="1421" spans="1:1" x14ac:dyDescent="0.25">
      <c r="A1421" s="216" t="str">
        <f t="shared" si="22"/>
        <v/>
      </c>
    </row>
    <row r="1422" spans="1:1" x14ac:dyDescent="0.25">
      <c r="A1422" s="216" t="str">
        <f t="shared" si="22"/>
        <v/>
      </c>
    </row>
    <row r="1423" spans="1:1" x14ac:dyDescent="0.25">
      <c r="A1423" s="216" t="str">
        <f t="shared" si="22"/>
        <v/>
      </c>
    </row>
    <row r="1424" spans="1:1" x14ac:dyDescent="0.25">
      <c r="A1424" s="216" t="str">
        <f t="shared" si="22"/>
        <v/>
      </c>
    </row>
    <row r="1425" spans="1:1" x14ac:dyDescent="0.25">
      <c r="A1425" s="216" t="str">
        <f t="shared" si="22"/>
        <v/>
      </c>
    </row>
    <row r="1426" spans="1:1" x14ac:dyDescent="0.25">
      <c r="A1426" s="216" t="str">
        <f t="shared" si="22"/>
        <v/>
      </c>
    </row>
    <row r="1427" spans="1:1" x14ac:dyDescent="0.25">
      <c r="A1427" s="216" t="str">
        <f t="shared" si="22"/>
        <v/>
      </c>
    </row>
    <row r="1428" spans="1:1" x14ac:dyDescent="0.25">
      <c r="A1428" s="216" t="str">
        <f t="shared" si="22"/>
        <v/>
      </c>
    </row>
    <row r="1429" spans="1:1" x14ac:dyDescent="0.25">
      <c r="A1429" s="216" t="str">
        <f t="shared" si="22"/>
        <v/>
      </c>
    </row>
    <row r="1430" spans="1:1" x14ac:dyDescent="0.25">
      <c r="A1430" s="216" t="str">
        <f t="shared" si="22"/>
        <v/>
      </c>
    </row>
    <row r="1431" spans="1:1" x14ac:dyDescent="0.25">
      <c r="A1431" s="216" t="str">
        <f t="shared" si="22"/>
        <v/>
      </c>
    </row>
    <row r="1432" spans="1:1" x14ac:dyDescent="0.25">
      <c r="A1432" s="216" t="str">
        <f t="shared" si="22"/>
        <v/>
      </c>
    </row>
    <row r="1433" spans="1:1" x14ac:dyDescent="0.25">
      <c r="A1433" s="216" t="str">
        <f t="shared" si="22"/>
        <v/>
      </c>
    </row>
    <row r="1434" spans="1:1" x14ac:dyDescent="0.25">
      <c r="A1434" s="216" t="str">
        <f t="shared" si="22"/>
        <v/>
      </c>
    </row>
    <row r="1435" spans="1:1" x14ac:dyDescent="0.25">
      <c r="A1435" s="216" t="str">
        <f t="shared" si="22"/>
        <v/>
      </c>
    </row>
    <row r="1436" spans="1:1" x14ac:dyDescent="0.25">
      <c r="A1436" s="216" t="str">
        <f t="shared" si="22"/>
        <v/>
      </c>
    </row>
    <row r="1437" spans="1:1" x14ac:dyDescent="0.25">
      <c r="A1437" s="216" t="str">
        <f t="shared" si="22"/>
        <v/>
      </c>
    </row>
    <row r="1438" spans="1:1" x14ac:dyDescent="0.25">
      <c r="A1438" s="216" t="str">
        <f t="shared" si="22"/>
        <v/>
      </c>
    </row>
    <row r="1439" spans="1:1" x14ac:dyDescent="0.25">
      <c r="A1439" s="216" t="str">
        <f t="shared" si="22"/>
        <v/>
      </c>
    </row>
    <row r="1440" spans="1:1" x14ac:dyDescent="0.25">
      <c r="A1440" s="216" t="str">
        <f t="shared" si="22"/>
        <v/>
      </c>
    </row>
    <row r="1441" spans="1:1" x14ac:dyDescent="0.25">
      <c r="A1441" s="216" t="str">
        <f t="shared" si="22"/>
        <v/>
      </c>
    </row>
    <row r="1442" spans="1:1" x14ac:dyDescent="0.25">
      <c r="A1442" s="216" t="str">
        <f t="shared" si="22"/>
        <v/>
      </c>
    </row>
    <row r="1443" spans="1:1" x14ac:dyDescent="0.25">
      <c r="A1443" s="216" t="str">
        <f t="shared" si="22"/>
        <v/>
      </c>
    </row>
    <row r="1444" spans="1:1" x14ac:dyDescent="0.25">
      <c r="A1444" s="216" t="str">
        <f t="shared" si="22"/>
        <v/>
      </c>
    </row>
    <row r="1445" spans="1:1" x14ac:dyDescent="0.25">
      <c r="A1445" s="216" t="str">
        <f t="shared" si="22"/>
        <v/>
      </c>
    </row>
    <row r="1446" spans="1:1" x14ac:dyDescent="0.25">
      <c r="A1446" s="216" t="str">
        <f t="shared" si="22"/>
        <v/>
      </c>
    </row>
    <row r="1447" spans="1:1" x14ac:dyDescent="0.25">
      <c r="A1447" s="216" t="str">
        <f t="shared" si="22"/>
        <v/>
      </c>
    </row>
    <row r="1448" spans="1:1" x14ac:dyDescent="0.25">
      <c r="A1448" s="216" t="str">
        <f t="shared" si="22"/>
        <v/>
      </c>
    </row>
    <row r="1449" spans="1:1" x14ac:dyDescent="0.25">
      <c r="A1449" s="216" t="str">
        <f t="shared" si="22"/>
        <v/>
      </c>
    </row>
    <row r="1450" spans="1:1" x14ac:dyDescent="0.25">
      <c r="A1450" s="216" t="str">
        <f t="shared" si="22"/>
        <v/>
      </c>
    </row>
    <row r="1451" spans="1:1" x14ac:dyDescent="0.25">
      <c r="A1451" s="216" t="str">
        <f t="shared" si="22"/>
        <v/>
      </c>
    </row>
    <row r="1452" spans="1:1" x14ac:dyDescent="0.25">
      <c r="A1452" s="216" t="str">
        <f t="shared" si="22"/>
        <v/>
      </c>
    </row>
    <row r="1453" spans="1:1" x14ac:dyDescent="0.25">
      <c r="A1453" s="216" t="str">
        <f t="shared" si="22"/>
        <v/>
      </c>
    </row>
    <row r="1454" spans="1:1" x14ac:dyDescent="0.25">
      <c r="A1454" s="216" t="str">
        <f t="shared" si="22"/>
        <v/>
      </c>
    </row>
    <row r="1455" spans="1:1" x14ac:dyDescent="0.25">
      <c r="A1455" s="216" t="str">
        <f t="shared" si="22"/>
        <v/>
      </c>
    </row>
    <row r="1456" spans="1:1" x14ac:dyDescent="0.25">
      <c r="A1456" s="216" t="str">
        <f t="shared" si="22"/>
        <v/>
      </c>
    </row>
    <row r="1457" spans="1:1" x14ac:dyDescent="0.25">
      <c r="A1457" s="216" t="str">
        <f t="shared" si="22"/>
        <v/>
      </c>
    </row>
    <row r="1458" spans="1:1" x14ac:dyDescent="0.25">
      <c r="A1458" s="216" t="str">
        <f t="shared" si="22"/>
        <v/>
      </c>
    </row>
    <row r="1459" spans="1:1" x14ac:dyDescent="0.25">
      <c r="A1459" s="216" t="str">
        <f t="shared" si="22"/>
        <v/>
      </c>
    </row>
    <row r="1460" spans="1:1" x14ac:dyDescent="0.25">
      <c r="A1460" s="216" t="str">
        <f t="shared" si="22"/>
        <v/>
      </c>
    </row>
    <row r="1461" spans="1:1" x14ac:dyDescent="0.25">
      <c r="A1461" s="216" t="str">
        <f t="shared" si="22"/>
        <v/>
      </c>
    </row>
    <row r="1462" spans="1:1" x14ac:dyDescent="0.25">
      <c r="A1462" s="216" t="str">
        <f t="shared" si="22"/>
        <v/>
      </c>
    </row>
    <row r="1463" spans="1:1" x14ac:dyDescent="0.25">
      <c r="A1463" s="216" t="str">
        <f t="shared" si="22"/>
        <v/>
      </c>
    </row>
    <row r="1464" spans="1:1" x14ac:dyDescent="0.25">
      <c r="A1464" s="216" t="str">
        <f t="shared" si="22"/>
        <v/>
      </c>
    </row>
    <row r="1465" spans="1:1" x14ac:dyDescent="0.25">
      <c r="A1465" s="216" t="str">
        <f t="shared" si="22"/>
        <v/>
      </c>
    </row>
    <row r="1466" spans="1:1" x14ac:dyDescent="0.25">
      <c r="A1466" s="216" t="str">
        <f t="shared" si="22"/>
        <v/>
      </c>
    </row>
    <row r="1467" spans="1:1" x14ac:dyDescent="0.25">
      <c r="A1467" s="216" t="str">
        <f t="shared" si="22"/>
        <v/>
      </c>
    </row>
    <row r="1468" spans="1:1" x14ac:dyDescent="0.25">
      <c r="A1468" s="216" t="str">
        <f t="shared" si="22"/>
        <v/>
      </c>
    </row>
    <row r="1469" spans="1:1" x14ac:dyDescent="0.25">
      <c r="A1469" s="216" t="str">
        <f t="shared" si="22"/>
        <v/>
      </c>
    </row>
    <row r="1470" spans="1:1" x14ac:dyDescent="0.25">
      <c r="A1470" s="216" t="str">
        <f t="shared" si="22"/>
        <v/>
      </c>
    </row>
    <row r="1471" spans="1:1" x14ac:dyDescent="0.25">
      <c r="A1471" s="216" t="str">
        <f t="shared" si="22"/>
        <v/>
      </c>
    </row>
    <row r="1472" spans="1:1" x14ac:dyDescent="0.25">
      <c r="A1472" s="216" t="str">
        <f t="shared" si="22"/>
        <v/>
      </c>
    </row>
    <row r="1473" spans="1:1" x14ac:dyDescent="0.25">
      <c r="A1473" s="216" t="str">
        <f t="shared" si="22"/>
        <v/>
      </c>
    </row>
    <row r="1474" spans="1:1" x14ac:dyDescent="0.25">
      <c r="A1474" s="216" t="str">
        <f t="shared" si="22"/>
        <v/>
      </c>
    </row>
    <row r="1475" spans="1:1" x14ac:dyDescent="0.25">
      <c r="A1475" s="216" t="str">
        <f t="shared" si="22"/>
        <v/>
      </c>
    </row>
    <row r="1476" spans="1:1" x14ac:dyDescent="0.25">
      <c r="A1476" s="216" t="str">
        <f t="shared" ref="A1476:A1500" si="23">IF(B1476&lt;&gt;"",A1475+1,"")</f>
        <v/>
      </c>
    </row>
    <row r="1477" spans="1:1" x14ac:dyDescent="0.25">
      <c r="A1477" s="216" t="str">
        <f t="shared" si="23"/>
        <v/>
      </c>
    </row>
    <row r="1478" spans="1:1" x14ac:dyDescent="0.25">
      <c r="A1478" s="216" t="str">
        <f t="shared" si="23"/>
        <v/>
      </c>
    </row>
    <row r="1479" spans="1:1" x14ac:dyDescent="0.25">
      <c r="A1479" s="216" t="str">
        <f t="shared" si="23"/>
        <v/>
      </c>
    </row>
    <row r="1480" spans="1:1" x14ac:dyDescent="0.25">
      <c r="A1480" s="216" t="str">
        <f t="shared" si="23"/>
        <v/>
      </c>
    </row>
    <row r="1481" spans="1:1" x14ac:dyDescent="0.25">
      <c r="A1481" s="216" t="str">
        <f t="shared" si="23"/>
        <v/>
      </c>
    </row>
    <row r="1482" spans="1:1" x14ac:dyDescent="0.25">
      <c r="A1482" s="216" t="str">
        <f t="shared" si="23"/>
        <v/>
      </c>
    </row>
    <row r="1483" spans="1:1" x14ac:dyDescent="0.25">
      <c r="A1483" s="216" t="str">
        <f t="shared" si="23"/>
        <v/>
      </c>
    </row>
    <row r="1484" spans="1:1" x14ac:dyDescent="0.25">
      <c r="A1484" s="216" t="str">
        <f t="shared" si="23"/>
        <v/>
      </c>
    </row>
    <row r="1485" spans="1:1" x14ac:dyDescent="0.25">
      <c r="A1485" s="216" t="str">
        <f t="shared" si="23"/>
        <v/>
      </c>
    </row>
    <row r="1486" spans="1:1" x14ac:dyDescent="0.25">
      <c r="A1486" s="216" t="str">
        <f t="shared" si="23"/>
        <v/>
      </c>
    </row>
    <row r="1487" spans="1:1" x14ac:dyDescent="0.25">
      <c r="A1487" s="216" t="str">
        <f t="shared" si="23"/>
        <v/>
      </c>
    </row>
    <row r="1488" spans="1:1" x14ac:dyDescent="0.25">
      <c r="A1488" s="216" t="str">
        <f t="shared" si="23"/>
        <v/>
      </c>
    </row>
    <row r="1489" spans="1:1" x14ac:dyDescent="0.25">
      <c r="A1489" s="216" t="str">
        <f t="shared" si="23"/>
        <v/>
      </c>
    </row>
    <row r="1490" spans="1:1" x14ac:dyDescent="0.25">
      <c r="A1490" s="216" t="str">
        <f t="shared" si="23"/>
        <v/>
      </c>
    </row>
    <row r="1491" spans="1:1" x14ac:dyDescent="0.25">
      <c r="A1491" s="216" t="str">
        <f t="shared" si="23"/>
        <v/>
      </c>
    </row>
    <row r="1492" spans="1:1" x14ac:dyDescent="0.25">
      <c r="A1492" s="216" t="str">
        <f t="shared" si="23"/>
        <v/>
      </c>
    </row>
    <row r="1493" spans="1:1" x14ac:dyDescent="0.25">
      <c r="A1493" s="216" t="str">
        <f t="shared" si="23"/>
        <v/>
      </c>
    </row>
    <row r="1494" spans="1:1" x14ac:dyDescent="0.25">
      <c r="A1494" s="216" t="str">
        <f t="shared" si="23"/>
        <v/>
      </c>
    </row>
    <row r="1495" spans="1:1" x14ac:dyDescent="0.25">
      <c r="A1495" s="216" t="str">
        <f t="shared" si="23"/>
        <v/>
      </c>
    </row>
    <row r="1496" spans="1:1" x14ac:dyDescent="0.25">
      <c r="A1496" s="216" t="str">
        <f t="shared" si="23"/>
        <v/>
      </c>
    </row>
    <row r="1497" spans="1:1" x14ac:dyDescent="0.25">
      <c r="A1497" s="216" t="str">
        <f t="shared" si="23"/>
        <v/>
      </c>
    </row>
    <row r="1498" spans="1:1" x14ac:dyDescent="0.25">
      <c r="A1498" s="216" t="str">
        <f t="shared" si="23"/>
        <v/>
      </c>
    </row>
    <row r="1499" spans="1:1" x14ac:dyDescent="0.25">
      <c r="A1499" s="216" t="str">
        <f t="shared" si="23"/>
        <v/>
      </c>
    </row>
    <row r="1500" spans="1:1" x14ac:dyDescent="0.25">
      <c r="A1500" s="216" t="str">
        <f t="shared" si="23"/>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2:A1500"/>
  <sheetViews>
    <sheetView workbookViewId="0">
      <selection activeCell="A3" sqref="A3"/>
    </sheetView>
  </sheetViews>
  <sheetFormatPr baseColWidth="10" defaultRowHeight="15" x14ac:dyDescent="0.25"/>
  <sheetData>
    <row r="2" spans="1:1" x14ac:dyDescent="0.25">
      <c r="A2">
        <v>1</v>
      </c>
    </row>
    <row r="3" spans="1:1" x14ac:dyDescent="0.25">
      <c r="A3" s="216" t="str">
        <f>IF(B3&lt;&gt;"",A2+1,"")</f>
        <v/>
      </c>
    </row>
    <row r="4" spans="1:1" x14ac:dyDescent="0.25">
      <c r="A4" s="216" t="str">
        <f t="shared" ref="A4:A67" si="0">IF(B4&lt;&gt;"",A3+1,"")</f>
        <v/>
      </c>
    </row>
    <row r="5" spans="1:1" x14ac:dyDescent="0.25">
      <c r="A5" s="216" t="str">
        <f t="shared" si="0"/>
        <v/>
      </c>
    </row>
    <row r="6" spans="1:1" x14ac:dyDescent="0.25">
      <c r="A6" s="216" t="str">
        <f t="shared" si="0"/>
        <v/>
      </c>
    </row>
    <row r="7" spans="1:1" x14ac:dyDescent="0.25">
      <c r="A7" s="216" t="str">
        <f t="shared" si="0"/>
        <v/>
      </c>
    </row>
    <row r="8" spans="1:1" x14ac:dyDescent="0.25">
      <c r="A8" s="216" t="str">
        <f t="shared" si="0"/>
        <v/>
      </c>
    </row>
    <row r="9" spans="1:1" x14ac:dyDescent="0.25">
      <c r="A9" s="216" t="str">
        <f t="shared" si="0"/>
        <v/>
      </c>
    </row>
    <row r="10" spans="1:1" x14ac:dyDescent="0.25">
      <c r="A10" s="216" t="str">
        <f t="shared" si="0"/>
        <v/>
      </c>
    </row>
    <row r="11" spans="1:1" x14ac:dyDescent="0.25">
      <c r="A11" s="216" t="str">
        <f t="shared" si="0"/>
        <v/>
      </c>
    </row>
    <row r="12" spans="1:1" x14ac:dyDescent="0.25">
      <c r="A12" s="216" t="str">
        <f t="shared" si="0"/>
        <v/>
      </c>
    </row>
    <row r="13" spans="1:1" x14ac:dyDescent="0.25">
      <c r="A13" s="216" t="str">
        <f t="shared" si="0"/>
        <v/>
      </c>
    </row>
    <row r="14" spans="1:1" x14ac:dyDescent="0.25">
      <c r="A14" s="216" t="str">
        <f t="shared" si="0"/>
        <v/>
      </c>
    </row>
    <row r="15" spans="1:1" x14ac:dyDescent="0.25">
      <c r="A15" s="216" t="str">
        <f t="shared" si="0"/>
        <v/>
      </c>
    </row>
    <row r="16" spans="1:1" x14ac:dyDescent="0.25">
      <c r="A16" s="216" t="str">
        <f t="shared" si="0"/>
        <v/>
      </c>
    </row>
    <row r="17" spans="1:1" x14ac:dyDescent="0.25">
      <c r="A17" s="216" t="str">
        <f t="shared" si="0"/>
        <v/>
      </c>
    </row>
    <row r="18" spans="1:1" x14ac:dyDescent="0.25">
      <c r="A18" s="216" t="str">
        <f t="shared" si="0"/>
        <v/>
      </c>
    </row>
    <row r="19" spans="1:1" x14ac:dyDescent="0.25">
      <c r="A19" s="216" t="str">
        <f t="shared" si="0"/>
        <v/>
      </c>
    </row>
    <row r="20" spans="1:1" x14ac:dyDescent="0.25">
      <c r="A20" s="216" t="str">
        <f t="shared" si="0"/>
        <v/>
      </c>
    </row>
    <row r="21" spans="1:1" x14ac:dyDescent="0.25">
      <c r="A21" s="216" t="str">
        <f t="shared" si="0"/>
        <v/>
      </c>
    </row>
    <row r="22" spans="1:1" x14ac:dyDescent="0.25">
      <c r="A22" s="216" t="str">
        <f t="shared" si="0"/>
        <v/>
      </c>
    </row>
    <row r="23" spans="1:1" x14ac:dyDescent="0.25">
      <c r="A23" s="216" t="str">
        <f t="shared" si="0"/>
        <v/>
      </c>
    </row>
    <row r="24" spans="1:1" x14ac:dyDescent="0.25">
      <c r="A24" s="216" t="str">
        <f t="shared" si="0"/>
        <v/>
      </c>
    </row>
    <row r="25" spans="1:1" x14ac:dyDescent="0.25">
      <c r="A25" s="216" t="str">
        <f t="shared" si="0"/>
        <v/>
      </c>
    </row>
    <row r="26" spans="1:1" x14ac:dyDescent="0.25">
      <c r="A26" s="216" t="str">
        <f t="shared" si="0"/>
        <v/>
      </c>
    </row>
    <row r="27" spans="1:1" x14ac:dyDescent="0.25">
      <c r="A27" s="216" t="str">
        <f t="shared" si="0"/>
        <v/>
      </c>
    </row>
    <row r="28" spans="1:1" x14ac:dyDescent="0.25">
      <c r="A28" s="216" t="str">
        <f t="shared" si="0"/>
        <v/>
      </c>
    </row>
    <row r="29" spans="1:1" x14ac:dyDescent="0.25">
      <c r="A29" s="216" t="str">
        <f t="shared" si="0"/>
        <v/>
      </c>
    </row>
    <row r="30" spans="1:1" x14ac:dyDescent="0.25">
      <c r="A30" s="216" t="str">
        <f t="shared" si="0"/>
        <v/>
      </c>
    </row>
    <row r="31" spans="1:1" x14ac:dyDescent="0.25">
      <c r="A31" s="216" t="str">
        <f t="shared" si="0"/>
        <v/>
      </c>
    </row>
    <row r="32" spans="1:1" x14ac:dyDescent="0.25">
      <c r="A32" s="216" t="str">
        <f t="shared" si="0"/>
        <v/>
      </c>
    </row>
    <row r="33" spans="1:1" x14ac:dyDescent="0.25">
      <c r="A33" s="216" t="str">
        <f t="shared" si="0"/>
        <v/>
      </c>
    </row>
    <row r="34" spans="1:1" x14ac:dyDescent="0.25">
      <c r="A34" s="216" t="str">
        <f t="shared" si="0"/>
        <v/>
      </c>
    </row>
    <row r="35" spans="1:1" x14ac:dyDescent="0.25">
      <c r="A35" s="216" t="str">
        <f t="shared" si="0"/>
        <v/>
      </c>
    </row>
    <row r="36" spans="1:1" x14ac:dyDescent="0.25">
      <c r="A36" s="216" t="str">
        <f t="shared" si="0"/>
        <v/>
      </c>
    </row>
    <row r="37" spans="1:1" x14ac:dyDescent="0.25">
      <c r="A37" s="216" t="str">
        <f t="shared" si="0"/>
        <v/>
      </c>
    </row>
    <row r="38" spans="1:1" x14ac:dyDescent="0.25">
      <c r="A38" s="216" t="str">
        <f t="shared" si="0"/>
        <v/>
      </c>
    </row>
    <row r="39" spans="1:1" x14ac:dyDescent="0.25">
      <c r="A39" s="216" t="str">
        <f t="shared" si="0"/>
        <v/>
      </c>
    </row>
    <row r="40" spans="1:1" x14ac:dyDescent="0.25">
      <c r="A40" s="216" t="str">
        <f t="shared" si="0"/>
        <v/>
      </c>
    </row>
    <row r="41" spans="1:1" x14ac:dyDescent="0.25">
      <c r="A41" s="216" t="str">
        <f t="shared" si="0"/>
        <v/>
      </c>
    </row>
    <row r="42" spans="1:1" x14ac:dyDescent="0.25">
      <c r="A42" s="216" t="str">
        <f t="shared" si="0"/>
        <v/>
      </c>
    </row>
    <row r="43" spans="1:1" x14ac:dyDescent="0.25">
      <c r="A43" s="216" t="str">
        <f t="shared" si="0"/>
        <v/>
      </c>
    </row>
    <row r="44" spans="1:1" x14ac:dyDescent="0.25">
      <c r="A44" s="216" t="str">
        <f t="shared" si="0"/>
        <v/>
      </c>
    </row>
    <row r="45" spans="1:1" x14ac:dyDescent="0.25">
      <c r="A45" s="216" t="str">
        <f t="shared" si="0"/>
        <v/>
      </c>
    </row>
    <row r="46" spans="1:1" x14ac:dyDescent="0.25">
      <c r="A46" s="216" t="str">
        <f t="shared" si="0"/>
        <v/>
      </c>
    </row>
    <row r="47" spans="1:1" x14ac:dyDescent="0.25">
      <c r="A47" s="216" t="str">
        <f t="shared" si="0"/>
        <v/>
      </c>
    </row>
    <row r="48" spans="1:1" x14ac:dyDescent="0.25">
      <c r="A48" s="216" t="str">
        <f t="shared" si="0"/>
        <v/>
      </c>
    </row>
    <row r="49" spans="1:1" x14ac:dyDescent="0.25">
      <c r="A49" s="216" t="str">
        <f t="shared" si="0"/>
        <v/>
      </c>
    </row>
    <row r="50" spans="1:1" x14ac:dyDescent="0.25">
      <c r="A50" s="216" t="str">
        <f t="shared" si="0"/>
        <v/>
      </c>
    </row>
    <row r="51" spans="1:1" x14ac:dyDescent="0.25">
      <c r="A51" s="216" t="str">
        <f t="shared" si="0"/>
        <v/>
      </c>
    </row>
    <row r="52" spans="1:1" x14ac:dyDescent="0.25">
      <c r="A52" s="216" t="str">
        <f t="shared" si="0"/>
        <v/>
      </c>
    </row>
    <row r="53" spans="1:1" x14ac:dyDescent="0.25">
      <c r="A53" s="216" t="str">
        <f t="shared" si="0"/>
        <v/>
      </c>
    </row>
    <row r="54" spans="1:1" x14ac:dyDescent="0.25">
      <c r="A54" s="216" t="str">
        <f t="shared" si="0"/>
        <v/>
      </c>
    </row>
    <row r="55" spans="1:1" x14ac:dyDescent="0.25">
      <c r="A55" s="216" t="str">
        <f t="shared" si="0"/>
        <v/>
      </c>
    </row>
    <row r="56" spans="1:1" x14ac:dyDescent="0.25">
      <c r="A56" s="216" t="str">
        <f t="shared" si="0"/>
        <v/>
      </c>
    </row>
    <row r="57" spans="1:1" x14ac:dyDescent="0.25">
      <c r="A57" s="216" t="str">
        <f t="shared" si="0"/>
        <v/>
      </c>
    </row>
    <row r="58" spans="1:1" x14ac:dyDescent="0.25">
      <c r="A58" s="216" t="str">
        <f t="shared" si="0"/>
        <v/>
      </c>
    </row>
    <row r="59" spans="1:1" x14ac:dyDescent="0.25">
      <c r="A59" s="216" t="str">
        <f t="shared" si="0"/>
        <v/>
      </c>
    </row>
    <row r="60" spans="1:1" x14ac:dyDescent="0.25">
      <c r="A60" s="216" t="str">
        <f t="shared" si="0"/>
        <v/>
      </c>
    </row>
    <row r="61" spans="1:1" x14ac:dyDescent="0.25">
      <c r="A61" s="216" t="str">
        <f t="shared" si="0"/>
        <v/>
      </c>
    </row>
    <row r="62" spans="1:1" x14ac:dyDescent="0.25">
      <c r="A62" s="216" t="str">
        <f t="shared" si="0"/>
        <v/>
      </c>
    </row>
    <row r="63" spans="1:1" x14ac:dyDescent="0.25">
      <c r="A63" s="216" t="str">
        <f t="shared" si="0"/>
        <v/>
      </c>
    </row>
    <row r="64" spans="1:1" x14ac:dyDescent="0.25">
      <c r="A64" s="216" t="str">
        <f t="shared" si="0"/>
        <v/>
      </c>
    </row>
    <row r="65" spans="1:1" x14ac:dyDescent="0.25">
      <c r="A65" s="216" t="str">
        <f t="shared" si="0"/>
        <v/>
      </c>
    </row>
    <row r="66" spans="1:1" x14ac:dyDescent="0.25">
      <c r="A66" s="216" t="str">
        <f t="shared" si="0"/>
        <v/>
      </c>
    </row>
    <row r="67" spans="1:1" x14ac:dyDescent="0.25">
      <c r="A67" s="216" t="str">
        <f t="shared" si="0"/>
        <v/>
      </c>
    </row>
    <row r="68" spans="1:1" x14ac:dyDescent="0.25">
      <c r="A68" s="216" t="str">
        <f t="shared" ref="A68:A131" si="1">IF(B68&lt;&gt;"",A67+1,"")</f>
        <v/>
      </c>
    </row>
    <row r="69" spans="1:1" x14ac:dyDescent="0.25">
      <c r="A69" s="216" t="str">
        <f t="shared" si="1"/>
        <v/>
      </c>
    </row>
    <row r="70" spans="1:1" x14ac:dyDescent="0.25">
      <c r="A70" s="216" t="str">
        <f t="shared" si="1"/>
        <v/>
      </c>
    </row>
    <row r="71" spans="1:1" x14ac:dyDescent="0.25">
      <c r="A71" s="216" t="str">
        <f t="shared" si="1"/>
        <v/>
      </c>
    </row>
    <row r="72" spans="1:1" x14ac:dyDescent="0.25">
      <c r="A72" s="216" t="str">
        <f t="shared" si="1"/>
        <v/>
      </c>
    </row>
    <row r="73" spans="1:1" x14ac:dyDescent="0.25">
      <c r="A73" s="216" t="str">
        <f t="shared" si="1"/>
        <v/>
      </c>
    </row>
    <row r="74" spans="1:1" x14ac:dyDescent="0.25">
      <c r="A74" s="216" t="str">
        <f t="shared" si="1"/>
        <v/>
      </c>
    </row>
    <row r="75" spans="1:1" x14ac:dyDescent="0.25">
      <c r="A75" s="216" t="str">
        <f t="shared" si="1"/>
        <v/>
      </c>
    </row>
    <row r="76" spans="1:1" x14ac:dyDescent="0.25">
      <c r="A76" s="216" t="str">
        <f t="shared" si="1"/>
        <v/>
      </c>
    </row>
    <row r="77" spans="1:1" x14ac:dyDescent="0.25">
      <c r="A77" s="216" t="str">
        <f t="shared" si="1"/>
        <v/>
      </c>
    </row>
    <row r="78" spans="1:1" x14ac:dyDescent="0.25">
      <c r="A78" s="216" t="str">
        <f t="shared" si="1"/>
        <v/>
      </c>
    </row>
    <row r="79" spans="1:1" x14ac:dyDescent="0.25">
      <c r="A79" s="216" t="str">
        <f t="shared" si="1"/>
        <v/>
      </c>
    </row>
    <row r="80" spans="1:1" x14ac:dyDescent="0.25">
      <c r="A80" s="216" t="str">
        <f t="shared" si="1"/>
        <v/>
      </c>
    </row>
    <row r="81" spans="1:1" x14ac:dyDescent="0.25">
      <c r="A81" s="216" t="str">
        <f t="shared" si="1"/>
        <v/>
      </c>
    </row>
    <row r="82" spans="1:1" x14ac:dyDescent="0.25">
      <c r="A82" s="216" t="str">
        <f t="shared" si="1"/>
        <v/>
      </c>
    </row>
    <row r="83" spans="1:1" x14ac:dyDescent="0.25">
      <c r="A83" s="216" t="str">
        <f t="shared" si="1"/>
        <v/>
      </c>
    </row>
    <row r="84" spans="1:1" x14ac:dyDescent="0.25">
      <c r="A84" s="216" t="str">
        <f t="shared" si="1"/>
        <v/>
      </c>
    </row>
    <row r="85" spans="1:1" x14ac:dyDescent="0.25">
      <c r="A85" s="216" t="str">
        <f t="shared" si="1"/>
        <v/>
      </c>
    </row>
    <row r="86" spans="1:1" x14ac:dyDescent="0.25">
      <c r="A86" s="216" t="str">
        <f t="shared" si="1"/>
        <v/>
      </c>
    </row>
    <row r="87" spans="1:1" x14ac:dyDescent="0.25">
      <c r="A87" s="216" t="str">
        <f t="shared" si="1"/>
        <v/>
      </c>
    </row>
    <row r="88" spans="1:1" x14ac:dyDescent="0.25">
      <c r="A88" s="216" t="str">
        <f t="shared" si="1"/>
        <v/>
      </c>
    </row>
    <row r="89" spans="1:1" x14ac:dyDescent="0.25">
      <c r="A89" s="216" t="str">
        <f t="shared" si="1"/>
        <v/>
      </c>
    </row>
    <row r="90" spans="1:1" x14ac:dyDescent="0.25">
      <c r="A90" s="216" t="str">
        <f t="shared" si="1"/>
        <v/>
      </c>
    </row>
    <row r="91" spans="1:1" x14ac:dyDescent="0.25">
      <c r="A91" s="216" t="str">
        <f t="shared" si="1"/>
        <v/>
      </c>
    </row>
    <row r="92" spans="1:1" x14ac:dyDescent="0.25">
      <c r="A92" s="216" t="str">
        <f t="shared" si="1"/>
        <v/>
      </c>
    </row>
    <row r="93" spans="1:1" x14ac:dyDescent="0.25">
      <c r="A93" s="216" t="str">
        <f t="shared" si="1"/>
        <v/>
      </c>
    </row>
    <row r="94" spans="1:1" x14ac:dyDescent="0.25">
      <c r="A94" s="216" t="str">
        <f t="shared" si="1"/>
        <v/>
      </c>
    </row>
    <row r="95" spans="1:1" x14ac:dyDescent="0.25">
      <c r="A95" s="216" t="str">
        <f t="shared" si="1"/>
        <v/>
      </c>
    </row>
    <row r="96" spans="1:1" x14ac:dyDescent="0.25">
      <c r="A96" s="216" t="str">
        <f t="shared" si="1"/>
        <v/>
      </c>
    </row>
    <row r="97" spans="1:1" x14ac:dyDescent="0.25">
      <c r="A97" s="216" t="str">
        <f t="shared" si="1"/>
        <v/>
      </c>
    </row>
    <row r="98" spans="1:1" x14ac:dyDescent="0.25">
      <c r="A98" s="216" t="str">
        <f t="shared" si="1"/>
        <v/>
      </c>
    </row>
    <row r="99" spans="1:1" x14ac:dyDescent="0.25">
      <c r="A99" s="216" t="str">
        <f t="shared" si="1"/>
        <v/>
      </c>
    </row>
    <row r="100" spans="1:1" x14ac:dyDescent="0.25">
      <c r="A100" s="216" t="str">
        <f t="shared" si="1"/>
        <v/>
      </c>
    </row>
    <row r="101" spans="1:1" x14ac:dyDescent="0.25">
      <c r="A101" s="216" t="str">
        <f t="shared" si="1"/>
        <v/>
      </c>
    </row>
    <row r="102" spans="1:1" x14ac:dyDescent="0.25">
      <c r="A102" s="216" t="str">
        <f t="shared" si="1"/>
        <v/>
      </c>
    </row>
    <row r="103" spans="1:1" x14ac:dyDescent="0.25">
      <c r="A103" s="216" t="str">
        <f t="shared" si="1"/>
        <v/>
      </c>
    </row>
    <row r="104" spans="1:1" x14ac:dyDescent="0.25">
      <c r="A104" s="216" t="str">
        <f t="shared" si="1"/>
        <v/>
      </c>
    </row>
    <row r="105" spans="1:1" x14ac:dyDescent="0.25">
      <c r="A105" s="216" t="str">
        <f t="shared" si="1"/>
        <v/>
      </c>
    </row>
    <row r="106" spans="1:1" x14ac:dyDescent="0.25">
      <c r="A106" s="216" t="str">
        <f t="shared" si="1"/>
        <v/>
      </c>
    </row>
    <row r="107" spans="1:1" x14ac:dyDescent="0.25">
      <c r="A107" s="216" t="str">
        <f t="shared" si="1"/>
        <v/>
      </c>
    </row>
    <row r="108" spans="1:1" x14ac:dyDescent="0.25">
      <c r="A108" s="216" t="str">
        <f t="shared" si="1"/>
        <v/>
      </c>
    </row>
    <row r="109" spans="1:1" x14ac:dyDescent="0.25">
      <c r="A109" s="216" t="str">
        <f t="shared" si="1"/>
        <v/>
      </c>
    </row>
    <row r="110" spans="1:1" x14ac:dyDescent="0.25">
      <c r="A110" s="216" t="str">
        <f t="shared" si="1"/>
        <v/>
      </c>
    </row>
    <row r="111" spans="1:1" x14ac:dyDescent="0.25">
      <c r="A111" s="216" t="str">
        <f t="shared" si="1"/>
        <v/>
      </c>
    </row>
    <row r="112" spans="1:1" x14ac:dyDescent="0.25">
      <c r="A112" s="216" t="str">
        <f t="shared" si="1"/>
        <v/>
      </c>
    </row>
    <row r="113" spans="1:1" x14ac:dyDescent="0.25">
      <c r="A113" s="216" t="str">
        <f t="shared" si="1"/>
        <v/>
      </c>
    </row>
    <row r="114" spans="1:1" x14ac:dyDescent="0.25">
      <c r="A114" s="216" t="str">
        <f t="shared" si="1"/>
        <v/>
      </c>
    </row>
    <row r="115" spans="1:1" x14ac:dyDescent="0.25">
      <c r="A115" s="216" t="str">
        <f t="shared" si="1"/>
        <v/>
      </c>
    </row>
    <row r="116" spans="1:1" x14ac:dyDescent="0.25">
      <c r="A116" s="216" t="str">
        <f t="shared" si="1"/>
        <v/>
      </c>
    </row>
    <row r="117" spans="1:1" x14ac:dyDescent="0.25">
      <c r="A117" s="216" t="str">
        <f t="shared" si="1"/>
        <v/>
      </c>
    </row>
    <row r="118" spans="1:1" x14ac:dyDescent="0.25">
      <c r="A118" s="216" t="str">
        <f t="shared" si="1"/>
        <v/>
      </c>
    </row>
    <row r="119" spans="1:1" x14ac:dyDescent="0.25">
      <c r="A119" s="216" t="str">
        <f t="shared" si="1"/>
        <v/>
      </c>
    </row>
    <row r="120" spans="1:1" x14ac:dyDescent="0.25">
      <c r="A120" s="216" t="str">
        <f t="shared" si="1"/>
        <v/>
      </c>
    </row>
    <row r="121" spans="1:1" x14ac:dyDescent="0.25">
      <c r="A121" s="216" t="str">
        <f t="shared" si="1"/>
        <v/>
      </c>
    </row>
    <row r="122" spans="1:1" x14ac:dyDescent="0.25">
      <c r="A122" s="216" t="str">
        <f t="shared" si="1"/>
        <v/>
      </c>
    </row>
    <row r="123" spans="1:1" x14ac:dyDescent="0.25">
      <c r="A123" s="216" t="str">
        <f t="shared" si="1"/>
        <v/>
      </c>
    </row>
    <row r="124" spans="1:1" x14ac:dyDescent="0.25">
      <c r="A124" s="216" t="str">
        <f t="shared" si="1"/>
        <v/>
      </c>
    </row>
    <row r="125" spans="1:1" x14ac:dyDescent="0.25">
      <c r="A125" s="216" t="str">
        <f t="shared" si="1"/>
        <v/>
      </c>
    </row>
    <row r="126" spans="1:1" x14ac:dyDescent="0.25">
      <c r="A126" s="216" t="str">
        <f t="shared" si="1"/>
        <v/>
      </c>
    </row>
    <row r="127" spans="1:1" x14ac:dyDescent="0.25">
      <c r="A127" s="216" t="str">
        <f t="shared" si="1"/>
        <v/>
      </c>
    </row>
    <row r="128" spans="1:1" x14ac:dyDescent="0.25">
      <c r="A128" s="216" t="str">
        <f t="shared" si="1"/>
        <v/>
      </c>
    </row>
    <row r="129" spans="1:1" x14ac:dyDescent="0.25">
      <c r="A129" s="216" t="str">
        <f t="shared" si="1"/>
        <v/>
      </c>
    </row>
    <row r="130" spans="1:1" x14ac:dyDescent="0.25">
      <c r="A130" s="216" t="str">
        <f t="shared" si="1"/>
        <v/>
      </c>
    </row>
    <row r="131" spans="1:1" x14ac:dyDescent="0.25">
      <c r="A131" s="216" t="str">
        <f t="shared" si="1"/>
        <v/>
      </c>
    </row>
    <row r="132" spans="1:1" x14ac:dyDescent="0.25">
      <c r="A132" s="216" t="str">
        <f t="shared" ref="A132:A195" si="2">IF(B132&lt;&gt;"",A131+1,"")</f>
        <v/>
      </c>
    </row>
    <row r="133" spans="1:1" x14ac:dyDescent="0.25">
      <c r="A133" s="216" t="str">
        <f t="shared" si="2"/>
        <v/>
      </c>
    </row>
    <row r="134" spans="1:1" x14ac:dyDescent="0.25">
      <c r="A134" s="216" t="str">
        <f t="shared" si="2"/>
        <v/>
      </c>
    </row>
    <row r="135" spans="1:1" x14ac:dyDescent="0.25">
      <c r="A135" s="216" t="str">
        <f t="shared" si="2"/>
        <v/>
      </c>
    </row>
    <row r="136" spans="1:1" x14ac:dyDescent="0.25">
      <c r="A136" s="216" t="str">
        <f t="shared" si="2"/>
        <v/>
      </c>
    </row>
    <row r="137" spans="1:1" x14ac:dyDescent="0.25">
      <c r="A137" s="216" t="str">
        <f t="shared" si="2"/>
        <v/>
      </c>
    </row>
    <row r="138" spans="1:1" x14ac:dyDescent="0.25">
      <c r="A138" s="216" t="str">
        <f t="shared" si="2"/>
        <v/>
      </c>
    </row>
    <row r="139" spans="1:1" x14ac:dyDescent="0.25">
      <c r="A139" s="216" t="str">
        <f t="shared" si="2"/>
        <v/>
      </c>
    </row>
    <row r="140" spans="1:1" x14ac:dyDescent="0.25">
      <c r="A140" s="216" t="str">
        <f t="shared" si="2"/>
        <v/>
      </c>
    </row>
    <row r="141" spans="1:1" x14ac:dyDescent="0.25">
      <c r="A141" s="216" t="str">
        <f t="shared" si="2"/>
        <v/>
      </c>
    </row>
    <row r="142" spans="1:1" x14ac:dyDescent="0.25">
      <c r="A142" s="216" t="str">
        <f t="shared" si="2"/>
        <v/>
      </c>
    </row>
    <row r="143" spans="1:1" x14ac:dyDescent="0.25">
      <c r="A143" s="216" t="str">
        <f t="shared" si="2"/>
        <v/>
      </c>
    </row>
    <row r="144" spans="1:1" x14ac:dyDescent="0.25">
      <c r="A144" s="216" t="str">
        <f t="shared" si="2"/>
        <v/>
      </c>
    </row>
    <row r="145" spans="1:1" x14ac:dyDescent="0.25">
      <c r="A145" s="216" t="str">
        <f t="shared" si="2"/>
        <v/>
      </c>
    </row>
    <row r="146" spans="1:1" x14ac:dyDescent="0.25">
      <c r="A146" s="216" t="str">
        <f t="shared" si="2"/>
        <v/>
      </c>
    </row>
    <row r="147" spans="1:1" x14ac:dyDescent="0.25">
      <c r="A147" s="216" t="str">
        <f t="shared" si="2"/>
        <v/>
      </c>
    </row>
    <row r="148" spans="1:1" x14ac:dyDescent="0.25">
      <c r="A148" s="216" t="str">
        <f t="shared" si="2"/>
        <v/>
      </c>
    </row>
    <row r="149" spans="1:1" x14ac:dyDescent="0.25">
      <c r="A149" s="216" t="str">
        <f t="shared" si="2"/>
        <v/>
      </c>
    </row>
    <row r="150" spans="1:1" x14ac:dyDescent="0.25">
      <c r="A150" s="216" t="str">
        <f t="shared" si="2"/>
        <v/>
      </c>
    </row>
    <row r="151" spans="1:1" x14ac:dyDescent="0.25">
      <c r="A151" s="216" t="str">
        <f t="shared" si="2"/>
        <v/>
      </c>
    </row>
    <row r="152" spans="1:1" x14ac:dyDescent="0.25">
      <c r="A152" s="216" t="str">
        <f t="shared" si="2"/>
        <v/>
      </c>
    </row>
    <row r="153" spans="1:1" x14ac:dyDescent="0.25">
      <c r="A153" s="216" t="str">
        <f t="shared" si="2"/>
        <v/>
      </c>
    </row>
    <row r="154" spans="1:1" x14ac:dyDescent="0.25">
      <c r="A154" s="216" t="str">
        <f t="shared" si="2"/>
        <v/>
      </c>
    </row>
    <row r="155" spans="1:1" x14ac:dyDescent="0.25">
      <c r="A155" s="216" t="str">
        <f t="shared" si="2"/>
        <v/>
      </c>
    </row>
    <row r="156" spans="1:1" x14ac:dyDescent="0.25">
      <c r="A156" s="216" t="str">
        <f t="shared" si="2"/>
        <v/>
      </c>
    </row>
    <row r="157" spans="1:1" x14ac:dyDescent="0.25">
      <c r="A157" s="216" t="str">
        <f t="shared" si="2"/>
        <v/>
      </c>
    </row>
    <row r="158" spans="1:1" x14ac:dyDescent="0.25">
      <c r="A158" s="216" t="str">
        <f t="shared" si="2"/>
        <v/>
      </c>
    </row>
    <row r="159" spans="1:1" x14ac:dyDescent="0.25">
      <c r="A159" s="216" t="str">
        <f t="shared" si="2"/>
        <v/>
      </c>
    </row>
    <row r="160" spans="1:1" x14ac:dyDescent="0.25">
      <c r="A160" s="216" t="str">
        <f t="shared" si="2"/>
        <v/>
      </c>
    </row>
    <row r="161" spans="1:1" x14ac:dyDescent="0.25">
      <c r="A161" s="216" t="str">
        <f t="shared" si="2"/>
        <v/>
      </c>
    </row>
    <row r="162" spans="1:1" x14ac:dyDescent="0.25">
      <c r="A162" s="216" t="str">
        <f t="shared" si="2"/>
        <v/>
      </c>
    </row>
    <row r="163" spans="1:1" x14ac:dyDescent="0.25">
      <c r="A163" s="216" t="str">
        <f t="shared" si="2"/>
        <v/>
      </c>
    </row>
    <row r="164" spans="1:1" x14ac:dyDescent="0.25">
      <c r="A164" s="216" t="str">
        <f t="shared" si="2"/>
        <v/>
      </c>
    </row>
    <row r="165" spans="1:1" x14ac:dyDescent="0.25">
      <c r="A165" s="216" t="str">
        <f t="shared" si="2"/>
        <v/>
      </c>
    </row>
    <row r="166" spans="1:1" x14ac:dyDescent="0.25">
      <c r="A166" s="216" t="str">
        <f t="shared" si="2"/>
        <v/>
      </c>
    </row>
    <row r="167" spans="1:1" x14ac:dyDescent="0.25">
      <c r="A167" s="216" t="str">
        <f t="shared" si="2"/>
        <v/>
      </c>
    </row>
    <row r="168" spans="1:1" x14ac:dyDescent="0.25">
      <c r="A168" s="216" t="str">
        <f t="shared" si="2"/>
        <v/>
      </c>
    </row>
    <row r="169" spans="1:1" x14ac:dyDescent="0.25">
      <c r="A169" s="216" t="str">
        <f t="shared" si="2"/>
        <v/>
      </c>
    </row>
    <row r="170" spans="1:1" x14ac:dyDescent="0.25">
      <c r="A170" s="216" t="str">
        <f t="shared" si="2"/>
        <v/>
      </c>
    </row>
    <row r="171" spans="1:1" x14ac:dyDescent="0.25">
      <c r="A171" s="216" t="str">
        <f t="shared" si="2"/>
        <v/>
      </c>
    </row>
    <row r="172" spans="1:1" x14ac:dyDescent="0.25">
      <c r="A172" s="216" t="str">
        <f t="shared" si="2"/>
        <v/>
      </c>
    </row>
    <row r="173" spans="1:1" x14ac:dyDescent="0.25">
      <c r="A173" s="216" t="str">
        <f t="shared" si="2"/>
        <v/>
      </c>
    </row>
    <row r="174" spans="1:1" x14ac:dyDescent="0.25">
      <c r="A174" s="216" t="str">
        <f t="shared" si="2"/>
        <v/>
      </c>
    </row>
    <row r="175" spans="1:1" x14ac:dyDescent="0.25">
      <c r="A175" s="216" t="str">
        <f t="shared" si="2"/>
        <v/>
      </c>
    </row>
    <row r="176" spans="1:1" x14ac:dyDescent="0.25">
      <c r="A176" s="216" t="str">
        <f t="shared" si="2"/>
        <v/>
      </c>
    </row>
    <row r="177" spans="1:1" x14ac:dyDescent="0.25">
      <c r="A177" s="216" t="str">
        <f t="shared" si="2"/>
        <v/>
      </c>
    </row>
    <row r="178" spans="1:1" x14ac:dyDescent="0.25">
      <c r="A178" s="216" t="str">
        <f t="shared" si="2"/>
        <v/>
      </c>
    </row>
    <row r="179" spans="1:1" x14ac:dyDescent="0.25">
      <c r="A179" s="216" t="str">
        <f t="shared" si="2"/>
        <v/>
      </c>
    </row>
    <row r="180" spans="1:1" x14ac:dyDescent="0.25">
      <c r="A180" s="216" t="str">
        <f t="shared" si="2"/>
        <v/>
      </c>
    </row>
    <row r="181" spans="1:1" x14ac:dyDescent="0.25">
      <c r="A181" s="216" t="str">
        <f t="shared" si="2"/>
        <v/>
      </c>
    </row>
    <row r="182" spans="1:1" x14ac:dyDescent="0.25">
      <c r="A182" s="216" t="str">
        <f t="shared" si="2"/>
        <v/>
      </c>
    </row>
    <row r="183" spans="1:1" x14ac:dyDescent="0.25">
      <c r="A183" s="216" t="str">
        <f t="shared" si="2"/>
        <v/>
      </c>
    </row>
    <row r="184" spans="1:1" x14ac:dyDescent="0.25">
      <c r="A184" s="216" t="str">
        <f t="shared" si="2"/>
        <v/>
      </c>
    </row>
    <row r="185" spans="1:1" x14ac:dyDescent="0.25">
      <c r="A185" s="216" t="str">
        <f t="shared" si="2"/>
        <v/>
      </c>
    </row>
    <row r="186" spans="1:1" x14ac:dyDescent="0.25">
      <c r="A186" s="216" t="str">
        <f t="shared" si="2"/>
        <v/>
      </c>
    </row>
    <row r="187" spans="1:1" x14ac:dyDescent="0.25">
      <c r="A187" s="216" t="str">
        <f t="shared" si="2"/>
        <v/>
      </c>
    </row>
    <row r="188" spans="1:1" x14ac:dyDescent="0.25">
      <c r="A188" s="216" t="str">
        <f t="shared" si="2"/>
        <v/>
      </c>
    </row>
    <row r="189" spans="1:1" x14ac:dyDescent="0.25">
      <c r="A189" s="216" t="str">
        <f t="shared" si="2"/>
        <v/>
      </c>
    </row>
    <row r="190" spans="1:1" x14ac:dyDescent="0.25">
      <c r="A190" s="216" t="str">
        <f t="shared" si="2"/>
        <v/>
      </c>
    </row>
    <row r="191" spans="1:1" x14ac:dyDescent="0.25">
      <c r="A191" s="216" t="str">
        <f t="shared" si="2"/>
        <v/>
      </c>
    </row>
    <row r="192" spans="1:1" x14ac:dyDescent="0.25">
      <c r="A192" s="216" t="str">
        <f t="shared" si="2"/>
        <v/>
      </c>
    </row>
    <row r="193" spans="1:1" x14ac:dyDescent="0.25">
      <c r="A193" s="216" t="str">
        <f t="shared" si="2"/>
        <v/>
      </c>
    </row>
    <row r="194" spans="1:1" x14ac:dyDescent="0.25">
      <c r="A194" s="216" t="str">
        <f t="shared" si="2"/>
        <v/>
      </c>
    </row>
    <row r="195" spans="1:1" x14ac:dyDescent="0.25">
      <c r="A195" s="216" t="str">
        <f t="shared" si="2"/>
        <v/>
      </c>
    </row>
    <row r="196" spans="1:1" x14ac:dyDescent="0.25">
      <c r="A196" s="216" t="str">
        <f t="shared" ref="A196:A259" si="3">IF(B196&lt;&gt;"",A195+1,"")</f>
        <v/>
      </c>
    </row>
    <row r="197" spans="1:1" x14ac:dyDescent="0.25">
      <c r="A197" s="216" t="str">
        <f t="shared" si="3"/>
        <v/>
      </c>
    </row>
    <row r="198" spans="1:1" x14ac:dyDescent="0.25">
      <c r="A198" s="216" t="str">
        <f t="shared" si="3"/>
        <v/>
      </c>
    </row>
    <row r="199" spans="1:1" x14ac:dyDescent="0.25">
      <c r="A199" s="216" t="str">
        <f t="shared" si="3"/>
        <v/>
      </c>
    </row>
    <row r="200" spans="1:1" x14ac:dyDescent="0.25">
      <c r="A200" s="216" t="str">
        <f t="shared" si="3"/>
        <v/>
      </c>
    </row>
    <row r="201" spans="1:1" x14ac:dyDescent="0.25">
      <c r="A201" s="216" t="str">
        <f t="shared" si="3"/>
        <v/>
      </c>
    </row>
    <row r="202" spans="1:1" x14ac:dyDescent="0.25">
      <c r="A202" s="216" t="str">
        <f t="shared" si="3"/>
        <v/>
      </c>
    </row>
    <row r="203" spans="1:1" x14ac:dyDescent="0.25">
      <c r="A203" s="216" t="str">
        <f t="shared" si="3"/>
        <v/>
      </c>
    </row>
    <row r="204" spans="1:1" x14ac:dyDescent="0.25">
      <c r="A204" s="216" t="str">
        <f t="shared" si="3"/>
        <v/>
      </c>
    </row>
    <row r="205" spans="1:1" x14ac:dyDescent="0.25">
      <c r="A205" s="216" t="str">
        <f t="shared" si="3"/>
        <v/>
      </c>
    </row>
    <row r="206" spans="1:1" x14ac:dyDescent="0.25">
      <c r="A206" s="216" t="str">
        <f t="shared" si="3"/>
        <v/>
      </c>
    </row>
    <row r="207" spans="1:1" x14ac:dyDescent="0.25">
      <c r="A207" s="216" t="str">
        <f t="shared" si="3"/>
        <v/>
      </c>
    </row>
    <row r="208" spans="1:1" x14ac:dyDescent="0.25">
      <c r="A208" s="216" t="str">
        <f t="shared" si="3"/>
        <v/>
      </c>
    </row>
    <row r="209" spans="1:1" x14ac:dyDescent="0.25">
      <c r="A209" s="216" t="str">
        <f t="shared" si="3"/>
        <v/>
      </c>
    </row>
    <row r="210" spans="1:1" x14ac:dyDescent="0.25">
      <c r="A210" s="216" t="str">
        <f t="shared" si="3"/>
        <v/>
      </c>
    </row>
    <row r="211" spans="1:1" x14ac:dyDescent="0.25">
      <c r="A211" s="216" t="str">
        <f t="shared" si="3"/>
        <v/>
      </c>
    </row>
    <row r="212" spans="1:1" x14ac:dyDescent="0.25">
      <c r="A212" s="216" t="str">
        <f t="shared" si="3"/>
        <v/>
      </c>
    </row>
    <row r="213" spans="1:1" x14ac:dyDescent="0.25">
      <c r="A213" s="216" t="str">
        <f t="shared" si="3"/>
        <v/>
      </c>
    </row>
    <row r="214" spans="1:1" x14ac:dyDescent="0.25">
      <c r="A214" s="216" t="str">
        <f t="shared" si="3"/>
        <v/>
      </c>
    </row>
    <row r="215" spans="1:1" x14ac:dyDescent="0.25">
      <c r="A215" s="216" t="str">
        <f t="shared" si="3"/>
        <v/>
      </c>
    </row>
    <row r="216" spans="1:1" x14ac:dyDescent="0.25">
      <c r="A216" s="216" t="str">
        <f t="shared" si="3"/>
        <v/>
      </c>
    </row>
    <row r="217" spans="1:1" x14ac:dyDescent="0.25">
      <c r="A217" s="216" t="str">
        <f t="shared" si="3"/>
        <v/>
      </c>
    </row>
    <row r="218" spans="1:1" x14ac:dyDescent="0.25">
      <c r="A218" s="216" t="str">
        <f t="shared" si="3"/>
        <v/>
      </c>
    </row>
    <row r="219" spans="1:1" x14ac:dyDescent="0.25">
      <c r="A219" s="216" t="str">
        <f t="shared" si="3"/>
        <v/>
      </c>
    </row>
    <row r="220" spans="1:1" x14ac:dyDescent="0.25">
      <c r="A220" s="216" t="str">
        <f t="shared" si="3"/>
        <v/>
      </c>
    </row>
    <row r="221" spans="1:1" x14ac:dyDescent="0.25">
      <c r="A221" s="216" t="str">
        <f t="shared" si="3"/>
        <v/>
      </c>
    </row>
    <row r="222" spans="1:1" x14ac:dyDescent="0.25">
      <c r="A222" s="216" t="str">
        <f t="shared" si="3"/>
        <v/>
      </c>
    </row>
    <row r="223" spans="1:1" x14ac:dyDescent="0.25">
      <c r="A223" s="216" t="str">
        <f t="shared" si="3"/>
        <v/>
      </c>
    </row>
    <row r="224" spans="1:1" x14ac:dyDescent="0.25">
      <c r="A224" s="216" t="str">
        <f t="shared" si="3"/>
        <v/>
      </c>
    </row>
    <row r="225" spans="1:1" x14ac:dyDescent="0.25">
      <c r="A225" s="216" t="str">
        <f t="shared" si="3"/>
        <v/>
      </c>
    </row>
    <row r="226" spans="1:1" x14ac:dyDescent="0.25">
      <c r="A226" s="216" t="str">
        <f t="shared" si="3"/>
        <v/>
      </c>
    </row>
    <row r="227" spans="1:1" x14ac:dyDescent="0.25">
      <c r="A227" s="216" t="str">
        <f t="shared" si="3"/>
        <v/>
      </c>
    </row>
    <row r="228" spans="1:1" x14ac:dyDescent="0.25">
      <c r="A228" s="216" t="str">
        <f t="shared" si="3"/>
        <v/>
      </c>
    </row>
    <row r="229" spans="1:1" x14ac:dyDescent="0.25">
      <c r="A229" s="216" t="str">
        <f t="shared" si="3"/>
        <v/>
      </c>
    </row>
    <row r="230" spans="1:1" x14ac:dyDescent="0.25">
      <c r="A230" s="216" t="str">
        <f t="shared" si="3"/>
        <v/>
      </c>
    </row>
    <row r="231" spans="1:1" x14ac:dyDescent="0.25">
      <c r="A231" s="216" t="str">
        <f t="shared" si="3"/>
        <v/>
      </c>
    </row>
    <row r="232" spans="1:1" x14ac:dyDescent="0.25">
      <c r="A232" s="216" t="str">
        <f t="shared" si="3"/>
        <v/>
      </c>
    </row>
    <row r="233" spans="1:1" x14ac:dyDescent="0.25">
      <c r="A233" s="216" t="str">
        <f t="shared" si="3"/>
        <v/>
      </c>
    </row>
    <row r="234" spans="1:1" x14ac:dyDescent="0.25">
      <c r="A234" s="216" t="str">
        <f t="shared" si="3"/>
        <v/>
      </c>
    </row>
    <row r="235" spans="1:1" x14ac:dyDescent="0.25">
      <c r="A235" s="216" t="str">
        <f t="shared" si="3"/>
        <v/>
      </c>
    </row>
    <row r="236" spans="1:1" x14ac:dyDescent="0.25">
      <c r="A236" s="216" t="str">
        <f t="shared" si="3"/>
        <v/>
      </c>
    </row>
    <row r="237" spans="1:1" x14ac:dyDescent="0.25">
      <c r="A237" s="216" t="str">
        <f t="shared" si="3"/>
        <v/>
      </c>
    </row>
    <row r="238" spans="1:1" x14ac:dyDescent="0.25">
      <c r="A238" s="216" t="str">
        <f t="shared" si="3"/>
        <v/>
      </c>
    </row>
    <row r="239" spans="1:1" x14ac:dyDescent="0.25">
      <c r="A239" s="216" t="str">
        <f t="shared" si="3"/>
        <v/>
      </c>
    </row>
    <row r="240" spans="1:1" x14ac:dyDescent="0.25">
      <c r="A240" s="216" t="str">
        <f t="shared" si="3"/>
        <v/>
      </c>
    </row>
    <row r="241" spans="1:1" x14ac:dyDescent="0.25">
      <c r="A241" s="216" t="str">
        <f t="shared" si="3"/>
        <v/>
      </c>
    </row>
    <row r="242" spans="1:1" x14ac:dyDescent="0.25">
      <c r="A242" s="216" t="str">
        <f t="shared" si="3"/>
        <v/>
      </c>
    </row>
    <row r="243" spans="1:1" x14ac:dyDescent="0.25">
      <c r="A243" s="216" t="str">
        <f t="shared" si="3"/>
        <v/>
      </c>
    </row>
    <row r="244" spans="1:1" x14ac:dyDescent="0.25">
      <c r="A244" s="216" t="str">
        <f t="shared" si="3"/>
        <v/>
      </c>
    </row>
    <row r="245" spans="1:1" x14ac:dyDescent="0.25">
      <c r="A245" s="216" t="str">
        <f t="shared" si="3"/>
        <v/>
      </c>
    </row>
    <row r="246" spans="1:1" x14ac:dyDescent="0.25">
      <c r="A246" s="216" t="str">
        <f t="shared" si="3"/>
        <v/>
      </c>
    </row>
    <row r="247" spans="1:1" x14ac:dyDescent="0.25">
      <c r="A247" s="216" t="str">
        <f t="shared" si="3"/>
        <v/>
      </c>
    </row>
    <row r="248" spans="1:1" x14ac:dyDescent="0.25">
      <c r="A248" s="216" t="str">
        <f t="shared" si="3"/>
        <v/>
      </c>
    </row>
    <row r="249" spans="1:1" x14ac:dyDescent="0.25">
      <c r="A249" s="216" t="str">
        <f t="shared" si="3"/>
        <v/>
      </c>
    </row>
    <row r="250" spans="1:1" x14ac:dyDescent="0.25">
      <c r="A250" s="216" t="str">
        <f t="shared" si="3"/>
        <v/>
      </c>
    </row>
    <row r="251" spans="1:1" x14ac:dyDescent="0.25">
      <c r="A251" s="216" t="str">
        <f t="shared" si="3"/>
        <v/>
      </c>
    </row>
    <row r="252" spans="1:1" x14ac:dyDescent="0.25">
      <c r="A252" s="216" t="str">
        <f t="shared" si="3"/>
        <v/>
      </c>
    </row>
    <row r="253" spans="1:1" x14ac:dyDescent="0.25">
      <c r="A253" s="216" t="str">
        <f t="shared" si="3"/>
        <v/>
      </c>
    </row>
    <row r="254" spans="1:1" x14ac:dyDescent="0.25">
      <c r="A254" s="216" t="str">
        <f t="shared" si="3"/>
        <v/>
      </c>
    </row>
    <row r="255" spans="1:1" x14ac:dyDescent="0.25">
      <c r="A255" s="216" t="str">
        <f t="shared" si="3"/>
        <v/>
      </c>
    </row>
    <row r="256" spans="1:1" x14ac:dyDescent="0.25">
      <c r="A256" s="216" t="str">
        <f t="shared" si="3"/>
        <v/>
      </c>
    </row>
    <row r="257" spans="1:1" x14ac:dyDescent="0.25">
      <c r="A257" s="216" t="str">
        <f t="shared" si="3"/>
        <v/>
      </c>
    </row>
    <row r="258" spans="1:1" x14ac:dyDescent="0.25">
      <c r="A258" s="216" t="str">
        <f t="shared" si="3"/>
        <v/>
      </c>
    </row>
    <row r="259" spans="1:1" x14ac:dyDescent="0.25">
      <c r="A259" s="216" t="str">
        <f t="shared" si="3"/>
        <v/>
      </c>
    </row>
    <row r="260" spans="1:1" x14ac:dyDescent="0.25">
      <c r="A260" s="216" t="str">
        <f t="shared" ref="A260:A323" si="4">IF(B260&lt;&gt;"",A259+1,"")</f>
        <v/>
      </c>
    </row>
    <row r="261" spans="1:1" x14ac:dyDescent="0.25">
      <c r="A261" s="216" t="str">
        <f t="shared" si="4"/>
        <v/>
      </c>
    </row>
    <row r="262" spans="1:1" x14ac:dyDescent="0.25">
      <c r="A262" s="216" t="str">
        <f t="shared" si="4"/>
        <v/>
      </c>
    </row>
    <row r="263" spans="1:1" x14ac:dyDescent="0.25">
      <c r="A263" s="216" t="str">
        <f t="shared" si="4"/>
        <v/>
      </c>
    </row>
    <row r="264" spans="1:1" x14ac:dyDescent="0.25">
      <c r="A264" s="216" t="str">
        <f t="shared" si="4"/>
        <v/>
      </c>
    </row>
    <row r="265" spans="1:1" x14ac:dyDescent="0.25">
      <c r="A265" s="216" t="str">
        <f t="shared" si="4"/>
        <v/>
      </c>
    </row>
    <row r="266" spans="1:1" x14ac:dyDescent="0.25">
      <c r="A266" s="216" t="str">
        <f t="shared" si="4"/>
        <v/>
      </c>
    </row>
    <row r="267" spans="1:1" x14ac:dyDescent="0.25">
      <c r="A267" s="216" t="str">
        <f t="shared" si="4"/>
        <v/>
      </c>
    </row>
    <row r="268" spans="1:1" x14ac:dyDescent="0.25">
      <c r="A268" s="216" t="str">
        <f t="shared" si="4"/>
        <v/>
      </c>
    </row>
    <row r="269" spans="1:1" x14ac:dyDescent="0.25">
      <c r="A269" s="216" t="str">
        <f t="shared" si="4"/>
        <v/>
      </c>
    </row>
    <row r="270" spans="1:1" x14ac:dyDescent="0.25">
      <c r="A270" s="216" t="str">
        <f t="shared" si="4"/>
        <v/>
      </c>
    </row>
    <row r="271" spans="1:1" x14ac:dyDescent="0.25">
      <c r="A271" s="216" t="str">
        <f t="shared" si="4"/>
        <v/>
      </c>
    </row>
    <row r="272" spans="1:1" x14ac:dyDescent="0.25">
      <c r="A272" s="216" t="str">
        <f t="shared" si="4"/>
        <v/>
      </c>
    </row>
    <row r="273" spans="1:1" x14ac:dyDescent="0.25">
      <c r="A273" s="216" t="str">
        <f t="shared" si="4"/>
        <v/>
      </c>
    </row>
    <row r="274" spans="1:1" x14ac:dyDescent="0.25">
      <c r="A274" s="216" t="str">
        <f t="shared" si="4"/>
        <v/>
      </c>
    </row>
    <row r="275" spans="1:1" x14ac:dyDescent="0.25">
      <c r="A275" s="216" t="str">
        <f t="shared" si="4"/>
        <v/>
      </c>
    </row>
    <row r="276" spans="1:1" x14ac:dyDescent="0.25">
      <c r="A276" s="216" t="str">
        <f t="shared" si="4"/>
        <v/>
      </c>
    </row>
    <row r="277" spans="1:1" x14ac:dyDescent="0.25">
      <c r="A277" s="216" t="str">
        <f t="shared" si="4"/>
        <v/>
      </c>
    </row>
    <row r="278" spans="1:1" x14ac:dyDescent="0.25">
      <c r="A278" s="216" t="str">
        <f t="shared" si="4"/>
        <v/>
      </c>
    </row>
    <row r="279" spans="1:1" x14ac:dyDescent="0.25">
      <c r="A279" s="216" t="str">
        <f t="shared" si="4"/>
        <v/>
      </c>
    </row>
    <row r="280" spans="1:1" x14ac:dyDescent="0.25">
      <c r="A280" s="216" t="str">
        <f t="shared" si="4"/>
        <v/>
      </c>
    </row>
    <row r="281" spans="1:1" x14ac:dyDescent="0.25">
      <c r="A281" s="216" t="str">
        <f t="shared" si="4"/>
        <v/>
      </c>
    </row>
    <row r="282" spans="1:1" x14ac:dyDescent="0.25">
      <c r="A282" s="216" t="str">
        <f t="shared" si="4"/>
        <v/>
      </c>
    </row>
    <row r="283" spans="1:1" x14ac:dyDescent="0.25">
      <c r="A283" s="216" t="str">
        <f t="shared" si="4"/>
        <v/>
      </c>
    </row>
    <row r="284" spans="1:1" x14ac:dyDescent="0.25">
      <c r="A284" s="216" t="str">
        <f t="shared" si="4"/>
        <v/>
      </c>
    </row>
    <row r="285" spans="1:1" x14ac:dyDescent="0.25">
      <c r="A285" s="216" t="str">
        <f t="shared" si="4"/>
        <v/>
      </c>
    </row>
    <row r="286" spans="1:1" x14ac:dyDescent="0.25">
      <c r="A286" s="216" t="str">
        <f t="shared" si="4"/>
        <v/>
      </c>
    </row>
    <row r="287" spans="1:1" x14ac:dyDescent="0.25">
      <c r="A287" s="216" t="str">
        <f t="shared" si="4"/>
        <v/>
      </c>
    </row>
    <row r="288" spans="1:1" x14ac:dyDescent="0.25">
      <c r="A288" s="216" t="str">
        <f t="shared" si="4"/>
        <v/>
      </c>
    </row>
    <row r="289" spans="1:1" x14ac:dyDescent="0.25">
      <c r="A289" s="216" t="str">
        <f t="shared" si="4"/>
        <v/>
      </c>
    </row>
    <row r="290" spans="1:1" x14ac:dyDescent="0.25">
      <c r="A290" s="216" t="str">
        <f t="shared" si="4"/>
        <v/>
      </c>
    </row>
    <row r="291" spans="1:1" x14ac:dyDescent="0.25">
      <c r="A291" s="216" t="str">
        <f t="shared" si="4"/>
        <v/>
      </c>
    </row>
    <row r="292" spans="1:1" x14ac:dyDescent="0.25">
      <c r="A292" s="216" t="str">
        <f t="shared" si="4"/>
        <v/>
      </c>
    </row>
    <row r="293" spans="1:1" x14ac:dyDescent="0.25">
      <c r="A293" s="216" t="str">
        <f t="shared" si="4"/>
        <v/>
      </c>
    </row>
    <row r="294" spans="1:1" x14ac:dyDescent="0.25">
      <c r="A294" s="216" t="str">
        <f t="shared" si="4"/>
        <v/>
      </c>
    </row>
    <row r="295" spans="1:1" x14ac:dyDescent="0.25">
      <c r="A295" s="216" t="str">
        <f t="shared" si="4"/>
        <v/>
      </c>
    </row>
    <row r="296" spans="1:1" x14ac:dyDescent="0.25">
      <c r="A296" s="216" t="str">
        <f t="shared" si="4"/>
        <v/>
      </c>
    </row>
    <row r="297" spans="1:1" x14ac:dyDescent="0.25">
      <c r="A297" s="216" t="str">
        <f t="shared" si="4"/>
        <v/>
      </c>
    </row>
    <row r="298" spans="1:1" x14ac:dyDescent="0.25">
      <c r="A298" s="216" t="str">
        <f t="shared" si="4"/>
        <v/>
      </c>
    </row>
    <row r="299" spans="1:1" x14ac:dyDescent="0.25">
      <c r="A299" s="216" t="str">
        <f t="shared" si="4"/>
        <v/>
      </c>
    </row>
    <row r="300" spans="1:1" x14ac:dyDescent="0.25">
      <c r="A300" s="216" t="str">
        <f t="shared" si="4"/>
        <v/>
      </c>
    </row>
    <row r="301" spans="1:1" x14ac:dyDescent="0.25">
      <c r="A301" s="216" t="str">
        <f t="shared" si="4"/>
        <v/>
      </c>
    </row>
    <row r="302" spans="1:1" x14ac:dyDescent="0.25">
      <c r="A302" s="216" t="str">
        <f t="shared" si="4"/>
        <v/>
      </c>
    </row>
    <row r="303" spans="1:1" x14ac:dyDescent="0.25">
      <c r="A303" s="216" t="str">
        <f t="shared" si="4"/>
        <v/>
      </c>
    </row>
    <row r="304" spans="1:1" x14ac:dyDescent="0.25">
      <c r="A304" s="216" t="str">
        <f t="shared" si="4"/>
        <v/>
      </c>
    </row>
    <row r="305" spans="1:1" x14ac:dyDescent="0.25">
      <c r="A305" s="216" t="str">
        <f t="shared" si="4"/>
        <v/>
      </c>
    </row>
    <row r="306" spans="1:1" x14ac:dyDescent="0.25">
      <c r="A306" s="216" t="str">
        <f t="shared" si="4"/>
        <v/>
      </c>
    </row>
    <row r="307" spans="1:1" x14ac:dyDescent="0.25">
      <c r="A307" s="216" t="str">
        <f t="shared" si="4"/>
        <v/>
      </c>
    </row>
    <row r="308" spans="1:1" x14ac:dyDescent="0.25">
      <c r="A308" s="216" t="str">
        <f t="shared" si="4"/>
        <v/>
      </c>
    </row>
    <row r="309" spans="1:1" x14ac:dyDescent="0.25">
      <c r="A309" s="216" t="str">
        <f t="shared" si="4"/>
        <v/>
      </c>
    </row>
    <row r="310" spans="1:1" x14ac:dyDescent="0.25">
      <c r="A310" s="216" t="str">
        <f t="shared" si="4"/>
        <v/>
      </c>
    </row>
    <row r="311" spans="1:1" x14ac:dyDescent="0.25">
      <c r="A311" s="216" t="str">
        <f t="shared" si="4"/>
        <v/>
      </c>
    </row>
    <row r="312" spans="1:1" x14ac:dyDescent="0.25">
      <c r="A312" s="216" t="str">
        <f t="shared" si="4"/>
        <v/>
      </c>
    </row>
    <row r="313" spans="1:1" x14ac:dyDescent="0.25">
      <c r="A313" s="216" t="str">
        <f t="shared" si="4"/>
        <v/>
      </c>
    </row>
    <row r="314" spans="1:1" x14ac:dyDescent="0.25">
      <c r="A314" s="216" t="str">
        <f t="shared" si="4"/>
        <v/>
      </c>
    </row>
    <row r="315" spans="1:1" x14ac:dyDescent="0.25">
      <c r="A315" s="216" t="str">
        <f t="shared" si="4"/>
        <v/>
      </c>
    </row>
    <row r="316" spans="1:1" x14ac:dyDescent="0.25">
      <c r="A316" s="216" t="str">
        <f t="shared" si="4"/>
        <v/>
      </c>
    </row>
    <row r="317" spans="1:1" x14ac:dyDescent="0.25">
      <c r="A317" s="216" t="str">
        <f t="shared" si="4"/>
        <v/>
      </c>
    </row>
    <row r="318" spans="1:1" x14ac:dyDescent="0.25">
      <c r="A318" s="216" t="str">
        <f t="shared" si="4"/>
        <v/>
      </c>
    </row>
    <row r="319" spans="1:1" x14ac:dyDescent="0.25">
      <c r="A319" s="216" t="str">
        <f t="shared" si="4"/>
        <v/>
      </c>
    </row>
    <row r="320" spans="1:1" x14ac:dyDescent="0.25">
      <c r="A320" s="216" t="str">
        <f t="shared" si="4"/>
        <v/>
      </c>
    </row>
    <row r="321" spans="1:1" x14ac:dyDescent="0.25">
      <c r="A321" s="216" t="str">
        <f t="shared" si="4"/>
        <v/>
      </c>
    </row>
    <row r="322" spans="1:1" x14ac:dyDescent="0.25">
      <c r="A322" s="216" t="str">
        <f t="shared" si="4"/>
        <v/>
      </c>
    </row>
    <row r="323" spans="1:1" x14ac:dyDescent="0.25">
      <c r="A323" s="216" t="str">
        <f t="shared" si="4"/>
        <v/>
      </c>
    </row>
    <row r="324" spans="1:1" x14ac:dyDescent="0.25">
      <c r="A324" s="216" t="str">
        <f t="shared" ref="A324:A387" si="5">IF(B324&lt;&gt;"",A323+1,"")</f>
        <v/>
      </c>
    </row>
    <row r="325" spans="1:1" x14ac:dyDescent="0.25">
      <c r="A325" s="216" t="str">
        <f t="shared" si="5"/>
        <v/>
      </c>
    </row>
    <row r="326" spans="1:1" x14ac:dyDescent="0.25">
      <c r="A326" s="216" t="str">
        <f t="shared" si="5"/>
        <v/>
      </c>
    </row>
    <row r="327" spans="1:1" x14ac:dyDescent="0.25">
      <c r="A327" s="216" t="str">
        <f t="shared" si="5"/>
        <v/>
      </c>
    </row>
    <row r="328" spans="1:1" x14ac:dyDescent="0.25">
      <c r="A328" s="216" t="str">
        <f t="shared" si="5"/>
        <v/>
      </c>
    </row>
    <row r="329" spans="1:1" x14ac:dyDescent="0.25">
      <c r="A329" s="216" t="str">
        <f t="shared" si="5"/>
        <v/>
      </c>
    </row>
    <row r="330" spans="1:1" x14ac:dyDescent="0.25">
      <c r="A330" s="216" t="str">
        <f t="shared" si="5"/>
        <v/>
      </c>
    </row>
    <row r="331" spans="1:1" x14ac:dyDescent="0.25">
      <c r="A331" s="216" t="str">
        <f t="shared" si="5"/>
        <v/>
      </c>
    </row>
    <row r="332" spans="1:1" x14ac:dyDescent="0.25">
      <c r="A332" s="216" t="str">
        <f t="shared" si="5"/>
        <v/>
      </c>
    </row>
    <row r="333" spans="1:1" x14ac:dyDescent="0.25">
      <c r="A333" s="216" t="str">
        <f t="shared" si="5"/>
        <v/>
      </c>
    </row>
    <row r="334" spans="1:1" x14ac:dyDescent="0.25">
      <c r="A334" s="216" t="str">
        <f t="shared" si="5"/>
        <v/>
      </c>
    </row>
    <row r="335" spans="1:1" x14ac:dyDescent="0.25">
      <c r="A335" s="216" t="str">
        <f t="shared" si="5"/>
        <v/>
      </c>
    </row>
    <row r="336" spans="1:1" x14ac:dyDescent="0.25">
      <c r="A336" s="216" t="str">
        <f t="shared" si="5"/>
        <v/>
      </c>
    </row>
    <row r="337" spans="1:1" x14ac:dyDescent="0.25">
      <c r="A337" s="216" t="str">
        <f t="shared" si="5"/>
        <v/>
      </c>
    </row>
    <row r="338" spans="1:1" x14ac:dyDescent="0.25">
      <c r="A338" s="216" t="str">
        <f t="shared" si="5"/>
        <v/>
      </c>
    </row>
    <row r="339" spans="1:1" x14ac:dyDescent="0.25">
      <c r="A339" s="216" t="str">
        <f t="shared" si="5"/>
        <v/>
      </c>
    </row>
    <row r="340" spans="1:1" x14ac:dyDescent="0.25">
      <c r="A340" s="216" t="str">
        <f t="shared" si="5"/>
        <v/>
      </c>
    </row>
    <row r="341" spans="1:1" x14ac:dyDescent="0.25">
      <c r="A341" s="216" t="str">
        <f t="shared" si="5"/>
        <v/>
      </c>
    </row>
    <row r="342" spans="1:1" x14ac:dyDescent="0.25">
      <c r="A342" s="216" t="str">
        <f t="shared" si="5"/>
        <v/>
      </c>
    </row>
    <row r="343" spans="1:1" x14ac:dyDescent="0.25">
      <c r="A343" s="216" t="str">
        <f t="shared" si="5"/>
        <v/>
      </c>
    </row>
    <row r="344" spans="1:1" x14ac:dyDescent="0.25">
      <c r="A344" s="216" t="str">
        <f t="shared" si="5"/>
        <v/>
      </c>
    </row>
    <row r="345" spans="1:1" x14ac:dyDescent="0.25">
      <c r="A345" s="216" t="str">
        <f t="shared" si="5"/>
        <v/>
      </c>
    </row>
    <row r="346" spans="1:1" x14ac:dyDescent="0.25">
      <c r="A346" s="216" t="str">
        <f t="shared" si="5"/>
        <v/>
      </c>
    </row>
    <row r="347" spans="1:1" x14ac:dyDescent="0.25">
      <c r="A347" s="216" t="str">
        <f t="shared" si="5"/>
        <v/>
      </c>
    </row>
    <row r="348" spans="1:1" x14ac:dyDescent="0.25">
      <c r="A348" s="216" t="str">
        <f t="shared" si="5"/>
        <v/>
      </c>
    </row>
    <row r="349" spans="1:1" x14ac:dyDescent="0.25">
      <c r="A349" s="216" t="str">
        <f t="shared" si="5"/>
        <v/>
      </c>
    </row>
    <row r="350" spans="1:1" x14ac:dyDescent="0.25">
      <c r="A350" s="216" t="str">
        <f t="shared" si="5"/>
        <v/>
      </c>
    </row>
    <row r="351" spans="1:1" x14ac:dyDescent="0.25">
      <c r="A351" s="216" t="str">
        <f t="shared" si="5"/>
        <v/>
      </c>
    </row>
    <row r="352" spans="1:1" x14ac:dyDescent="0.25">
      <c r="A352" s="216" t="str">
        <f t="shared" si="5"/>
        <v/>
      </c>
    </row>
    <row r="353" spans="1:1" x14ac:dyDescent="0.25">
      <c r="A353" s="216" t="str">
        <f t="shared" si="5"/>
        <v/>
      </c>
    </row>
    <row r="354" spans="1:1" x14ac:dyDescent="0.25">
      <c r="A354" s="216" t="str">
        <f t="shared" si="5"/>
        <v/>
      </c>
    </row>
    <row r="355" spans="1:1" x14ac:dyDescent="0.25">
      <c r="A355" s="216" t="str">
        <f t="shared" si="5"/>
        <v/>
      </c>
    </row>
    <row r="356" spans="1:1" x14ac:dyDescent="0.25">
      <c r="A356" s="216" t="str">
        <f t="shared" si="5"/>
        <v/>
      </c>
    </row>
    <row r="357" spans="1:1" x14ac:dyDescent="0.25">
      <c r="A357" s="216" t="str">
        <f t="shared" si="5"/>
        <v/>
      </c>
    </row>
    <row r="358" spans="1:1" x14ac:dyDescent="0.25">
      <c r="A358" s="216" t="str">
        <f t="shared" si="5"/>
        <v/>
      </c>
    </row>
    <row r="359" spans="1:1" x14ac:dyDescent="0.25">
      <c r="A359" s="216" t="str">
        <f t="shared" si="5"/>
        <v/>
      </c>
    </row>
    <row r="360" spans="1:1" x14ac:dyDescent="0.25">
      <c r="A360" s="216" t="str">
        <f t="shared" si="5"/>
        <v/>
      </c>
    </row>
    <row r="361" spans="1:1" x14ac:dyDescent="0.25">
      <c r="A361" s="216" t="str">
        <f t="shared" si="5"/>
        <v/>
      </c>
    </row>
    <row r="362" spans="1:1" x14ac:dyDescent="0.25">
      <c r="A362" s="216" t="str">
        <f t="shared" si="5"/>
        <v/>
      </c>
    </row>
    <row r="363" spans="1:1" x14ac:dyDescent="0.25">
      <c r="A363" s="216" t="str">
        <f t="shared" si="5"/>
        <v/>
      </c>
    </row>
    <row r="364" spans="1:1" x14ac:dyDescent="0.25">
      <c r="A364" s="216" t="str">
        <f t="shared" si="5"/>
        <v/>
      </c>
    </row>
    <row r="365" spans="1:1" x14ac:dyDescent="0.25">
      <c r="A365" s="216" t="str">
        <f t="shared" si="5"/>
        <v/>
      </c>
    </row>
    <row r="366" spans="1:1" x14ac:dyDescent="0.25">
      <c r="A366" s="216" t="str">
        <f t="shared" si="5"/>
        <v/>
      </c>
    </row>
    <row r="367" spans="1:1" x14ac:dyDescent="0.25">
      <c r="A367" s="216" t="str">
        <f t="shared" si="5"/>
        <v/>
      </c>
    </row>
    <row r="368" spans="1:1" x14ac:dyDescent="0.25">
      <c r="A368" s="216" t="str">
        <f t="shared" si="5"/>
        <v/>
      </c>
    </row>
    <row r="369" spans="1:1" x14ac:dyDescent="0.25">
      <c r="A369" s="216" t="str">
        <f t="shared" si="5"/>
        <v/>
      </c>
    </row>
    <row r="370" spans="1:1" x14ac:dyDescent="0.25">
      <c r="A370" s="216" t="str">
        <f t="shared" si="5"/>
        <v/>
      </c>
    </row>
    <row r="371" spans="1:1" x14ac:dyDescent="0.25">
      <c r="A371" s="216" t="str">
        <f t="shared" si="5"/>
        <v/>
      </c>
    </row>
    <row r="372" spans="1:1" x14ac:dyDescent="0.25">
      <c r="A372" s="216" t="str">
        <f t="shared" si="5"/>
        <v/>
      </c>
    </row>
    <row r="373" spans="1:1" x14ac:dyDescent="0.25">
      <c r="A373" s="216" t="str">
        <f t="shared" si="5"/>
        <v/>
      </c>
    </row>
    <row r="374" spans="1:1" x14ac:dyDescent="0.25">
      <c r="A374" s="216" t="str">
        <f t="shared" si="5"/>
        <v/>
      </c>
    </row>
    <row r="375" spans="1:1" x14ac:dyDescent="0.25">
      <c r="A375" s="216" t="str">
        <f t="shared" si="5"/>
        <v/>
      </c>
    </row>
    <row r="376" spans="1:1" x14ac:dyDescent="0.25">
      <c r="A376" s="216" t="str">
        <f t="shared" si="5"/>
        <v/>
      </c>
    </row>
    <row r="377" spans="1:1" x14ac:dyDescent="0.25">
      <c r="A377" s="216" t="str">
        <f t="shared" si="5"/>
        <v/>
      </c>
    </row>
    <row r="378" spans="1:1" x14ac:dyDescent="0.25">
      <c r="A378" s="216" t="str">
        <f t="shared" si="5"/>
        <v/>
      </c>
    </row>
    <row r="379" spans="1:1" x14ac:dyDescent="0.25">
      <c r="A379" s="216" t="str">
        <f t="shared" si="5"/>
        <v/>
      </c>
    </row>
    <row r="380" spans="1:1" x14ac:dyDescent="0.25">
      <c r="A380" s="216" t="str">
        <f t="shared" si="5"/>
        <v/>
      </c>
    </row>
    <row r="381" spans="1:1" x14ac:dyDescent="0.25">
      <c r="A381" s="216" t="str">
        <f t="shared" si="5"/>
        <v/>
      </c>
    </row>
    <row r="382" spans="1:1" x14ac:dyDescent="0.25">
      <c r="A382" s="216" t="str">
        <f t="shared" si="5"/>
        <v/>
      </c>
    </row>
    <row r="383" spans="1:1" x14ac:dyDescent="0.25">
      <c r="A383" s="216" t="str">
        <f t="shared" si="5"/>
        <v/>
      </c>
    </row>
    <row r="384" spans="1:1" x14ac:dyDescent="0.25">
      <c r="A384" s="216" t="str">
        <f t="shared" si="5"/>
        <v/>
      </c>
    </row>
    <row r="385" spans="1:1" x14ac:dyDescent="0.25">
      <c r="A385" s="216" t="str">
        <f t="shared" si="5"/>
        <v/>
      </c>
    </row>
    <row r="386" spans="1:1" x14ac:dyDescent="0.25">
      <c r="A386" s="216" t="str">
        <f t="shared" si="5"/>
        <v/>
      </c>
    </row>
    <row r="387" spans="1:1" x14ac:dyDescent="0.25">
      <c r="A387" s="216" t="str">
        <f t="shared" si="5"/>
        <v/>
      </c>
    </row>
    <row r="388" spans="1:1" x14ac:dyDescent="0.25">
      <c r="A388" s="216" t="str">
        <f t="shared" ref="A388:A451" si="6">IF(B388&lt;&gt;"",A387+1,"")</f>
        <v/>
      </c>
    </row>
    <row r="389" spans="1:1" x14ac:dyDescent="0.25">
      <c r="A389" s="216" t="str">
        <f t="shared" si="6"/>
        <v/>
      </c>
    </row>
    <row r="390" spans="1:1" x14ac:dyDescent="0.25">
      <c r="A390" s="216" t="str">
        <f t="shared" si="6"/>
        <v/>
      </c>
    </row>
    <row r="391" spans="1:1" x14ac:dyDescent="0.25">
      <c r="A391" s="216" t="str">
        <f t="shared" si="6"/>
        <v/>
      </c>
    </row>
    <row r="392" spans="1:1" x14ac:dyDescent="0.25">
      <c r="A392" s="216" t="str">
        <f t="shared" si="6"/>
        <v/>
      </c>
    </row>
    <row r="393" spans="1:1" x14ac:dyDescent="0.25">
      <c r="A393" s="216" t="str">
        <f t="shared" si="6"/>
        <v/>
      </c>
    </row>
    <row r="394" spans="1:1" x14ac:dyDescent="0.25">
      <c r="A394" s="216" t="str">
        <f t="shared" si="6"/>
        <v/>
      </c>
    </row>
    <row r="395" spans="1:1" x14ac:dyDescent="0.25">
      <c r="A395" s="216" t="str">
        <f t="shared" si="6"/>
        <v/>
      </c>
    </row>
    <row r="396" spans="1:1" x14ac:dyDescent="0.25">
      <c r="A396" s="216" t="str">
        <f t="shared" si="6"/>
        <v/>
      </c>
    </row>
    <row r="397" spans="1:1" x14ac:dyDescent="0.25">
      <c r="A397" s="216" t="str">
        <f t="shared" si="6"/>
        <v/>
      </c>
    </row>
    <row r="398" spans="1:1" x14ac:dyDescent="0.25">
      <c r="A398" s="216" t="str">
        <f t="shared" si="6"/>
        <v/>
      </c>
    </row>
    <row r="399" spans="1:1" x14ac:dyDescent="0.25">
      <c r="A399" s="216" t="str">
        <f t="shared" si="6"/>
        <v/>
      </c>
    </row>
    <row r="400" spans="1:1" x14ac:dyDescent="0.25">
      <c r="A400" s="216" t="str">
        <f t="shared" si="6"/>
        <v/>
      </c>
    </row>
    <row r="401" spans="1:1" x14ac:dyDescent="0.25">
      <c r="A401" s="216" t="str">
        <f t="shared" si="6"/>
        <v/>
      </c>
    </row>
    <row r="402" spans="1:1" x14ac:dyDescent="0.25">
      <c r="A402" s="216" t="str">
        <f t="shared" si="6"/>
        <v/>
      </c>
    </row>
    <row r="403" spans="1:1" x14ac:dyDescent="0.25">
      <c r="A403" s="216" t="str">
        <f t="shared" si="6"/>
        <v/>
      </c>
    </row>
    <row r="404" spans="1:1" x14ac:dyDescent="0.25">
      <c r="A404" s="216" t="str">
        <f t="shared" si="6"/>
        <v/>
      </c>
    </row>
    <row r="405" spans="1:1" x14ac:dyDescent="0.25">
      <c r="A405" s="216" t="str">
        <f t="shared" si="6"/>
        <v/>
      </c>
    </row>
    <row r="406" spans="1:1" x14ac:dyDescent="0.25">
      <c r="A406" s="216" t="str">
        <f t="shared" si="6"/>
        <v/>
      </c>
    </row>
    <row r="407" spans="1:1" x14ac:dyDescent="0.25">
      <c r="A407" s="216" t="str">
        <f t="shared" si="6"/>
        <v/>
      </c>
    </row>
    <row r="408" spans="1:1" x14ac:dyDescent="0.25">
      <c r="A408" s="216" t="str">
        <f t="shared" si="6"/>
        <v/>
      </c>
    </row>
    <row r="409" spans="1:1" x14ac:dyDescent="0.25">
      <c r="A409" s="216" t="str">
        <f t="shared" si="6"/>
        <v/>
      </c>
    </row>
    <row r="410" spans="1:1" x14ac:dyDescent="0.25">
      <c r="A410" s="216" t="str">
        <f t="shared" si="6"/>
        <v/>
      </c>
    </row>
    <row r="411" spans="1:1" x14ac:dyDescent="0.25">
      <c r="A411" s="216" t="str">
        <f t="shared" si="6"/>
        <v/>
      </c>
    </row>
    <row r="412" spans="1:1" x14ac:dyDescent="0.25">
      <c r="A412" s="216" t="str">
        <f t="shared" si="6"/>
        <v/>
      </c>
    </row>
    <row r="413" spans="1:1" x14ac:dyDescent="0.25">
      <c r="A413" s="216" t="str">
        <f t="shared" si="6"/>
        <v/>
      </c>
    </row>
    <row r="414" spans="1:1" x14ac:dyDescent="0.25">
      <c r="A414" s="216" t="str">
        <f t="shared" si="6"/>
        <v/>
      </c>
    </row>
    <row r="415" spans="1:1" x14ac:dyDescent="0.25">
      <c r="A415" s="216" t="str">
        <f t="shared" si="6"/>
        <v/>
      </c>
    </row>
    <row r="416" spans="1:1" x14ac:dyDescent="0.25">
      <c r="A416" s="216" t="str">
        <f t="shared" si="6"/>
        <v/>
      </c>
    </row>
    <row r="417" spans="1:1" x14ac:dyDescent="0.25">
      <c r="A417" s="216" t="str">
        <f t="shared" si="6"/>
        <v/>
      </c>
    </row>
    <row r="418" spans="1:1" x14ac:dyDescent="0.25">
      <c r="A418" s="216" t="str">
        <f t="shared" si="6"/>
        <v/>
      </c>
    </row>
    <row r="419" spans="1:1" x14ac:dyDescent="0.25">
      <c r="A419" s="216" t="str">
        <f t="shared" si="6"/>
        <v/>
      </c>
    </row>
    <row r="420" spans="1:1" x14ac:dyDescent="0.25">
      <c r="A420" s="216" t="str">
        <f t="shared" si="6"/>
        <v/>
      </c>
    </row>
    <row r="421" spans="1:1" x14ac:dyDescent="0.25">
      <c r="A421" s="216" t="str">
        <f t="shared" si="6"/>
        <v/>
      </c>
    </row>
    <row r="422" spans="1:1" x14ac:dyDescent="0.25">
      <c r="A422" s="216" t="str">
        <f t="shared" si="6"/>
        <v/>
      </c>
    </row>
    <row r="423" spans="1:1" x14ac:dyDescent="0.25">
      <c r="A423" s="216" t="str">
        <f t="shared" si="6"/>
        <v/>
      </c>
    </row>
    <row r="424" spans="1:1" x14ac:dyDescent="0.25">
      <c r="A424" s="216" t="str">
        <f t="shared" si="6"/>
        <v/>
      </c>
    </row>
    <row r="425" spans="1:1" x14ac:dyDescent="0.25">
      <c r="A425" s="216" t="str">
        <f t="shared" si="6"/>
        <v/>
      </c>
    </row>
    <row r="426" spans="1:1" x14ac:dyDescent="0.25">
      <c r="A426" s="216" t="str">
        <f t="shared" si="6"/>
        <v/>
      </c>
    </row>
    <row r="427" spans="1:1" x14ac:dyDescent="0.25">
      <c r="A427" s="216" t="str">
        <f t="shared" si="6"/>
        <v/>
      </c>
    </row>
    <row r="428" spans="1:1" x14ac:dyDescent="0.25">
      <c r="A428" s="216" t="str">
        <f t="shared" si="6"/>
        <v/>
      </c>
    </row>
    <row r="429" spans="1:1" x14ac:dyDescent="0.25">
      <c r="A429" s="216" t="str">
        <f t="shared" si="6"/>
        <v/>
      </c>
    </row>
    <row r="430" spans="1:1" x14ac:dyDescent="0.25">
      <c r="A430" s="216" t="str">
        <f t="shared" si="6"/>
        <v/>
      </c>
    </row>
    <row r="431" spans="1:1" x14ac:dyDescent="0.25">
      <c r="A431" s="216" t="str">
        <f t="shared" si="6"/>
        <v/>
      </c>
    </row>
    <row r="432" spans="1:1" x14ac:dyDescent="0.25">
      <c r="A432" s="216" t="str">
        <f t="shared" si="6"/>
        <v/>
      </c>
    </row>
    <row r="433" spans="1:1" x14ac:dyDescent="0.25">
      <c r="A433" s="216" t="str">
        <f t="shared" si="6"/>
        <v/>
      </c>
    </row>
    <row r="434" spans="1:1" x14ac:dyDescent="0.25">
      <c r="A434" s="216" t="str">
        <f t="shared" si="6"/>
        <v/>
      </c>
    </row>
    <row r="435" spans="1:1" x14ac:dyDescent="0.25">
      <c r="A435" s="216" t="str">
        <f t="shared" si="6"/>
        <v/>
      </c>
    </row>
    <row r="436" spans="1:1" x14ac:dyDescent="0.25">
      <c r="A436" s="216" t="str">
        <f t="shared" si="6"/>
        <v/>
      </c>
    </row>
    <row r="437" spans="1:1" x14ac:dyDescent="0.25">
      <c r="A437" s="216" t="str">
        <f t="shared" si="6"/>
        <v/>
      </c>
    </row>
    <row r="438" spans="1:1" x14ac:dyDescent="0.25">
      <c r="A438" s="216" t="str">
        <f t="shared" si="6"/>
        <v/>
      </c>
    </row>
    <row r="439" spans="1:1" x14ac:dyDescent="0.25">
      <c r="A439" s="216" t="str">
        <f t="shared" si="6"/>
        <v/>
      </c>
    </row>
    <row r="440" spans="1:1" x14ac:dyDescent="0.25">
      <c r="A440" s="216" t="str">
        <f t="shared" si="6"/>
        <v/>
      </c>
    </row>
    <row r="441" spans="1:1" x14ac:dyDescent="0.25">
      <c r="A441" s="216" t="str">
        <f t="shared" si="6"/>
        <v/>
      </c>
    </row>
    <row r="442" spans="1:1" x14ac:dyDescent="0.25">
      <c r="A442" s="216" t="str">
        <f t="shared" si="6"/>
        <v/>
      </c>
    </row>
    <row r="443" spans="1:1" x14ac:dyDescent="0.25">
      <c r="A443" s="216" t="str">
        <f t="shared" si="6"/>
        <v/>
      </c>
    </row>
    <row r="444" spans="1:1" x14ac:dyDescent="0.25">
      <c r="A444" s="216" t="str">
        <f t="shared" si="6"/>
        <v/>
      </c>
    </row>
    <row r="445" spans="1:1" x14ac:dyDescent="0.25">
      <c r="A445" s="216" t="str">
        <f t="shared" si="6"/>
        <v/>
      </c>
    </row>
    <row r="446" spans="1:1" x14ac:dyDescent="0.25">
      <c r="A446" s="216" t="str">
        <f t="shared" si="6"/>
        <v/>
      </c>
    </row>
    <row r="447" spans="1:1" x14ac:dyDescent="0.25">
      <c r="A447" s="216" t="str">
        <f t="shared" si="6"/>
        <v/>
      </c>
    </row>
    <row r="448" spans="1:1" x14ac:dyDescent="0.25">
      <c r="A448" s="216" t="str">
        <f t="shared" si="6"/>
        <v/>
      </c>
    </row>
    <row r="449" spans="1:1" x14ac:dyDescent="0.25">
      <c r="A449" s="216" t="str">
        <f t="shared" si="6"/>
        <v/>
      </c>
    </row>
    <row r="450" spans="1:1" x14ac:dyDescent="0.25">
      <c r="A450" s="216" t="str">
        <f t="shared" si="6"/>
        <v/>
      </c>
    </row>
    <row r="451" spans="1:1" x14ac:dyDescent="0.25">
      <c r="A451" s="216" t="str">
        <f t="shared" si="6"/>
        <v/>
      </c>
    </row>
    <row r="452" spans="1:1" x14ac:dyDescent="0.25">
      <c r="A452" s="216" t="str">
        <f t="shared" ref="A452:A515" si="7">IF(B452&lt;&gt;"",A451+1,"")</f>
        <v/>
      </c>
    </row>
    <row r="453" spans="1:1" x14ac:dyDescent="0.25">
      <c r="A453" s="216" t="str">
        <f t="shared" si="7"/>
        <v/>
      </c>
    </row>
    <row r="454" spans="1:1" x14ac:dyDescent="0.25">
      <c r="A454" s="216" t="str">
        <f t="shared" si="7"/>
        <v/>
      </c>
    </row>
    <row r="455" spans="1:1" x14ac:dyDescent="0.25">
      <c r="A455" s="216" t="str">
        <f t="shared" si="7"/>
        <v/>
      </c>
    </row>
    <row r="456" spans="1:1" x14ac:dyDescent="0.25">
      <c r="A456" s="216" t="str">
        <f t="shared" si="7"/>
        <v/>
      </c>
    </row>
    <row r="457" spans="1:1" x14ac:dyDescent="0.25">
      <c r="A457" s="216" t="str">
        <f t="shared" si="7"/>
        <v/>
      </c>
    </row>
    <row r="458" spans="1:1" x14ac:dyDescent="0.25">
      <c r="A458" s="216" t="str">
        <f t="shared" si="7"/>
        <v/>
      </c>
    </row>
    <row r="459" spans="1:1" x14ac:dyDescent="0.25">
      <c r="A459" s="216" t="str">
        <f t="shared" si="7"/>
        <v/>
      </c>
    </row>
    <row r="460" spans="1:1" x14ac:dyDescent="0.25">
      <c r="A460" s="216" t="str">
        <f t="shared" si="7"/>
        <v/>
      </c>
    </row>
    <row r="461" spans="1:1" x14ac:dyDescent="0.25">
      <c r="A461" s="216" t="str">
        <f t="shared" si="7"/>
        <v/>
      </c>
    </row>
    <row r="462" spans="1:1" x14ac:dyDescent="0.25">
      <c r="A462" s="216" t="str">
        <f t="shared" si="7"/>
        <v/>
      </c>
    </row>
    <row r="463" spans="1:1" x14ac:dyDescent="0.25">
      <c r="A463" s="216" t="str">
        <f t="shared" si="7"/>
        <v/>
      </c>
    </row>
    <row r="464" spans="1:1" x14ac:dyDescent="0.25">
      <c r="A464" s="216" t="str">
        <f t="shared" si="7"/>
        <v/>
      </c>
    </row>
    <row r="465" spans="1:1" x14ac:dyDescent="0.25">
      <c r="A465" s="216" t="str">
        <f t="shared" si="7"/>
        <v/>
      </c>
    </row>
    <row r="466" spans="1:1" x14ac:dyDescent="0.25">
      <c r="A466" s="216" t="str">
        <f t="shared" si="7"/>
        <v/>
      </c>
    </row>
    <row r="467" spans="1:1" x14ac:dyDescent="0.25">
      <c r="A467" s="216" t="str">
        <f t="shared" si="7"/>
        <v/>
      </c>
    </row>
    <row r="468" spans="1:1" x14ac:dyDescent="0.25">
      <c r="A468" s="216" t="str">
        <f t="shared" si="7"/>
        <v/>
      </c>
    </row>
    <row r="469" spans="1:1" x14ac:dyDescent="0.25">
      <c r="A469" s="216" t="str">
        <f t="shared" si="7"/>
        <v/>
      </c>
    </row>
    <row r="470" spans="1:1" x14ac:dyDescent="0.25">
      <c r="A470" s="216" t="str">
        <f t="shared" si="7"/>
        <v/>
      </c>
    </row>
    <row r="471" spans="1:1" x14ac:dyDescent="0.25">
      <c r="A471" s="216" t="str">
        <f t="shared" si="7"/>
        <v/>
      </c>
    </row>
    <row r="472" spans="1:1" x14ac:dyDescent="0.25">
      <c r="A472" s="216" t="str">
        <f t="shared" si="7"/>
        <v/>
      </c>
    </row>
    <row r="473" spans="1:1" x14ac:dyDescent="0.25">
      <c r="A473" s="216" t="str">
        <f t="shared" si="7"/>
        <v/>
      </c>
    </row>
    <row r="474" spans="1:1" x14ac:dyDescent="0.25">
      <c r="A474" s="216" t="str">
        <f t="shared" si="7"/>
        <v/>
      </c>
    </row>
    <row r="475" spans="1:1" x14ac:dyDescent="0.25">
      <c r="A475" s="216" t="str">
        <f t="shared" si="7"/>
        <v/>
      </c>
    </row>
    <row r="476" spans="1:1" x14ac:dyDescent="0.25">
      <c r="A476" s="216" t="str">
        <f t="shared" si="7"/>
        <v/>
      </c>
    </row>
    <row r="477" spans="1:1" x14ac:dyDescent="0.25">
      <c r="A477" s="216" t="str">
        <f t="shared" si="7"/>
        <v/>
      </c>
    </row>
    <row r="478" spans="1:1" x14ac:dyDescent="0.25">
      <c r="A478" s="216" t="str">
        <f t="shared" si="7"/>
        <v/>
      </c>
    </row>
    <row r="479" spans="1:1" x14ac:dyDescent="0.25">
      <c r="A479" s="216" t="str">
        <f t="shared" si="7"/>
        <v/>
      </c>
    </row>
    <row r="480" spans="1:1" x14ac:dyDescent="0.25">
      <c r="A480" s="216" t="str">
        <f t="shared" si="7"/>
        <v/>
      </c>
    </row>
    <row r="481" spans="1:1" x14ac:dyDescent="0.25">
      <c r="A481" s="216" t="str">
        <f t="shared" si="7"/>
        <v/>
      </c>
    </row>
    <row r="482" spans="1:1" x14ac:dyDescent="0.25">
      <c r="A482" s="216" t="str">
        <f t="shared" si="7"/>
        <v/>
      </c>
    </row>
    <row r="483" spans="1:1" x14ac:dyDescent="0.25">
      <c r="A483" s="216" t="str">
        <f t="shared" si="7"/>
        <v/>
      </c>
    </row>
    <row r="484" spans="1:1" x14ac:dyDescent="0.25">
      <c r="A484" s="216" t="str">
        <f t="shared" si="7"/>
        <v/>
      </c>
    </row>
    <row r="485" spans="1:1" x14ac:dyDescent="0.25">
      <c r="A485" s="216" t="str">
        <f t="shared" si="7"/>
        <v/>
      </c>
    </row>
    <row r="486" spans="1:1" x14ac:dyDescent="0.25">
      <c r="A486" s="216" t="str">
        <f t="shared" si="7"/>
        <v/>
      </c>
    </row>
    <row r="487" spans="1:1" x14ac:dyDescent="0.25">
      <c r="A487" s="216" t="str">
        <f t="shared" si="7"/>
        <v/>
      </c>
    </row>
    <row r="488" spans="1:1" x14ac:dyDescent="0.25">
      <c r="A488" s="216" t="str">
        <f t="shared" si="7"/>
        <v/>
      </c>
    </row>
    <row r="489" spans="1:1" x14ac:dyDescent="0.25">
      <c r="A489" s="216" t="str">
        <f t="shared" si="7"/>
        <v/>
      </c>
    </row>
    <row r="490" spans="1:1" x14ac:dyDescent="0.25">
      <c r="A490" s="216" t="str">
        <f t="shared" si="7"/>
        <v/>
      </c>
    </row>
    <row r="491" spans="1:1" x14ac:dyDescent="0.25">
      <c r="A491" s="216" t="str">
        <f t="shared" si="7"/>
        <v/>
      </c>
    </row>
    <row r="492" spans="1:1" x14ac:dyDescent="0.25">
      <c r="A492" s="216" t="str">
        <f t="shared" si="7"/>
        <v/>
      </c>
    </row>
    <row r="493" spans="1:1" x14ac:dyDescent="0.25">
      <c r="A493" s="216" t="str">
        <f t="shared" si="7"/>
        <v/>
      </c>
    </row>
    <row r="494" spans="1:1" x14ac:dyDescent="0.25">
      <c r="A494" s="216" t="str">
        <f t="shared" si="7"/>
        <v/>
      </c>
    </row>
    <row r="495" spans="1:1" x14ac:dyDescent="0.25">
      <c r="A495" s="216" t="str">
        <f t="shared" si="7"/>
        <v/>
      </c>
    </row>
    <row r="496" spans="1:1" x14ac:dyDescent="0.25">
      <c r="A496" s="216" t="str">
        <f t="shared" si="7"/>
        <v/>
      </c>
    </row>
    <row r="497" spans="1:1" x14ac:dyDescent="0.25">
      <c r="A497" s="216" t="str">
        <f t="shared" si="7"/>
        <v/>
      </c>
    </row>
    <row r="498" spans="1:1" x14ac:dyDescent="0.25">
      <c r="A498" s="216" t="str">
        <f t="shared" si="7"/>
        <v/>
      </c>
    </row>
    <row r="499" spans="1:1" x14ac:dyDescent="0.25">
      <c r="A499" s="216" t="str">
        <f t="shared" si="7"/>
        <v/>
      </c>
    </row>
    <row r="500" spans="1:1" x14ac:dyDescent="0.25">
      <c r="A500" s="216" t="str">
        <f t="shared" si="7"/>
        <v/>
      </c>
    </row>
    <row r="501" spans="1:1" x14ac:dyDescent="0.25">
      <c r="A501" s="216" t="str">
        <f t="shared" si="7"/>
        <v/>
      </c>
    </row>
    <row r="502" spans="1:1" x14ac:dyDescent="0.25">
      <c r="A502" s="216" t="str">
        <f t="shared" si="7"/>
        <v/>
      </c>
    </row>
    <row r="503" spans="1:1" x14ac:dyDescent="0.25">
      <c r="A503" s="216" t="str">
        <f t="shared" si="7"/>
        <v/>
      </c>
    </row>
    <row r="504" spans="1:1" x14ac:dyDescent="0.25">
      <c r="A504" s="216" t="str">
        <f t="shared" si="7"/>
        <v/>
      </c>
    </row>
    <row r="505" spans="1:1" x14ac:dyDescent="0.25">
      <c r="A505" s="216" t="str">
        <f t="shared" si="7"/>
        <v/>
      </c>
    </row>
    <row r="506" spans="1:1" x14ac:dyDescent="0.25">
      <c r="A506" s="216" t="str">
        <f t="shared" si="7"/>
        <v/>
      </c>
    </row>
    <row r="507" spans="1:1" x14ac:dyDescent="0.25">
      <c r="A507" s="216" t="str">
        <f t="shared" si="7"/>
        <v/>
      </c>
    </row>
    <row r="508" spans="1:1" x14ac:dyDescent="0.25">
      <c r="A508" s="216" t="str">
        <f t="shared" si="7"/>
        <v/>
      </c>
    </row>
    <row r="509" spans="1:1" x14ac:dyDescent="0.25">
      <c r="A509" s="216" t="str">
        <f t="shared" si="7"/>
        <v/>
      </c>
    </row>
    <row r="510" spans="1:1" x14ac:dyDescent="0.25">
      <c r="A510" s="216" t="str">
        <f t="shared" si="7"/>
        <v/>
      </c>
    </row>
    <row r="511" spans="1:1" x14ac:dyDescent="0.25">
      <c r="A511" s="216" t="str">
        <f t="shared" si="7"/>
        <v/>
      </c>
    </row>
    <row r="512" spans="1:1" x14ac:dyDescent="0.25">
      <c r="A512" s="216" t="str">
        <f t="shared" si="7"/>
        <v/>
      </c>
    </row>
    <row r="513" spans="1:1" x14ac:dyDescent="0.25">
      <c r="A513" s="216" t="str">
        <f t="shared" si="7"/>
        <v/>
      </c>
    </row>
    <row r="514" spans="1:1" x14ac:dyDescent="0.25">
      <c r="A514" s="216" t="str">
        <f t="shared" si="7"/>
        <v/>
      </c>
    </row>
    <row r="515" spans="1:1" x14ac:dyDescent="0.25">
      <c r="A515" s="216" t="str">
        <f t="shared" si="7"/>
        <v/>
      </c>
    </row>
    <row r="516" spans="1:1" x14ac:dyDescent="0.25">
      <c r="A516" s="216" t="str">
        <f t="shared" ref="A516:A579" si="8">IF(B516&lt;&gt;"",A515+1,"")</f>
        <v/>
      </c>
    </row>
    <row r="517" spans="1:1" x14ac:dyDescent="0.25">
      <c r="A517" s="216" t="str">
        <f t="shared" si="8"/>
        <v/>
      </c>
    </row>
    <row r="518" spans="1:1" x14ac:dyDescent="0.25">
      <c r="A518" s="216" t="str">
        <f t="shared" si="8"/>
        <v/>
      </c>
    </row>
    <row r="519" spans="1:1" x14ac:dyDescent="0.25">
      <c r="A519" s="216" t="str">
        <f t="shared" si="8"/>
        <v/>
      </c>
    </row>
    <row r="520" spans="1:1" x14ac:dyDescent="0.25">
      <c r="A520" s="216" t="str">
        <f t="shared" si="8"/>
        <v/>
      </c>
    </row>
    <row r="521" spans="1:1" x14ac:dyDescent="0.25">
      <c r="A521" s="216" t="str">
        <f t="shared" si="8"/>
        <v/>
      </c>
    </row>
    <row r="522" spans="1:1" x14ac:dyDescent="0.25">
      <c r="A522" s="216" t="str">
        <f t="shared" si="8"/>
        <v/>
      </c>
    </row>
    <row r="523" spans="1:1" x14ac:dyDescent="0.25">
      <c r="A523" s="216" t="str">
        <f t="shared" si="8"/>
        <v/>
      </c>
    </row>
    <row r="524" spans="1:1" x14ac:dyDescent="0.25">
      <c r="A524" s="216" t="str">
        <f t="shared" si="8"/>
        <v/>
      </c>
    </row>
    <row r="525" spans="1:1" x14ac:dyDescent="0.25">
      <c r="A525" s="216" t="str">
        <f t="shared" si="8"/>
        <v/>
      </c>
    </row>
    <row r="526" spans="1:1" x14ac:dyDescent="0.25">
      <c r="A526" s="216" t="str">
        <f t="shared" si="8"/>
        <v/>
      </c>
    </row>
    <row r="527" spans="1:1" x14ac:dyDescent="0.25">
      <c r="A527" s="216" t="str">
        <f t="shared" si="8"/>
        <v/>
      </c>
    </row>
    <row r="528" spans="1:1" x14ac:dyDescent="0.25">
      <c r="A528" s="216" t="str">
        <f t="shared" si="8"/>
        <v/>
      </c>
    </row>
    <row r="529" spans="1:1" x14ac:dyDescent="0.25">
      <c r="A529" s="216" t="str">
        <f t="shared" si="8"/>
        <v/>
      </c>
    </row>
    <row r="530" spans="1:1" x14ac:dyDescent="0.25">
      <c r="A530" s="216" t="str">
        <f t="shared" si="8"/>
        <v/>
      </c>
    </row>
    <row r="531" spans="1:1" x14ac:dyDescent="0.25">
      <c r="A531" s="216" t="str">
        <f t="shared" si="8"/>
        <v/>
      </c>
    </row>
    <row r="532" spans="1:1" x14ac:dyDescent="0.25">
      <c r="A532" s="216" t="str">
        <f t="shared" si="8"/>
        <v/>
      </c>
    </row>
    <row r="533" spans="1:1" x14ac:dyDescent="0.25">
      <c r="A533" s="216" t="str">
        <f t="shared" si="8"/>
        <v/>
      </c>
    </row>
    <row r="534" spans="1:1" x14ac:dyDescent="0.25">
      <c r="A534" s="216" t="str">
        <f t="shared" si="8"/>
        <v/>
      </c>
    </row>
    <row r="535" spans="1:1" x14ac:dyDescent="0.25">
      <c r="A535" s="216" t="str">
        <f t="shared" si="8"/>
        <v/>
      </c>
    </row>
    <row r="536" spans="1:1" x14ac:dyDescent="0.25">
      <c r="A536" s="216" t="str">
        <f t="shared" si="8"/>
        <v/>
      </c>
    </row>
    <row r="537" spans="1:1" x14ac:dyDescent="0.25">
      <c r="A537" s="216" t="str">
        <f t="shared" si="8"/>
        <v/>
      </c>
    </row>
    <row r="538" spans="1:1" x14ac:dyDescent="0.25">
      <c r="A538" s="216" t="str">
        <f t="shared" si="8"/>
        <v/>
      </c>
    </row>
    <row r="539" spans="1:1" x14ac:dyDescent="0.25">
      <c r="A539" s="216" t="str">
        <f t="shared" si="8"/>
        <v/>
      </c>
    </row>
    <row r="540" spans="1:1" x14ac:dyDescent="0.25">
      <c r="A540" s="216" t="str">
        <f t="shared" si="8"/>
        <v/>
      </c>
    </row>
    <row r="541" spans="1:1" x14ac:dyDescent="0.25">
      <c r="A541" s="216" t="str">
        <f t="shared" si="8"/>
        <v/>
      </c>
    </row>
    <row r="542" spans="1:1" x14ac:dyDescent="0.25">
      <c r="A542" s="216" t="str">
        <f t="shared" si="8"/>
        <v/>
      </c>
    </row>
    <row r="543" spans="1:1" x14ac:dyDescent="0.25">
      <c r="A543" s="216" t="str">
        <f t="shared" si="8"/>
        <v/>
      </c>
    </row>
    <row r="544" spans="1:1" x14ac:dyDescent="0.25">
      <c r="A544" s="216" t="str">
        <f t="shared" si="8"/>
        <v/>
      </c>
    </row>
    <row r="545" spans="1:1" x14ac:dyDescent="0.25">
      <c r="A545" s="216" t="str">
        <f t="shared" si="8"/>
        <v/>
      </c>
    </row>
    <row r="546" spans="1:1" x14ac:dyDescent="0.25">
      <c r="A546" s="216" t="str">
        <f t="shared" si="8"/>
        <v/>
      </c>
    </row>
    <row r="547" spans="1:1" x14ac:dyDescent="0.25">
      <c r="A547" s="216" t="str">
        <f t="shared" si="8"/>
        <v/>
      </c>
    </row>
    <row r="548" spans="1:1" x14ac:dyDescent="0.25">
      <c r="A548" s="216" t="str">
        <f t="shared" si="8"/>
        <v/>
      </c>
    </row>
    <row r="549" spans="1:1" x14ac:dyDescent="0.25">
      <c r="A549" s="216" t="str">
        <f t="shared" si="8"/>
        <v/>
      </c>
    </row>
    <row r="550" spans="1:1" x14ac:dyDescent="0.25">
      <c r="A550" s="216" t="str">
        <f t="shared" si="8"/>
        <v/>
      </c>
    </row>
    <row r="551" spans="1:1" x14ac:dyDescent="0.25">
      <c r="A551" s="216" t="str">
        <f t="shared" si="8"/>
        <v/>
      </c>
    </row>
    <row r="552" spans="1:1" x14ac:dyDescent="0.25">
      <c r="A552" s="216" t="str">
        <f t="shared" si="8"/>
        <v/>
      </c>
    </row>
    <row r="553" spans="1:1" x14ac:dyDescent="0.25">
      <c r="A553" s="216" t="str">
        <f t="shared" si="8"/>
        <v/>
      </c>
    </row>
    <row r="554" spans="1:1" x14ac:dyDescent="0.25">
      <c r="A554" s="216" t="str">
        <f t="shared" si="8"/>
        <v/>
      </c>
    </row>
    <row r="555" spans="1:1" x14ac:dyDescent="0.25">
      <c r="A555" s="216" t="str">
        <f t="shared" si="8"/>
        <v/>
      </c>
    </row>
    <row r="556" spans="1:1" x14ac:dyDescent="0.25">
      <c r="A556" s="216" t="str">
        <f t="shared" si="8"/>
        <v/>
      </c>
    </row>
    <row r="557" spans="1:1" x14ac:dyDescent="0.25">
      <c r="A557" s="216" t="str">
        <f t="shared" si="8"/>
        <v/>
      </c>
    </row>
    <row r="558" spans="1:1" x14ac:dyDescent="0.25">
      <c r="A558" s="216" t="str">
        <f t="shared" si="8"/>
        <v/>
      </c>
    </row>
    <row r="559" spans="1:1" x14ac:dyDescent="0.25">
      <c r="A559" s="216" t="str">
        <f t="shared" si="8"/>
        <v/>
      </c>
    </row>
    <row r="560" spans="1:1" x14ac:dyDescent="0.25">
      <c r="A560" s="216" t="str">
        <f t="shared" si="8"/>
        <v/>
      </c>
    </row>
    <row r="561" spans="1:1" x14ac:dyDescent="0.25">
      <c r="A561" s="216" t="str">
        <f t="shared" si="8"/>
        <v/>
      </c>
    </row>
    <row r="562" spans="1:1" x14ac:dyDescent="0.25">
      <c r="A562" s="216" t="str">
        <f t="shared" si="8"/>
        <v/>
      </c>
    </row>
    <row r="563" spans="1:1" x14ac:dyDescent="0.25">
      <c r="A563" s="216" t="str">
        <f t="shared" si="8"/>
        <v/>
      </c>
    </row>
    <row r="564" spans="1:1" x14ac:dyDescent="0.25">
      <c r="A564" s="216" t="str">
        <f t="shared" si="8"/>
        <v/>
      </c>
    </row>
    <row r="565" spans="1:1" x14ac:dyDescent="0.25">
      <c r="A565" s="216" t="str">
        <f t="shared" si="8"/>
        <v/>
      </c>
    </row>
    <row r="566" spans="1:1" x14ac:dyDescent="0.25">
      <c r="A566" s="216" t="str">
        <f t="shared" si="8"/>
        <v/>
      </c>
    </row>
    <row r="567" spans="1:1" x14ac:dyDescent="0.25">
      <c r="A567" s="216" t="str">
        <f t="shared" si="8"/>
        <v/>
      </c>
    </row>
    <row r="568" spans="1:1" x14ac:dyDescent="0.25">
      <c r="A568" s="216" t="str">
        <f t="shared" si="8"/>
        <v/>
      </c>
    </row>
    <row r="569" spans="1:1" x14ac:dyDescent="0.25">
      <c r="A569" s="216" t="str">
        <f t="shared" si="8"/>
        <v/>
      </c>
    </row>
    <row r="570" spans="1:1" x14ac:dyDescent="0.25">
      <c r="A570" s="216" t="str">
        <f t="shared" si="8"/>
        <v/>
      </c>
    </row>
    <row r="571" spans="1:1" x14ac:dyDescent="0.25">
      <c r="A571" s="216" t="str">
        <f t="shared" si="8"/>
        <v/>
      </c>
    </row>
    <row r="572" spans="1:1" x14ac:dyDescent="0.25">
      <c r="A572" s="216" t="str">
        <f t="shared" si="8"/>
        <v/>
      </c>
    </row>
    <row r="573" spans="1:1" x14ac:dyDescent="0.25">
      <c r="A573" s="216" t="str">
        <f t="shared" si="8"/>
        <v/>
      </c>
    </row>
    <row r="574" spans="1:1" x14ac:dyDescent="0.25">
      <c r="A574" s="216" t="str">
        <f t="shared" si="8"/>
        <v/>
      </c>
    </row>
    <row r="575" spans="1:1" x14ac:dyDescent="0.25">
      <c r="A575" s="216" t="str">
        <f t="shared" si="8"/>
        <v/>
      </c>
    </row>
    <row r="576" spans="1:1" x14ac:dyDescent="0.25">
      <c r="A576" s="216" t="str">
        <f t="shared" si="8"/>
        <v/>
      </c>
    </row>
    <row r="577" spans="1:1" x14ac:dyDescent="0.25">
      <c r="A577" s="216" t="str">
        <f t="shared" si="8"/>
        <v/>
      </c>
    </row>
    <row r="578" spans="1:1" x14ac:dyDescent="0.25">
      <c r="A578" s="216" t="str">
        <f t="shared" si="8"/>
        <v/>
      </c>
    </row>
    <row r="579" spans="1:1" x14ac:dyDescent="0.25">
      <c r="A579" s="216" t="str">
        <f t="shared" si="8"/>
        <v/>
      </c>
    </row>
    <row r="580" spans="1:1" x14ac:dyDescent="0.25">
      <c r="A580" s="216" t="str">
        <f t="shared" ref="A580:A643" si="9">IF(B580&lt;&gt;"",A579+1,"")</f>
        <v/>
      </c>
    </row>
    <row r="581" spans="1:1" x14ac:dyDescent="0.25">
      <c r="A581" s="216" t="str">
        <f t="shared" si="9"/>
        <v/>
      </c>
    </row>
    <row r="582" spans="1:1" x14ac:dyDescent="0.25">
      <c r="A582" s="216" t="str">
        <f t="shared" si="9"/>
        <v/>
      </c>
    </row>
    <row r="583" spans="1:1" x14ac:dyDescent="0.25">
      <c r="A583" s="216" t="str">
        <f t="shared" si="9"/>
        <v/>
      </c>
    </row>
    <row r="584" spans="1:1" x14ac:dyDescent="0.25">
      <c r="A584" s="216" t="str">
        <f t="shared" si="9"/>
        <v/>
      </c>
    </row>
    <row r="585" spans="1:1" x14ac:dyDescent="0.25">
      <c r="A585" s="216" t="str">
        <f t="shared" si="9"/>
        <v/>
      </c>
    </row>
    <row r="586" spans="1:1" x14ac:dyDescent="0.25">
      <c r="A586" s="216" t="str">
        <f t="shared" si="9"/>
        <v/>
      </c>
    </row>
    <row r="587" spans="1:1" x14ac:dyDescent="0.25">
      <c r="A587" s="216" t="str">
        <f t="shared" si="9"/>
        <v/>
      </c>
    </row>
    <row r="588" spans="1:1" x14ac:dyDescent="0.25">
      <c r="A588" s="216" t="str">
        <f t="shared" si="9"/>
        <v/>
      </c>
    </row>
    <row r="589" spans="1:1" x14ac:dyDescent="0.25">
      <c r="A589" s="216" t="str">
        <f t="shared" si="9"/>
        <v/>
      </c>
    </row>
    <row r="590" spans="1:1" x14ac:dyDescent="0.25">
      <c r="A590" s="216" t="str">
        <f t="shared" si="9"/>
        <v/>
      </c>
    </row>
    <row r="591" spans="1:1" x14ac:dyDescent="0.25">
      <c r="A591" s="216" t="str">
        <f t="shared" si="9"/>
        <v/>
      </c>
    </row>
    <row r="592" spans="1:1" x14ac:dyDescent="0.25">
      <c r="A592" s="216" t="str">
        <f t="shared" si="9"/>
        <v/>
      </c>
    </row>
    <row r="593" spans="1:1" x14ac:dyDescent="0.25">
      <c r="A593" s="216" t="str">
        <f t="shared" si="9"/>
        <v/>
      </c>
    </row>
    <row r="594" spans="1:1" x14ac:dyDescent="0.25">
      <c r="A594" s="216" t="str">
        <f t="shared" si="9"/>
        <v/>
      </c>
    </row>
    <row r="595" spans="1:1" x14ac:dyDescent="0.25">
      <c r="A595" s="216" t="str">
        <f t="shared" si="9"/>
        <v/>
      </c>
    </row>
    <row r="596" spans="1:1" x14ac:dyDescent="0.25">
      <c r="A596" s="216" t="str">
        <f t="shared" si="9"/>
        <v/>
      </c>
    </row>
    <row r="597" spans="1:1" x14ac:dyDescent="0.25">
      <c r="A597" s="216" t="str">
        <f t="shared" si="9"/>
        <v/>
      </c>
    </row>
    <row r="598" spans="1:1" x14ac:dyDescent="0.25">
      <c r="A598" s="216" t="str">
        <f t="shared" si="9"/>
        <v/>
      </c>
    </row>
    <row r="599" spans="1:1" x14ac:dyDescent="0.25">
      <c r="A599" s="216" t="str">
        <f t="shared" si="9"/>
        <v/>
      </c>
    </row>
    <row r="600" spans="1:1" x14ac:dyDescent="0.25">
      <c r="A600" s="216" t="str">
        <f t="shared" si="9"/>
        <v/>
      </c>
    </row>
    <row r="601" spans="1:1" x14ac:dyDescent="0.25">
      <c r="A601" s="216" t="str">
        <f t="shared" si="9"/>
        <v/>
      </c>
    </row>
    <row r="602" spans="1:1" x14ac:dyDescent="0.25">
      <c r="A602" s="216" t="str">
        <f t="shared" si="9"/>
        <v/>
      </c>
    </row>
    <row r="603" spans="1:1" x14ac:dyDescent="0.25">
      <c r="A603" s="216" t="str">
        <f t="shared" si="9"/>
        <v/>
      </c>
    </row>
    <row r="604" spans="1:1" x14ac:dyDescent="0.25">
      <c r="A604" s="216" t="str">
        <f t="shared" si="9"/>
        <v/>
      </c>
    </row>
    <row r="605" spans="1:1" x14ac:dyDescent="0.25">
      <c r="A605" s="216" t="str">
        <f t="shared" si="9"/>
        <v/>
      </c>
    </row>
    <row r="606" spans="1:1" x14ac:dyDescent="0.25">
      <c r="A606" s="216" t="str">
        <f t="shared" si="9"/>
        <v/>
      </c>
    </row>
    <row r="607" spans="1:1" x14ac:dyDescent="0.25">
      <c r="A607" s="216" t="str">
        <f t="shared" si="9"/>
        <v/>
      </c>
    </row>
    <row r="608" spans="1:1" x14ac:dyDescent="0.25">
      <c r="A608" s="216" t="str">
        <f t="shared" si="9"/>
        <v/>
      </c>
    </row>
    <row r="609" spans="1:1" x14ac:dyDescent="0.25">
      <c r="A609" s="216" t="str">
        <f t="shared" si="9"/>
        <v/>
      </c>
    </row>
    <row r="610" spans="1:1" x14ac:dyDescent="0.25">
      <c r="A610" s="216" t="str">
        <f t="shared" si="9"/>
        <v/>
      </c>
    </row>
    <row r="611" spans="1:1" x14ac:dyDescent="0.25">
      <c r="A611" s="216" t="str">
        <f t="shared" si="9"/>
        <v/>
      </c>
    </row>
    <row r="612" spans="1:1" x14ac:dyDescent="0.25">
      <c r="A612" s="216" t="str">
        <f t="shared" si="9"/>
        <v/>
      </c>
    </row>
    <row r="613" spans="1:1" x14ac:dyDescent="0.25">
      <c r="A613" s="216" t="str">
        <f t="shared" si="9"/>
        <v/>
      </c>
    </row>
    <row r="614" spans="1:1" x14ac:dyDescent="0.25">
      <c r="A614" s="216" t="str">
        <f t="shared" si="9"/>
        <v/>
      </c>
    </row>
    <row r="615" spans="1:1" x14ac:dyDescent="0.25">
      <c r="A615" s="216" t="str">
        <f t="shared" si="9"/>
        <v/>
      </c>
    </row>
    <row r="616" spans="1:1" x14ac:dyDescent="0.25">
      <c r="A616" s="216" t="str">
        <f t="shared" si="9"/>
        <v/>
      </c>
    </row>
    <row r="617" spans="1:1" x14ac:dyDescent="0.25">
      <c r="A617" s="216" t="str">
        <f t="shared" si="9"/>
        <v/>
      </c>
    </row>
    <row r="618" spans="1:1" x14ac:dyDescent="0.25">
      <c r="A618" s="216" t="str">
        <f t="shared" si="9"/>
        <v/>
      </c>
    </row>
    <row r="619" spans="1:1" x14ac:dyDescent="0.25">
      <c r="A619" s="216" t="str">
        <f t="shared" si="9"/>
        <v/>
      </c>
    </row>
    <row r="620" spans="1:1" x14ac:dyDescent="0.25">
      <c r="A620" s="216" t="str">
        <f t="shared" si="9"/>
        <v/>
      </c>
    </row>
    <row r="621" spans="1:1" x14ac:dyDescent="0.25">
      <c r="A621" s="216" t="str">
        <f t="shared" si="9"/>
        <v/>
      </c>
    </row>
    <row r="622" spans="1:1" x14ac:dyDescent="0.25">
      <c r="A622" s="216" t="str">
        <f t="shared" si="9"/>
        <v/>
      </c>
    </row>
    <row r="623" spans="1:1" x14ac:dyDescent="0.25">
      <c r="A623" s="216" t="str">
        <f t="shared" si="9"/>
        <v/>
      </c>
    </row>
    <row r="624" spans="1:1" x14ac:dyDescent="0.25">
      <c r="A624" s="216" t="str">
        <f t="shared" si="9"/>
        <v/>
      </c>
    </row>
    <row r="625" spans="1:1" x14ac:dyDescent="0.25">
      <c r="A625" s="216" t="str">
        <f t="shared" si="9"/>
        <v/>
      </c>
    </row>
    <row r="626" spans="1:1" x14ac:dyDescent="0.25">
      <c r="A626" s="216" t="str">
        <f t="shared" si="9"/>
        <v/>
      </c>
    </row>
    <row r="627" spans="1:1" x14ac:dyDescent="0.25">
      <c r="A627" s="216" t="str">
        <f t="shared" si="9"/>
        <v/>
      </c>
    </row>
    <row r="628" spans="1:1" x14ac:dyDescent="0.25">
      <c r="A628" s="216" t="str">
        <f t="shared" si="9"/>
        <v/>
      </c>
    </row>
    <row r="629" spans="1:1" x14ac:dyDescent="0.25">
      <c r="A629" s="216" t="str">
        <f t="shared" si="9"/>
        <v/>
      </c>
    </row>
    <row r="630" spans="1:1" x14ac:dyDescent="0.25">
      <c r="A630" s="216" t="str">
        <f t="shared" si="9"/>
        <v/>
      </c>
    </row>
    <row r="631" spans="1:1" x14ac:dyDescent="0.25">
      <c r="A631" s="216" t="str">
        <f t="shared" si="9"/>
        <v/>
      </c>
    </row>
    <row r="632" spans="1:1" x14ac:dyDescent="0.25">
      <c r="A632" s="216" t="str">
        <f t="shared" si="9"/>
        <v/>
      </c>
    </row>
    <row r="633" spans="1:1" x14ac:dyDescent="0.25">
      <c r="A633" s="216" t="str">
        <f t="shared" si="9"/>
        <v/>
      </c>
    </row>
    <row r="634" spans="1:1" x14ac:dyDescent="0.25">
      <c r="A634" s="216" t="str">
        <f t="shared" si="9"/>
        <v/>
      </c>
    </row>
    <row r="635" spans="1:1" x14ac:dyDescent="0.25">
      <c r="A635" s="216" t="str">
        <f t="shared" si="9"/>
        <v/>
      </c>
    </row>
    <row r="636" spans="1:1" x14ac:dyDescent="0.25">
      <c r="A636" s="216" t="str">
        <f t="shared" si="9"/>
        <v/>
      </c>
    </row>
    <row r="637" spans="1:1" x14ac:dyDescent="0.25">
      <c r="A637" s="216" t="str">
        <f t="shared" si="9"/>
        <v/>
      </c>
    </row>
    <row r="638" spans="1:1" x14ac:dyDescent="0.25">
      <c r="A638" s="216" t="str">
        <f t="shared" si="9"/>
        <v/>
      </c>
    </row>
    <row r="639" spans="1:1" x14ac:dyDescent="0.25">
      <c r="A639" s="216" t="str">
        <f t="shared" si="9"/>
        <v/>
      </c>
    </row>
    <row r="640" spans="1:1" x14ac:dyDescent="0.25">
      <c r="A640" s="216" t="str">
        <f t="shared" si="9"/>
        <v/>
      </c>
    </row>
    <row r="641" spans="1:1" x14ac:dyDescent="0.25">
      <c r="A641" s="216" t="str">
        <f t="shared" si="9"/>
        <v/>
      </c>
    </row>
    <row r="642" spans="1:1" x14ac:dyDescent="0.25">
      <c r="A642" s="216" t="str">
        <f t="shared" si="9"/>
        <v/>
      </c>
    </row>
    <row r="643" spans="1:1" x14ac:dyDescent="0.25">
      <c r="A643" s="216" t="str">
        <f t="shared" si="9"/>
        <v/>
      </c>
    </row>
    <row r="644" spans="1:1" x14ac:dyDescent="0.25">
      <c r="A644" s="216" t="str">
        <f t="shared" ref="A644:A707" si="10">IF(B644&lt;&gt;"",A643+1,"")</f>
        <v/>
      </c>
    </row>
    <row r="645" spans="1:1" x14ac:dyDescent="0.25">
      <c r="A645" s="216" t="str">
        <f t="shared" si="10"/>
        <v/>
      </c>
    </row>
    <row r="646" spans="1:1" x14ac:dyDescent="0.25">
      <c r="A646" s="216" t="str">
        <f t="shared" si="10"/>
        <v/>
      </c>
    </row>
    <row r="647" spans="1:1" x14ac:dyDescent="0.25">
      <c r="A647" s="216" t="str">
        <f t="shared" si="10"/>
        <v/>
      </c>
    </row>
    <row r="648" spans="1:1" x14ac:dyDescent="0.25">
      <c r="A648" s="216" t="str">
        <f t="shared" si="10"/>
        <v/>
      </c>
    </row>
    <row r="649" spans="1:1" x14ac:dyDescent="0.25">
      <c r="A649" s="216" t="str">
        <f t="shared" si="10"/>
        <v/>
      </c>
    </row>
    <row r="650" spans="1:1" x14ac:dyDescent="0.25">
      <c r="A650" s="216" t="str">
        <f t="shared" si="10"/>
        <v/>
      </c>
    </row>
    <row r="651" spans="1:1" x14ac:dyDescent="0.25">
      <c r="A651" s="216" t="str">
        <f t="shared" si="10"/>
        <v/>
      </c>
    </row>
    <row r="652" spans="1:1" x14ac:dyDescent="0.25">
      <c r="A652" s="216" t="str">
        <f t="shared" si="10"/>
        <v/>
      </c>
    </row>
    <row r="653" spans="1:1" x14ac:dyDescent="0.25">
      <c r="A653" s="216" t="str">
        <f t="shared" si="10"/>
        <v/>
      </c>
    </row>
    <row r="654" spans="1:1" x14ac:dyDescent="0.25">
      <c r="A654" s="216" t="str">
        <f t="shared" si="10"/>
        <v/>
      </c>
    </row>
    <row r="655" spans="1:1" x14ac:dyDescent="0.25">
      <c r="A655" s="216" t="str">
        <f t="shared" si="10"/>
        <v/>
      </c>
    </row>
    <row r="656" spans="1:1" x14ac:dyDescent="0.25">
      <c r="A656" s="216" t="str">
        <f t="shared" si="10"/>
        <v/>
      </c>
    </row>
    <row r="657" spans="1:1" x14ac:dyDescent="0.25">
      <c r="A657" s="216" t="str">
        <f t="shared" si="10"/>
        <v/>
      </c>
    </row>
    <row r="658" spans="1:1" x14ac:dyDescent="0.25">
      <c r="A658" s="216" t="str">
        <f t="shared" si="10"/>
        <v/>
      </c>
    </row>
    <row r="659" spans="1:1" x14ac:dyDescent="0.25">
      <c r="A659" s="216" t="str">
        <f t="shared" si="10"/>
        <v/>
      </c>
    </row>
    <row r="660" spans="1:1" x14ac:dyDescent="0.25">
      <c r="A660" s="216" t="str">
        <f t="shared" si="10"/>
        <v/>
      </c>
    </row>
    <row r="661" spans="1:1" x14ac:dyDescent="0.25">
      <c r="A661" s="216" t="str">
        <f t="shared" si="10"/>
        <v/>
      </c>
    </row>
    <row r="662" spans="1:1" x14ac:dyDescent="0.25">
      <c r="A662" s="216" t="str">
        <f t="shared" si="10"/>
        <v/>
      </c>
    </row>
    <row r="663" spans="1:1" x14ac:dyDescent="0.25">
      <c r="A663" s="216" t="str">
        <f t="shared" si="10"/>
        <v/>
      </c>
    </row>
    <row r="664" spans="1:1" x14ac:dyDescent="0.25">
      <c r="A664" s="216" t="str">
        <f t="shared" si="10"/>
        <v/>
      </c>
    </row>
    <row r="665" spans="1:1" x14ac:dyDescent="0.25">
      <c r="A665" s="216" t="str">
        <f t="shared" si="10"/>
        <v/>
      </c>
    </row>
    <row r="666" spans="1:1" x14ac:dyDescent="0.25">
      <c r="A666" s="216" t="str">
        <f t="shared" si="10"/>
        <v/>
      </c>
    </row>
    <row r="667" spans="1:1" x14ac:dyDescent="0.25">
      <c r="A667" s="216" t="str">
        <f t="shared" si="10"/>
        <v/>
      </c>
    </row>
    <row r="668" spans="1:1" x14ac:dyDescent="0.25">
      <c r="A668" s="216" t="str">
        <f t="shared" si="10"/>
        <v/>
      </c>
    </row>
    <row r="669" spans="1:1" x14ac:dyDescent="0.25">
      <c r="A669" s="216" t="str">
        <f t="shared" si="10"/>
        <v/>
      </c>
    </row>
    <row r="670" spans="1:1" x14ac:dyDescent="0.25">
      <c r="A670" s="216" t="str">
        <f t="shared" si="10"/>
        <v/>
      </c>
    </row>
    <row r="671" spans="1:1" x14ac:dyDescent="0.25">
      <c r="A671" s="216" t="str">
        <f t="shared" si="10"/>
        <v/>
      </c>
    </row>
    <row r="672" spans="1:1" x14ac:dyDescent="0.25">
      <c r="A672" s="216" t="str">
        <f t="shared" si="10"/>
        <v/>
      </c>
    </row>
    <row r="673" spans="1:1" x14ac:dyDescent="0.25">
      <c r="A673" s="216" t="str">
        <f t="shared" si="10"/>
        <v/>
      </c>
    </row>
    <row r="674" spans="1:1" x14ac:dyDescent="0.25">
      <c r="A674" s="216" t="str">
        <f t="shared" si="10"/>
        <v/>
      </c>
    </row>
    <row r="675" spans="1:1" x14ac:dyDescent="0.25">
      <c r="A675" s="216" t="str">
        <f t="shared" si="10"/>
        <v/>
      </c>
    </row>
    <row r="676" spans="1:1" x14ac:dyDescent="0.25">
      <c r="A676" s="216" t="str">
        <f t="shared" si="10"/>
        <v/>
      </c>
    </row>
    <row r="677" spans="1:1" x14ac:dyDescent="0.25">
      <c r="A677" s="216" t="str">
        <f t="shared" si="10"/>
        <v/>
      </c>
    </row>
    <row r="678" spans="1:1" x14ac:dyDescent="0.25">
      <c r="A678" s="216" t="str">
        <f t="shared" si="10"/>
        <v/>
      </c>
    </row>
    <row r="679" spans="1:1" x14ac:dyDescent="0.25">
      <c r="A679" s="216" t="str">
        <f t="shared" si="10"/>
        <v/>
      </c>
    </row>
    <row r="680" spans="1:1" x14ac:dyDescent="0.25">
      <c r="A680" s="216" t="str">
        <f t="shared" si="10"/>
        <v/>
      </c>
    </row>
    <row r="681" spans="1:1" x14ac:dyDescent="0.25">
      <c r="A681" s="216" t="str">
        <f t="shared" si="10"/>
        <v/>
      </c>
    </row>
    <row r="682" spans="1:1" x14ac:dyDescent="0.25">
      <c r="A682" s="216" t="str">
        <f t="shared" si="10"/>
        <v/>
      </c>
    </row>
    <row r="683" spans="1:1" x14ac:dyDescent="0.25">
      <c r="A683" s="216" t="str">
        <f t="shared" si="10"/>
        <v/>
      </c>
    </row>
    <row r="684" spans="1:1" x14ac:dyDescent="0.25">
      <c r="A684" s="216" t="str">
        <f t="shared" si="10"/>
        <v/>
      </c>
    </row>
    <row r="685" spans="1:1" x14ac:dyDescent="0.25">
      <c r="A685" s="216" t="str">
        <f t="shared" si="10"/>
        <v/>
      </c>
    </row>
    <row r="686" spans="1:1" x14ac:dyDescent="0.25">
      <c r="A686" s="216" t="str">
        <f t="shared" si="10"/>
        <v/>
      </c>
    </row>
    <row r="687" spans="1:1" x14ac:dyDescent="0.25">
      <c r="A687" s="216" t="str">
        <f t="shared" si="10"/>
        <v/>
      </c>
    </row>
    <row r="688" spans="1:1" x14ac:dyDescent="0.25">
      <c r="A688" s="216" t="str">
        <f t="shared" si="10"/>
        <v/>
      </c>
    </row>
    <row r="689" spans="1:1" x14ac:dyDescent="0.25">
      <c r="A689" s="216" t="str">
        <f t="shared" si="10"/>
        <v/>
      </c>
    </row>
    <row r="690" spans="1:1" x14ac:dyDescent="0.25">
      <c r="A690" s="216" t="str">
        <f t="shared" si="10"/>
        <v/>
      </c>
    </row>
    <row r="691" spans="1:1" x14ac:dyDescent="0.25">
      <c r="A691" s="216" t="str">
        <f t="shared" si="10"/>
        <v/>
      </c>
    </row>
    <row r="692" spans="1:1" x14ac:dyDescent="0.25">
      <c r="A692" s="216" t="str">
        <f t="shared" si="10"/>
        <v/>
      </c>
    </row>
    <row r="693" spans="1:1" x14ac:dyDescent="0.25">
      <c r="A693" s="216" t="str">
        <f t="shared" si="10"/>
        <v/>
      </c>
    </row>
    <row r="694" spans="1:1" x14ac:dyDescent="0.25">
      <c r="A694" s="216" t="str">
        <f t="shared" si="10"/>
        <v/>
      </c>
    </row>
    <row r="695" spans="1:1" x14ac:dyDescent="0.25">
      <c r="A695" s="216" t="str">
        <f t="shared" si="10"/>
        <v/>
      </c>
    </row>
    <row r="696" spans="1:1" x14ac:dyDescent="0.25">
      <c r="A696" s="216" t="str">
        <f t="shared" si="10"/>
        <v/>
      </c>
    </row>
    <row r="697" spans="1:1" x14ac:dyDescent="0.25">
      <c r="A697" s="216" t="str">
        <f t="shared" si="10"/>
        <v/>
      </c>
    </row>
    <row r="698" spans="1:1" x14ac:dyDescent="0.25">
      <c r="A698" s="216" t="str">
        <f t="shared" si="10"/>
        <v/>
      </c>
    </row>
    <row r="699" spans="1:1" x14ac:dyDescent="0.25">
      <c r="A699" s="216" t="str">
        <f t="shared" si="10"/>
        <v/>
      </c>
    </row>
    <row r="700" spans="1:1" x14ac:dyDescent="0.25">
      <c r="A700" s="216" t="str">
        <f t="shared" si="10"/>
        <v/>
      </c>
    </row>
    <row r="701" spans="1:1" x14ac:dyDescent="0.25">
      <c r="A701" s="216" t="str">
        <f t="shared" si="10"/>
        <v/>
      </c>
    </row>
    <row r="702" spans="1:1" x14ac:dyDescent="0.25">
      <c r="A702" s="216" t="str">
        <f t="shared" si="10"/>
        <v/>
      </c>
    </row>
    <row r="703" spans="1:1" x14ac:dyDescent="0.25">
      <c r="A703" s="216" t="str">
        <f t="shared" si="10"/>
        <v/>
      </c>
    </row>
    <row r="704" spans="1:1" x14ac:dyDescent="0.25">
      <c r="A704" s="216" t="str">
        <f t="shared" si="10"/>
        <v/>
      </c>
    </row>
    <row r="705" spans="1:1" x14ac:dyDescent="0.25">
      <c r="A705" s="216" t="str">
        <f t="shared" si="10"/>
        <v/>
      </c>
    </row>
    <row r="706" spans="1:1" x14ac:dyDescent="0.25">
      <c r="A706" s="216" t="str">
        <f t="shared" si="10"/>
        <v/>
      </c>
    </row>
    <row r="707" spans="1:1" x14ac:dyDescent="0.25">
      <c r="A707" s="216" t="str">
        <f t="shared" si="10"/>
        <v/>
      </c>
    </row>
    <row r="708" spans="1:1" x14ac:dyDescent="0.25">
      <c r="A708" s="216" t="str">
        <f t="shared" ref="A708:A771" si="11">IF(B708&lt;&gt;"",A707+1,"")</f>
        <v/>
      </c>
    </row>
    <row r="709" spans="1:1" x14ac:dyDescent="0.25">
      <c r="A709" s="216" t="str">
        <f t="shared" si="11"/>
        <v/>
      </c>
    </row>
    <row r="710" spans="1:1" x14ac:dyDescent="0.25">
      <c r="A710" s="216" t="str">
        <f t="shared" si="11"/>
        <v/>
      </c>
    </row>
    <row r="711" spans="1:1" x14ac:dyDescent="0.25">
      <c r="A711" s="216" t="str">
        <f t="shared" si="11"/>
        <v/>
      </c>
    </row>
    <row r="712" spans="1:1" x14ac:dyDescent="0.25">
      <c r="A712" s="216" t="str">
        <f t="shared" si="11"/>
        <v/>
      </c>
    </row>
    <row r="713" spans="1:1" x14ac:dyDescent="0.25">
      <c r="A713" s="216" t="str">
        <f t="shared" si="11"/>
        <v/>
      </c>
    </row>
    <row r="714" spans="1:1" x14ac:dyDescent="0.25">
      <c r="A714" s="216" t="str">
        <f t="shared" si="11"/>
        <v/>
      </c>
    </row>
    <row r="715" spans="1:1" x14ac:dyDescent="0.25">
      <c r="A715" s="216" t="str">
        <f t="shared" si="11"/>
        <v/>
      </c>
    </row>
    <row r="716" spans="1:1" x14ac:dyDescent="0.25">
      <c r="A716" s="216" t="str">
        <f t="shared" si="11"/>
        <v/>
      </c>
    </row>
    <row r="717" spans="1:1" x14ac:dyDescent="0.25">
      <c r="A717" s="216" t="str">
        <f t="shared" si="11"/>
        <v/>
      </c>
    </row>
    <row r="718" spans="1:1" x14ac:dyDescent="0.25">
      <c r="A718" s="216" t="str">
        <f t="shared" si="11"/>
        <v/>
      </c>
    </row>
    <row r="719" spans="1:1" x14ac:dyDescent="0.25">
      <c r="A719" s="216" t="str">
        <f t="shared" si="11"/>
        <v/>
      </c>
    </row>
    <row r="720" spans="1:1" x14ac:dyDescent="0.25">
      <c r="A720" s="216" t="str">
        <f t="shared" si="11"/>
        <v/>
      </c>
    </row>
    <row r="721" spans="1:1" x14ac:dyDescent="0.25">
      <c r="A721" s="216" t="str">
        <f t="shared" si="11"/>
        <v/>
      </c>
    </row>
    <row r="722" spans="1:1" x14ac:dyDescent="0.25">
      <c r="A722" s="216" t="str">
        <f t="shared" si="11"/>
        <v/>
      </c>
    </row>
    <row r="723" spans="1:1" x14ac:dyDescent="0.25">
      <c r="A723" s="216" t="str">
        <f t="shared" si="11"/>
        <v/>
      </c>
    </row>
    <row r="724" spans="1:1" x14ac:dyDescent="0.25">
      <c r="A724" s="216" t="str">
        <f t="shared" si="11"/>
        <v/>
      </c>
    </row>
    <row r="725" spans="1:1" x14ac:dyDescent="0.25">
      <c r="A725" s="216" t="str">
        <f t="shared" si="11"/>
        <v/>
      </c>
    </row>
    <row r="726" spans="1:1" x14ac:dyDescent="0.25">
      <c r="A726" s="216" t="str">
        <f t="shared" si="11"/>
        <v/>
      </c>
    </row>
    <row r="727" spans="1:1" x14ac:dyDescent="0.25">
      <c r="A727" s="216" t="str">
        <f t="shared" si="11"/>
        <v/>
      </c>
    </row>
    <row r="728" spans="1:1" x14ac:dyDescent="0.25">
      <c r="A728" s="216" t="str">
        <f t="shared" si="11"/>
        <v/>
      </c>
    </row>
    <row r="729" spans="1:1" x14ac:dyDescent="0.25">
      <c r="A729" s="216" t="str">
        <f t="shared" si="11"/>
        <v/>
      </c>
    </row>
    <row r="730" spans="1:1" x14ac:dyDescent="0.25">
      <c r="A730" s="216" t="str">
        <f t="shared" si="11"/>
        <v/>
      </c>
    </row>
    <row r="731" spans="1:1" x14ac:dyDescent="0.25">
      <c r="A731" s="216" t="str">
        <f t="shared" si="11"/>
        <v/>
      </c>
    </row>
    <row r="732" spans="1:1" x14ac:dyDescent="0.25">
      <c r="A732" s="216" t="str">
        <f t="shared" si="11"/>
        <v/>
      </c>
    </row>
    <row r="733" spans="1:1" x14ac:dyDescent="0.25">
      <c r="A733" s="216" t="str">
        <f t="shared" si="11"/>
        <v/>
      </c>
    </row>
    <row r="734" spans="1:1" x14ac:dyDescent="0.25">
      <c r="A734" s="216" t="str">
        <f t="shared" si="11"/>
        <v/>
      </c>
    </row>
    <row r="735" spans="1:1" x14ac:dyDescent="0.25">
      <c r="A735" s="216" t="str">
        <f t="shared" si="11"/>
        <v/>
      </c>
    </row>
    <row r="736" spans="1:1" x14ac:dyDescent="0.25">
      <c r="A736" s="216" t="str">
        <f t="shared" si="11"/>
        <v/>
      </c>
    </row>
    <row r="737" spans="1:1" x14ac:dyDescent="0.25">
      <c r="A737" s="216" t="str">
        <f t="shared" si="11"/>
        <v/>
      </c>
    </row>
    <row r="738" spans="1:1" x14ac:dyDescent="0.25">
      <c r="A738" s="216" t="str">
        <f t="shared" si="11"/>
        <v/>
      </c>
    </row>
    <row r="739" spans="1:1" x14ac:dyDescent="0.25">
      <c r="A739" s="216" t="str">
        <f t="shared" si="11"/>
        <v/>
      </c>
    </row>
    <row r="740" spans="1:1" x14ac:dyDescent="0.25">
      <c r="A740" s="216" t="str">
        <f t="shared" si="11"/>
        <v/>
      </c>
    </row>
    <row r="741" spans="1:1" x14ac:dyDescent="0.25">
      <c r="A741" s="216" t="str">
        <f t="shared" si="11"/>
        <v/>
      </c>
    </row>
    <row r="742" spans="1:1" x14ac:dyDescent="0.25">
      <c r="A742" s="216" t="str">
        <f t="shared" si="11"/>
        <v/>
      </c>
    </row>
    <row r="743" spans="1:1" x14ac:dyDescent="0.25">
      <c r="A743" s="216" t="str">
        <f t="shared" si="11"/>
        <v/>
      </c>
    </row>
    <row r="744" spans="1:1" x14ac:dyDescent="0.25">
      <c r="A744" s="216" t="str">
        <f t="shared" si="11"/>
        <v/>
      </c>
    </row>
    <row r="745" spans="1:1" x14ac:dyDescent="0.25">
      <c r="A745" s="216" t="str">
        <f t="shared" si="11"/>
        <v/>
      </c>
    </row>
    <row r="746" spans="1:1" x14ac:dyDescent="0.25">
      <c r="A746" s="216" t="str">
        <f t="shared" si="11"/>
        <v/>
      </c>
    </row>
    <row r="747" spans="1:1" x14ac:dyDescent="0.25">
      <c r="A747" s="216" t="str">
        <f t="shared" si="11"/>
        <v/>
      </c>
    </row>
    <row r="748" spans="1:1" x14ac:dyDescent="0.25">
      <c r="A748" s="216" t="str">
        <f t="shared" si="11"/>
        <v/>
      </c>
    </row>
    <row r="749" spans="1:1" x14ac:dyDescent="0.25">
      <c r="A749" s="216" t="str">
        <f t="shared" si="11"/>
        <v/>
      </c>
    </row>
    <row r="750" spans="1:1" x14ac:dyDescent="0.25">
      <c r="A750" s="216" t="str">
        <f t="shared" si="11"/>
        <v/>
      </c>
    </row>
    <row r="751" spans="1:1" x14ac:dyDescent="0.25">
      <c r="A751" s="216" t="str">
        <f t="shared" si="11"/>
        <v/>
      </c>
    </row>
    <row r="752" spans="1:1" x14ac:dyDescent="0.25">
      <c r="A752" s="216" t="str">
        <f t="shared" si="11"/>
        <v/>
      </c>
    </row>
    <row r="753" spans="1:1" x14ac:dyDescent="0.25">
      <c r="A753" s="216" t="str">
        <f t="shared" si="11"/>
        <v/>
      </c>
    </row>
    <row r="754" spans="1:1" x14ac:dyDescent="0.25">
      <c r="A754" s="216" t="str">
        <f t="shared" si="11"/>
        <v/>
      </c>
    </row>
    <row r="755" spans="1:1" x14ac:dyDescent="0.25">
      <c r="A755" s="216" t="str">
        <f t="shared" si="11"/>
        <v/>
      </c>
    </row>
    <row r="756" spans="1:1" x14ac:dyDescent="0.25">
      <c r="A756" s="216" t="str">
        <f t="shared" si="11"/>
        <v/>
      </c>
    </row>
    <row r="757" spans="1:1" x14ac:dyDescent="0.25">
      <c r="A757" s="216" t="str">
        <f t="shared" si="11"/>
        <v/>
      </c>
    </row>
    <row r="758" spans="1:1" x14ac:dyDescent="0.25">
      <c r="A758" s="216" t="str">
        <f t="shared" si="11"/>
        <v/>
      </c>
    </row>
    <row r="759" spans="1:1" x14ac:dyDescent="0.25">
      <c r="A759" s="216" t="str">
        <f t="shared" si="11"/>
        <v/>
      </c>
    </row>
    <row r="760" spans="1:1" x14ac:dyDescent="0.25">
      <c r="A760" s="216" t="str">
        <f t="shared" si="11"/>
        <v/>
      </c>
    </row>
    <row r="761" spans="1:1" x14ac:dyDescent="0.25">
      <c r="A761" s="216" t="str">
        <f t="shared" si="11"/>
        <v/>
      </c>
    </row>
    <row r="762" spans="1:1" x14ac:dyDescent="0.25">
      <c r="A762" s="216" t="str">
        <f t="shared" si="11"/>
        <v/>
      </c>
    </row>
    <row r="763" spans="1:1" x14ac:dyDescent="0.25">
      <c r="A763" s="216" t="str">
        <f t="shared" si="11"/>
        <v/>
      </c>
    </row>
    <row r="764" spans="1:1" x14ac:dyDescent="0.25">
      <c r="A764" s="216" t="str">
        <f t="shared" si="11"/>
        <v/>
      </c>
    </row>
    <row r="765" spans="1:1" x14ac:dyDescent="0.25">
      <c r="A765" s="216" t="str">
        <f t="shared" si="11"/>
        <v/>
      </c>
    </row>
    <row r="766" spans="1:1" x14ac:dyDescent="0.25">
      <c r="A766" s="216" t="str">
        <f t="shared" si="11"/>
        <v/>
      </c>
    </row>
    <row r="767" spans="1:1" x14ac:dyDescent="0.25">
      <c r="A767" s="216" t="str">
        <f t="shared" si="11"/>
        <v/>
      </c>
    </row>
    <row r="768" spans="1:1" x14ac:dyDescent="0.25">
      <c r="A768" s="216" t="str">
        <f t="shared" si="11"/>
        <v/>
      </c>
    </row>
    <row r="769" spans="1:1" x14ac:dyDescent="0.25">
      <c r="A769" s="216" t="str">
        <f t="shared" si="11"/>
        <v/>
      </c>
    </row>
    <row r="770" spans="1:1" x14ac:dyDescent="0.25">
      <c r="A770" s="216" t="str">
        <f t="shared" si="11"/>
        <v/>
      </c>
    </row>
    <row r="771" spans="1:1" x14ac:dyDescent="0.25">
      <c r="A771" s="216" t="str">
        <f t="shared" si="11"/>
        <v/>
      </c>
    </row>
    <row r="772" spans="1:1" x14ac:dyDescent="0.25">
      <c r="A772" s="216" t="str">
        <f t="shared" ref="A772:A835" si="12">IF(B772&lt;&gt;"",A771+1,"")</f>
        <v/>
      </c>
    </row>
    <row r="773" spans="1:1" x14ac:dyDescent="0.25">
      <c r="A773" s="216" t="str">
        <f t="shared" si="12"/>
        <v/>
      </c>
    </row>
    <row r="774" spans="1:1" x14ac:dyDescent="0.25">
      <c r="A774" s="216" t="str">
        <f t="shared" si="12"/>
        <v/>
      </c>
    </row>
    <row r="775" spans="1:1" x14ac:dyDescent="0.25">
      <c r="A775" s="216" t="str">
        <f t="shared" si="12"/>
        <v/>
      </c>
    </row>
    <row r="776" spans="1:1" x14ac:dyDescent="0.25">
      <c r="A776" s="216" t="str">
        <f t="shared" si="12"/>
        <v/>
      </c>
    </row>
    <row r="777" spans="1:1" x14ac:dyDescent="0.25">
      <c r="A777" s="216" t="str">
        <f t="shared" si="12"/>
        <v/>
      </c>
    </row>
    <row r="778" spans="1:1" x14ac:dyDescent="0.25">
      <c r="A778" s="216" t="str">
        <f t="shared" si="12"/>
        <v/>
      </c>
    </row>
    <row r="779" spans="1:1" x14ac:dyDescent="0.25">
      <c r="A779" s="216" t="str">
        <f t="shared" si="12"/>
        <v/>
      </c>
    </row>
    <row r="780" spans="1:1" x14ac:dyDescent="0.25">
      <c r="A780" s="216" t="str">
        <f t="shared" si="12"/>
        <v/>
      </c>
    </row>
    <row r="781" spans="1:1" x14ac:dyDescent="0.25">
      <c r="A781" s="216" t="str">
        <f t="shared" si="12"/>
        <v/>
      </c>
    </row>
    <row r="782" spans="1:1" x14ac:dyDescent="0.25">
      <c r="A782" s="216" t="str">
        <f t="shared" si="12"/>
        <v/>
      </c>
    </row>
    <row r="783" spans="1:1" x14ac:dyDescent="0.25">
      <c r="A783" s="216" t="str">
        <f t="shared" si="12"/>
        <v/>
      </c>
    </row>
    <row r="784" spans="1:1" x14ac:dyDescent="0.25">
      <c r="A784" s="216" t="str">
        <f t="shared" si="12"/>
        <v/>
      </c>
    </row>
    <row r="785" spans="1:1" x14ac:dyDescent="0.25">
      <c r="A785" s="216" t="str">
        <f t="shared" si="12"/>
        <v/>
      </c>
    </row>
    <row r="786" spans="1:1" x14ac:dyDescent="0.25">
      <c r="A786" s="216" t="str">
        <f t="shared" si="12"/>
        <v/>
      </c>
    </row>
    <row r="787" spans="1:1" x14ac:dyDescent="0.25">
      <c r="A787" s="216" t="str">
        <f t="shared" si="12"/>
        <v/>
      </c>
    </row>
    <row r="788" spans="1:1" x14ac:dyDescent="0.25">
      <c r="A788" s="216" t="str">
        <f t="shared" si="12"/>
        <v/>
      </c>
    </row>
    <row r="789" spans="1:1" x14ac:dyDescent="0.25">
      <c r="A789" s="216" t="str">
        <f t="shared" si="12"/>
        <v/>
      </c>
    </row>
    <row r="790" spans="1:1" x14ac:dyDescent="0.25">
      <c r="A790" s="216" t="str">
        <f t="shared" si="12"/>
        <v/>
      </c>
    </row>
    <row r="791" spans="1:1" x14ac:dyDescent="0.25">
      <c r="A791" s="216" t="str">
        <f t="shared" si="12"/>
        <v/>
      </c>
    </row>
    <row r="792" spans="1:1" x14ac:dyDescent="0.25">
      <c r="A792" s="216" t="str">
        <f t="shared" si="12"/>
        <v/>
      </c>
    </row>
    <row r="793" spans="1:1" x14ac:dyDescent="0.25">
      <c r="A793" s="216" t="str">
        <f t="shared" si="12"/>
        <v/>
      </c>
    </row>
    <row r="794" spans="1:1" x14ac:dyDescent="0.25">
      <c r="A794" s="216" t="str">
        <f t="shared" si="12"/>
        <v/>
      </c>
    </row>
    <row r="795" spans="1:1" x14ac:dyDescent="0.25">
      <c r="A795" s="216" t="str">
        <f t="shared" si="12"/>
        <v/>
      </c>
    </row>
    <row r="796" spans="1:1" x14ac:dyDescent="0.25">
      <c r="A796" s="216" t="str">
        <f t="shared" si="12"/>
        <v/>
      </c>
    </row>
    <row r="797" spans="1:1" x14ac:dyDescent="0.25">
      <c r="A797" s="216" t="str">
        <f t="shared" si="12"/>
        <v/>
      </c>
    </row>
    <row r="798" spans="1:1" x14ac:dyDescent="0.25">
      <c r="A798" s="216" t="str">
        <f t="shared" si="12"/>
        <v/>
      </c>
    </row>
    <row r="799" spans="1:1" x14ac:dyDescent="0.25">
      <c r="A799" s="216" t="str">
        <f t="shared" si="12"/>
        <v/>
      </c>
    </row>
    <row r="800" spans="1:1" x14ac:dyDescent="0.25">
      <c r="A800" s="216" t="str">
        <f t="shared" si="12"/>
        <v/>
      </c>
    </row>
    <row r="801" spans="1:1" x14ac:dyDescent="0.25">
      <c r="A801" s="216" t="str">
        <f t="shared" si="12"/>
        <v/>
      </c>
    </row>
    <row r="802" spans="1:1" x14ac:dyDescent="0.25">
      <c r="A802" s="216" t="str">
        <f t="shared" si="12"/>
        <v/>
      </c>
    </row>
    <row r="803" spans="1:1" x14ac:dyDescent="0.25">
      <c r="A803" s="216" t="str">
        <f t="shared" si="12"/>
        <v/>
      </c>
    </row>
    <row r="804" spans="1:1" x14ac:dyDescent="0.25">
      <c r="A804" s="216" t="str">
        <f t="shared" si="12"/>
        <v/>
      </c>
    </row>
    <row r="805" spans="1:1" x14ac:dyDescent="0.25">
      <c r="A805" s="216" t="str">
        <f t="shared" si="12"/>
        <v/>
      </c>
    </row>
    <row r="806" spans="1:1" x14ac:dyDescent="0.25">
      <c r="A806" s="216" t="str">
        <f t="shared" si="12"/>
        <v/>
      </c>
    </row>
    <row r="807" spans="1:1" x14ac:dyDescent="0.25">
      <c r="A807" s="216" t="str">
        <f t="shared" si="12"/>
        <v/>
      </c>
    </row>
    <row r="808" spans="1:1" x14ac:dyDescent="0.25">
      <c r="A808" s="216" t="str">
        <f t="shared" si="12"/>
        <v/>
      </c>
    </row>
    <row r="809" spans="1:1" x14ac:dyDescent="0.25">
      <c r="A809" s="216" t="str">
        <f t="shared" si="12"/>
        <v/>
      </c>
    </row>
    <row r="810" spans="1:1" x14ac:dyDescent="0.25">
      <c r="A810" s="216" t="str">
        <f t="shared" si="12"/>
        <v/>
      </c>
    </row>
    <row r="811" spans="1:1" x14ac:dyDescent="0.25">
      <c r="A811" s="216" t="str">
        <f t="shared" si="12"/>
        <v/>
      </c>
    </row>
    <row r="812" spans="1:1" x14ac:dyDescent="0.25">
      <c r="A812" s="216" t="str">
        <f t="shared" si="12"/>
        <v/>
      </c>
    </row>
    <row r="813" spans="1:1" x14ac:dyDescent="0.25">
      <c r="A813" s="216" t="str">
        <f t="shared" si="12"/>
        <v/>
      </c>
    </row>
    <row r="814" spans="1:1" x14ac:dyDescent="0.25">
      <c r="A814" s="216" t="str">
        <f t="shared" si="12"/>
        <v/>
      </c>
    </row>
    <row r="815" spans="1:1" x14ac:dyDescent="0.25">
      <c r="A815" s="216" t="str">
        <f t="shared" si="12"/>
        <v/>
      </c>
    </row>
    <row r="816" spans="1:1" x14ac:dyDescent="0.25">
      <c r="A816" s="216" t="str">
        <f t="shared" si="12"/>
        <v/>
      </c>
    </row>
    <row r="817" spans="1:1" x14ac:dyDescent="0.25">
      <c r="A817" s="216" t="str">
        <f t="shared" si="12"/>
        <v/>
      </c>
    </row>
    <row r="818" spans="1:1" x14ac:dyDescent="0.25">
      <c r="A818" s="216" t="str">
        <f t="shared" si="12"/>
        <v/>
      </c>
    </row>
    <row r="819" spans="1:1" x14ac:dyDescent="0.25">
      <c r="A819" s="216" t="str">
        <f t="shared" si="12"/>
        <v/>
      </c>
    </row>
    <row r="820" spans="1:1" x14ac:dyDescent="0.25">
      <c r="A820" s="216" t="str">
        <f t="shared" si="12"/>
        <v/>
      </c>
    </row>
    <row r="821" spans="1:1" x14ac:dyDescent="0.25">
      <c r="A821" s="216" t="str">
        <f t="shared" si="12"/>
        <v/>
      </c>
    </row>
    <row r="822" spans="1:1" x14ac:dyDescent="0.25">
      <c r="A822" s="216" t="str">
        <f t="shared" si="12"/>
        <v/>
      </c>
    </row>
    <row r="823" spans="1:1" x14ac:dyDescent="0.25">
      <c r="A823" s="216" t="str">
        <f t="shared" si="12"/>
        <v/>
      </c>
    </row>
    <row r="824" spans="1:1" x14ac:dyDescent="0.25">
      <c r="A824" s="216" t="str">
        <f t="shared" si="12"/>
        <v/>
      </c>
    </row>
    <row r="825" spans="1:1" x14ac:dyDescent="0.25">
      <c r="A825" s="216" t="str">
        <f t="shared" si="12"/>
        <v/>
      </c>
    </row>
    <row r="826" spans="1:1" x14ac:dyDescent="0.25">
      <c r="A826" s="216" t="str">
        <f t="shared" si="12"/>
        <v/>
      </c>
    </row>
    <row r="827" spans="1:1" x14ac:dyDescent="0.25">
      <c r="A827" s="216" t="str">
        <f t="shared" si="12"/>
        <v/>
      </c>
    </row>
    <row r="828" spans="1:1" x14ac:dyDescent="0.25">
      <c r="A828" s="216" t="str">
        <f t="shared" si="12"/>
        <v/>
      </c>
    </row>
    <row r="829" spans="1:1" x14ac:dyDescent="0.25">
      <c r="A829" s="216" t="str">
        <f t="shared" si="12"/>
        <v/>
      </c>
    </row>
    <row r="830" spans="1:1" x14ac:dyDescent="0.25">
      <c r="A830" s="216" t="str">
        <f t="shared" si="12"/>
        <v/>
      </c>
    </row>
    <row r="831" spans="1:1" x14ac:dyDescent="0.25">
      <c r="A831" s="216" t="str">
        <f t="shared" si="12"/>
        <v/>
      </c>
    </row>
    <row r="832" spans="1:1" x14ac:dyDescent="0.25">
      <c r="A832" s="216" t="str">
        <f t="shared" si="12"/>
        <v/>
      </c>
    </row>
    <row r="833" spans="1:1" x14ac:dyDescent="0.25">
      <c r="A833" s="216" t="str">
        <f t="shared" si="12"/>
        <v/>
      </c>
    </row>
    <row r="834" spans="1:1" x14ac:dyDescent="0.25">
      <c r="A834" s="216" t="str">
        <f t="shared" si="12"/>
        <v/>
      </c>
    </row>
    <row r="835" spans="1:1" x14ac:dyDescent="0.25">
      <c r="A835" s="216" t="str">
        <f t="shared" si="12"/>
        <v/>
      </c>
    </row>
    <row r="836" spans="1:1" x14ac:dyDescent="0.25">
      <c r="A836" s="216" t="str">
        <f t="shared" ref="A836:A899" si="13">IF(B836&lt;&gt;"",A835+1,"")</f>
        <v/>
      </c>
    </row>
    <row r="837" spans="1:1" x14ac:dyDescent="0.25">
      <c r="A837" s="216" t="str">
        <f t="shared" si="13"/>
        <v/>
      </c>
    </row>
    <row r="838" spans="1:1" x14ac:dyDescent="0.25">
      <c r="A838" s="216" t="str">
        <f t="shared" si="13"/>
        <v/>
      </c>
    </row>
    <row r="839" spans="1:1" x14ac:dyDescent="0.25">
      <c r="A839" s="216" t="str">
        <f t="shared" si="13"/>
        <v/>
      </c>
    </row>
    <row r="840" spans="1:1" x14ac:dyDescent="0.25">
      <c r="A840" s="216" t="str">
        <f t="shared" si="13"/>
        <v/>
      </c>
    </row>
    <row r="841" spans="1:1" x14ac:dyDescent="0.25">
      <c r="A841" s="216" t="str">
        <f t="shared" si="13"/>
        <v/>
      </c>
    </row>
    <row r="842" spans="1:1" x14ac:dyDescent="0.25">
      <c r="A842" s="216" t="str">
        <f t="shared" si="13"/>
        <v/>
      </c>
    </row>
    <row r="843" spans="1:1" x14ac:dyDescent="0.25">
      <c r="A843" s="216" t="str">
        <f t="shared" si="13"/>
        <v/>
      </c>
    </row>
    <row r="844" spans="1:1" x14ac:dyDescent="0.25">
      <c r="A844" s="216" t="str">
        <f t="shared" si="13"/>
        <v/>
      </c>
    </row>
    <row r="845" spans="1:1" x14ac:dyDescent="0.25">
      <c r="A845" s="216" t="str">
        <f t="shared" si="13"/>
        <v/>
      </c>
    </row>
    <row r="846" spans="1:1" x14ac:dyDescent="0.25">
      <c r="A846" s="216" t="str">
        <f t="shared" si="13"/>
        <v/>
      </c>
    </row>
    <row r="847" spans="1:1" x14ac:dyDescent="0.25">
      <c r="A847" s="216" t="str">
        <f t="shared" si="13"/>
        <v/>
      </c>
    </row>
    <row r="848" spans="1:1" x14ac:dyDescent="0.25">
      <c r="A848" s="216" t="str">
        <f t="shared" si="13"/>
        <v/>
      </c>
    </row>
    <row r="849" spans="1:1" x14ac:dyDescent="0.25">
      <c r="A849" s="216" t="str">
        <f t="shared" si="13"/>
        <v/>
      </c>
    </row>
    <row r="850" spans="1:1" x14ac:dyDescent="0.25">
      <c r="A850" s="216" t="str">
        <f t="shared" si="13"/>
        <v/>
      </c>
    </row>
    <row r="851" spans="1:1" x14ac:dyDescent="0.25">
      <c r="A851" s="216" t="str">
        <f t="shared" si="13"/>
        <v/>
      </c>
    </row>
    <row r="852" spans="1:1" x14ac:dyDescent="0.25">
      <c r="A852" s="216" t="str">
        <f t="shared" si="13"/>
        <v/>
      </c>
    </row>
    <row r="853" spans="1:1" x14ac:dyDescent="0.25">
      <c r="A853" s="216" t="str">
        <f t="shared" si="13"/>
        <v/>
      </c>
    </row>
    <row r="854" spans="1:1" x14ac:dyDescent="0.25">
      <c r="A854" s="216" t="str">
        <f t="shared" si="13"/>
        <v/>
      </c>
    </row>
    <row r="855" spans="1:1" x14ac:dyDescent="0.25">
      <c r="A855" s="216" t="str">
        <f t="shared" si="13"/>
        <v/>
      </c>
    </row>
    <row r="856" spans="1:1" x14ac:dyDescent="0.25">
      <c r="A856" s="216" t="str">
        <f t="shared" si="13"/>
        <v/>
      </c>
    </row>
    <row r="857" spans="1:1" x14ac:dyDescent="0.25">
      <c r="A857" s="216" t="str">
        <f t="shared" si="13"/>
        <v/>
      </c>
    </row>
    <row r="858" spans="1:1" x14ac:dyDescent="0.25">
      <c r="A858" s="216" t="str">
        <f t="shared" si="13"/>
        <v/>
      </c>
    </row>
    <row r="859" spans="1:1" x14ac:dyDescent="0.25">
      <c r="A859" s="216" t="str">
        <f t="shared" si="13"/>
        <v/>
      </c>
    </row>
    <row r="860" spans="1:1" x14ac:dyDescent="0.25">
      <c r="A860" s="216" t="str">
        <f t="shared" si="13"/>
        <v/>
      </c>
    </row>
    <row r="861" spans="1:1" x14ac:dyDescent="0.25">
      <c r="A861" s="216" t="str">
        <f t="shared" si="13"/>
        <v/>
      </c>
    </row>
    <row r="862" spans="1:1" x14ac:dyDescent="0.25">
      <c r="A862" s="216" t="str">
        <f t="shared" si="13"/>
        <v/>
      </c>
    </row>
    <row r="863" spans="1:1" x14ac:dyDescent="0.25">
      <c r="A863" s="216" t="str">
        <f t="shared" si="13"/>
        <v/>
      </c>
    </row>
    <row r="864" spans="1:1" x14ac:dyDescent="0.25">
      <c r="A864" s="216" t="str">
        <f t="shared" si="13"/>
        <v/>
      </c>
    </row>
    <row r="865" spans="1:1" x14ac:dyDescent="0.25">
      <c r="A865" s="216" t="str">
        <f t="shared" si="13"/>
        <v/>
      </c>
    </row>
    <row r="866" spans="1:1" x14ac:dyDescent="0.25">
      <c r="A866" s="216" t="str">
        <f t="shared" si="13"/>
        <v/>
      </c>
    </row>
    <row r="867" spans="1:1" x14ac:dyDescent="0.25">
      <c r="A867" s="216" t="str">
        <f t="shared" si="13"/>
        <v/>
      </c>
    </row>
    <row r="868" spans="1:1" x14ac:dyDescent="0.25">
      <c r="A868" s="216" t="str">
        <f t="shared" si="13"/>
        <v/>
      </c>
    </row>
    <row r="869" spans="1:1" x14ac:dyDescent="0.25">
      <c r="A869" s="216" t="str">
        <f t="shared" si="13"/>
        <v/>
      </c>
    </row>
    <row r="870" spans="1:1" x14ac:dyDescent="0.25">
      <c r="A870" s="216" t="str">
        <f t="shared" si="13"/>
        <v/>
      </c>
    </row>
    <row r="871" spans="1:1" x14ac:dyDescent="0.25">
      <c r="A871" s="216" t="str">
        <f t="shared" si="13"/>
        <v/>
      </c>
    </row>
    <row r="872" spans="1:1" x14ac:dyDescent="0.25">
      <c r="A872" s="216" t="str">
        <f t="shared" si="13"/>
        <v/>
      </c>
    </row>
    <row r="873" spans="1:1" x14ac:dyDescent="0.25">
      <c r="A873" s="216" t="str">
        <f t="shared" si="13"/>
        <v/>
      </c>
    </row>
    <row r="874" spans="1:1" x14ac:dyDescent="0.25">
      <c r="A874" s="216" t="str">
        <f t="shared" si="13"/>
        <v/>
      </c>
    </row>
    <row r="875" spans="1:1" x14ac:dyDescent="0.25">
      <c r="A875" s="216" t="str">
        <f t="shared" si="13"/>
        <v/>
      </c>
    </row>
    <row r="876" spans="1:1" x14ac:dyDescent="0.25">
      <c r="A876" s="216" t="str">
        <f t="shared" si="13"/>
        <v/>
      </c>
    </row>
    <row r="877" spans="1:1" x14ac:dyDescent="0.25">
      <c r="A877" s="216" t="str">
        <f t="shared" si="13"/>
        <v/>
      </c>
    </row>
    <row r="878" spans="1:1" x14ac:dyDescent="0.25">
      <c r="A878" s="216" t="str">
        <f t="shared" si="13"/>
        <v/>
      </c>
    </row>
    <row r="879" spans="1:1" x14ac:dyDescent="0.25">
      <c r="A879" s="216" t="str">
        <f t="shared" si="13"/>
        <v/>
      </c>
    </row>
    <row r="880" spans="1:1" x14ac:dyDescent="0.25">
      <c r="A880" s="216" t="str">
        <f t="shared" si="13"/>
        <v/>
      </c>
    </row>
    <row r="881" spans="1:1" x14ac:dyDescent="0.25">
      <c r="A881" s="216" t="str">
        <f t="shared" si="13"/>
        <v/>
      </c>
    </row>
    <row r="882" spans="1:1" x14ac:dyDescent="0.25">
      <c r="A882" s="216" t="str">
        <f t="shared" si="13"/>
        <v/>
      </c>
    </row>
    <row r="883" spans="1:1" x14ac:dyDescent="0.25">
      <c r="A883" s="216" t="str">
        <f t="shared" si="13"/>
        <v/>
      </c>
    </row>
    <row r="884" spans="1:1" x14ac:dyDescent="0.25">
      <c r="A884" s="216" t="str">
        <f t="shared" si="13"/>
        <v/>
      </c>
    </row>
    <row r="885" spans="1:1" x14ac:dyDescent="0.25">
      <c r="A885" s="216" t="str">
        <f t="shared" si="13"/>
        <v/>
      </c>
    </row>
    <row r="886" spans="1:1" x14ac:dyDescent="0.25">
      <c r="A886" s="216" t="str">
        <f t="shared" si="13"/>
        <v/>
      </c>
    </row>
    <row r="887" spans="1:1" x14ac:dyDescent="0.25">
      <c r="A887" s="216" t="str">
        <f t="shared" si="13"/>
        <v/>
      </c>
    </row>
    <row r="888" spans="1:1" x14ac:dyDescent="0.25">
      <c r="A888" s="216" t="str">
        <f t="shared" si="13"/>
        <v/>
      </c>
    </row>
    <row r="889" spans="1:1" x14ac:dyDescent="0.25">
      <c r="A889" s="216" t="str">
        <f t="shared" si="13"/>
        <v/>
      </c>
    </row>
    <row r="890" spans="1:1" x14ac:dyDescent="0.25">
      <c r="A890" s="216" t="str">
        <f t="shared" si="13"/>
        <v/>
      </c>
    </row>
    <row r="891" spans="1:1" x14ac:dyDescent="0.25">
      <c r="A891" s="216" t="str">
        <f t="shared" si="13"/>
        <v/>
      </c>
    </row>
    <row r="892" spans="1:1" x14ac:dyDescent="0.25">
      <c r="A892" s="216" t="str">
        <f t="shared" si="13"/>
        <v/>
      </c>
    </row>
    <row r="893" spans="1:1" x14ac:dyDescent="0.25">
      <c r="A893" s="216" t="str">
        <f t="shared" si="13"/>
        <v/>
      </c>
    </row>
    <row r="894" spans="1:1" x14ac:dyDescent="0.25">
      <c r="A894" s="216" t="str">
        <f t="shared" si="13"/>
        <v/>
      </c>
    </row>
    <row r="895" spans="1:1" x14ac:dyDescent="0.25">
      <c r="A895" s="216" t="str">
        <f t="shared" si="13"/>
        <v/>
      </c>
    </row>
    <row r="896" spans="1:1" x14ac:dyDescent="0.25">
      <c r="A896" s="216" t="str">
        <f t="shared" si="13"/>
        <v/>
      </c>
    </row>
    <row r="897" spans="1:1" x14ac:dyDescent="0.25">
      <c r="A897" s="216" t="str">
        <f t="shared" si="13"/>
        <v/>
      </c>
    </row>
    <row r="898" spans="1:1" x14ac:dyDescent="0.25">
      <c r="A898" s="216" t="str">
        <f t="shared" si="13"/>
        <v/>
      </c>
    </row>
    <row r="899" spans="1:1" x14ac:dyDescent="0.25">
      <c r="A899" s="216" t="str">
        <f t="shared" si="13"/>
        <v/>
      </c>
    </row>
    <row r="900" spans="1:1" x14ac:dyDescent="0.25">
      <c r="A900" s="216" t="str">
        <f t="shared" ref="A900:A963" si="14">IF(B900&lt;&gt;"",A899+1,"")</f>
        <v/>
      </c>
    </row>
    <row r="901" spans="1:1" x14ac:dyDescent="0.25">
      <c r="A901" s="216" t="str">
        <f t="shared" si="14"/>
        <v/>
      </c>
    </row>
    <row r="902" spans="1:1" x14ac:dyDescent="0.25">
      <c r="A902" s="216" t="str">
        <f t="shared" si="14"/>
        <v/>
      </c>
    </row>
    <row r="903" spans="1:1" x14ac:dyDescent="0.25">
      <c r="A903" s="216" t="str">
        <f t="shared" si="14"/>
        <v/>
      </c>
    </row>
    <row r="904" spans="1:1" x14ac:dyDescent="0.25">
      <c r="A904" s="216" t="str">
        <f t="shared" si="14"/>
        <v/>
      </c>
    </row>
    <row r="905" spans="1:1" x14ac:dyDescent="0.25">
      <c r="A905" s="216" t="str">
        <f t="shared" si="14"/>
        <v/>
      </c>
    </row>
    <row r="906" spans="1:1" x14ac:dyDescent="0.25">
      <c r="A906" s="216" t="str">
        <f t="shared" si="14"/>
        <v/>
      </c>
    </row>
    <row r="907" spans="1:1" x14ac:dyDescent="0.25">
      <c r="A907" s="216" t="str">
        <f t="shared" si="14"/>
        <v/>
      </c>
    </row>
    <row r="908" spans="1:1" x14ac:dyDescent="0.25">
      <c r="A908" s="216" t="str">
        <f t="shared" si="14"/>
        <v/>
      </c>
    </row>
    <row r="909" spans="1:1" x14ac:dyDescent="0.25">
      <c r="A909" s="216" t="str">
        <f t="shared" si="14"/>
        <v/>
      </c>
    </row>
    <row r="910" spans="1:1" x14ac:dyDescent="0.25">
      <c r="A910" s="216" t="str">
        <f t="shared" si="14"/>
        <v/>
      </c>
    </row>
    <row r="911" spans="1:1" x14ac:dyDescent="0.25">
      <c r="A911" s="216" t="str">
        <f t="shared" si="14"/>
        <v/>
      </c>
    </row>
    <row r="912" spans="1:1" x14ac:dyDescent="0.25">
      <c r="A912" s="216" t="str">
        <f t="shared" si="14"/>
        <v/>
      </c>
    </row>
    <row r="913" spans="1:1" x14ac:dyDescent="0.25">
      <c r="A913" s="216" t="str">
        <f t="shared" si="14"/>
        <v/>
      </c>
    </row>
    <row r="914" spans="1:1" x14ac:dyDescent="0.25">
      <c r="A914" s="216" t="str">
        <f t="shared" si="14"/>
        <v/>
      </c>
    </row>
    <row r="915" spans="1:1" x14ac:dyDescent="0.25">
      <c r="A915" s="216" t="str">
        <f t="shared" si="14"/>
        <v/>
      </c>
    </row>
    <row r="916" spans="1:1" x14ac:dyDescent="0.25">
      <c r="A916" s="216" t="str">
        <f t="shared" si="14"/>
        <v/>
      </c>
    </row>
    <row r="917" spans="1:1" x14ac:dyDescent="0.25">
      <c r="A917" s="216" t="str">
        <f t="shared" si="14"/>
        <v/>
      </c>
    </row>
    <row r="918" spans="1:1" x14ac:dyDescent="0.25">
      <c r="A918" s="216" t="str">
        <f t="shared" si="14"/>
        <v/>
      </c>
    </row>
    <row r="919" spans="1:1" x14ac:dyDescent="0.25">
      <c r="A919" s="216" t="str">
        <f t="shared" si="14"/>
        <v/>
      </c>
    </row>
    <row r="920" spans="1:1" x14ac:dyDescent="0.25">
      <c r="A920" s="216" t="str">
        <f t="shared" si="14"/>
        <v/>
      </c>
    </row>
    <row r="921" spans="1:1" x14ac:dyDescent="0.25">
      <c r="A921" s="216" t="str">
        <f t="shared" si="14"/>
        <v/>
      </c>
    </row>
    <row r="922" spans="1:1" x14ac:dyDescent="0.25">
      <c r="A922" s="216" t="str">
        <f t="shared" si="14"/>
        <v/>
      </c>
    </row>
    <row r="923" spans="1:1" x14ac:dyDescent="0.25">
      <c r="A923" s="216" t="str">
        <f t="shared" si="14"/>
        <v/>
      </c>
    </row>
    <row r="924" spans="1:1" x14ac:dyDescent="0.25">
      <c r="A924" s="216" t="str">
        <f t="shared" si="14"/>
        <v/>
      </c>
    </row>
    <row r="925" spans="1:1" x14ac:dyDescent="0.25">
      <c r="A925" s="216" t="str">
        <f t="shared" si="14"/>
        <v/>
      </c>
    </row>
    <row r="926" spans="1:1" x14ac:dyDescent="0.25">
      <c r="A926" s="216" t="str">
        <f t="shared" si="14"/>
        <v/>
      </c>
    </row>
    <row r="927" spans="1:1" x14ac:dyDescent="0.25">
      <c r="A927" s="216" t="str">
        <f t="shared" si="14"/>
        <v/>
      </c>
    </row>
    <row r="928" spans="1:1" x14ac:dyDescent="0.25">
      <c r="A928" s="216" t="str">
        <f t="shared" si="14"/>
        <v/>
      </c>
    </row>
    <row r="929" spans="1:1" x14ac:dyDescent="0.25">
      <c r="A929" s="216" t="str">
        <f t="shared" si="14"/>
        <v/>
      </c>
    </row>
    <row r="930" spans="1:1" x14ac:dyDescent="0.25">
      <c r="A930" s="216" t="str">
        <f t="shared" si="14"/>
        <v/>
      </c>
    </row>
    <row r="931" spans="1:1" x14ac:dyDescent="0.25">
      <c r="A931" s="216" t="str">
        <f t="shared" si="14"/>
        <v/>
      </c>
    </row>
    <row r="932" spans="1:1" x14ac:dyDescent="0.25">
      <c r="A932" s="216" t="str">
        <f t="shared" si="14"/>
        <v/>
      </c>
    </row>
    <row r="933" spans="1:1" x14ac:dyDescent="0.25">
      <c r="A933" s="216" t="str">
        <f t="shared" si="14"/>
        <v/>
      </c>
    </row>
    <row r="934" spans="1:1" x14ac:dyDescent="0.25">
      <c r="A934" s="216" t="str">
        <f t="shared" si="14"/>
        <v/>
      </c>
    </row>
    <row r="935" spans="1:1" x14ac:dyDescent="0.25">
      <c r="A935" s="216" t="str">
        <f t="shared" si="14"/>
        <v/>
      </c>
    </row>
    <row r="936" spans="1:1" x14ac:dyDescent="0.25">
      <c r="A936" s="216" t="str">
        <f t="shared" si="14"/>
        <v/>
      </c>
    </row>
    <row r="937" spans="1:1" x14ac:dyDescent="0.25">
      <c r="A937" s="216" t="str">
        <f t="shared" si="14"/>
        <v/>
      </c>
    </row>
    <row r="938" spans="1:1" x14ac:dyDescent="0.25">
      <c r="A938" s="216" t="str">
        <f t="shared" si="14"/>
        <v/>
      </c>
    </row>
    <row r="939" spans="1:1" x14ac:dyDescent="0.25">
      <c r="A939" s="216" t="str">
        <f t="shared" si="14"/>
        <v/>
      </c>
    </row>
    <row r="940" spans="1:1" x14ac:dyDescent="0.25">
      <c r="A940" s="216" t="str">
        <f t="shared" si="14"/>
        <v/>
      </c>
    </row>
    <row r="941" spans="1:1" x14ac:dyDescent="0.25">
      <c r="A941" s="216" t="str">
        <f t="shared" si="14"/>
        <v/>
      </c>
    </row>
    <row r="942" spans="1:1" x14ac:dyDescent="0.25">
      <c r="A942" s="216" t="str">
        <f t="shared" si="14"/>
        <v/>
      </c>
    </row>
    <row r="943" spans="1:1" x14ac:dyDescent="0.25">
      <c r="A943" s="216" t="str">
        <f t="shared" si="14"/>
        <v/>
      </c>
    </row>
    <row r="944" spans="1:1" x14ac:dyDescent="0.25">
      <c r="A944" s="216" t="str">
        <f t="shared" si="14"/>
        <v/>
      </c>
    </row>
    <row r="945" spans="1:1" x14ac:dyDescent="0.25">
      <c r="A945" s="216" t="str">
        <f t="shared" si="14"/>
        <v/>
      </c>
    </row>
    <row r="946" spans="1:1" x14ac:dyDescent="0.25">
      <c r="A946" s="216" t="str">
        <f t="shared" si="14"/>
        <v/>
      </c>
    </row>
    <row r="947" spans="1:1" x14ac:dyDescent="0.25">
      <c r="A947" s="216" t="str">
        <f t="shared" si="14"/>
        <v/>
      </c>
    </row>
    <row r="948" spans="1:1" x14ac:dyDescent="0.25">
      <c r="A948" s="216" t="str">
        <f t="shared" si="14"/>
        <v/>
      </c>
    </row>
    <row r="949" spans="1:1" x14ac:dyDescent="0.25">
      <c r="A949" s="216" t="str">
        <f t="shared" si="14"/>
        <v/>
      </c>
    </row>
    <row r="950" spans="1:1" x14ac:dyDescent="0.25">
      <c r="A950" s="216" t="str">
        <f t="shared" si="14"/>
        <v/>
      </c>
    </row>
    <row r="951" spans="1:1" x14ac:dyDescent="0.25">
      <c r="A951" s="216" t="str">
        <f t="shared" si="14"/>
        <v/>
      </c>
    </row>
    <row r="952" spans="1:1" x14ac:dyDescent="0.25">
      <c r="A952" s="216" t="str">
        <f t="shared" si="14"/>
        <v/>
      </c>
    </row>
    <row r="953" spans="1:1" x14ac:dyDescent="0.25">
      <c r="A953" s="216" t="str">
        <f t="shared" si="14"/>
        <v/>
      </c>
    </row>
    <row r="954" spans="1:1" x14ac:dyDescent="0.25">
      <c r="A954" s="216" t="str">
        <f t="shared" si="14"/>
        <v/>
      </c>
    </row>
    <row r="955" spans="1:1" x14ac:dyDescent="0.25">
      <c r="A955" s="216" t="str">
        <f t="shared" si="14"/>
        <v/>
      </c>
    </row>
    <row r="956" spans="1:1" x14ac:dyDescent="0.25">
      <c r="A956" s="216" t="str">
        <f t="shared" si="14"/>
        <v/>
      </c>
    </row>
    <row r="957" spans="1:1" x14ac:dyDescent="0.25">
      <c r="A957" s="216" t="str">
        <f t="shared" si="14"/>
        <v/>
      </c>
    </row>
    <row r="958" spans="1:1" x14ac:dyDescent="0.25">
      <c r="A958" s="216" t="str">
        <f t="shared" si="14"/>
        <v/>
      </c>
    </row>
    <row r="959" spans="1:1" x14ac:dyDescent="0.25">
      <c r="A959" s="216" t="str">
        <f t="shared" si="14"/>
        <v/>
      </c>
    </row>
    <row r="960" spans="1:1" x14ac:dyDescent="0.25">
      <c r="A960" s="216" t="str">
        <f t="shared" si="14"/>
        <v/>
      </c>
    </row>
    <row r="961" spans="1:1" x14ac:dyDescent="0.25">
      <c r="A961" s="216" t="str">
        <f t="shared" si="14"/>
        <v/>
      </c>
    </row>
    <row r="962" spans="1:1" x14ac:dyDescent="0.25">
      <c r="A962" s="216" t="str">
        <f t="shared" si="14"/>
        <v/>
      </c>
    </row>
    <row r="963" spans="1:1" x14ac:dyDescent="0.25">
      <c r="A963" s="216" t="str">
        <f t="shared" si="14"/>
        <v/>
      </c>
    </row>
    <row r="964" spans="1:1" x14ac:dyDescent="0.25">
      <c r="A964" s="216" t="str">
        <f t="shared" ref="A964:A1027" si="15">IF(B964&lt;&gt;"",A963+1,"")</f>
        <v/>
      </c>
    </row>
    <row r="965" spans="1:1" x14ac:dyDescent="0.25">
      <c r="A965" s="216" t="str">
        <f t="shared" si="15"/>
        <v/>
      </c>
    </row>
    <row r="966" spans="1:1" x14ac:dyDescent="0.25">
      <c r="A966" s="216" t="str">
        <f t="shared" si="15"/>
        <v/>
      </c>
    </row>
    <row r="967" spans="1:1" x14ac:dyDescent="0.25">
      <c r="A967" s="216" t="str">
        <f t="shared" si="15"/>
        <v/>
      </c>
    </row>
    <row r="968" spans="1:1" x14ac:dyDescent="0.25">
      <c r="A968" s="216" t="str">
        <f t="shared" si="15"/>
        <v/>
      </c>
    </row>
    <row r="969" spans="1:1" x14ac:dyDescent="0.25">
      <c r="A969" s="216" t="str">
        <f t="shared" si="15"/>
        <v/>
      </c>
    </row>
    <row r="970" spans="1:1" x14ac:dyDescent="0.25">
      <c r="A970" s="216" t="str">
        <f t="shared" si="15"/>
        <v/>
      </c>
    </row>
    <row r="971" spans="1:1" x14ac:dyDescent="0.25">
      <c r="A971" s="216" t="str">
        <f t="shared" si="15"/>
        <v/>
      </c>
    </row>
    <row r="972" spans="1:1" x14ac:dyDescent="0.25">
      <c r="A972" s="216" t="str">
        <f t="shared" si="15"/>
        <v/>
      </c>
    </row>
    <row r="973" spans="1:1" x14ac:dyDescent="0.25">
      <c r="A973" s="216" t="str">
        <f t="shared" si="15"/>
        <v/>
      </c>
    </row>
    <row r="974" spans="1:1" x14ac:dyDescent="0.25">
      <c r="A974" s="216" t="str">
        <f t="shared" si="15"/>
        <v/>
      </c>
    </row>
    <row r="975" spans="1:1" x14ac:dyDescent="0.25">
      <c r="A975" s="216" t="str">
        <f t="shared" si="15"/>
        <v/>
      </c>
    </row>
    <row r="976" spans="1:1" x14ac:dyDescent="0.25">
      <c r="A976" s="216" t="str">
        <f t="shared" si="15"/>
        <v/>
      </c>
    </row>
    <row r="977" spans="1:1" x14ac:dyDescent="0.25">
      <c r="A977" s="216" t="str">
        <f t="shared" si="15"/>
        <v/>
      </c>
    </row>
    <row r="978" spans="1:1" x14ac:dyDescent="0.25">
      <c r="A978" s="216" t="str">
        <f t="shared" si="15"/>
        <v/>
      </c>
    </row>
    <row r="979" spans="1:1" x14ac:dyDescent="0.25">
      <c r="A979" s="216" t="str">
        <f t="shared" si="15"/>
        <v/>
      </c>
    </row>
    <row r="980" spans="1:1" x14ac:dyDescent="0.25">
      <c r="A980" s="216" t="str">
        <f t="shared" si="15"/>
        <v/>
      </c>
    </row>
    <row r="981" spans="1:1" x14ac:dyDescent="0.25">
      <c r="A981" s="216" t="str">
        <f t="shared" si="15"/>
        <v/>
      </c>
    </row>
    <row r="982" spans="1:1" x14ac:dyDescent="0.25">
      <c r="A982" s="216" t="str">
        <f t="shared" si="15"/>
        <v/>
      </c>
    </row>
    <row r="983" spans="1:1" x14ac:dyDescent="0.25">
      <c r="A983" s="216" t="str">
        <f t="shared" si="15"/>
        <v/>
      </c>
    </row>
    <row r="984" spans="1:1" x14ac:dyDescent="0.25">
      <c r="A984" s="216" t="str">
        <f t="shared" si="15"/>
        <v/>
      </c>
    </row>
    <row r="985" spans="1:1" x14ac:dyDescent="0.25">
      <c r="A985" s="216" t="str">
        <f t="shared" si="15"/>
        <v/>
      </c>
    </row>
    <row r="986" spans="1:1" x14ac:dyDescent="0.25">
      <c r="A986" s="216" t="str">
        <f t="shared" si="15"/>
        <v/>
      </c>
    </row>
    <row r="987" spans="1:1" x14ac:dyDescent="0.25">
      <c r="A987" s="216" t="str">
        <f t="shared" si="15"/>
        <v/>
      </c>
    </row>
    <row r="988" spans="1:1" x14ac:dyDescent="0.25">
      <c r="A988" s="216" t="str">
        <f t="shared" si="15"/>
        <v/>
      </c>
    </row>
    <row r="989" spans="1:1" x14ac:dyDescent="0.25">
      <c r="A989" s="216" t="str">
        <f t="shared" si="15"/>
        <v/>
      </c>
    </row>
    <row r="990" spans="1:1" x14ac:dyDescent="0.25">
      <c r="A990" s="216" t="str">
        <f t="shared" si="15"/>
        <v/>
      </c>
    </row>
    <row r="991" spans="1:1" x14ac:dyDescent="0.25">
      <c r="A991" s="216" t="str">
        <f t="shared" si="15"/>
        <v/>
      </c>
    </row>
    <row r="992" spans="1:1" x14ac:dyDescent="0.25">
      <c r="A992" s="216" t="str">
        <f t="shared" si="15"/>
        <v/>
      </c>
    </row>
    <row r="993" spans="1:1" x14ac:dyDescent="0.25">
      <c r="A993" s="216" t="str">
        <f t="shared" si="15"/>
        <v/>
      </c>
    </row>
    <row r="994" spans="1:1" x14ac:dyDescent="0.25">
      <c r="A994" s="216" t="str">
        <f t="shared" si="15"/>
        <v/>
      </c>
    </row>
    <row r="995" spans="1:1" x14ac:dyDescent="0.25">
      <c r="A995" s="216" t="str">
        <f t="shared" si="15"/>
        <v/>
      </c>
    </row>
    <row r="996" spans="1:1" x14ac:dyDescent="0.25">
      <c r="A996" s="216" t="str">
        <f t="shared" si="15"/>
        <v/>
      </c>
    </row>
    <row r="997" spans="1:1" x14ac:dyDescent="0.25">
      <c r="A997" s="216" t="str">
        <f t="shared" si="15"/>
        <v/>
      </c>
    </row>
    <row r="998" spans="1:1" x14ac:dyDescent="0.25">
      <c r="A998" s="216" t="str">
        <f t="shared" si="15"/>
        <v/>
      </c>
    </row>
    <row r="999" spans="1:1" x14ac:dyDescent="0.25">
      <c r="A999" s="216" t="str">
        <f t="shared" si="15"/>
        <v/>
      </c>
    </row>
    <row r="1000" spans="1:1" x14ac:dyDescent="0.25">
      <c r="A1000" s="216" t="str">
        <f t="shared" si="15"/>
        <v/>
      </c>
    </row>
    <row r="1001" spans="1:1" x14ac:dyDescent="0.25">
      <c r="A1001" s="216" t="str">
        <f t="shared" si="15"/>
        <v/>
      </c>
    </row>
    <row r="1002" spans="1:1" x14ac:dyDescent="0.25">
      <c r="A1002" s="216" t="str">
        <f t="shared" si="15"/>
        <v/>
      </c>
    </row>
    <row r="1003" spans="1:1" x14ac:dyDescent="0.25">
      <c r="A1003" s="216" t="str">
        <f t="shared" si="15"/>
        <v/>
      </c>
    </row>
    <row r="1004" spans="1:1" x14ac:dyDescent="0.25">
      <c r="A1004" s="216" t="str">
        <f t="shared" si="15"/>
        <v/>
      </c>
    </row>
    <row r="1005" spans="1:1" x14ac:dyDescent="0.25">
      <c r="A1005" s="216" t="str">
        <f t="shared" si="15"/>
        <v/>
      </c>
    </row>
    <row r="1006" spans="1:1" x14ac:dyDescent="0.25">
      <c r="A1006" s="216" t="str">
        <f t="shared" si="15"/>
        <v/>
      </c>
    </row>
    <row r="1007" spans="1:1" x14ac:dyDescent="0.25">
      <c r="A1007" s="216" t="str">
        <f t="shared" si="15"/>
        <v/>
      </c>
    </row>
    <row r="1008" spans="1:1" x14ac:dyDescent="0.25">
      <c r="A1008" s="216" t="str">
        <f t="shared" si="15"/>
        <v/>
      </c>
    </row>
    <row r="1009" spans="1:1" x14ac:dyDescent="0.25">
      <c r="A1009" s="216" t="str">
        <f t="shared" si="15"/>
        <v/>
      </c>
    </row>
    <row r="1010" spans="1:1" x14ac:dyDescent="0.25">
      <c r="A1010" s="216" t="str">
        <f t="shared" si="15"/>
        <v/>
      </c>
    </row>
    <row r="1011" spans="1:1" x14ac:dyDescent="0.25">
      <c r="A1011" s="216" t="str">
        <f t="shared" si="15"/>
        <v/>
      </c>
    </row>
    <row r="1012" spans="1:1" x14ac:dyDescent="0.25">
      <c r="A1012" s="216" t="str">
        <f t="shared" si="15"/>
        <v/>
      </c>
    </row>
    <row r="1013" spans="1:1" x14ac:dyDescent="0.25">
      <c r="A1013" s="216" t="str">
        <f t="shared" si="15"/>
        <v/>
      </c>
    </row>
    <row r="1014" spans="1:1" x14ac:dyDescent="0.25">
      <c r="A1014" s="216" t="str">
        <f t="shared" si="15"/>
        <v/>
      </c>
    </row>
    <row r="1015" spans="1:1" x14ac:dyDescent="0.25">
      <c r="A1015" s="216" t="str">
        <f t="shared" si="15"/>
        <v/>
      </c>
    </row>
    <row r="1016" spans="1:1" x14ac:dyDescent="0.25">
      <c r="A1016" s="216" t="str">
        <f t="shared" si="15"/>
        <v/>
      </c>
    </row>
    <row r="1017" spans="1:1" x14ac:dyDescent="0.25">
      <c r="A1017" s="216" t="str">
        <f t="shared" si="15"/>
        <v/>
      </c>
    </row>
    <row r="1018" spans="1:1" x14ac:dyDescent="0.25">
      <c r="A1018" s="216" t="str">
        <f t="shared" si="15"/>
        <v/>
      </c>
    </row>
    <row r="1019" spans="1:1" x14ac:dyDescent="0.25">
      <c r="A1019" s="216" t="str">
        <f t="shared" si="15"/>
        <v/>
      </c>
    </row>
    <row r="1020" spans="1:1" x14ac:dyDescent="0.25">
      <c r="A1020" s="216" t="str">
        <f t="shared" si="15"/>
        <v/>
      </c>
    </row>
    <row r="1021" spans="1:1" x14ac:dyDescent="0.25">
      <c r="A1021" s="216" t="str">
        <f t="shared" si="15"/>
        <v/>
      </c>
    </row>
    <row r="1022" spans="1:1" x14ac:dyDescent="0.25">
      <c r="A1022" s="216" t="str">
        <f t="shared" si="15"/>
        <v/>
      </c>
    </row>
    <row r="1023" spans="1:1" x14ac:dyDescent="0.25">
      <c r="A1023" s="216" t="str">
        <f t="shared" si="15"/>
        <v/>
      </c>
    </row>
    <row r="1024" spans="1:1" x14ac:dyDescent="0.25">
      <c r="A1024" s="216" t="str">
        <f t="shared" si="15"/>
        <v/>
      </c>
    </row>
    <row r="1025" spans="1:1" x14ac:dyDescent="0.25">
      <c r="A1025" s="216" t="str">
        <f t="shared" si="15"/>
        <v/>
      </c>
    </row>
    <row r="1026" spans="1:1" x14ac:dyDescent="0.25">
      <c r="A1026" s="216" t="str">
        <f t="shared" si="15"/>
        <v/>
      </c>
    </row>
    <row r="1027" spans="1:1" x14ac:dyDescent="0.25">
      <c r="A1027" s="216" t="str">
        <f t="shared" si="15"/>
        <v/>
      </c>
    </row>
    <row r="1028" spans="1:1" x14ac:dyDescent="0.25">
      <c r="A1028" s="216" t="str">
        <f t="shared" ref="A1028:A1091" si="16">IF(B1028&lt;&gt;"",A1027+1,"")</f>
        <v/>
      </c>
    </row>
    <row r="1029" spans="1:1" x14ac:dyDescent="0.25">
      <c r="A1029" s="216" t="str">
        <f t="shared" si="16"/>
        <v/>
      </c>
    </row>
    <row r="1030" spans="1:1" x14ac:dyDescent="0.25">
      <c r="A1030" s="216" t="str">
        <f t="shared" si="16"/>
        <v/>
      </c>
    </row>
    <row r="1031" spans="1:1" x14ac:dyDescent="0.25">
      <c r="A1031" s="216" t="str">
        <f t="shared" si="16"/>
        <v/>
      </c>
    </row>
    <row r="1032" spans="1:1" x14ac:dyDescent="0.25">
      <c r="A1032" s="216" t="str">
        <f t="shared" si="16"/>
        <v/>
      </c>
    </row>
    <row r="1033" spans="1:1" x14ac:dyDescent="0.25">
      <c r="A1033" s="216" t="str">
        <f t="shared" si="16"/>
        <v/>
      </c>
    </row>
    <row r="1034" spans="1:1" x14ac:dyDescent="0.25">
      <c r="A1034" s="216" t="str">
        <f t="shared" si="16"/>
        <v/>
      </c>
    </row>
    <row r="1035" spans="1:1" x14ac:dyDescent="0.25">
      <c r="A1035" s="216" t="str">
        <f t="shared" si="16"/>
        <v/>
      </c>
    </row>
    <row r="1036" spans="1:1" x14ac:dyDescent="0.25">
      <c r="A1036" s="216" t="str">
        <f t="shared" si="16"/>
        <v/>
      </c>
    </row>
    <row r="1037" spans="1:1" x14ac:dyDescent="0.25">
      <c r="A1037" s="216" t="str">
        <f t="shared" si="16"/>
        <v/>
      </c>
    </row>
    <row r="1038" spans="1:1" x14ac:dyDescent="0.25">
      <c r="A1038" s="216" t="str">
        <f t="shared" si="16"/>
        <v/>
      </c>
    </row>
    <row r="1039" spans="1:1" x14ac:dyDescent="0.25">
      <c r="A1039" s="216" t="str">
        <f t="shared" si="16"/>
        <v/>
      </c>
    </row>
    <row r="1040" spans="1:1" x14ac:dyDescent="0.25">
      <c r="A1040" s="216" t="str">
        <f t="shared" si="16"/>
        <v/>
      </c>
    </row>
    <row r="1041" spans="1:1" x14ac:dyDescent="0.25">
      <c r="A1041" s="216" t="str">
        <f t="shared" si="16"/>
        <v/>
      </c>
    </row>
    <row r="1042" spans="1:1" x14ac:dyDescent="0.25">
      <c r="A1042" s="216" t="str">
        <f t="shared" si="16"/>
        <v/>
      </c>
    </row>
    <row r="1043" spans="1:1" x14ac:dyDescent="0.25">
      <c r="A1043" s="216" t="str">
        <f t="shared" si="16"/>
        <v/>
      </c>
    </row>
    <row r="1044" spans="1:1" x14ac:dyDescent="0.25">
      <c r="A1044" s="216" t="str">
        <f t="shared" si="16"/>
        <v/>
      </c>
    </row>
    <row r="1045" spans="1:1" x14ac:dyDescent="0.25">
      <c r="A1045" s="216" t="str">
        <f t="shared" si="16"/>
        <v/>
      </c>
    </row>
    <row r="1046" spans="1:1" x14ac:dyDescent="0.25">
      <c r="A1046" s="216" t="str">
        <f t="shared" si="16"/>
        <v/>
      </c>
    </row>
    <row r="1047" spans="1:1" x14ac:dyDescent="0.25">
      <c r="A1047" s="216" t="str">
        <f t="shared" si="16"/>
        <v/>
      </c>
    </row>
    <row r="1048" spans="1:1" x14ac:dyDescent="0.25">
      <c r="A1048" s="216" t="str">
        <f t="shared" si="16"/>
        <v/>
      </c>
    </row>
    <row r="1049" spans="1:1" x14ac:dyDescent="0.25">
      <c r="A1049" s="216" t="str">
        <f t="shared" si="16"/>
        <v/>
      </c>
    </row>
    <row r="1050" spans="1:1" x14ac:dyDescent="0.25">
      <c r="A1050" s="216" t="str">
        <f t="shared" si="16"/>
        <v/>
      </c>
    </row>
    <row r="1051" spans="1:1" x14ac:dyDescent="0.25">
      <c r="A1051" s="216" t="str">
        <f t="shared" si="16"/>
        <v/>
      </c>
    </row>
    <row r="1052" spans="1:1" x14ac:dyDescent="0.25">
      <c r="A1052" s="216" t="str">
        <f t="shared" si="16"/>
        <v/>
      </c>
    </row>
    <row r="1053" spans="1:1" x14ac:dyDescent="0.25">
      <c r="A1053" s="216" t="str">
        <f t="shared" si="16"/>
        <v/>
      </c>
    </row>
    <row r="1054" spans="1:1" x14ac:dyDescent="0.25">
      <c r="A1054" s="216" t="str">
        <f t="shared" si="16"/>
        <v/>
      </c>
    </row>
    <row r="1055" spans="1:1" x14ac:dyDescent="0.25">
      <c r="A1055" s="216" t="str">
        <f t="shared" si="16"/>
        <v/>
      </c>
    </row>
    <row r="1056" spans="1:1" x14ac:dyDescent="0.25">
      <c r="A1056" s="216" t="str">
        <f t="shared" si="16"/>
        <v/>
      </c>
    </row>
    <row r="1057" spans="1:1" x14ac:dyDescent="0.25">
      <c r="A1057" s="216" t="str">
        <f t="shared" si="16"/>
        <v/>
      </c>
    </row>
    <row r="1058" spans="1:1" x14ac:dyDescent="0.25">
      <c r="A1058" s="216" t="str">
        <f t="shared" si="16"/>
        <v/>
      </c>
    </row>
    <row r="1059" spans="1:1" x14ac:dyDescent="0.25">
      <c r="A1059" s="216" t="str">
        <f t="shared" si="16"/>
        <v/>
      </c>
    </row>
    <row r="1060" spans="1:1" x14ac:dyDescent="0.25">
      <c r="A1060" s="216" t="str">
        <f t="shared" si="16"/>
        <v/>
      </c>
    </row>
    <row r="1061" spans="1:1" x14ac:dyDescent="0.25">
      <c r="A1061" s="216" t="str">
        <f t="shared" si="16"/>
        <v/>
      </c>
    </row>
    <row r="1062" spans="1:1" x14ac:dyDescent="0.25">
      <c r="A1062" s="216" t="str">
        <f t="shared" si="16"/>
        <v/>
      </c>
    </row>
    <row r="1063" spans="1:1" x14ac:dyDescent="0.25">
      <c r="A1063" s="216" t="str">
        <f t="shared" si="16"/>
        <v/>
      </c>
    </row>
    <row r="1064" spans="1:1" x14ac:dyDescent="0.25">
      <c r="A1064" s="216" t="str">
        <f t="shared" si="16"/>
        <v/>
      </c>
    </row>
    <row r="1065" spans="1:1" x14ac:dyDescent="0.25">
      <c r="A1065" s="216" t="str">
        <f t="shared" si="16"/>
        <v/>
      </c>
    </row>
    <row r="1066" spans="1:1" x14ac:dyDescent="0.25">
      <c r="A1066" s="216" t="str">
        <f t="shared" si="16"/>
        <v/>
      </c>
    </row>
    <row r="1067" spans="1:1" x14ac:dyDescent="0.25">
      <c r="A1067" s="216" t="str">
        <f t="shared" si="16"/>
        <v/>
      </c>
    </row>
    <row r="1068" spans="1:1" x14ac:dyDescent="0.25">
      <c r="A1068" s="216" t="str">
        <f t="shared" si="16"/>
        <v/>
      </c>
    </row>
    <row r="1069" spans="1:1" x14ac:dyDescent="0.25">
      <c r="A1069" s="216" t="str">
        <f t="shared" si="16"/>
        <v/>
      </c>
    </row>
    <row r="1070" spans="1:1" x14ac:dyDescent="0.25">
      <c r="A1070" s="216" t="str">
        <f t="shared" si="16"/>
        <v/>
      </c>
    </row>
    <row r="1071" spans="1:1" x14ac:dyDescent="0.25">
      <c r="A1071" s="216" t="str">
        <f t="shared" si="16"/>
        <v/>
      </c>
    </row>
    <row r="1072" spans="1:1" x14ac:dyDescent="0.25">
      <c r="A1072" s="216" t="str">
        <f t="shared" si="16"/>
        <v/>
      </c>
    </row>
    <row r="1073" spans="1:1" x14ac:dyDescent="0.25">
      <c r="A1073" s="216" t="str">
        <f t="shared" si="16"/>
        <v/>
      </c>
    </row>
    <row r="1074" spans="1:1" x14ac:dyDescent="0.25">
      <c r="A1074" s="216" t="str">
        <f t="shared" si="16"/>
        <v/>
      </c>
    </row>
    <row r="1075" spans="1:1" x14ac:dyDescent="0.25">
      <c r="A1075" s="216" t="str">
        <f t="shared" si="16"/>
        <v/>
      </c>
    </row>
    <row r="1076" spans="1:1" x14ac:dyDescent="0.25">
      <c r="A1076" s="216" t="str">
        <f t="shared" si="16"/>
        <v/>
      </c>
    </row>
    <row r="1077" spans="1:1" x14ac:dyDescent="0.25">
      <c r="A1077" s="216" t="str">
        <f t="shared" si="16"/>
        <v/>
      </c>
    </row>
    <row r="1078" spans="1:1" x14ac:dyDescent="0.25">
      <c r="A1078" s="216" t="str">
        <f t="shared" si="16"/>
        <v/>
      </c>
    </row>
    <row r="1079" spans="1:1" x14ac:dyDescent="0.25">
      <c r="A1079" s="216" t="str">
        <f t="shared" si="16"/>
        <v/>
      </c>
    </row>
    <row r="1080" spans="1:1" x14ac:dyDescent="0.25">
      <c r="A1080" s="216" t="str">
        <f t="shared" si="16"/>
        <v/>
      </c>
    </row>
    <row r="1081" spans="1:1" x14ac:dyDescent="0.25">
      <c r="A1081" s="216" t="str">
        <f t="shared" si="16"/>
        <v/>
      </c>
    </row>
    <row r="1082" spans="1:1" x14ac:dyDescent="0.25">
      <c r="A1082" s="216" t="str">
        <f t="shared" si="16"/>
        <v/>
      </c>
    </row>
    <row r="1083" spans="1:1" x14ac:dyDescent="0.25">
      <c r="A1083" s="216" t="str">
        <f t="shared" si="16"/>
        <v/>
      </c>
    </row>
    <row r="1084" spans="1:1" x14ac:dyDescent="0.25">
      <c r="A1084" s="216" t="str">
        <f t="shared" si="16"/>
        <v/>
      </c>
    </row>
    <row r="1085" spans="1:1" x14ac:dyDescent="0.25">
      <c r="A1085" s="216" t="str">
        <f t="shared" si="16"/>
        <v/>
      </c>
    </row>
    <row r="1086" spans="1:1" x14ac:dyDescent="0.25">
      <c r="A1086" s="216" t="str">
        <f t="shared" si="16"/>
        <v/>
      </c>
    </row>
    <row r="1087" spans="1:1" x14ac:dyDescent="0.25">
      <c r="A1087" s="216" t="str">
        <f t="shared" si="16"/>
        <v/>
      </c>
    </row>
    <row r="1088" spans="1:1" x14ac:dyDescent="0.25">
      <c r="A1088" s="216" t="str">
        <f t="shared" si="16"/>
        <v/>
      </c>
    </row>
    <row r="1089" spans="1:1" x14ac:dyDescent="0.25">
      <c r="A1089" s="216" t="str">
        <f t="shared" si="16"/>
        <v/>
      </c>
    </row>
    <row r="1090" spans="1:1" x14ac:dyDescent="0.25">
      <c r="A1090" s="216" t="str">
        <f t="shared" si="16"/>
        <v/>
      </c>
    </row>
    <row r="1091" spans="1:1" x14ac:dyDescent="0.25">
      <c r="A1091" s="216" t="str">
        <f t="shared" si="16"/>
        <v/>
      </c>
    </row>
    <row r="1092" spans="1:1" x14ac:dyDescent="0.25">
      <c r="A1092" s="216" t="str">
        <f t="shared" ref="A1092:A1155" si="17">IF(B1092&lt;&gt;"",A1091+1,"")</f>
        <v/>
      </c>
    </row>
    <row r="1093" spans="1:1" x14ac:dyDescent="0.25">
      <c r="A1093" s="216" t="str">
        <f t="shared" si="17"/>
        <v/>
      </c>
    </row>
    <row r="1094" spans="1:1" x14ac:dyDescent="0.25">
      <c r="A1094" s="216" t="str">
        <f t="shared" si="17"/>
        <v/>
      </c>
    </row>
    <row r="1095" spans="1:1" x14ac:dyDescent="0.25">
      <c r="A1095" s="216" t="str">
        <f t="shared" si="17"/>
        <v/>
      </c>
    </row>
    <row r="1096" spans="1:1" x14ac:dyDescent="0.25">
      <c r="A1096" s="216" t="str">
        <f t="shared" si="17"/>
        <v/>
      </c>
    </row>
    <row r="1097" spans="1:1" x14ac:dyDescent="0.25">
      <c r="A1097" s="216" t="str">
        <f t="shared" si="17"/>
        <v/>
      </c>
    </row>
    <row r="1098" spans="1:1" x14ac:dyDescent="0.25">
      <c r="A1098" s="216" t="str">
        <f t="shared" si="17"/>
        <v/>
      </c>
    </row>
    <row r="1099" spans="1:1" x14ac:dyDescent="0.25">
      <c r="A1099" s="216" t="str">
        <f t="shared" si="17"/>
        <v/>
      </c>
    </row>
    <row r="1100" spans="1:1" x14ac:dyDescent="0.25">
      <c r="A1100" s="216" t="str">
        <f t="shared" si="17"/>
        <v/>
      </c>
    </row>
    <row r="1101" spans="1:1" x14ac:dyDescent="0.25">
      <c r="A1101" s="216" t="str">
        <f t="shared" si="17"/>
        <v/>
      </c>
    </row>
    <row r="1102" spans="1:1" x14ac:dyDescent="0.25">
      <c r="A1102" s="216" t="str">
        <f t="shared" si="17"/>
        <v/>
      </c>
    </row>
    <row r="1103" spans="1:1" x14ac:dyDescent="0.25">
      <c r="A1103" s="216" t="str">
        <f t="shared" si="17"/>
        <v/>
      </c>
    </row>
    <row r="1104" spans="1:1" x14ac:dyDescent="0.25">
      <c r="A1104" s="216" t="str">
        <f t="shared" si="17"/>
        <v/>
      </c>
    </row>
    <row r="1105" spans="1:1" x14ac:dyDescent="0.25">
      <c r="A1105" s="216" t="str">
        <f t="shared" si="17"/>
        <v/>
      </c>
    </row>
    <row r="1106" spans="1:1" x14ac:dyDescent="0.25">
      <c r="A1106" s="216" t="str">
        <f t="shared" si="17"/>
        <v/>
      </c>
    </row>
    <row r="1107" spans="1:1" x14ac:dyDescent="0.25">
      <c r="A1107" s="216" t="str">
        <f t="shared" si="17"/>
        <v/>
      </c>
    </row>
    <row r="1108" spans="1:1" x14ac:dyDescent="0.25">
      <c r="A1108" s="216" t="str">
        <f t="shared" si="17"/>
        <v/>
      </c>
    </row>
    <row r="1109" spans="1:1" x14ac:dyDescent="0.25">
      <c r="A1109" s="216" t="str">
        <f t="shared" si="17"/>
        <v/>
      </c>
    </row>
    <row r="1110" spans="1:1" x14ac:dyDescent="0.25">
      <c r="A1110" s="216" t="str">
        <f t="shared" si="17"/>
        <v/>
      </c>
    </row>
    <row r="1111" spans="1:1" x14ac:dyDescent="0.25">
      <c r="A1111" s="216" t="str">
        <f t="shared" si="17"/>
        <v/>
      </c>
    </row>
    <row r="1112" spans="1:1" x14ac:dyDescent="0.25">
      <c r="A1112" s="216" t="str">
        <f t="shared" si="17"/>
        <v/>
      </c>
    </row>
    <row r="1113" spans="1:1" x14ac:dyDescent="0.25">
      <c r="A1113" s="216" t="str">
        <f t="shared" si="17"/>
        <v/>
      </c>
    </row>
    <row r="1114" spans="1:1" x14ac:dyDescent="0.25">
      <c r="A1114" s="216" t="str">
        <f t="shared" si="17"/>
        <v/>
      </c>
    </row>
    <row r="1115" spans="1:1" x14ac:dyDescent="0.25">
      <c r="A1115" s="216" t="str">
        <f t="shared" si="17"/>
        <v/>
      </c>
    </row>
    <row r="1116" spans="1:1" x14ac:dyDescent="0.25">
      <c r="A1116" s="216" t="str">
        <f t="shared" si="17"/>
        <v/>
      </c>
    </row>
    <row r="1117" spans="1:1" x14ac:dyDescent="0.25">
      <c r="A1117" s="216" t="str">
        <f t="shared" si="17"/>
        <v/>
      </c>
    </row>
    <row r="1118" spans="1:1" x14ac:dyDescent="0.25">
      <c r="A1118" s="216" t="str">
        <f t="shared" si="17"/>
        <v/>
      </c>
    </row>
    <row r="1119" spans="1:1" x14ac:dyDescent="0.25">
      <c r="A1119" s="216" t="str">
        <f t="shared" si="17"/>
        <v/>
      </c>
    </row>
    <row r="1120" spans="1:1" x14ac:dyDescent="0.25">
      <c r="A1120" s="216" t="str">
        <f t="shared" si="17"/>
        <v/>
      </c>
    </row>
    <row r="1121" spans="1:1" x14ac:dyDescent="0.25">
      <c r="A1121" s="216" t="str">
        <f t="shared" si="17"/>
        <v/>
      </c>
    </row>
    <row r="1122" spans="1:1" x14ac:dyDescent="0.25">
      <c r="A1122" s="216" t="str">
        <f t="shared" si="17"/>
        <v/>
      </c>
    </row>
    <row r="1123" spans="1:1" x14ac:dyDescent="0.25">
      <c r="A1123" s="216" t="str">
        <f t="shared" si="17"/>
        <v/>
      </c>
    </row>
    <row r="1124" spans="1:1" x14ac:dyDescent="0.25">
      <c r="A1124" s="216" t="str">
        <f t="shared" si="17"/>
        <v/>
      </c>
    </row>
    <row r="1125" spans="1:1" x14ac:dyDescent="0.25">
      <c r="A1125" s="216" t="str">
        <f t="shared" si="17"/>
        <v/>
      </c>
    </row>
    <row r="1126" spans="1:1" x14ac:dyDescent="0.25">
      <c r="A1126" s="216" t="str">
        <f t="shared" si="17"/>
        <v/>
      </c>
    </row>
    <row r="1127" spans="1:1" x14ac:dyDescent="0.25">
      <c r="A1127" s="216" t="str">
        <f t="shared" si="17"/>
        <v/>
      </c>
    </row>
    <row r="1128" spans="1:1" x14ac:dyDescent="0.25">
      <c r="A1128" s="216" t="str">
        <f t="shared" si="17"/>
        <v/>
      </c>
    </row>
    <row r="1129" spans="1:1" x14ac:dyDescent="0.25">
      <c r="A1129" s="216" t="str">
        <f t="shared" si="17"/>
        <v/>
      </c>
    </row>
    <row r="1130" spans="1:1" x14ac:dyDescent="0.25">
      <c r="A1130" s="216" t="str">
        <f t="shared" si="17"/>
        <v/>
      </c>
    </row>
    <row r="1131" spans="1:1" x14ac:dyDescent="0.25">
      <c r="A1131" s="216" t="str">
        <f t="shared" si="17"/>
        <v/>
      </c>
    </row>
    <row r="1132" spans="1:1" x14ac:dyDescent="0.25">
      <c r="A1132" s="216" t="str">
        <f t="shared" si="17"/>
        <v/>
      </c>
    </row>
    <row r="1133" spans="1:1" x14ac:dyDescent="0.25">
      <c r="A1133" s="216" t="str">
        <f t="shared" si="17"/>
        <v/>
      </c>
    </row>
    <row r="1134" spans="1:1" x14ac:dyDescent="0.25">
      <c r="A1134" s="216" t="str">
        <f t="shared" si="17"/>
        <v/>
      </c>
    </row>
    <row r="1135" spans="1:1" x14ac:dyDescent="0.25">
      <c r="A1135" s="216" t="str">
        <f t="shared" si="17"/>
        <v/>
      </c>
    </row>
    <row r="1136" spans="1:1" x14ac:dyDescent="0.25">
      <c r="A1136" s="216" t="str">
        <f t="shared" si="17"/>
        <v/>
      </c>
    </row>
    <row r="1137" spans="1:1" x14ac:dyDescent="0.25">
      <c r="A1137" s="216" t="str">
        <f t="shared" si="17"/>
        <v/>
      </c>
    </row>
    <row r="1138" spans="1:1" x14ac:dyDescent="0.25">
      <c r="A1138" s="216" t="str">
        <f t="shared" si="17"/>
        <v/>
      </c>
    </row>
    <row r="1139" spans="1:1" x14ac:dyDescent="0.25">
      <c r="A1139" s="216" t="str">
        <f t="shared" si="17"/>
        <v/>
      </c>
    </row>
    <row r="1140" spans="1:1" x14ac:dyDescent="0.25">
      <c r="A1140" s="216" t="str">
        <f t="shared" si="17"/>
        <v/>
      </c>
    </row>
    <row r="1141" spans="1:1" x14ac:dyDescent="0.25">
      <c r="A1141" s="216" t="str">
        <f t="shared" si="17"/>
        <v/>
      </c>
    </row>
    <row r="1142" spans="1:1" x14ac:dyDescent="0.25">
      <c r="A1142" s="216" t="str">
        <f t="shared" si="17"/>
        <v/>
      </c>
    </row>
    <row r="1143" spans="1:1" x14ac:dyDescent="0.25">
      <c r="A1143" s="216" t="str">
        <f t="shared" si="17"/>
        <v/>
      </c>
    </row>
    <row r="1144" spans="1:1" x14ac:dyDescent="0.25">
      <c r="A1144" s="216" t="str">
        <f t="shared" si="17"/>
        <v/>
      </c>
    </row>
    <row r="1145" spans="1:1" x14ac:dyDescent="0.25">
      <c r="A1145" s="216" t="str">
        <f t="shared" si="17"/>
        <v/>
      </c>
    </row>
    <row r="1146" spans="1:1" x14ac:dyDescent="0.25">
      <c r="A1146" s="216" t="str">
        <f t="shared" si="17"/>
        <v/>
      </c>
    </row>
    <row r="1147" spans="1:1" x14ac:dyDescent="0.25">
      <c r="A1147" s="216" t="str">
        <f t="shared" si="17"/>
        <v/>
      </c>
    </row>
    <row r="1148" spans="1:1" x14ac:dyDescent="0.25">
      <c r="A1148" s="216" t="str">
        <f t="shared" si="17"/>
        <v/>
      </c>
    </row>
    <row r="1149" spans="1:1" x14ac:dyDescent="0.25">
      <c r="A1149" s="216" t="str">
        <f t="shared" si="17"/>
        <v/>
      </c>
    </row>
    <row r="1150" spans="1:1" x14ac:dyDescent="0.25">
      <c r="A1150" s="216" t="str">
        <f t="shared" si="17"/>
        <v/>
      </c>
    </row>
    <row r="1151" spans="1:1" x14ac:dyDescent="0.25">
      <c r="A1151" s="216" t="str">
        <f t="shared" si="17"/>
        <v/>
      </c>
    </row>
    <row r="1152" spans="1:1" x14ac:dyDescent="0.25">
      <c r="A1152" s="216" t="str">
        <f t="shared" si="17"/>
        <v/>
      </c>
    </row>
    <row r="1153" spans="1:1" x14ac:dyDescent="0.25">
      <c r="A1153" s="216" t="str">
        <f t="shared" si="17"/>
        <v/>
      </c>
    </row>
    <row r="1154" spans="1:1" x14ac:dyDescent="0.25">
      <c r="A1154" s="216" t="str">
        <f t="shared" si="17"/>
        <v/>
      </c>
    </row>
    <row r="1155" spans="1:1" x14ac:dyDescent="0.25">
      <c r="A1155" s="216" t="str">
        <f t="shared" si="17"/>
        <v/>
      </c>
    </row>
    <row r="1156" spans="1:1" x14ac:dyDescent="0.25">
      <c r="A1156" s="216" t="str">
        <f t="shared" ref="A1156:A1219" si="18">IF(B1156&lt;&gt;"",A1155+1,"")</f>
        <v/>
      </c>
    </row>
    <row r="1157" spans="1:1" x14ac:dyDescent="0.25">
      <c r="A1157" s="216" t="str">
        <f t="shared" si="18"/>
        <v/>
      </c>
    </row>
    <row r="1158" spans="1:1" x14ac:dyDescent="0.25">
      <c r="A1158" s="216" t="str">
        <f t="shared" si="18"/>
        <v/>
      </c>
    </row>
    <row r="1159" spans="1:1" x14ac:dyDescent="0.25">
      <c r="A1159" s="216" t="str">
        <f t="shared" si="18"/>
        <v/>
      </c>
    </row>
    <row r="1160" spans="1:1" x14ac:dyDescent="0.25">
      <c r="A1160" s="216" t="str">
        <f t="shared" si="18"/>
        <v/>
      </c>
    </row>
    <row r="1161" spans="1:1" x14ac:dyDescent="0.25">
      <c r="A1161" s="216" t="str">
        <f t="shared" si="18"/>
        <v/>
      </c>
    </row>
    <row r="1162" spans="1:1" x14ac:dyDescent="0.25">
      <c r="A1162" s="216" t="str">
        <f t="shared" si="18"/>
        <v/>
      </c>
    </row>
    <row r="1163" spans="1:1" x14ac:dyDescent="0.25">
      <c r="A1163" s="216" t="str">
        <f t="shared" si="18"/>
        <v/>
      </c>
    </row>
    <row r="1164" spans="1:1" x14ac:dyDescent="0.25">
      <c r="A1164" s="216" t="str">
        <f t="shared" si="18"/>
        <v/>
      </c>
    </row>
    <row r="1165" spans="1:1" x14ac:dyDescent="0.25">
      <c r="A1165" s="216" t="str">
        <f t="shared" si="18"/>
        <v/>
      </c>
    </row>
    <row r="1166" spans="1:1" x14ac:dyDescent="0.25">
      <c r="A1166" s="216" t="str">
        <f t="shared" si="18"/>
        <v/>
      </c>
    </row>
    <row r="1167" spans="1:1" x14ac:dyDescent="0.25">
      <c r="A1167" s="216" t="str">
        <f t="shared" si="18"/>
        <v/>
      </c>
    </row>
    <row r="1168" spans="1:1" x14ac:dyDescent="0.25">
      <c r="A1168" s="216" t="str">
        <f t="shared" si="18"/>
        <v/>
      </c>
    </row>
    <row r="1169" spans="1:1" x14ac:dyDescent="0.25">
      <c r="A1169" s="216" t="str">
        <f t="shared" si="18"/>
        <v/>
      </c>
    </row>
    <row r="1170" spans="1:1" x14ac:dyDescent="0.25">
      <c r="A1170" s="216" t="str">
        <f t="shared" si="18"/>
        <v/>
      </c>
    </row>
    <row r="1171" spans="1:1" x14ac:dyDescent="0.25">
      <c r="A1171" s="216" t="str">
        <f t="shared" si="18"/>
        <v/>
      </c>
    </row>
    <row r="1172" spans="1:1" x14ac:dyDescent="0.25">
      <c r="A1172" s="216" t="str">
        <f t="shared" si="18"/>
        <v/>
      </c>
    </row>
    <row r="1173" spans="1:1" x14ac:dyDescent="0.25">
      <c r="A1173" s="216" t="str">
        <f t="shared" si="18"/>
        <v/>
      </c>
    </row>
    <row r="1174" spans="1:1" x14ac:dyDescent="0.25">
      <c r="A1174" s="216" t="str">
        <f t="shared" si="18"/>
        <v/>
      </c>
    </row>
    <row r="1175" spans="1:1" x14ac:dyDescent="0.25">
      <c r="A1175" s="216" t="str">
        <f t="shared" si="18"/>
        <v/>
      </c>
    </row>
    <row r="1176" spans="1:1" x14ac:dyDescent="0.25">
      <c r="A1176" s="216" t="str">
        <f t="shared" si="18"/>
        <v/>
      </c>
    </row>
    <row r="1177" spans="1:1" x14ac:dyDescent="0.25">
      <c r="A1177" s="216" t="str">
        <f t="shared" si="18"/>
        <v/>
      </c>
    </row>
    <row r="1178" spans="1:1" x14ac:dyDescent="0.25">
      <c r="A1178" s="216" t="str">
        <f t="shared" si="18"/>
        <v/>
      </c>
    </row>
    <row r="1179" spans="1:1" x14ac:dyDescent="0.25">
      <c r="A1179" s="216" t="str">
        <f t="shared" si="18"/>
        <v/>
      </c>
    </row>
    <row r="1180" spans="1:1" x14ac:dyDescent="0.25">
      <c r="A1180" s="216" t="str">
        <f t="shared" si="18"/>
        <v/>
      </c>
    </row>
    <row r="1181" spans="1:1" x14ac:dyDescent="0.25">
      <c r="A1181" s="216" t="str">
        <f t="shared" si="18"/>
        <v/>
      </c>
    </row>
    <row r="1182" spans="1:1" x14ac:dyDescent="0.25">
      <c r="A1182" s="216" t="str">
        <f t="shared" si="18"/>
        <v/>
      </c>
    </row>
    <row r="1183" spans="1:1" x14ac:dyDescent="0.25">
      <c r="A1183" s="216" t="str">
        <f t="shared" si="18"/>
        <v/>
      </c>
    </row>
    <row r="1184" spans="1:1" x14ac:dyDescent="0.25">
      <c r="A1184" s="216" t="str">
        <f t="shared" si="18"/>
        <v/>
      </c>
    </row>
    <row r="1185" spans="1:1" x14ac:dyDescent="0.25">
      <c r="A1185" s="216" t="str">
        <f t="shared" si="18"/>
        <v/>
      </c>
    </row>
    <row r="1186" spans="1:1" x14ac:dyDescent="0.25">
      <c r="A1186" s="216" t="str">
        <f t="shared" si="18"/>
        <v/>
      </c>
    </row>
    <row r="1187" spans="1:1" x14ac:dyDescent="0.25">
      <c r="A1187" s="216" t="str">
        <f t="shared" si="18"/>
        <v/>
      </c>
    </row>
    <row r="1188" spans="1:1" x14ac:dyDescent="0.25">
      <c r="A1188" s="216" t="str">
        <f t="shared" si="18"/>
        <v/>
      </c>
    </row>
    <row r="1189" spans="1:1" x14ac:dyDescent="0.25">
      <c r="A1189" s="216" t="str">
        <f t="shared" si="18"/>
        <v/>
      </c>
    </row>
    <row r="1190" spans="1:1" x14ac:dyDescent="0.25">
      <c r="A1190" s="216" t="str">
        <f t="shared" si="18"/>
        <v/>
      </c>
    </row>
    <row r="1191" spans="1:1" x14ac:dyDescent="0.25">
      <c r="A1191" s="216" t="str">
        <f t="shared" si="18"/>
        <v/>
      </c>
    </row>
    <row r="1192" spans="1:1" x14ac:dyDescent="0.25">
      <c r="A1192" s="216" t="str">
        <f t="shared" si="18"/>
        <v/>
      </c>
    </row>
    <row r="1193" spans="1:1" x14ac:dyDescent="0.25">
      <c r="A1193" s="216" t="str">
        <f t="shared" si="18"/>
        <v/>
      </c>
    </row>
    <row r="1194" spans="1:1" x14ac:dyDescent="0.25">
      <c r="A1194" s="216" t="str">
        <f t="shared" si="18"/>
        <v/>
      </c>
    </row>
    <row r="1195" spans="1:1" x14ac:dyDescent="0.25">
      <c r="A1195" s="216" t="str">
        <f t="shared" si="18"/>
        <v/>
      </c>
    </row>
    <row r="1196" spans="1:1" x14ac:dyDescent="0.25">
      <c r="A1196" s="216" t="str">
        <f t="shared" si="18"/>
        <v/>
      </c>
    </row>
    <row r="1197" spans="1:1" x14ac:dyDescent="0.25">
      <c r="A1197" s="216" t="str">
        <f t="shared" si="18"/>
        <v/>
      </c>
    </row>
    <row r="1198" spans="1:1" x14ac:dyDescent="0.25">
      <c r="A1198" s="216" t="str">
        <f t="shared" si="18"/>
        <v/>
      </c>
    </row>
    <row r="1199" spans="1:1" x14ac:dyDescent="0.25">
      <c r="A1199" s="216" t="str">
        <f t="shared" si="18"/>
        <v/>
      </c>
    </row>
    <row r="1200" spans="1:1" x14ac:dyDescent="0.25">
      <c r="A1200" s="216" t="str">
        <f t="shared" si="18"/>
        <v/>
      </c>
    </row>
    <row r="1201" spans="1:1" x14ac:dyDescent="0.25">
      <c r="A1201" s="216" t="str">
        <f t="shared" si="18"/>
        <v/>
      </c>
    </row>
    <row r="1202" spans="1:1" x14ac:dyDescent="0.25">
      <c r="A1202" s="216" t="str">
        <f t="shared" si="18"/>
        <v/>
      </c>
    </row>
    <row r="1203" spans="1:1" x14ac:dyDescent="0.25">
      <c r="A1203" s="216" t="str">
        <f t="shared" si="18"/>
        <v/>
      </c>
    </row>
    <row r="1204" spans="1:1" x14ac:dyDescent="0.25">
      <c r="A1204" s="216" t="str">
        <f t="shared" si="18"/>
        <v/>
      </c>
    </row>
    <row r="1205" spans="1:1" x14ac:dyDescent="0.25">
      <c r="A1205" s="216" t="str">
        <f t="shared" si="18"/>
        <v/>
      </c>
    </row>
    <row r="1206" spans="1:1" x14ac:dyDescent="0.25">
      <c r="A1206" s="216" t="str">
        <f t="shared" si="18"/>
        <v/>
      </c>
    </row>
    <row r="1207" spans="1:1" x14ac:dyDescent="0.25">
      <c r="A1207" s="216" t="str">
        <f t="shared" si="18"/>
        <v/>
      </c>
    </row>
    <row r="1208" spans="1:1" x14ac:dyDescent="0.25">
      <c r="A1208" s="216" t="str">
        <f t="shared" si="18"/>
        <v/>
      </c>
    </row>
    <row r="1209" spans="1:1" x14ac:dyDescent="0.25">
      <c r="A1209" s="216" t="str">
        <f t="shared" si="18"/>
        <v/>
      </c>
    </row>
    <row r="1210" spans="1:1" x14ac:dyDescent="0.25">
      <c r="A1210" s="216" t="str">
        <f t="shared" si="18"/>
        <v/>
      </c>
    </row>
    <row r="1211" spans="1:1" x14ac:dyDescent="0.25">
      <c r="A1211" s="216" t="str">
        <f t="shared" si="18"/>
        <v/>
      </c>
    </row>
    <row r="1212" spans="1:1" x14ac:dyDescent="0.25">
      <c r="A1212" s="216" t="str">
        <f t="shared" si="18"/>
        <v/>
      </c>
    </row>
    <row r="1213" spans="1:1" x14ac:dyDescent="0.25">
      <c r="A1213" s="216" t="str">
        <f t="shared" si="18"/>
        <v/>
      </c>
    </row>
    <row r="1214" spans="1:1" x14ac:dyDescent="0.25">
      <c r="A1214" s="216" t="str">
        <f t="shared" si="18"/>
        <v/>
      </c>
    </row>
    <row r="1215" spans="1:1" x14ac:dyDescent="0.25">
      <c r="A1215" s="216" t="str">
        <f t="shared" si="18"/>
        <v/>
      </c>
    </row>
    <row r="1216" spans="1:1" x14ac:dyDescent="0.25">
      <c r="A1216" s="216" t="str">
        <f t="shared" si="18"/>
        <v/>
      </c>
    </row>
    <row r="1217" spans="1:1" x14ac:dyDescent="0.25">
      <c r="A1217" s="216" t="str">
        <f t="shared" si="18"/>
        <v/>
      </c>
    </row>
    <row r="1218" spans="1:1" x14ac:dyDescent="0.25">
      <c r="A1218" s="216" t="str">
        <f t="shared" si="18"/>
        <v/>
      </c>
    </row>
    <row r="1219" spans="1:1" x14ac:dyDescent="0.25">
      <c r="A1219" s="216" t="str">
        <f t="shared" si="18"/>
        <v/>
      </c>
    </row>
    <row r="1220" spans="1:1" x14ac:dyDescent="0.25">
      <c r="A1220" s="216" t="str">
        <f t="shared" ref="A1220:A1283" si="19">IF(B1220&lt;&gt;"",A1219+1,"")</f>
        <v/>
      </c>
    </row>
    <row r="1221" spans="1:1" x14ac:dyDescent="0.25">
      <c r="A1221" s="216" t="str">
        <f t="shared" si="19"/>
        <v/>
      </c>
    </row>
    <row r="1222" spans="1:1" x14ac:dyDescent="0.25">
      <c r="A1222" s="216" t="str">
        <f t="shared" si="19"/>
        <v/>
      </c>
    </row>
    <row r="1223" spans="1:1" x14ac:dyDescent="0.25">
      <c r="A1223" s="216" t="str">
        <f t="shared" si="19"/>
        <v/>
      </c>
    </row>
    <row r="1224" spans="1:1" x14ac:dyDescent="0.25">
      <c r="A1224" s="216" t="str">
        <f t="shared" si="19"/>
        <v/>
      </c>
    </row>
    <row r="1225" spans="1:1" x14ac:dyDescent="0.25">
      <c r="A1225" s="216" t="str">
        <f t="shared" si="19"/>
        <v/>
      </c>
    </row>
    <row r="1226" spans="1:1" x14ac:dyDescent="0.25">
      <c r="A1226" s="216" t="str">
        <f t="shared" si="19"/>
        <v/>
      </c>
    </row>
    <row r="1227" spans="1:1" x14ac:dyDescent="0.25">
      <c r="A1227" s="216" t="str">
        <f t="shared" si="19"/>
        <v/>
      </c>
    </row>
    <row r="1228" spans="1:1" x14ac:dyDescent="0.25">
      <c r="A1228" s="216" t="str">
        <f t="shared" si="19"/>
        <v/>
      </c>
    </row>
    <row r="1229" spans="1:1" x14ac:dyDescent="0.25">
      <c r="A1229" s="216" t="str">
        <f t="shared" si="19"/>
        <v/>
      </c>
    </row>
    <row r="1230" spans="1:1" x14ac:dyDescent="0.25">
      <c r="A1230" s="216" t="str">
        <f t="shared" si="19"/>
        <v/>
      </c>
    </row>
    <row r="1231" spans="1:1" x14ac:dyDescent="0.25">
      <c r="A1231" s="216" t="str">
        <f t="shared" si="19"/>
        <v/>
      </c>
    </row>
    <row r="1232" spans="1:1" x14ac:dyDescent="0.25">
      <c r="A1232" s="216" t="str">
        <f t="shared" si="19"/>
        <v/>
      </c>
    </row>
    <row r="1233" spans="1:1" x14ac:dyDescent="0.25">
      <c r="A1233" s="216" t="str">
        <f t="shared" si="19"/>
        <v/>
      </c>
    </row>
    <row r="1234" spans="1:1" x14ac:dyDescent="0.25">
      <c r="A1234" s="216" t="str">
        <f t="shared" si="19"/>
        <v/>
      </c>
    </row>
    <row r="1235" spans="1:1" x14ac:dyDescent="0.25">
      <c r="A1235" s="216" t="str">
        <f t="shared" si="19"/>
        <v/>
      </c>
    </row>
    <row r="1236" spans="1:1" x14ac:dyDescent="0.25">
      <c r="A1236" s="216" t="str">
        <f t="shared" si="19"/>
        <v/>
      </c>
    </row>
    <row r="1237" spans="1:1" x14ac:dyDescent="0.25">
      <c r="A1237" s="216" t="str">
        <f t="shared" si="19"/>
        <v/>
      </c>
    </row>
    <row r="1238" spans="1:1" x14ac:dyDescent="0.25">
      <c r="A1238" s="216" t="str">
        <f t="shared" si="19"/>
        <v/>
      </c>
    </row>
    <row r="1239" spans="1:1" x14ac:dyDescent="0.25">
      <c r="A1239" s="216" t="str">
        <f t="shared" si="19"/>
        <v/>
      </c>
    </row>
    <row r="1240" spans="1:1" x14ac:dyDescent="0.25">
      <c r="A1240" s="216" t="str">
        <f t="shared" si="19"/>
        <v/>
      </c>
    </row>
    <row r="1241" spans="1:1" x14ac:dyDescent="0.25">
      <c r="A1241" s="216" t="str">
        <f t="shared" si="19"/>
        <v/>
      </c>
    </row>
    <row r="1242" spans="1:1" x14ac:dyDescent="0.25">
      <c r="A1242" s="216" t="str">
        <f t="shared" si="19"/>
        <v/>
      </c>
    </row>
    <row r="1243" spans="1:1" x14ac:dyDescent="0.25">
      <c r="A1243" s="216" t="str">
        <f t="shared" si="19"/>
        <v/>
      </c>
    </row>
    <row r="1244" spans="1:1" x14ac:dyDescent="0.25">
      <c r="A1244" s="216" t="str">
        <f t="shared" si="19"/>
        <v/>
      </c>
    </row>
    <row r="1245" spans="1:1" x14ac:dyDescent="0.25">
      <c r="A1245" s="216" t="str">
        <f t="shared" si="19"/>
        <v/>
      </c>
    </row>
    <row r="1246" spans="1:1" x14ac:dyDescent="0.25">
      <c r="A1246" s="216" t="str">
        <f t="shared" si="19"/>
        <v/>
      </c>
    </row>
    <row r="1247" spans="1:1" x14ac:dyDescent="0.25">
      <c r="A1247" s="216" t="str">
        <f t="shared" si="19"/>
        <v/>
      </c>
    </row>
    <row r="1248" spans="1:1" x14ac:dyDescent="0.25">
      <c r="A1248" s="216" t="str">
        <f t="shared" si="19"/>
        <v/>
      </c>
    </row>
    <row r="1249" spans="1:1" x14ac:dyDescent="0.25">
      <c r="A1249" s="216" t="str">
        <f t="shared" si="19"/>
        <v/>
      </c>
    </row>
    <row r="1250" spans="1:1" x14ac:dyDescent="0.25">
      <c r="A1250" s="216" t="str">
        <f t="shared" si="19"/>
        <v/>
      </c>
    </row>
    <row r="1251" spans="1:1" x14ac:dyDescent="0.25">
      <c r="A1251" s="216" t="str">
        <f t="shared" si="19"/>
        <v/>
      </c>
    </row>
    <row r="1252" spans="1:1" x14ac:dyDescent="0.25">
      <c r="A1252" s="216" t="str">
        <f t="shared" si="19"/>
        <v/>
      </c>
    </row>
    <row r="1253" spans="1:1" x14ac:dyDescent="0.25">
      <c r="A1253" s="216" t="str">
        <f t="shared" si="19"/>
        <v/>
      </c>
    </row>
    <row r="1254" spans="1:1" x14ac:dyDescent="0.25">
      <c r="A1254" s="216" t="str">
        <f t="shared" si="19"/>
        <v/>
      </c>
    </row>
    <row r="1255" spans="1:1" x14ac:dyDescent="0.25">
      <c r="A1255" s="216" t="str">
        <f t="shared" si="19"/>
        <v/>
      </c>
    </row>
    <row r="1256" spans="1:1" x14ac:dyDescent="0.25">
      <c r="A1256" s="216" t="str">
        <f t="shared" si="19"/>
        <v/>
      </c>
    </row>
    <row r="1257" spans="1:1" x14ac:dyDescent="0.25">
      <c r="A1257" s="216" t="str">
        <f t="shared" si="19"/>
        <v/>
      </c>
    </row>
    <row r="1258" spans="1:1" x14ac:dyDescent="0.25">
      <c r="A1258" s="216" t="str">
        <f t="shared" si="19"/>
        <v/>
      </c>
    </row>
    <row r="1259" spans="1:1" x14ac:dyDescent="0.25">
      <c r="A1259" s="216" t="str">
        <f t="shared" si="19"/>
        <v/>
      </c>
    </row>
    <row r="1260" spans="1:1" x14ac:dyDescent="0.25">
      <c r="A1260" s="216" t="str">
        <f t="shared" si="19"/>
        <v/>
      </c>
    </row>
    <row r="1261" spans="1:1" x14ac:dyDescent="0.25">
      <c r="A1261" s="216" t="str">
        <f t="shared" si="19"/>
        <v/>
      </c>
    </row>
    <row r="1262" spans="1:1" x14ac:dyDescent="0.25">
      <c r="A1262" s="216" t="str">
        <f t="shared" si="19"/>
        <v/>
      </c>
    </row>
    <row r="1263" spans="1:1" x14ac:dyDescent="0.25">
      <c r="A1263" s="216" t="str">
        <f t="shared" si="19"/>
        <v/>
      </c>
    </row>
    <row r="1264" spans="1:1" x14ac:dyDescent="0.25">
      <c r="A1264" s="216" t="str">
        <f t="shared" si="19"/>
        <v/>
      </c>
    </row>
    <row r="1265" spans="1:1" x14ac:dyDescent="0.25">
      <c r="A1265" s="216" t="str">
        <f t="shared" si="19"/>
        <v/>
      </c>
    </row>
    <row r="1266" spans="1:1" x14ac:dyDescent="0.25">
      <c r="A1266" s="216" t="str">
        <f t="shared" si="19"/>
        <v/>
      </c>
    </row>
    <row r="1267" spans="1:1" x14ac:dyDescent="0.25">
      <c r="A1267" s="216" t="str">
        <f t="shared" si="19"/>
        <v/>
      </c>
    </row>
    <row r="1268" spans="1:1" x14ac:dyDescent="0.25">
      <c r="A1268" s="216" t="str">
        <f t="shared" si="19"/>
        <v/>
      </c>
    </row>
    <row r="1269" spans="1:1" x14ac:dyDescent="0.25">
      <c r="A1269" s="216" t="str">
        <f t="shared" si="19"/>
        <v/>
      </c>
    </row>
    <row r="1270" spans="1:1" x14ac:dyDescent="0.25">
      <c r="A1270" s="216" t="str">
        <f t="shared" si="19"/>
        <v/>
      </c>
    </row>
    <row r="1271" spans="1:1" x14ac:dyDescent="0.25">
      <c r="A1271" s="216" t="str">
        <f t="shared" si="19"/>
        <v/>
      </c>
    </row>
    <row r="1272" spans="1:1" x14ac:dyDescent="0.25">
      <c r="A1272" s="216" t="str">
        <f t="shared" si="19"/>
        <v/>
      </c>
    </row>
    <row r="1273" spans="1:1" x14ac:dyDescent="0.25">
      <c r="A1273" s="216" t="str">
        <f t="shared" si="19"/>
        <v/>
      </c>
    </row>
    <row r="1274" spans="1:1" x14ac:dyDescent="0.25">
      <c r="A1274" s="216" t="str">
        <f t="shared" si="19"/>
        <v/>
      </c>
    </row>
    <row r="1275" spans="1:1" x14ac:dyDescent="0.25">
      <c r="A1275" s="216" t="str">
        <f t="shared" si="19"/>
        <v/>
      </c>
    </row>
    <row r="1276" spans="1:1" x14ac:dyDescent="0.25">
      <c r="A1276" s="216" t="str">
        <f t="shared" si="19"/>
        <v/>
      </c>
    </row>
    <row r="1277" spans="1:1" x14ac:dyDescent="0.25">
      <c r="A1277" s="216" t="str">
        <f t="shared" si="19"/>
        <v/>
      </c>
    </row>
    <row r="1278" spans="1:1" x14ac:dyDescent="0.25">
      <c r="A1278" s="216" t="str">
        <f t="shared" si="19"/>
        <v/>
      </c>
    </row>
    <row r="1279" spans="1:1" x14ac:dyDescent="0.25">
      <c r="A1279" s="216" t="str">
        <f t="shared" si="19"/>
        <v/>
      </c>
    </row>
    <row r="1280" spans="1:1" x14ac:dyDescent="0.25">
      <c r="A1280" s="216" t="str">
        <f t="shared" si="19"/>
        <v/>
      </c>
    </row>
    <row r="1281" spans="1:1" x14ac:dyDescent="0.25">
      <c r="A1281" s="216" t="str">
        <f t="shared" si="19"/>
        <v/>
      </c>
    </row>
    <row r="1282" spans="1:1" x14ac:dyDescent="0.25">
      <c r="A1282" s="216" t="str">
        <f t="shared" si="19"/>
        <v/>
      </c>
    </row>
    <row r="1283" spans="1:1" x14ac:dyDescent="0.25">
      <c r="A1283" s="216" t="str">
        <f t="shared" si="19"/>
        <v/>
      </c>
    </row>
    <row r="1284" spans="1:1" x14ac:dyDescent="0.25">
      <c r="A1284" s="216" t="str">
        <f t="shared" ref="A1284:A1347" si="20">IF(B1284&lt;&gt;"",A1283+1,"")</f>
        <v/>
      </c>
    </row>
    <row r="1285" spans="1:1" x14ac:dyDescent="0.25">
      <c r="A1285" s="216" t="str">
        <f t="shared" si="20"/>
        <v/>
      </c>
    </row>
    <row r="1286" spans="1:1" x14ac:dyDescent="0.25">
      <c r="A1286" s="216" t="str">
        <f t="shared" si="20"/>
        <v/>
      </c>
    </row>
    <row r="1287" spans="1:1" x14ac:dyDescent="0.25">
      <c r="A1287" s="216" t="str">
        <f t="shared" si="20"/>
        <v/>
      </c>
    </row>
    <row r="1288" spans="1:1" x14ac:dyDescent="0.25">
      <c r="A1288" s="216" t="str">
        <f t="shared" si="20"/>
        <v/>
      </c>
    </row>
    <row r="1289" spans="1:1" x14ac:dyDescent="0.25">
      <c r="A1289" s="216" t="str">
        <f t="shared" si="20"/>
        <v/>
      </c>
    </row>
    <row r="1290" spans="1:1" x14ac:dyDescent="0.25">
      <c r="A1290" s="216" t="str">
        <f t="shared" si="20"/>
        <v/>
      </c>
    </row>
    <row r="1291" spans="1:1" x14ac:dyDescent="0.25">
      <c r="A1291" s="216" t="str">
        <f t="shared" si="20"/>
        <v/>
      </c>
    </row>
    <row r="1292" spans="1:1" x14ac:dyDescent="0.25">
      <c r="A1292" s="216" t="str">
        <f t="shared" si="20"/>
        <v/>
      </c>
    </row>
    <row r="1293" spans="1:1" x14ac:dyDescent="0.25">
      <c r="A1293" s="216" t="str">
        <f t="shared" si="20"/>
        <v/>
      </c>
    </row>
    <row r="1294" spans="1:1" x14ac:dyDescent="0.25">
      <c r="A1294" s="216" t="str">
        <f t="shared" si="20"/>
        <v/>
      </c>
    </row>
    <row r="1295" spans="1:1" x14ac:dyDescent="0.25">
      <c r="A1295" s="216" t="str">
        <f t="shared" si="20"/>
        <v/>
      </c>
    </row>
    <row r="1296" spans="1:1" x14ac:dyDescent="0.25">
      <c r="A1296" s="216" t="str">
        <f t="shared" si="20"/>
        <v/>
      </c>
    </row>
    <row r="1297" spans="1:1" x14ac:dyDescent="0.25">
      <c r="A1297" s="216" t="str">
        <f t="shared" si="20"/>
        <v/>
      </c>
    </row>
    <row r="1298" spans="1:1" x14ac:dyDescent="0.25">
      <c r="A1298" s="216" t="str">
        <f t="shared" si="20"/>
        <v/>
      </c>
    </row>
    <row r="1299" spans="1:1" x14ac:dyDescent="0.25">
      <c r="A1299" s="216" t="str">
        <f t="shared" si="20"/>
        <v/>
      </c>
    </row>
    <row r="1300" spans="1:1" x14ac:dyDescent="0.25">
      <c r="A1300" s="216" t="str">
        <f t="shared" si="20"/>
        <v/>
      </c>
    </row>
    <row r="1301" spans="1:1" x14ac:dyDescent="0.25">
      <c r="A1301" s="216" t="str">
        <f t="shared" si="20"/>
        <v/>
      </c>
    </row>
    <row r="1302" spans="1:1" x14ac:dyDescent="0.25">
      <c r="A1302" s="216" t="str">
        <f t="shared" si="20"/>
        <v/>
      </c>
    </row>
    <row r="1303" spans="1:1" x14ac:dyDescent="0.25">
      <c r="A1303" s="216" t="str">
        <f t="shared" si="20"/>
        <v/>
      </c>
    </row>
    <row r="1304" spans="1:1" x14ac:dyDescent="0.25">
      <c r="A1304" s="216" t="str">
        <f t="shared" si="20"/>
        <v/>
      </c>
    </row>
    <row r="1305" spans="1:1" x14ac:dyDescent="0.25">
      <c r="A1305" s="216" t="str">
        <f t="shared" si="20"/>
        <v/>
      </c>
    </row>
    <row r="1306" spans="1:1" x14ac:dyDescent="0.25">
      <c r="A1306" s="216" t="str">
        <f t="shared" si="20"/>
        <v/>
      </c>
    </row>
    <row r="1307" spans="1:1" x14ac:dyDescent="0.25">
      <c r="A1307" s="216" t="str">
        <f t="shared" si="20"/>
        <v/>
      </c>
    </row>
    <row r="1308" spans="1:1" x14ac:dyDescent="0.25">
      <c r="A1308" s="216" t="str">
        <f t="shared" si="20"/>
        <v/>
      </c>
    </row>
    <row r="1309" spans="1:1" x14ac:dyDescent="0.25">
      <c r="A1309" s="216" t="str">
        <f t="shared" si="20"/>
        <v/>
      </c>
    </row>
    <row r="1310" spans="1:1" x14ac:dyDescent="0.25">
      <c r="A1310" s="216" t="str">
        <f t="shared" si="20"/>
        <v/>
      </c>
    </row>
    <row r="1311" spans="1:1" x14ac:dyDescent="0.25">
      <c r="A1311" s="216" t="str">
        <f t="shared" si="20"/>
        <v/>
      </c>
    </row>
    <row r="1312" spans="1:1" x14ac:dyDescent="0.25">
      <c r="A1312" s="216" t="str">
        <f t="shared" si="20"/>
        <v/>
      </c>
    </row>
    <row r="1313" spans="1:1" x14ac:dyDescent="0.25">
      <c r="A1313" s="216" t="str">
        <f t="shared" si="20"/>
        <v/>
      </c>
    </row>
    <row r="1314" spans="1:1" x14ac:dyDescent="0.25">
      <c r="A1314" s="216" t="str">
        <f t="shared" si="20"/>
        <v/>
      </c>
    </row>
    <row r="1315" spans="1:1" x14ac:dyDescent="0.25">
      <c r="A1315" s="216" t="str">
        <f t="shared" si="20"/>
        <v/>
      </c>
    </row>
    <row r="1316" spans="1:1" x14ac:dyDescent="0.25">
      <c r="A1316" s="216" t="str">
        <f t="shared" si="20"/>
        <v/>
      </c>
    </row>
    <row r="1317" spans="1:1" x14ac:dyDescent="0.25">
      <c r="A1317" s="216" t="str">
        <f t="shared" si="20"/>
        <v/>
      </c>
    </row>
    <row r="1318" spans="1:1" x14ac:dyDescent="0.25">
      <c r="A1318" s="216" t="str">
        <f t="shared" si="20"/>
        <v/>
      </c>
    </row>
    <row r="1319" spans="1:1" x14ac:dyDescent="0.25">
      <c r="A1319" s="216" t="str">
        <f t="shared" si="20"/>
        <v/>
      </c>
    </row>
    <row r="1320" spans="1:1" x14ac:dyDescent="0.25">
      <c r="A1320" s="216" t="str">
        <f t="shared" si="20"/>
        <v/>
      </c>
    </row>
    <row r="1321" spans="1:1" x14ac:dyDescent="0.25">
      <c r="A1321" s="216" t="str">
        <f t="shared" si="20"/>
        <v/>
      </c>
    </row>
    <row r="1322" spans="1:1" x14ac:dyDescent="0.25">
      <c r="A1322" s="216" t="str">
        <f t="shared" si="20"/>
        <v/>
      </c>
    </row>
    <row r="1323" spans="1:1" x14ac:dyDescent="0.25">
      <c r="A1323" s="216" t="str">
        <f t="shared" si="20"/>
        <v/>
      </c>
    </row>
    <row r="1324" spans="1:1" x14ac:dyDescent="0.25">
      <c r="A1324" s="216" t="str">
        <f t="shared" si="20"/>
        <v/>
      </c>
    </row>
    <row r="1325" spans="1:1" x14ac:dyDescent="0.25">
      <c r="A1325" s="216" t="str">
        <f t="shared" si="20"/>
        <v/>
      </c>
    </row>
    <row r="1326" spans="1:1" x14ac:dyDescent="0.25">
      <c r="A1326" s="216" t="str">
        <f t="shared" si="20"/>
        <v/>
      </c>
    </row>
    <row r="1327" spans="1:1" x14ac:dyDescent="0.25">
      <c r="A1327" s="216" t="str">
        <f t="shared" si="20"/>
        <v/>
      </c>
    </row>
    <row r="1328" spans="1:1" x14ac:dyDescent="0.25">
      <c r="A1328" s="216" t="str">
        <f t="shared" si="20"/>
        <v/>
      </c>
    </row>
    <row r="1329" spans="1:1" x14ac:dyDescent="0.25">
      <c r="A1329" s="216" t="str">
        <f t="shared" si="20"/>
        <v/>
      </c>
    </row>
    <row r="1330" spans="1:1" x14ac:dyDescent="0.25">
      <c r="A1330" s="216" t="str">
        <f t="shared" si="20"/>
        <v/>
      </c>
    </row>
    <row r="1331" spans="1:1" x14ac:dyDescent="0.25">
      <c r="A1331" s="216" t="str">
        <f t="shared" si="20"/>
        <v/>
      </c>
    </row>
    <row r="1332" spans="1:1" x14ac:dyDescent="0.25">
      <c r="A1332" s="216" t="str">
        <f t="shared" si="20"/>
        <v/>
      </c>
    </row>
    <row r="1333" spans="1:1" x14ac:dyDescent="0.25">
      <c r="A1333" s="216" t="str">
        <f t="shared" si="20"/>
        <v/>
      </c>
    </row>
    <row r="1334" spans="1:1" x14ac:dyDescent="0.25">
      <c r="A1334" s="216" t="str">
        <f t="shared" si="20"/>
        <v/>
      </c>
    </row>
    <row r="1335" spans="1:1" x14ac:dyDescent="0.25">
      <c r="A1335" s="216" t="str">
        <f t="shared" si="20"/>
        <v/>
      </c>
    </row>
    <row r="1336" spans="1:1" x14ac:dyDescent="0.25">
      <c r="A1336" s="216" t="str">
        <f t="shared" si="20"/>
        <v/>
      </c>
    </row>
    <row r="1337" spans="1:1" x14ac:dyDescent="0.25">
      <c r="A1337" s="216" t="str">
        <f t="shared" si="20"/>
        <v/>
      </c>
    </row>
    <row r="1338" spans="1:1" x14ac:dyDescent="0.25">
      <c r="A1338" s="216" t="str">
        <f t="shared" si="20"/>
        <v/>
      </c>
    </row>
    <row r="1339" spans="1:1" x14ac:dyDescent="0.25">
      <c r="A1339" s="216" t="str">
        <f t="shared" si="20"/>
        <v/>
      </c>
    </row>
    <row r="1340" spans="1:1" x14ac:dyDescent="0.25">
      <c r="A1340" s="216" t="str">
        <f t="shared" si="20"/>
        <v/>
      </c>
    </row>
    <row r="1341" spans="1:1" x14ac:dyDescent="0.25">
      <c r="A1341" s="216" t="str">
        <f t="shared" si="20"/>
        <v/>
      </c>
    </row>
    <row r="1342" spans="1:1" x14ac:dyDescent="0.25">
      <c r="A1342" s="216" t="str">
        <f t="shared" si="20"/>
        <v/>
      </c>
    </row>
    <row r="1343" spans="1:1" x14ac:dyDescent="0.25">
      <c r="A1343" s="216" t="str">
        <f t="shared" si="20"/>
        <v/>
      </c>
    </row>
    <row r="1344" spans="1:1" x14ac:dyDescent="0.25">
      <c r="A1344" s="216" t="str">
        <f t="shared" si="20"/>
        <v/>
      </c>
    </row>
    <row r="1345" spans="1:1" x14ac:dyDescent="0.25">
      <c r="A1345" s="216" t="str">
        <f t="shared" si="20"/>
        <v/>
      </c>
    </row>
    <row r="1346" spans="1:1" x14ac:dyDescent="0.25">
      <c r="A1346" s="216" t="str">
        <f t="shared" si="20"/>
        <v/>
      </c>
    </row>
    <row r="1347" spans="1:1" x14ac:dyDescent="0.25">
      <c r="A1347" s="216" t="str">
        <f t="shared" si="20"/>
        <v/>
      </c>
    </row>
    <row r="1348" spans="1:1" x14ac:dyDescent="0.25">
      <c r="A1348" s="216" t="str">
        <f t="shared" ref="A1348:A1411" si="21">IF(B1348&lt;&gt;"",A1347+1,"")</f>
        <v/>
      </c>
    </row>
    <row r="1349" spans="1:1" x14ac:dyDescent="0.25">
      <c r="A1349" s="216" t="str">
        <f t="shared" si="21"/>
        <v/>
      </c>
    </row>
    <row r="1350" spans="1:1" x14ac:dyDescent="0.25">
      <c r="A1350" s="216" t="str">
        <f t="shared" si="21"/>
        <v/>
      </c>
    </row>
    <row r="1351" spans="1:1" x14ac:dyDescent="0.25">
      <c r="A1351" s="216" t="str">
        <f t="shared" si="21"/>
        <v/>
      </c>
    </row>
    <row r="1352" spans="1:1" x14ac:dyDescent="0.25">
      <c r="A1352" s="216" t="str">
        <f t="shared" si="21"/>
        <v/>
      </c>
    </row>
    <row r="1353" spans="1:1" x14ac:dyDescent="0.25">
      <c r="A1353" s="216" t="str">
        <f t="shared" si="21"/>
        <v/>
      </c>
    </row>
    <row r="1354" spans="1:1" x14ac:dyDescent="0.25">
      <c r="A1354" s="216" t="str">
        <f t="shared" si="21"/>
        <v/>
      </c>
    </row>
    <row r="1355" spans="1:1" x14ac:dyDescent="0.25">
      <c r="A1355" s="216" t="str">
        <f t="shared" si="21"/>
        <v/>
      </c>
    </row>
    <row r="1356" spans="1:1" x14ac:dyDescent="0.25">
      <c r="A1356" s="216" t="str">
        <f t="shared" si="21"/>
        <v/>
      </c>
    </row>
    <row r="1357" spans="1:1" x14ac:dyDescent="0.25">
      <c r="A1357" s="216" t="str">
        <f t="shared" si="21"/>
        <v/>
      </c>
    </row>
    <row r="1358" spans="1:1" x14ac:dyDescent="0.25">
      <c r="A1358" s="216" t="str">
        <f t="shared" si="21"/>
        <v/>
      </c>
    </row>
    <row r="1359" spans="1:1" x14ac:dyDescent="0.25">
      <c r="A1359" s="216" t="str">
        <f t="shared" si="21"/>
        <v/>
      </c>
    </row>
    <row r="1360" spans="1:1" x14ac:dyDescent="0.25">
      <c r="A1360" s="216" t="str">
        <f t="shared" si="21"/>
        <v/>
      </c>
    </row>
    <row r="1361" spans="1:1" x14ac:dyDescent="0.25">
      <c r="A1361" s="216" t="str">
        <f t="shared" si="21"/>
        <v/>
      </c>
    </row>
    <row r="1362" spans="1:1" x14ac:dyDescent="0.25">
      <c r="A1362" s="216" t="str">
        <f t="shared" si="21"/>
        <v/>
      </c>
    </row>
    <row r="1363" spans="1:1" x14ac:dyDescent="0.25">
      <c r="A1363" s="216" t="str">
        <f t="shared" si="21"/>
        <v/>
      </c>
    </row>
    <row r="1364" spans="1:1" x14ac:dyDescent="0.25">
      <c r="A1364" s="216" t="str">
        <f t="shared" si="21"/>
        <v/>
      </c>
    </row>
    <row r="1365" spans="1:1" x14ac:dyDescent="0.25">
      <c r="A1365" s="216" t="str">
        <f t="shared" si="21"/>
        <v/>
      </c>
    </row>
    <row r="1366" spans="1:1" x14ac:dyDescent="0.25">
      <c r="A1366" s="216" t="str">
        <f t="shared" si="21"/>
        <v/>
      </c>
    </row>
    <row r="1367" spans="1:1" x14ac:dyDescent="0.25">
      <c r="A1367" s="216" t="str">
        <f t="shared" si="21"/>
        <v/>
      </c>
    </row>
    <row r="1368" spans="1:1" x14ac:dyDescent="0.25">
      <c r="A1368" s="216" t="str">
        <f t="shared" si="21"/>
        <v/>
      </c>
    </row>
    <row r="1369" spans="1:1" x14ac:dyDescent="0.25">
      <c r="A1369" s="216" t="str">
        <f t="shared" si="21"/>
        <v/>
      </c>
    </row>
    <row r="1370" spans="1:1" x14ac:dyDescent="0.25">
      <c r="A1370" s="216" t="str">
        <f t="shared" si="21"/>
        <v/>
      </c>
    </row>
    <row r="1371" spans="1:1" x14ac:dyDescent="0.25">
      <c r="A1371" s="216" t="str">
        <f t="shared" si="21"/>
        <v/>
      </c>
    </row>
    <row r="1372" spans="1:1" x14ac:dyDescent="0.25">
      <c r="A1372" s="216" t="str">
        <f t="shared" si="21"/>
        <v/>
      </c>
    </row>
    <row r="1373" spans="1:1" x14ac:dyDescent="0.25">
      <c r="A1373" s="216" t="str">
        <f t="shared" si="21"/>
        <v/>
      </c>
    </row>
    <row r="1374" spans="1:1" x14ac:dyDescent="0.25">
      <c r="A1374" s="216" t="str">
        <f t="shared" si="21"/>
        <v/>
      </c>
    </row>
    <row r="1375" spans="1:1" x14ac:dyDescent="0.25">
      <c r="A1375" s="216" t="str">
        <f t="shared" si="21"/>
        <v/>
      </c>
    </row>
    <row r="1376" spans="1:1" x14ac:dyDescent="0.25">
      <c r="A1376" s="216" t="str">
        <f t="shared" si="21"/>
        <v/>
      </c>
    </row>
    <row r="1377" spans="1:1" x14ac:dyDescent="0.25">
      <c r="A1377" s="216" t="str">
        <f t="shared" si="21"/>
        <v/>
      </c>
    </row>
    <row r="1378" spans="1:1" x14ac:dyDescent="0.25">
      <c r="A1378" s="216" t="str">
        <f t="shared" si="21"/>
        <v/>
      </c>
    </row>
    <row r="1379" spans="1:1" x14ac:dyDescent="0.25">
      <c r="A1379" s="216" t="str">
        <f t="shared" si="21"/>
        <v/>
      </c>
    </row>
    <row r="1380" spans="1:1" x14ac:dyDescent="0.25">
      <c r="A1380" s="216" t="str">
        <f t="shared" si="21"/>
        <v/>
      </c>
    </row>
    <row r="1381" spans="1:1" x14ac:dyDescent="0.25">
      <c r="A1381" s="216" t="str">
        <f t="shared" si="21"/>
        <v/>
      </c>
    </row>
    <row r="1382" spans="1:1" x14ac:dyDescent="0.25">
      <c r="A1382" s="216" t="str">
        <f t="shared" si="21"/>
        <v/>
      </c>
    </row>
    <row r="1383" spans="1:1" x14ac:dyDescent="0.25">
      <c r="A1383" s="216" t="str">
        <f t="shared" si="21"/>
        <v/>
      </c>
    </row>
    <row r="1384" spans="1:1" x14ac:dyDescent="0.25">
      <c r="A1384" s="216" t="str">
        <f t="shared" si="21"/>
        <v/>
      </c>
    </row>
    <row r="1385" spans="1:1" x14ac:dyDescent="0.25">
      <c r="A1385" s="216" t="str">
        <f t="shared" si="21"/>
        <v/>
      </c>
    </row>
    <row r="1386" spans="1:1" x14ac:dyDescent="0.25">
      <c r="A1386" s="216" t="str">
        <f t="shared" si="21"/>
        <v/>
      </c>
    </row>
    <row r="1387" spans="1:1" x14ac:dyDescent="0.25">
      <c r="A1387" s="216" t="str">
        <f t="shared" si="21"/>
        <v/>
      </c>
    </row>
    <row r="1388" spans="1:1" x14ac:dyDescent="0.25">
      <c r="A1388" s="216" t="str">
        <f t="shared" si="21"/>
        <v/>
      </c>
    </row>
    <row r="1389" spans="1:1" x14ac:dyDescent="0.25">
      <c r="A1389" s="216" t="str">
        <f t="shared" si="21"/>
        <v/>
      </c>
    </row>
    <row r="1390" spans="1:1" x14ac:dyDescent="0.25">
      <c r="A1390" s="216" t="str">
        <f t="shared" si="21"/>
        <v/>
      </c>
    </row>
    <row r="1391" spans="1:1" x14ac:dyDescent="0.25">
      <c r="A1391" s="216" t="str">
        <f t="shared" si="21"/>
        <v/>
      </c>
    </row>
    <row r="1392" spans="1:1" x14ac:dyDescent="0.25">
      <c r="A1392" s="216" t="str">
        <f t="shared" si="21"/>
        <v/>
      </c>
    </row>
    <row r="1393" spans="1:1" x14ac:dyDescent="0.25">
      <c r="A1393" s="216" t="str">
        <f t="shared" si="21"/>
        <v/>
      </c>
    </row>
    <row r="1394" spans="1:1" x14ac:dyDescent="0.25">
      <c r="A1394" s="216" t="str">
        <f t="shared" si="21"/>
        <v/>
      </c>
    </row>
    <row r="1395" spans="1:1" x14ac:dyDescent="0.25">
      <c r="A1395" s="216" t="str">
        <f t="shared" si="21"/>
        <v/>
      </c>
    </row>
    <row r="1396" spans="1:1" x14ac:dyDescent="0.25">
      <c r="A1396" s="216" t="str">
        <f t="shared" si="21"/>
        <v/>
      </c>
    </row>
    <row r="1397" spans="1:1" x14ac:dyDescent="0.25">
      <c r="A1397" s="216" t="str">
        <f t="shared" si="21"/>
        <v/>
      </c>
    </row>
    <row r="1398" spans="1:1" x14ac:dyDescent="0.25">
      <c r="A1398" s="216" t="str">
        <f t="shared" si="21"/>
        <v/>
      </c>
    </row>
    <row r="1399" spans="1:1" x14ac:dyDescent="0.25">
      <c r="A1399" s="216" t="str">
        <f t="shared" si="21"/>
        <v/>
      </c>
    </row>
    <row r="1400" spans="1:1" x14ac:dyDescent="0.25">
      <c r="A1400" s="216" t="str">
        <f t="shared" si="21"/>
        <v/>
      </c>
    </row>
    <row r="1401" spans="1:1" x14ac:dyDescent="0.25">
      <c r="A1401" s="216" t="str">
        <f t="shared" si="21"/>
        <v/>
      </c>
    </row>
    <row r="1402" spans="1:1" x14ac:dyDescent="0.25">
      <c r="A1402" s="216" t="str">
        <f t="shared" si="21"/>
        <v/>
      </c>
    </row>
    <row r="1403" spans="1:1" x14ac:dyDescent="0.25">
      <c r="A1403" s="216" t="str">
        <f t="shared" si="21"/>
        <v/>
      </c>
    </row>
    <row r="1404" spans="1:1" x14ac:dyDescent="0.25">
      <c r="A1404" s="216" t="str">
        <f t="shared" si="21"/>
        <v/>
      </c>
    </row>
    <row r="1405" spans="1:1" x14ac:dyDescent="0.25">
      <c r="A1405" s="216" t="str">
        <f t="shared" si="21"/>
        <v/>
      </c>
    </row>
    <row r="1406" spans="1:1" x14ac:dyDescent="0.25">
      <c r="A1406" s="216" t="str">
        <f t="shared" si="21"/>
        <v/>
      </c>
    </row>
    <row r="1407" spans="1:1" x14ac:dyDescent="0.25">
      <c r="A1407" s="216" t="str">
        <f t="shared" si="21"/>
        <v/>
      </c>
    </row>
    <row r="1408" spans="1:1" x14ac:dyDescent="0.25">
      <c r="A1408" s="216" t="str">
        <f t="shared" si="21"/>
        <v/>
      </c>
    </row>
    <row r="1409" spans="1:1" x14ac:dyDescent="0.25">
      <c r="A1409" s="216" t="str">
        <f t="shared" si="21"/>
        <v/>
      </c>
    </row>
    <row r="1410" spans="1:1" x14ac:dyDescent="0.25">
      <c r="A1410" s="216" t="str">
        <f t="shared" si="21"/>
        <v/>
      </c>
    </row>
    <row r="1411" spans="1:1" x14ac:dyDescent="0.25">
      <c r="A1411" s="216" t="str">
        <f t="shared" si="21"/>
        <v/>
      </c>
    </row>
    <row r="1412" spans="1:1" x14ac:dyDescent="0.25">
      <c r="A1412" s="216" t="str">
        <f t="shared" ref="A1412:A1475" si="22">IF(B1412&lt;&gt;"",A1411+1,"")</f>
        <v/>
      </c>
    </row>
    <row r="1413" spans="1:1" x14ac:dyDescent="0.25">
      <c r="A1413" s="216" t="str">
        <f t="shared" si="22"/>
        <v/>
      </c>
    </row>
    <row r="1414" spans="1:1" x14ac:dyDescent="0.25">
      <c r="A1414" s="216" t="str">
        <f t="shared" si="22"/>
        <v/>
      </c>
    </row>
    <row r="1415" spans="1:1" x14ac:dyDescent="0.25">
      <c r="A1415" s="216" t="str">
        <f t="shared" si="22"/>
        <v/>
      </c>
    </row>
    <row r="1416" spans="1:1" x14ac:dyDescent="0.25">
      <c r="A1416" s="216" t="str">
        <f t="shared" si="22"/>
        <v/>
      </c>
    </row>
    <row r="1417" spans="1:1" x14ac:dyDescent="0.25">
      <c r="A1417" s="216" t="str">
        <f t="shared" si="22"/>
        <v/>
      </c>
    </row>
    <row r="1418" spans="1:1" x14ac:dyDescent="0.25">
      <c r="A1418" s="216" t="str">
        <f t="shared" si="22"/>
        <v/>
      </c>
    </row>
    <row r="1419" spans="1:1" x14ac:dyDescent="0.25">
      <c r="A1419" s="216" t="str">
        <f t="shared" si="22"/>
        <v/>
      </c>
    </row>
    <row r="1420" spans="1:1" x14ac:dyDescent="0.25">
      <c r="A1420" s="216" t="str">
        <f t="shared" si="22"/>
        <v/>
      </c>
    </row>
    <row r="1421" spans="1:1" x14ac:dyDescent="0.25">
      <c r="A1421" s="216" t="str">
        <f t="shared" si="22"/>
        <v/>
      </c>
    </row>
    <row r="1422" spans="1:1" x14ac:dyDescent="0.25">
      <c r="A1422" s="216" t="str">
        <f t="shared" si="22"/>
        <v/>
      </c>
    </row>
    <row r="1423" spans="1:1" x14ac:dyDescent="0.25">
      <c r="A1423" s="216" t="str">
        <f t="shared" si="22"/>
        <v/>
      </c>
    </row>
    <row r="1424" spans="1:1" x14ac:dyDescent="0.25">
      <c r="A1424" s="216" t="str">
        <f t="shared" si="22"/>
        <v/>
      </c>
    </row>
    <row r="1425" spans="1:1" x14ac:dyDescent="0.25">
      <c r="A1425" s="216" t="str">
        <f t="shared" si="22"/>
        <v/>
      </c>
    </row>
    <row r="1426" spans="1:1" x14ac:dyDescent="0.25">
      <c r="A1426" s="216" t="str">
        <f t="shared" si="22"/>
        <v/>
      </c>
    </row>
    <row r="1427" spans="1:1" x14ac:dyDescent="0.25">
      <c r="A1427" s="216" t="str">
        <f t="shared" si="22"/>
        <v/>
      </c>
    </row>
    <row r="1428" spans="1:1" x14ac:dyDescent="0.25">
      <c r="A1428" s="216" t="str">
        <f t="shared" si="22"/>
        <v/>
      </c>
    </row>
    <row r="1429" spans="1:1" x14ac:dyDescent="0.25">
      <c r="A1429" s="216" t="str">
        <f t="shared" si="22"/>
        <v/>
      </c>
    </row>
    <row r="1430" spans="1:1" x14ac:dyDescent="0.25">
      <c r="A1430" s="216" t="str">
        <f t="shared" si="22"/>
        <v/>
      </c>
    </row>
    <row r="1431" spans="1:1" x14ac:dyDescent="0.25">
      <c r="A1431" s="216" t="str">
        <f t="shared" si="22"/>
        <v/>
      </c>
    </row>
    <row r="1432" spans="1:1" x14ac:dyDescent="0.25">
      <c r="A1432" s="216" t="str">
        <f t="shared" si="22"/>
        <v/>
      </c>
    </row>
    <row r="1433" spans="1:1" x14ac:dyDescent="0.25">
      <c r="A1433" s="216" t="str">
        <f t="shared" si="22"/>
        <v/>
      </c>
    </row>
    <row r="1434" spans="1:1" x14ac:dyDescent="0.25">
      <c r="A1434" s="216" t="str">
        <f t="shared" si="22"/>
        <v/>
      </c>
    </row>
    <row r="1435" spans="1:1" x14ac:dyDescent="0.25">
      <c r="A1435" s="216" t="str">
        <f t="shared" si="22"/>
        <v/>
      </c>
    </row>
    <row r="1436" spans="1:1" x14ac:dyDescent="0.25">
      <c r="A1436" s="216" t="str">
        <f t="shared" si="22"/>
        <v/>
      </c>
    </row>
    <row r="1437" spans="1:1" x14ac:dyDescent="0.25">
      <c r="A1437" s="216" t="str">
        <f t="shared" si="22"/>
        <v/>
      </c>
    </row>
    <row r="1438" spans="1:1" x14ac:dyDescent="0.25">
      <c r="A1438" s="216" t="str">
        <f t="shared" si="22"/>
        <v/>
      </c>
    </row>
    <row r="1439" spans="1:1" x14ac:dyDescent="0.25">
      <c r="A1439" s="216" t="str">
        <f t="shared" si="22"/>
        <v/>
      </c>
    </row>
    <row r="1440" spans="1:1" x14ac:dyDescent="0.25">
      <c r="A1440" s="216" t="str">
        <f t="shared" si="22"/>
        <v/>
      </c>
    </row>
    <row r="1441" spans="1:1" x14ac:dyDescent="0.25">
      <c r="A1441" s="216" t="str">
        <f t="shared" si="22"/>
        <v/>
      </c>
    </row>
    <row r="1442" spans="1:1" x14ac:dyDescent="0.25">
      <c r="A1442" s="216" t="str">
        <f t="shared" si="22"/>
        <v/>
      </c>
    </row>
    <row r="1443" spans="1:1" x14ac:dyDescent="0.25">
      <c r="A1443" s="216" t="str">
        <f t="shared" si="22"/>
        <v/>
      </c>
    </row>
    <row r="1444" spans="1:1" x14ac:dyDescent="0.25">
      <c r="A1444" s="216" t="str">
        <f t="shared" si="22"/>
        <v/>
      </c>
    </row>
    <row r="1445" spans="1:1" x14ac:dyDescent="0.25">
      <c r="A1445" s="216" t="str">
        <f t="shared" si="22"/>
        <v/>
      </c>
    </row>
    <row r="1446" spans="1:1" x14ac:dyDescent="0.25">
      <c r="A1446" s="216" t="str">
        <f t="shared" si="22"/>
        <v/>
      </c>
    </row>
    <row r="1447" spans="1:1" x14ac:dyDescent="0.25">
      <c r="A1447" s="216" t="str">
        <f t="shared" si="22"/>
        <v/>
      </c>
    </row>
    <row r="1448" spans="1:1" x14ac:dyDescent="0.25">
      <c r="A1448" s="216" t="str">
        <f t="shared" si="22"/>
        <v/>
      </c>
    </row>
    <row r="1449" spans="1:1" x14ac:dyDescent="0.25">
      <c r="A1449" s="216" t="str">
        <f t="shared" si="22"/>
        <v/>
      </c>
    </row>
    <row r="1450" spans="1:1" x14ac:dyDescent="0.25">
      <c r="A1450" s="216" t="str">
        <f t="shared" si="22"/>
        <v/>
      </c>
    </row>
    <row r="1451" spans="1:1" x14ac:dyDescent="0.25">
      <c r="A1451" s="216" t="str">
        <f t="shared" si="22"/>
        <v/>
      </c>
    </row>
    <row r="1452" spans="1:1" x14ac:dyDescent="0.25">
      <c r="A1452" s="216" t="str">
        <f t="shared" si="22"/>
        <v/>
      </c>
    </row>
    <row r="1453" spans="1:1" x14ac:dyDescent="0.25">
      <c r="A1453" s="216" t="str">
        <f t="shared" si="22"/>
        <v/>
      </c>
    </row>
    <row r="1454" spans="1:1" x14ac:dyDescent="0.25">
      <c r="A1454" s="216" t="str">
        <f t="shared" si="22"/>
        <v/>
      </c>
    </row>
    <row r="1455" spans="1:1" x14ac:dyDescent="0.25">
      <c r="A1455" s="216" t="str">
        <f t="shared" si="22"/>
        <v/>
      </c>
    </row>
    <row r="1456" spans="1:1" x14ac:dyDescent="0.25">
      <c r="A1456" s="216" t="str">
        <f t="shared" si="22"/>
        <v/>
      </c>
    </row>
    <row r="1457" spans="1:1" x14ac:dyDescent="0.25">
      <c r="A1457" s="216" t="str">
        <f t="shared" si="22"/>
        <v/>
      </c>
    </row>
    <row r="1458" spans="1:1" x14ac:dyDescent="0.25">
      <c r="A1458" s="216" t="str">
        <f t="shared" si="22"/>
        <v/>
      </c>
    </row>
    <row r="1459" spans="1:1" x14ac:dyDescent="0.25">
      <c r="A1459" s="216" t="str">
        <f t="shared" si="22"/>
        <v/>
      </c>
    </row>
    <row r="1460" spans="1:1" x14ac:dyDescent="0.25">
      <c r="A1460" s="216" t="str">
        <f t="shared" si="22"/>
        <v/>
      </c>
    </row>
    <row r="1461" spans="1:1" x14ac:dyDescent="0.25">
      <c r="A1461" s="216" t="str">
        <f t="shared" si="22"/>
        <v/>
      </c>
    </row>
    <row r="1462" spans="1:1" x14ac:dyDescent="0.25">
      <c r="A1462" s="216" t="str">
        <f t="shared" si="22"/>
        <v/>
      </c>
    </row>
    <row r="1463" spans="1:1" x14ac:dyDescent="0.25">
      <c r="A1463" s="216" t="str">
        <f t="shared" si="22"/>
        <v/>
      </c>
    </row>
    <row r="1464" spans="1:1" x14ac:dyDescent="0.25">
      <c r="A1464" s="216" t="str">
        <f t="shared" si="22"/>
        <v/>
      </c>
    </row>
    <row r="1465" spans="1:1" x14ac:dyDescent="0.25">
      <c r="A1465" s="216" t="str">
        <f t="shared" si="22"/>
        <v/>
      </c>
    </row>
    <row r="1466" spans="1:1" x14ac:dyDescent="0.25">
      <c r="A1466" s="216" t="str">
        <f t="shared" si="22"/>
        <v/>
      </c>
    </row>
    <row r="1467" spans="1:1" x14ac:dyDescent="0.25">
      <c r="A1467" s="216" t="str">
        <f t="shared" si="22"/>
        <v/>
      </c>
    </row>
    <row r="1468" spans="1:1" x14ac:dyDescent="0.25">
      <c r="A1468" s="216" t="str">
        <f t="shared" si="22"/>
        <v/>
      </c>
    </row>
    <row r="1469" spans="1:1" x14ac:dyDescent="0.25">
      <c r="A1469" s="216" t="str">
        <f t="shared" si="22"/>
        <v/>
      </c>
    </row>
    <row r="1470" spans="1:1" x14ac:dyDescent="0.25">
      <c r="A1470" s="216" t="str">
        <f t="shared" si="22"/>
        <v/>
      </c>
    </row>
    <row r="1471" spans="1:1" x14ac:dyDescent="0.25">
      <c r="A1471" s="216" t="str">
        <f t="shared" si="22"/>
        <v/>
      </c>
    </row>
    <row r="1472" spans="1:1" x14ac:dyDescent="0.25">
      <c r="A1472" s="216" t="str">
        <f t="shared" si="22"/>
        <v/>
      </c>
    </row>
    <row r="1473" spans="1:1" x14ac:dyDescent="0.25">
      <c r="A1473" s="216" t="str">
        <f t="shared" si="22"/>
        <v/>
      </c>
    </row>
    <row r="1474" spans="1:1" x14ac:dyDescent="0.25">
      <c r="A1474" s="216" t="str">
        <f t="shared" si="22"/>
        <v/>
      </c>
    </row>
    <row r="1475" spans="1:1" x14ac:dyDescent="0.25">
      <c r="A1475" s="216" t="str">
        <f t="shared" si="22"/>
        <v/>
      </c>
    </row>
    <row r="1476" spans="1:1" x14ac:dyDescent="0.25">
      <c r="A1476" s="216" t="str">
        <f t="shared" ref="A1476:A1500" si="23">IF(B1476&lt;&gt;"",A1475+1,"")</f>
        <v/>
      </c>
    </row>
    <row r="1477" spans="1:1" x14ac:dyDescent="0.25">
      <c r="A1477" s="216" t="str">
        <f t="shared" si="23"/>
        <v/>
      </c>
    </row>
    <row r="1478" spans="1:1" x14ac:dyDescent="0.25">
      <c r="A1478" s="216" t="str">
        <f t="shared" si="23"/>
        <v/>
      </c>
    </row>
    <row r="1479" spans="1:1" x14ac:dyDescent="0.25">
      <c r="A1479" s="216" t="str">
        <f t="shared" si="23"/>
        <v/>
      </c>
    </row>
    <row r="1480" spans="1:1" x14ac:dyDescent="0.25">
      <c r="A1480" s="216" t="str">
        <f t="shared" si="23"/>
        <v/>
      </c>
    </row>
    <row r="1481" spans="1:1" x14ac:dyDescent="0.25">
      <c r="A1481" s="216" t="str">
        <f t="shared" si="23"/>
        <v/>
      </c>
    </row>
    <row r="1482" spans="1:1" x14ac:dyDescent="0.25">
      <c r="A1482" s="216" t="str">
        <f t="shared" si="23"/>
        <v/>
      </c>
    </row>
    <row r="1483" spans="1:1" x14ac:dyDescent="0.25">
      <c r="A1483" s="216" t="str">
        <f t="shared" si="23"/>
        <v/>
      </c>
    </row>
    <row r="1484" spans="1:1" x14ac:dyDescent="0.25">
      <c r="A1484" s="216" t="str">
        <f t="shared" si="23"/>
        <v/>
      </c>
    </row>
    <row r="1485" spans="1:1" x14ac:dyDescent="0.25">
      <c r="A1485" s="216" t="str">
        <f t="shared" si="23"/>
        <v/>
      </c>
    </row>
    <row r="1486" spans="1:1" x14ac:dyDescent="0.25">
      <c r="A1486" s="216" t="str">
        <f t="shared" si="23"/>
        <v/>
      </c>
    </row>
    <row r="1487" spans="1:1" x14ac:dyDescent="0.25">
      <c r="A1487" s="216" t="str">
        <f t="shared" si="23"/>
        <v/>
      </c>
    </row>
    <row r="1488" spans="1:1" x14ac:dyDescent="0.25">
      <c r="A1488" s="216" t="str">
        <f t="shared" si="23"/>
        <v/>
      </c>
    </row>
    <row r="1489" spans="1:1" x14ac:dyDescent="0.25">
      <c r="A1489" s="216" t="str">
        <f t="shared" si="23"/>
        <v/>
      </c>
    </row>
    <row r="1490" spans="1:1" x14ac:dyDescent="0.25">
      <c r="A1490" s="216" t="str">
        <f t="shared" si="23"/>
        <v/>
      </c>
    </row>
    <row r="1491" spans="1:1" x14ac:dyDescent="0.25">
      <c r="A1491" s="216" t="str">
        <f t="shared" si="23"/>
        <v/>
      </c>
    </row>
    <row r="1492" spans="1:1" x14ac:dyDescent="0.25">
      <c r="A1492" s="216" t="str">
        <f t="shared" si="23"/>
        <v/>
      </c>
    </row>
    <row r="1493" spans="1:1" x14ac:dyDescent="0.25">
      <c r="A1493" s="216" t="str">
        <f t="shared" si="23"/>
        <v/>
      </c>
    </row>
    <row r="1494" spans="1:1" x14ac:dyDescent="0.25">
      <c r="A1494" s="216" t="str">
        <f t="shared" si="23"/>
        <v/>
      </c>
    </row>
    <row r="1495" spans="1:1" x14ac:dyDescent="0.25">
      <c r="A1495" s="216" t="str">
        <f t="shared" si="23"/>
        <v/>
      </c>
    </row>
    <row r="1496" spans="1:1" x14ac:dyDescent="0.25">
      <c r="A1496" s="216" t="str">
        <f t="shared" si="23"/>
        <v/>
      </c>
    </row>
    <row r="1497" spans="1:1" x14ac:dyDescent="0.25">
      <c r="A1497" s="216" t="str">
        <f t="shared" si="23"/>
        <v/>
      </c>
    </row>
    <row r="1498" spans="1:1" x14ac:dyDescent="0.25">
      <c r="A1498" s="216" t="str">
        <f t="shared" si="23"/>
        <v/>
      </c>
    </row>
    <row r="1499" spans="1:1" x14ac:dyDescent="0.25">
      <c r="A1499" s="216" t="str">
        <f t="shared" si="23"/>
        <v/>
      </c>
    </row>
    <row r="1500" spans="1:1" x14ac:dyDescent="0.25">
      <c r="A1500" s="216" t="str">
        <f t="shared" si="23"/>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2:A1500"/>
  <sheetViews>
    <sheetView workbookViewId="0">
      <selection activeCell="A3" sqref="A3"/>
    </sheetView>
  </sheetViews>
  <sheetFormatPr baseColWidth="10" defaultRowHeight="15" x14ac:dyDescent="0.25"/>
  <sheetData>
    <row r="2" spans="1:1" x14ac:dyDescent="0.25">
      <c r="A2">
        <v>1</v>
      </c>
    </row>
    <row r="3" spans="1:1" x14ac:dyDescent="0.25">
      <c r="A3" s="216" t="str">
        <f>IF(B3&lt;&gt;"",A2+1,"")</f>
        <v/>
      </c>
    </row>
    <row r="4" spans="1:1" x14ac:dyDescent="0.25">
      <c r="A4" s="216" t="str">
        <f t="shared" ref="A4:A67" si="0">IF(B4&lt;&gt;"",A3+1,"")</f>
        <v/>
      </c>
    </row>
    <row r="5" spans="1:1" x14ac:dyDescent="0.25">
      <c r="A5" s="216" t="str">
        <f t="shared" si="0"/>
        <v/>
      </c>
    </row>
    <row r="6" spans="1:1" x14ac:dyDescent="0.25">
      <c r="A6" s="216" t="str">
        <f t="shared" si="0"/>
        <v/>
      </c>
    </row>
    <row r="7" spans="1:1" x14ac:dyDescent="0.25">
      <c r="A7" s="216" t="str">
        <f t="shared" si="0"/>
        <v/>
      </c>
    </row>
    <row r="8" spans="1:1" x14ac:dyDescent="0.25">
      <c r="A8" s="216" t="str">
        <f t="shared" si="0"/>
        <v/>
      </c>
    </row>
    <row r="9" spans="1:1" x14ac:dyDescent="0.25">
      <c r="A9" s="216" t="str">
        <f t="shared" si="0"/>
        <v/>
      </c>
    </row>
    <row r="10" spans="1:1" x14ac:dyDescent="0.25">
      <c r="A10" s="216" t="str">
        <f t="shared" si="0"/>
        <v/>
      </c>
    </row>
    <row r="11" spans="1:1" x14ac:dyDescent="0.25">
      <c r="A11" s="216" t="str">
        <f t="shared" si="0"/>
        <v/>
      </c>
    </row>
    <row r="12" spans="1:1" x14ac:dyDescent="0.25">
      <c r="A12" s="216" t="str">
        <f t="shared" si="0"/>
        <v/>
      </c>
    </row>
    <row r="13" spans="1:1" x14ac:dyDescent="0.25">
      <c r="A13" s="216" t="str">
        <f t="shared" si="0"/>
        <v/>
      </c>
    </row>
    <row r="14" spans="1:1" x14ac:dyDescent="0.25">
      <c r="A14" s="216" t="str">
        <f t="shared" si="0"/>
        <v/>
      </c>
    </row>
    <row r="15" spans="1:1" x14ac:dyDescent="0.25">
      <c r="A15" s="216" t="str">
        <f t="shared" si="0"/>
        <v/>
      </c>
    </row>
    <row r="16" spans="1:1" x14ac:dyDescent="0.25">
      <c r="A16" s="216" t="str">
        <f t="shared" si="0"/>
        <v/>
      </c>
    </row>
    <row r="17" spans="1:1" x14ac:dyDescent="0.25">
      <c r="A17" s="216" t="str">
        <f t="shared" si="0"/>
        <v/>
      </c>
    </row>
    <row r="18" spans="1:1" x14ac:dyDescent="0.25">
      <c r="A18" s="216" t="str">
        <f t="shared" si="0"/>
        <v/>
      </c>
    </row>
    <row r="19" spans="1:1" x14ac:dyDescent="0.25">
      <c r="A19" s="216" t="str">
        <f t="shared" si="0"/>
        <v/>
      </c>
    </row>
    <row r="20" spans="1:1" x14ac:dyDescent="0.25">
      <c r="A20" s="216" t="str">
        <f t="shared" si="0"/>
        <v/>
      </c>
    </row>
    <row r="21" spans="1:1" x14ac:dyDescent="0.25">
      <c r="A21" s="216" t="str">
        <f t="shared" si="0"/>
        <v/>
      </c>
    </row>
    <row r="22" spans="1:1" x14ac:dyDescent="0.25">
      <c r="A22" s="216" t="str">
        <f t="shared" si="0"/>
        <v/>
      </c>
    </row>
    <row r="23" spans="1:1" x14ac:dyDescent="0.25">
      <c r="A23" s="216" t="str">
        <f t="shared" si="0"/>
        <v/>
      </c>
    </row>
    <row r="24" spans="1:1" x14ac:dyDescent="0.25">
      <c r="A24" s="216" t="str">
        <f t="shared" si="0"/>
        <v/>
      </c>
    </row>
    <row r="25" spans="1:1" x14ac:dyDescent="0.25">
      <c r="A25" s="216" t="str">
        <f t="shared" si="0"/>
        <v/>
      </c>
    </row>
    <row r="26" spans="1:1" x14ac:dyDescent="0.25">
      <c r="A26" s="216" t="str">
        <f t="shared" si="0"/>
        <v/>
      </c>
    </row>
    <row r="27" spans="1:1" x14ac:dyDescent="0.25">
      <c r="A27" s="216" t="str">
        <f t="shared" si="0"/>
        <v/>
      </c>
    </row>
    <row r="28" spans="1:1" x14ac:dyDescent="0.25">
      <c r="A28" s="216" t="str">
        <f t="shared" si="0"/>
        <v/>
      </c>
    </row>
    <row r="29" spans="1:1" x14ac:dyDescent="0.25">
      <c r="A29" s="216" t="str">
        <f t="shared" si="0"/>
        <v/>
      </c>
    </row>
    <row r="30" spans="1:1" x14ac:dyDescent="0.25">
      <c r="A30" s="216" t="str">
        <f t="shared" si="0"/>
        <v/>
      </c>
    </row>
    <row r="31" spans="1:1" x14ac:dyDescent="0.25">
      <c r="A31" s="216" t="str">
        <f t="shared" si="0"/>
        <v/>
      </c>
    </row>
    <row r="32" spans="1:1" x14ac:dyDescent="0.25">
      <c r="A32" s="216" t="str">
        <f t="shared" si="0"/>
        <v/>
      </c>
    </row>
    <row r="33" spans="1:1" x14ac:dyDescent="0.25">
      <c r="A33" s="216" t="str">
        <f t="shared" si="0"/>
        <v/>
      </c>
    </row>
    <row r="34" spans="1:1" x14ac:dyDescent="0.25">
      <c r="A34" s="216" t="str">
        <f t="shared" si="0"/>
        <v/>
      </c>
    </row>
    <row r="35" spans="1:1" x14ac:dyDescent="0.25">
      <c r="A35" s="216" t="str">
        <f t="shared" si="0"/>
        <v/>
      </c>
    </row>
    <row r="36" spans="1:1" x14ac:dyDescent="0.25">
      <c r="A36" s="216" t="str">
        <f t="shared" si="0"/>
        <v/>
      </c>
    </row>
    <row r="37" spans="1:1" x14ac:dyDescent="0.25">
      <c r="A37" s="216" t="str">
        <f t="shared" si="0"/>
        <v/>
      </c>
    </row>
    <row r="38" spans="1:1" x14ac:dyDescent="0.25">
      <c r="A38" s="216" t="str">
        <f t="shared" si="0"/>
        <v/>
      </c>
    </row>
    <row r="39" spans="1:1" x14ac:dyDescent="0.25">
      <c r="A39" s="216" t="str">
        <f t="shared" si="0"/>
        <v/>
      </c>
    </row>
    <row r="40" spans="1:1" x14ac:dyDescent="0.25">
      <c r="A40" s="216" t="str">
        <f t="shared" si="0"/>
        <v/>
      </c>
    </row>
    <row r="41" spans="1:1" x14ac:dyDescent="0.25">
      <c r="A41" s="216" t="str">
        <f t="shared" si="0"/>
        <v/>
      </c>
    </row>
    <row r="42" spans="1:1" x14ac:dyDescent="0.25">
      <c r="A42" s="216" t="str">
        <f t="shared" si="0"/>
        <v/>
      </c>
    </row>
    <row r="43" spans="1:1" x14ac:dyDescent="0.25">
      <c r="A43" s="216" t="str">
        <f t="shared" si="0"/>
        <v/>
      </c>
    </row>
    <row r="44" spans="1:1" x14ac:dyDescent="0.25">
      <c r="A44" s="216" t="str">
        <f t="shared" si="0"/>
        <v/>
      </c>
    </row>
    <row r="45" spans="1:1" x14ac:dyDescent="0.25">
      <c r="A45" s="216" t="str">
        <f t="shared" si="0"/>
        <v/>
      </c>
    </row>
    <row r="46" spans="1:1" x14ac:dyDescent="0.25">
      <c r="A46" s="216" t="str">
        <f t="shared" si="0"/>
        <v/>
      </c>
    </row>
    <row r="47" spans="1:1" x14ac:dyDescent="0.25">
      <c r="A47" s="216" t="str">
        <f t="shared" si="0"/>
        <v/>
      </c>
    </row>
    <row r="48" spans="1:1" x14ac:dyDescent="0.25">
      <c r="A48" s="216" t="str">
        <f t="shared" si="0"/>
        <v/>
      </c>
    </row>
    <row r="49" spans="1:1" x14ac:dyDescent="0.25">
      <c r="A49" s="216" t="str">
        <f t="shared" si="0"/>
        <v/>
      </c>
    </row>
    <row r="50" spans="1:1" x14ac:dyDescent="0.25">
      <c r="A50" s="216" t="str">
        <f t="shared" si="0"/>
        <v/>
      </c>
    </row>
    <row r="51" spans="1:1" x14ac:dyDescent="0.25">
      <c r="A51" s="216" t="str">
        <f t="shared" si="0"/>
        <v/>
      </c>
    </row>
    <row r="52" spans="1:1" x14ac:dyDescent="0.25">
      <c r="A52" s="216" t="str">
        <f t="shared" si="0"/>
        <v/>
      </c>
    </row>
    <row r="53" spans="1:1" x14ac:dyDescent="0.25">
      <c r="A53" s="216" t="str">
        <f t="shared" si="0"/>
        <v/>
      </c>
    </row>
    <row r="54" spans="1:1" x14ac:dyDescent="0.25">
      <c r="A54" s="216" t="str">
        <f t="shared" si="0"/>
        <v/>
      </c>
    </row>
    <row r="55" spans="1:1" x14ac:dyDescent="0.25">
      <c r="A55" s="216" t="str">
        <f t="shared" si="0"/>
        <v/>
      </c>
    </row>
    <row r="56" spans="1:1" x14ac:dyDescent="0.25">
      <c r="A56" s="216" t="str">
        <f t="shared" si="0"/>
        <v/>
      </c>
    </row>
    <row r="57" spans="1:1" x14ac:dyDescent="0.25">
      <c r="A57" s="216" t="str">
        <f t="shared" si="0"/>
        <v/>
      </c>
    </row>
    <row r="58" spans="1:1" x14ac:dyDescent="0.25">
      <c r="A58" s="216" t="str">
        <f t="shared" si="0"/>
        <v/>
      </c>
    </row>
    <row r="59" spans="1:1" x14ac:dyDescent="0.25">
      <c r="A59" s="216" t="str">
        <f t="shared" si="0"/>
        <v/>
      </c>
    </row>
    <row r="60" spans="1:1" x14ac:dyDescent="0.25">
      <c r="A60" s="216" t="str">
        <f t="shared" si="0"/>
        <v/>
      </c>
    </row>
    <row r="61" spans="1:1" x14ac:dyDescent="0.25">
      <c r="A61" s="216" t="str">
        <f t="shared" si="0"/>
        <v/>
      </c>
    </row>
    <row r="62" spans="1:1" x14ac:dyDescent="0.25">
      <c r="A62" s="216" t="str">
        <f t="shared" si="0"/>
        <v/>
      </c>
    </row>
    <row r="63" spans="1:1" x14ac:dyDescent="0.25">
      <c r="A63" s="216" t="str">
        <f t="shared" si="0"/>
        <v/>
      </c>
    </row>
    <row r="64" spans="1:1" x14ac:dyDescent="0.25">
      <c r="A64" s="216" t="str">
        <f t="shared" si="0"/>
        <v/>
      </c>
    </row>
    <row r="65" spans="1:1" x14ac:dyDescent="0.25">
      <c r="A65" s="216" t="str">
        <f t="shared" si="0"/>
        <v/>
      </c>
    </row>
    <row r="66" spans="1:1" x14ac:dyDescent="0.25">
      <c r="A66" s="216" t="str">
        <f t="shared" si="0"/>
        <v/>
      </c>
    </row>
    <row r="67" spans="1:1" x14ac:dyDescent="0.25">
      <c r="A67" s="216" t="str">
        <f t="shared" si="0"/>
        <v/>
      </c>
    </row>
    <row r="68" spans="1:1" x14ac:dyDescent="0.25">
      <c r="A68" s="216" t="str">
        <f t="shared" ref="A68:A131" si="1">IF(B68&lt;&gt;"",A67+1,"")</f>
        <v/>
      </c>
    </row>
    <row r="69" spans="1:1" x14ac:dyDescent="0.25">
      <c r="A69" s="216" t="str">
        <f t="shared" si="1"/>
        <v/>
      </c>
    </row>
    <row r="70" spans="1:1" x14ac:dyDescent="0.25">
      <c r="A70" s="216" t="str">
        <f t="shared" si="1"/>
        <v/>
      </c>
    </row>
    <row r="71" spans="1:1" x14ac:dyDescent="0.25">
      <c r="A71" s="216" t="str">
        <f t="shared" si="1"/>
        <v/>
      </c>
    </row>
    <row r="72" spans="1:1" x14ac:dyDescent="0.25">
      <c r="A72" s="216" t="str">
        <f t="shared" si="1"/>
        <v/>
      </c>
    </row>
    <row r="73" spans="1:1" x14ac:dyDescent="0.25">
      <c r="A73" s="216" t="str">
        <f t="shared" si="1"/>
        <v/>
      </c>
    </row>
    <row r="74" spans="1:1" x14ac:dyDescent="0.25">
      <c r="A74" s="216" t="str">
        <f t="shared" si="1"/>
        <v/>
      </c>
    </row>
    <row r="75" spans="1:1" x14ac:dyDescent="0.25">
      <c r="A75" s="216" t="str">
        <f t="shared" si="1"/>
        <v/>
      </c>
    </row>
    <row r="76" spans="1:1" x14ac:dyDescent="0.25">
      <c r="A76" s="216" t="str">
        <f t="shared" si="1"/>
        <v/>
      </c>
    </row>
    <row r="77" spans="1:1" x14ac:dyDescent="0.25">
      <c r="A77" s="216" t="str">
        <f t="shared" si="1"/>
        <v/>
      </c>
    </row>
    <row r="78" spans="1:1" x14ac:dyDescent="0.25">
      <c r="A78" s="216" t="str">
        <f t="shared" si="1"/>
        <v/>
      </c>
    </row>
    <row r="79" spans="1:1" x14ac:dyDescent="0.25">
      <c r="A79" s="216" t="str">
        <f t="shared" si="1"/>
        <v/>
      </c>
    </row>
    <row r="80" spans="1:1" x14ac:dyDescent="0.25">
      <c r="A80" s="216" t="str">
        <f t="shared" si="1"/>
        <v/>
      </c>
    </row>
    <row r="81" spans="1:1" x14ac:dyDescent="0.25">
      <c r="A81" s="216" t="str">
        <f t="shared" si="1"/>
        <v/>
      </c>
    </row>
    <row r="82" spans="1:1" x14ac:dyDescent="0.25">
      <c r="A82" s="216" t="str">
        <f t="shared" si="1"/>
        <v/>
      </c>
    </row>
    <row r="83" spans="1:1" x14ac:dyDescent="0.25">
      <c r="A83" s="216" t="str">
        <f t="shared" si="1"/>
        <v/>
      </c>
    </row>
    <row r="84" spans="1:1" x14ac:dyDescent="0.25">
      <c r="A84" s="216" t="str">
        <f t="shared" si="1"/>
        <v/>
      </c>
    </row>
    <row r="85" spans="1:1" x14ac:dyDescent="0.25">
      <c r="A85" s="216" t="str">
        <f t="shared" si="1"/>
        <v/>
      </c>
    </row>
    <row r="86" spans="1:1" x14ac:dyDescent="0.25">
      <c r="A86" s="216" t="str">
        <f t="shared" si="1"/>
        <v/>
      </c>
    </row>
    <row r="87" spans="1:1" x14ac:dyDescent="0.25">
      <c r="A87" s="216" t="str">
        <f t="shared" si="1"/>
        <v/>
      </c>
    </row>
    <row r="88" spans="1:1" x14ac:dyDescent="0.25">
      <c r="A88" s="216" t="str">
        <f t="shared" si="1"/>
        <v/>
      </c>
    </row>
    <row r="89" spans="1:1" x14ac:dyDescent="0.25">
      <c r="A89" s="216" t="str">
        <f t="shared" si="1"/>
        <v/>
      </c>
    </row>
    <row r="90" spans="1:1" x14ac:dyDescent="0.25">
      <c r="A90" s="216" t="str">
        <f t="shared" si="1"/>
        <v/>
      </c>
    </row>
    <row r="91" spans="1:1" x14ac:dyDescent="0.25">
      <c r="A91" s="216" t="str">
        <f t="shared" si="1"/>
        <v/>
      </c>
    </row>
    <row r="92" spans="1:1" x14ac:dyDescent="0.25">
      <c r="A92" s="216" t="str">
        <f t="shared" si="1"/>
        <v/>
      </c>
    </row>
    <row r="93" spans="1:1" x14ac:dyDescent="0.25">
      <c r="A93" s="216" t="str">
        <f t="shared" si="1"/>
        <v/>
      </c>
    </row>
    <row r="94" spans="1:1" x14ac:dyDescent="0.25">
      <c r="A94" s="216" t="str">
        <f t="shared" si="1"/>
        <v/>
      </c>
    </row>
    <row r="95" spans="1:1" x14ac:dyDescent="0.25">
      <c r="A95" s="216" t="str">
        <f t="shared" si="1"/>
        <v/>
      </c>
    </row>
    <row r="96" spans="1:1" x14ac:dyDescent="0.25">
      <c r="A96" s="216" t="str">
        <f t="shared" si="1"/>
        <v/>
      </c>
    </row>
    <row r="97" spans="1:1" x14ac:dyDescent="0.25">
      <c r="A97" s="216" t="str">
        <f t="shared" si="1"/>
        <v/>
      </c>
    </row>
    <row r="98" spans="1:1" x14ac:dyDescent="0.25">
      <c r="A98" s="216" t="str">
        <f t="shared" si="1"/>
        <v/>
      </c>
    </row>
    <row r="99" spans="1:1" x14ac:dyDescent="0.25">
      <c r="A99" s="216" t="str">
        <f t="shared" si="1"/>
        <v/>
      </c>
    </row>
    <row r="100" spans="1:1" x14ac:dyDescent="0.25">
      <c r="A100" s="216" t="str">
        <f t="shared" si="1"/>
        <v/>
      </c>
    </row>
    <row r="101" spans="1:1" x14ac:dyDescent="0.25">
      <c r="A101" s="216" t="str">
        <f t="shared" si="1"/>
        <v/>
      </c>
    </row>
    <row r="102" spans="1:1" x14ac:dyDescent="0.25">
      <c r="A102" s="216" t="str">
        <f t="shared" si="1"/>
        <v/>
      </c>
    </row>
    <row r="103" spans="1:1" x14ac:dyDescent="0.25">
      <c r="A103" s="216" t="str">
        <f t="shared" si="1"/>
        <v/>
      </c>
    </row>
    <row r="104" spans="1:1" x14ac:dyDescent="0.25">
      <c r="A104" s="216" t="str">
        <f t="shared" si="1"/>
        <v/>
      </c>
    </row>
    <row r="105" spans="1:1" x14ac:dyDescent="0.25">
      <c r="A105" s="216" t="str">
        <f t="shared" si="1"/>
        <v/>
      </c>
    </row>
    <row r="106" spans="1:1" x14ac:dyDescent="0.25">
      <c r="A106" s="216" t="str">
        <f t="shared" si="1"/>
        <v/>
      </c>
    </row>
    <row r="107" spans="1:1" x14ac:dyDescent="0.25">
      <c r="A107" s="216" t="str">
        <f t="shared" si="1"/>
        <v/>
      </c>
    </row>
    <row r="108" spans="1:1" x14ac:dyDescent="0.25">
      <c r="A108" s="216" t="str">
        <f t="shared" si="1"/>
        <v/>
      </c>
    </row>
    <row r="109" spans="1:1" x14ac:dyDescent="0.25">
      <c r="A109" s="216" t="str">
        <f t="shared" si="1"/>
        <v/>
      </c>
    </row>
    <row r="110" spans="1:1" x14ac:dyDescent="0.25">
      <c r="A110" s="216" t="str">
        <f t="shared" si="1"/>
        <v/>
      </c>
    </row>
    <row r="111" spans="1:1" x14ac:dyDescent="0.25">
      <c r="A111" s="216" t="str">
        <f t="shared" si="1"/>
        <v/>
      </c>
    </row>
    <row r="112" spans="1:1" x14ac:dyDescent="0.25">
      <c r="A112" s="216" t="str">
        <f t="shared" si="1"/>
        <v/>
      </c>
    </row>
    <row r="113" spans="1:1" x14ac:dyDescent="0.25">
      <c r="A113" s="216" t="str">
        <f t="shared" si="1"/>
        <v/>
      </c>
    </row>
    <row r="114" spans="1:1" x14ac:dyDescent="0.25">
      <c r="A114" s="216" t="str">
        <f t="shared" si="1"/>
        <v/>
      </c>
    </row>
    <row r="115" spans="1:1" x14ac:dyDescent="0.25">
      <c r="A115" s="216" t="str">
        <f t="shared" si="1"/>
        <v/>
      </c>
    </row>
    <row r="116" spans="1:1" x14ac:dyDescent="0.25">
      <c r="A116" s="216" t="str">
        <f t="shared" si="1"/>
        <v/>
      </c>
    </row>
    <row r="117" spans="1:1" x14ac:dyDescent="0.25">
      <c r="A117" s="216" t="str">
        <f t="shared" si="1"/>
        <v/>
      </c>
    </row>
    <row r="118" spans="1:1" x14ac:dyDescent="0.25">
      <c r="A118" s="216" t="str">
        <f t="shared" si="1"/>
        <v/>
      </c>
    </row>
    <row r="119" spans="1:1" x14ac:dyDescent="0.25">
      <c r="A119" s="216" t="str">
        <f t="shared" si="1"/>
        <v/>
      </c>
    </row>
    <row r="120" spans="1:1" x14ac:dyDescent="0.25">
      <c r="A120" s="216" t="str">
        <f t="shared" si="1"/>
        <v/>
      </c>
    </row>
    <row r="121" spans="1:1" x14ac:dyDescent="0.25">
      <c r="A121" s="216" t="str">
        <f t="shared" si="1"/>
        <v/>
      </c>
    </row>
    <row r="122" spans="1:1" x14ac:dyDescent="0.25">
      <c r="A122" s="216" t="str">
        <f t="shared" si="1"/>
        <v/>
      </c>
    </row>
    <row r="123" spans="1:1" x14ac:dyDescent="0.25">
      <c r="A123" s="216" t="str">
        <f t="shared" si="1"/>
        <v/>
      </c>
    </row>
    <row r="124" spans="1:1" x14ac:dyDescent="0.25">
      <c r="A124" s="216" t="str">
        <f t="shared" si="1"/>
        <v/>
      </c>
    </row>
    <row r="125" spans="1:1" x14ac:dyDescent="0.25">
      <c r="A125" s="216" t="str">
        <f t="shared" si="1"/>
        <v/>
      </c>
    </row>
    <row r="126" spans="1:1" x14ac:dyDescent="0.25">
      <c r="A126" s="216" t="str">
        <f t="shared" si="1"/>
        <v/>
      </c>
    </row>
    <row r="127" spans="1:1" x14ac:dyDescent="0.25">
      <c r="A127" s="216" t="str">
        <f t="shared" si="1"/>
        <v/>
      </c>
    </row>
    <row r="128" spans="1:1" x14ac:dyDescent="0.25">
      <c r="A128" s="216" t="str">
        <f t="shared" si="1"/>
        <v/>
      </c>
    </row>
    <row r="129" spans="1:1" x14ac:dyDescent="0.25">
      <c r="A129" s="216" t="str">
        <f t="shared" si="1"/>
        <v/>
      </c>
    </row>
    <row r="130" spans="1:1" x14ac:dyDescent="0.25">
      <c r="A130" s="216" t="str">
        <f t="shared" si="1"/>
        <v/>
      </c>
    </row>
    <row r="131" spans="1:1" x14ac:dyDescent="0.25">
      <c r="A131" s="216" t="str">
        <f t="shared" si="1"/>
        <v/>
      </c>
    </row>
    <row r="132" spans="1:1" x14ac:dyDescent="0.25">
      <c r="A132" s="216" t="str">
        <f t="shared" ref="A132:A195" si="2">IF(B132&lt;&gt;"",A131+1,"")</f>
        <v/>
      </c>
    </row>
    <row r="133" spans="1:1" x14ac:dyDescent="0.25">
      <c r="A133" s="216" t="str">
        <f t="shared" si="2"/>
        <v/>
      </c>
    </row>
    <row r="134" spans="1:1" x14ac:dyDescent="0.25">
      <c r="A134" s="216" t="str">
        <f t="shared" si="2"/>
        <v/>
      </c>
    </row>
    <row r="135" spans="1:1" x14ac:dyDescent="0.25">
      <c r="A135" s="216" t="str">
        <f t="shared" si="2"/>
        <v/>
      </c>
    </row>
    <row r="136" spans="1:1" x14ac:dyDescent="0.25">
      <c r="A136" s="216" t="str">
        <f t="shared" si="2"/>
        <v/>
      </c>
    </row>
    <row r="137" spans="1:1" x14ac:dyDescent="0.25">
      <c r="A137" s="216" t="str">
        <f t="shared" si="2"/>
        <v/>
      </c>
    </row>
    <row r="138" spans="1:1" x14ac:dyDescent="0.25">
      <c r="A138" s="216" t="str">
        <f t="shared" si="2"/>
        <v/>
      </c>
    </row>
    <row r="139" spans="1:1" x14ac:dyDescent="0.25">
      <c r="A139" s="216" t="str">
        <f t="shared" si="2"/>
        <v/>
      </c>
    </row>
    <row r="140" spans="1:1" x14ac:dyDescent="0.25">
      <c r="A140" s="216" t="str">
        <f t="shared" si="2"/>
        <v/>
      </c>
    </row>
    <row r="141" spans="1:1" x14ac:dyDescent="0.25">
      <c r="A141" s="216" t="str">
        <f t="shared" si="2"/>
        <v/>
      </c>
    </row>
    <row r="142" spans="1:1" x14ac:dyDescent="0.25">
      <c r="A142" s="216" t="str">
        <f t="shared" si="2"/>
        <v/>
      </c>
    </row>
    <row r="143" spans="1:1" x14ac:dyDescent="0.25">
      <c r="A143" s="216" t="str">
        <f t="shared" si="2"/>
        <v/>
      </c>
    </row>
    <row r="144" spans="1:1" x14ac:dyDescent="0.25">
      <c r="A144" s="216" t="str">
        <f t="shared" si="2"/>
        <v/>
      </c>
    </row>
    <row r="145" spans="1:1" x14ac:dyDescent="0.25">
      <c r="A145" s="216" t="str">
        <f t="shared" si="2"/>
        <v/>
      </c>
    </row>
    <row r="146" spans="1:1" x14ac:dyDescent="0.25">
      <c r="A146" s="216" t="str">
        <f t="shared" si="2"/>
        <v/>
      </c>
    </row>
    <row r="147" spans="1:1" x14ac:dyDescent="0.25">
      <c r="A147" s="216" t="str">
        <f t="shared" si="2"/>
        <v/>
      </c>
    </row>
    <row r="148" spans="1:1" x14ac:dyDescent="0.25">
      <c r="A148" s="216" t="str">
        <f t="shared" si="2"/>
        <v/>
      </c>
    </row>
    <row r="149" spans="1:1" x14ac:dyDescent="0.25">
      <c r="A149" s="216" t="str">
        <f t="shared" si="2"/>
        <v/>
      </c>
    </row>
    <row r="150" spans="1:1" x14ac:dyDescent="0.25">
      <c r="A150" s="216" t="str">
        <f t="shared" si="2"/>
        <v/>
      </c>
    </row>
    <row r="151" spans="1:1" x14ac:dyDescent="0.25">
      <c r="A151" s="216" t="str">
        <f t="shared" si="2"/>
        <v/>
      </c>
    </row>
    <row r="152" spans="1:1" x14ac:dyDescent="0.25">
      <c r="A152" s="216" t="str">
        <f t="shared" si="2"/>
        <v/>
      </c>
    </row>
    <row r="153" spans="1:1" x14ac:dyDescent="0.25">
      <c r="A153" s="216" t="str">
        <f t="shared" si="2"/>
        <v/>
      </c>
    </row>
    <row r="154" spans="1:1" x14ac:dyDescent="0.25">
      <c r="A154" s="216" t="str">
        <f t="shared" si="2"/>
        <v/>
      </c>
    </row>
    <row r="155" spans="1:1" x14ac:dyDescent="0.25">
      <c r="A155" s="216" t="str">
        <f t="shared" si="2"/>
        <v/>
      </c>
    </row>
    <row r="156" spans="1:1" x14ac:dyDescent="0.25">
      <c r="A156" s="216" t="str">
        <f t="shared" si="2"/>
        <v/>
      </c>
    </row>
    <row r="157" spans="1:1" x14ac:dyDescent="0.25">
      <c r="A157" s="216" t="str">
        <f t="shared" si="2"/>
        <v/>
      </c>
    </row>
    <row r="158" spans="1:1" x14ac:dyDescent="0.25">
      <c r="A158" s="216" t="str">
        <f t="shared" si="2"/>
        <v/>
      </c>
    </row>
    <row r="159" spans="1:1" x14ac:dyDescent="0.25">
      <c r="A159" s="216" t="str">
        <f t="shared" si="2"/>
        <v/>
      </c>
    </row>
    <row r="160" spans="1:1" x14ac:dyDescent="0.25">
      <c r="A160" s="216" t="str">
        <f t="shared" si="2"/>
        <v/>
      </c>
    </row>
    <row r="161" spans="1:1" x14ac:dyDescent="0.25">
      <c r="A161" s="216" t="str">
        <f t="shared" si="2"/>
        <v/>
      </c>
    </row>
    <row r="162" spans="1:1" x14ac:dyDescent="0.25">
      <c r="A162" s="216" t="str">
        <f t="shared" si="2"/>
        <v/>
      </c>
    </row>
    <row r="163" spans="1:1" x14ac:dyDescent="0.25">
      <c r="A163" s="216" t="str">
        <f t="shared" si="2"/>
        <v/>
      </c>
    </row>
    <row r="164" spans="1:1" x14ac:dyDescent="0.25">
      <c r="A164" s="216" t="str">
        <f t="shared" si="2"/>
        <v/>
      </c>
    </row>
    <row r="165" spans="1:1" x14ac:dyDescent="0.25">
      <c r="A165" s="216" t="str">
        <f t="shared" si="2"/>
        <v/>
      </c>
    </row>
    <row r="166" spans="1:1" x14ac:dyDescent="0.25">
      <c r="A166" s="216" t="str">
        <f t="shared" si="2"/>
        <v/>
      </c>
    </row>
    <row r="167" spans="1:1" x14ac:dyDescent="0.25">
      <c r="A167" s="216" t="str">
        <f t="shared" si="2"/>
        <v/>
      </c>
    </row>
    <row r="168" spans="1:1" x14ac:dyDescent="0.25">
      <c r="A168" s="216" t="str">
        <f t="shared" si="2"/>
        <v/>
      </c>
    </row>
    <row r="169" spans="1:1" x14ac:dyDescent="0.25">
      <c r="A169" s="216" t="str">
        <f t="shared" si="2"/>
        <v/>
      </c>
    </row>
    <row r="170" spans="1:1" x14ac:dyDescent="0.25">
      <c r="A170" s="216" t="str">
        <f t="shared" si="2"/>
        <v/>
      </c>
    </row>
    <row r="171" spans="1:1" x14ac:dyDescent="0.25">
      <c r="A171" s="216" t="str">
        <f t="shared" si="2"/>
        <v/>
      </c>
    </row>
    <row r="172" spans="1:1" x14ac:dyDescent="0.25">
      <c r="A172" s="216" t="str">
        <f t="shared" si="2"/>
        <v/>
      </c>
    </row>
    <row r="173" spans="1:1" x14ac:dyDescent="0.25">
      <c r="A173" s="216" t="str">
        <f t="shared" si="2"/>
        <v/>
      </c>
    </row>
    <row r="174" spans="1:1" x14ac:dyDescent="0.25">
      <c r="A174" s="216" t="str">
        <f t="shared" si="2"/>
        <v/>
      </c>
    </row>
    <row r="175" spans="1:1" x14ac:dyDescent="0.25">
      <c r="A175" s="216" t="str">
        <f t="shared" si="2"/>
        <v/>
      </c>
    </row>
    <row r="176" spans="1:1" x14ac:dyDescent="0.25">
      <c r="A176" s="216" t="str">
        <f t="shared" si="2"/>
        <v/>
      </c>
    </row>
    <row r="177" spans="1:1" x14ac:dyDescent="0.25">
      <c r="A177" s="216" t="str">
        <f t="shared" si="2"/>
        <v/>
      </c>
    </row>
    <row r="178" spans="1:1" x14ac:dyDescent="0.25">
      <c r="A178" s="216" t="str">
        <f t="shared" si="2"/>
        <v/>
      </c>
    </row>
    <row r="179" spans="1:1" x14ac:dyDescent="0.25">
      <c r="A179" s="216" t="str">
        <f t="shared" si="2"/>
        <v/>
      </c>
    </row>
    <row r="180" spans="1:1" x14ac:dyDescent="0.25">
      <c r="A180" s="216" t="str">
        <f t="shared" si="2"/>
        <v/>
      </c>
    </row>
    <row r="181" spans="1:1" x14ac:dyDescent="0.25">
      <c r="A181" s="216" t="str">
        <f t="shared" si="2"/>
        <v/>
      </c>
    </row>
    <row r="182" spans="1:1" x14ac:dyDescent="0.25">
      <c r="A182" s="216" t="str">
        <f t="shared" si="2"/>
        <v/>
      </c>
    </row>
    <row r="183" spans="1:1" x14ac:dyDescent="0.25">
      <c r="A183" s="216" t="str">
        <f t="shared" si="2"/>
        <v/>
      </c>
    </row>
    <row r="184" spans="1:1" x14ac:dyDescent="0.25">
      <c r="A184" s="216" t="str">
        <f t="shared" si="2"/>
        <v/>
      </c>
    </row>
    <row r="185" spans="1:1" x14ac:dyDescent="0.25">
      <c r="A185" s="216" t="str">
        <f t="shared" si="2"/>
        <v/>
      </c>
    </row>
    <row r="186" spans="1:1" x14ac:dyDescent="0.25">
      <c r="A186" s="216" t="str">
        <f t="shared" si="2"/>
        <v/>
      </c>
    </row>
    <row r="187" spans="1:1" x14ac:dyDescent="0.25">
      <c r="A187" s="216" t="str">
        <f t="shared" si="2"/>
        <v/>
      </c>
    </row>
    <row r="188" spans="1:1" x14ac:dyDescent="0.25">
      <c r="A188" s="216" t="str">
        <f t="shared" si="2"/>
        <v/>
      </c>
    </row>
    <row r="189" spans="1:1" x14ac:dyDescent="0.25">
      <c r="A189" s="216" t="str">
        <f t="shared" si="2"/>
        <v/>
      </c>
    </row>
    <row r="190" spans="1:1" x14ac:dyDescent="0.25">
      <c r="A190" s="216" t="str">
        <f t="shared" si="2"/>
        <v/>
      </c>
    </row>
    <row r="191" spans="1:1" x14ac:dyDescent="0.25">
      <c r="A191" s="216" t="str">
        <f t="shared" si="2"/>
        <v/>
      </c>
    </row>
    <row r="192" spans="1:1" x14ac:dyDescent="0.25">
      <c r="A192" s="216" t="str">
        <f t="shared" si="2"/>
        <v/>
      </c>
    </row>
    <row r="193" spans="1:1" x14ac:dyDescent="0.25">
      <c r="A193" s="216" t="str">
        <f t="shared" si="2"/>
        <v/>
      </c>
    </row>
    <row r="194" spans="1:1" x14ac:dyDescent="0.25">
      <c r="A194" s="216" t="str">
        <f t="shared" si="2"/>
        <v/>
      </c>
    </row>
    <row r="195" spans="1:1" x14ac:dyDescent="0.25">
      <c r="A195" s="216" t="str">
        <f t="shared" si="2"/>
        <v/>
      </c>
    </row>
    <row r="196" spans="1:1" x14ac:dyDescent="0.25">
      <c r="A196" s="216" t="str">
        <f t="shared" ref="A196:A259" si="3">IF(B196&lt;&gt;"",A195+1,"")</f>
        <v/>
      </c>
    </row>
    <row r="197" spans="1:1" x14ac:dyDescent="0.25">
      <c r="A197" s="216" t="str">
        <f t="shared" si="3"/>
        <v/>
      </c>
    </row>
    <row r="198" spans="1:1" x14ac:dyDescent="0.25">
      <c r="A198" s="216" t="str">
        <f t="shared" si="3"/>
        <v/>
      </c>
    </row>
    <row r="199" spans="1:1" x14ac:dyDescent="0.25">
      <c r="A199" s="216" t="str">
        <f t="shared" si="3"/>
        <v/>
      </c>
    </row>
    <row r="200" spans="1:1" x14ac:dyDescent="0.25">
      <c r="A200" s="216" t="str">
        <f t="shared" si="3"/>
        <v/>
      </c>
    </row>
    <row r="201" spans="1:1" x14ac:dyDescent="0.25">
      <c r="A201" s="216" t="str">
        <f t="shared" si="3"/>
        <v/>
      </c>
    </row>
    <row r="202" spans="1:1" x14ac:dyDescent="0.25">
      <c r="A202" s="216" t="str">
        <f t="shared" si="3"/>
        <v/>
      </c>
    </row>
    <row r="203" spans="1:1" x14ac:dyDescent="0.25">
      <c r="A203" s="216" t="str">
        <f t="shared" si="3"/>
        <v/>
      </c>
    </row>
    <row r="204" spans="1:1" x14ac:dyDescent="0.25">
      <c r="A204" s="216" t="str">
        <f t="shared" si="3"/>
        <v/>
      </c>
    </row>
    <row r="205" spans="1:1" x14ac:dyDescent="0.25">
      <c r="A205" s="216" t="str">
        <f t="shared" si="3"/>
        <v/>
      </c>
    </row>
    <row r="206" spans="1:1" x14ac:dyDescent="0.25">
      <c r="A206" s="216" t="str">
        <f t="shared" si="3"/>
        <v/>
      </c>
    </row>
    <row r="207" spans="1:1" x14ac:dyDescent="0.25">
      <c r="A207" s="216" t="str">
        <f t="shared" si="3"/>
        <v/>
      </c>
    </row>
    <row r="208" spans="1:1" x14ac:dyDescent="0.25">
      <c r="A208" s="216" t="str">
        <f t="shared" si="3"/>
        <v/>
      </c>
    </row>
    <row r="209" spans="1:1" x14ac:dyDescent="0.25">
      <c r="A209" s="216" t="str">
        <f t="shared" si="3"/>
        <v/>
      </c>
    </row>
    <row r="210" spans="1:1" x14ac:dyDescent="0.25">
      <c r="A210" s="216" t="str">
        <f t="shared" si="3"/>
        <v/>
      </c>
    </row>
    <row r="211" spans="1:1" x14ac:dyDescent="0.25">
      <c r="A211" s="216" t="str">
        <f t="shared" si="3"/>
        <v/>
      </c>
    </row>
    <row r="212" spans="1:1" x14ac:dyDescent="0.25">
      <c r="A212" s="216" t="str">
        <f t="shared" si="3"/>
        <v/>
      </c>
    </row>
    <row r="213" spans="1:1" x14ac:dyDescent="0.25">
      <c r="A213" s="216" t="str">
        <f t="shared" si="3"/>
        <v/>
      </c>
    </row>
    <row r="214" spans="1:1" x14ac:dyDescent="0.25">
      <c r="A214" s="216" t="str">
        <f t="shared" si="3"/>
        <v/>
      </c>
    </row>
    <row r="215" spans="1:1" x14ac:dyDescent="0.25">
      <c r="A215" s="216" t="str">
        <f t="shared" si="3"/>
        <v/>
      </c>
    </row>
    <row r="216" spans="1:1" x14ac:dyDescent="0.25">
      <c r="A216" s="216" t="str">
        <f t="shared" si="3"/>
        <v/>
      </c>
    </row>
    <row r="217" spans="1:1" x14ac:dyDescent="0.25">
      <c r="A217" s="216" t="str">
        <f t="shared" si="3"/>
        <v/>
      </c>
    </row>
    <row r="218" spans="1:1" x14ac:dyDescent="0.25">
      <c r="A218" s="216" t="str">
        <f t="shared" si="3"/>
        <v/>
      </c>
    </row>
    <row r="219" spans="1:1" x14ac:dyDescent="0.25">
      <c r="A219" s="216" t="str">
        <f t="shared" si="3"/>
        <v/>
      </c>
    </row>
    <row r="220" spans="1:1" x14ac:dyDescent="0.25">
      <c r="A220" s="216" t="str">
        <f t="shared" si="3"/>
        <v/>
      </c>
    </row>
    <row r="221" spans="1:1" x14ac:dyDescent="0.25">
      <c r="A221" s="216" t="str">
        <f t="shared" si="3"/>
        <v/>
      </c>
    </row>
    <row r="222" spans="1:1" x14ac:dyDescent="0.25">
      <c r="A222" s="216" t="str">
        <f t="shared" si="3"/>
        <v/>
      </c>
    </row>
    <row r="223" spans="1:1" x14ac:dyDescent="0.25">
      <c r="A223" s="216" t="str">
        <f t="shared" si="3"/>
        <v/>
      </c>
    </row>
    <row r="224" spans="1:1" x14ac:dyDescent="0.25">
      <c r="A224" s="216" t="str">
        <f t="shared" si="3"/>
        <v/>
      </c>
    </row>
    <row r="225" spans="1:1" x14ac:dyDescent="0.25">
      <c r="A225" s="216" t="str">
        <f t="shared" si="3"/>
        <v/>
      </c>
    </row>
    <row r="226" spans="1:1" x14ac:dyDescent="0.25">
      <c r="A226" s="216" t="str">
        <f t="shared" si="3"/>
        <v/>
      </c>
    </row>
    <row r="227" spans="1:1" x14ac:dyDescent="0.25">
      <c r="A227" s="216" t="str">
        <f t="shared" si="3"/>
        <v/>
      </c>
    </row>
    <row r="228" spans="1:1" x14ac:dyDescent="0.25">
      <c r="A228" s="216" t="str">
        <f t="shared" si="3"/>
        <v/>
      </c>
    </row>
    <row r="229" spans="1:1" x14ac:dyDescent="0.25">
      <c r="A229" s="216" t="str">
        <f t="shared" si="3"/>
        <v/>
      </c>
    </row>
    <row r="230" spans="1:1" x14ac:dyDescent="0.25">
      <c r="A230" s="216" t="str">
        <f t="shared" si="3"/>
        <v/>
      </c>
    </row>
    <row r="231" spans="1:1" x14ac:dyDescent="0.25">
      <c r="A231" s="216" t="str">
        <f t="shared" si="3"/>
        <v/>
      </c>
    </row>
    <row r="232" spans="1:1" x14ac:dyDescent="0.25">
      <c r="A232" s="216" t="str">
        <f t="shared" si="3"/>
        <v/>
      </c>
    </row>
    <row r="233" spans="1:1" x14ac:dyDescent="0.25">
      <c r="A233" s="216" t="str">
        <f t="shared" si="3"/>
        <v/>
      </c>
    </row>
    <row r="234" spans="1:1" x14ac:dyDescent="0.25">
      <c r="A234" s="216" t="str">
        <f t="shared" si="3"/>
        <v/>
      </c>
    </row>
    <row r="235" spans="1:1" x14ac:dyDescent="0.25">
      <c r="A235" s="216" t="str">
        <f t="shared" si="3"/>
        <v/>
      </c>
    </row>
    <row r="236" spans="1:1" x14ac:dyDescent="0.25">
      <c r="A236" s="216" t="str">
        <f t="shared" si="3"/>
        <v/>
      </c>
    </row>
    <row r="237" spans="1:1" x14ac:dyDescent="0.25">
      <c r="A237" s="216" t="str">
        <f t="shared" si="3"/>
        <v/>
      </c>
    </row>
    <row r="238" spans="1:1" x14ac:dyDescent="0.25">
      <c r="A238" s="216" t="str">
        <f t="shared" si="3"/>
        <v/>
      </c>
    </row>
    <row r="239" spans="1:1" x14ac:dyDescent="0.25">
      <c r="A239" s="216" t="str">
        <f t="shared" si="3"/>
        <v/>
      </c>
    </row>
    <row r="240" spans="1:1" x14ac:dyDescent="0.25">
      <c r="A240" s="216" t="str">
        <f t="shared" si="3"/>
        <v/>
      </c>
    </row>
    <row r="241" spans="1:1" x14ac:dyDescent="0.25">
      <c r="A241" s="216" t="str">
        <f t="shared" si="3"/>
        <v/>
      </c>
    </row>
    <row r="242" spans="1:1" x14ac:dyDescent="0.25">
      <c r="A242" s="216" t="str">
        <f t="shared" si="3"/>
        <v/>
      </c>
    </row>
    <row r="243" spans="1:1" x14ac:dyDescent="0.25">
      <c r="A243" s="216" t="str">
        <f t="shared" si="3"/>
        <v/>
      </c>
    </row>
    <row r="244" spans="1:1" x14ac:dyDescent="0.25">
      <c r="A244" s="216" t="str">
        <f t="shared" si="3"/>
        <v/>
      </c>
    </row>
    <row r="245" spans="1:1" x14ac:dyDescent="0.25">
      <c r="A245" s="216" t="str">
        <f t="shared" si="3"/>
        <v/>
      </c>
    </row>
    <row r="246" spans="1:1" x14ac:dyDescent="0.25">
      <c r="A246" s="216" t="str">
        <f t="shared" si="3"/>
        <v/>
      </c>
    </row>
    <row r="247" spans="1:1" x14ac:dyDescent="0.25">
      <c r="A247" s="216" t="str">
        <f t="shared" si="3"/>
        <v/>
      </c>
    </row>
    <row r="248" spans="1:1" x14ac:dyDescent="0.25">
      <c r="A248" s="216" t="str">
        <f t="shared" si="3"/>
        <v/>
      </c>
    </row>
    <row r="249" spans="1:1" x14ac:dyDescent="0.25">
      <c r="A249" s="216" t="str">
        <f t="shared" si="3"/>
        <v/>
      </c>
    </row>
    <row r="250" spans="1:1" x14ac:dyDescent="0.25">
      <c r="A250" s="216" t="str">
        <f t="shared" si="3"/>
        <v/>
      </c>
    </row>
    <row r="251" spans="1:1" x14ac:dyDescent="0.25">
      <c r="A251" s="216" t="str">
        <f t="shared" si="3"/>
        <v/>
      </c>
    </row>
    <row r="252" spans="1:1" x14ac:dyDescent="0.25">
      <c r="A252" s="216" t="str">
        <f t="shared" si="3"/>
        <v/>
      </c>
    </row>
    <row r="253" spans="1:1" x14ac:dyDescent="0.25">
      <c r="A253" s="216" t="str">
        <f t="shared" si="3"/>
        <v/>
      </c>
    </row>
    <row r="254" spans="1:1" x14ac:dyDescent="0.25">
      <c r="A254" s="216" t="str">
        <f t="shared" si="3"/>
        <v/>
      </c>
    </row>
    <row r="255" spans="1:1" x14ac:dyDescent="0.25">
      <c r="A255" s="216" t="str">
        <f t="shared" si="3"/>
        <v/>
      </c>
    </row>
    <row r="256" spans="1:1" x14ac:dyDescent="0.25">
      <c r="A256" s="216" t="str">
        <f t="shared" si="3"/>
        <v/>
      </c>
    </row>
    <row r="257" spans="1:1" x14ac:dyDescent="0.25">
      <c r="A257" s="216" t="str">
        <f t="shared" si="3"/>
        <v/>
      </c>
    </row>
    <row r="258" spans="1:1" x14ac:dyDescent="0.25">
      <c r="A258" s="216" t="str">
        <f t="shared" si="3"/>
        <v/>
      </c>
    </row>
    <row r="259" spans="1:1" x14ac:dyDescent="0.25">
      <c r="A259" s="216" t="str">
        <f t="shared" si="3"/>
        <v/>
      </c>
    </row>
    <row r="260" spans="1:1" x14ac:dyDescent="0.25">
      <c r="A260" s="216" t="str">
        <f t="shared" ref="A260:A323" si="4">IF(B260&lt;&gt;"",A259+1,"")</f>
        <v/>
      </c>
    </row>
    <row r="261" spans="1:1" x14ac:dyDescent="0.25">
      <c r="A261" s="216" t="str">
        <f t="shared" si="4"/>
        <v/>
      </c>
    </row>
    <row r="262" spans="1:1" x14ac:dyDescent="0.25">
      <c r="A262" s="216" t="str">
        <f t="shared" si="4"/>
        <v/>
      </c>
    </row>
    <row r="263" spans="1:1" x14ac:dyDescent="0.25">
      <c r="A263" s="216" t="str">
        <f t="shared" si="4"/>
        <v/>
      </c>
    </row>
    <row r="264" spans="1:1" x14ac:dyDescent="0.25">
      <c r="A264" s="216" t="str">
        <f t="shared" si="4"/>
        <v/>
      </c>
    </row>
    <row r="265" spans="1:1" x14ac:dyDescent="0.25">
      <c r="A265" s="216" t="str">
        <f t="shared" si="4"/>
        <v/>
      </c>
    </row>
    <row r="266" spans="1:1" x14ac:dyDescent="0.25">
      <c r="A266" s="216" t="str">
        <f t="shared" si="4"/>
        <v/>
      </c>
    </row>
    <row r="267" spans="1:1" x14ac:dyDescent="0.25">
      <c r="A267" s="216" t="str">
        <f t="shared" si="4"/>
        <v/>
      </c>
    </row>
    <row r="268" spans="1:1" x14ac:dyDescent="0.25">
      <c r="A268" s="216" t="str">
        <f t="shared" si="4"/>
        <v/>
      </c>
    </row>
    <row r="269" spans="1:1" x14ac:dyDescent="0.25">
      <c r="A269" s="216" t="str">
        <f t="shared" si="4"/>
        <v/>
      </c>
    </row>
    <row r="270" spans="1:1" x14ac:dyDescent="0.25">
      <c r="A270" s="216" t="str">
        <f t="shared" si="4"/>
        <v/>
      </c>
    </row>
    <row r="271" spans="1:1" x14ac:dyDescent="0.25">
      <c r="A271" s="216" t="str">
        <f t="shared" si="4"/>
        <v/>
      </c>
    </row>
    <row r="272" spans="1:1" x14ac:dyDescent="0.25">
      <c r="A272" s="216" t="str">
        <f t="shared" si="4"/>
        <v/>
      </c>
    </row>
    <row r="273" spans="1:1" x14ac:dyDescent="0.25">
      <c r="A273" s="216" t="str">
        <f t="shared" si="4"/>
        <v/>
      </c>
    </row>
    <row r="274" spans="1:1" x14ac:dyDescent="0.25">
      <c r="A274" s="216" t="str">
        <f t="shared" si="4"/>
        <v/>
      </c>
    </row>
    <row r="275" spans="1:1" x14ac:dyDescent="0.25">
      <c r="A275" s="216" t="str">
        <f t="shared" si="4"/>
        <v/>
      </c>
    </row>
    <row r="276" spans="1:1" x14ac:dyDescent="0.25">
      <c r="A276" s="216" t="str">
        <f t="shared" si="4"/>
        <v/>
      </c>
    </row>
    <row r="277" spans="1:1" x14ac:dyDescent="0.25">
      <c r="A277" s="216" t="str">
        <f t="shared" si="4"/>
        <v/>
      </c>
    </row>
    <row r="278" spans="1:1" x14ac:dyDescent="0.25">
      <c r="A278" s="216" t="str">
        <f t="shared" si="4"/>
        <v/>
      </c>
    </row>
    <row r="279" spans="1:1" x14ac:dyDescent="0.25">
      <c r="A279" s="216" t="str">
        <f t="shared" si="4"/>
        <v/>
      </c>
    </row>
    <row r="280" spans="1:1" x14ac:dyDescent="0.25">
      <c r="A280" s="216" t="str">
        <f t="shared" si="4"/>
        <v/>
      </c>
    </row>
    <row r="281" spans="1:1" x14ac:dyDescent="0.25">
      <c r="A281" s="216" t="str">
        <f t="shared" si="4"/>
        <v/>
      </c>
    </row>
    <row r="282" spans="1:1" x14ac:dyDescent="0.25">
      <c r="A282" s="216" t="str">
        <f t="shared" si="4"/>
        <v/>
      </c>
    </row>
    <row r="283" spans="1:1" x14ac:dyDescent="0.25">
      <c r="A283" s="216" t="str">
        <f t="shared" si="4"/>
        <v/>
      </c>
    </row>
    <row r="284" spans="1:1" x14ac:dyDescent="0.25">
      <c r="A284" s="216" t="str">
        <f t="shared" si="4"/>
        <v/>
      </c>
    </row>
    <row r="285" spans="1:1" x14ac:dyDescent="0.25">
      <c r="A285" s="216" t="str">
        <f t="shared" si="4"/>
        <v/>
      </c>
    </row>
    <row r="286" spans="1:1" x14ac:dyDescent="0.25">
      <c r="A286" s="216" t="str">
        <f t="shared" si="4"/>
        <v/>
      </c>
    </row>
    <row r="287" spans="1:1" x14ac:dyDescent="0.25">
      <c r="A287" s="216" t="str">
        <f t="shared" si="4"/>
        <v/>
      </c>
    </row>
    <row r="288" spans="1:1" x14ac:dyDescent="0.25">
      <c r="A288" s="216" t="str">
        <f t="shared" si="4"/>
        <v/>
      </c>
    </row>
    <row r="289" spans="1:1" x14ac:dyDescent="0.25">
      <c r="A289" s="216" t="str">
        <f t="shared" si="4"/>
        <v/>
      </c>
    </row>
    <row r="290" spans="1:1" x14ac:dyDescent="0.25">
      <c r="A290" s="216" t="str">
        <f t="shared" si="4"/>
        <v/>
      </c>
    </row>
    <row r="291" spans="1:1" x14ac:dyDescent="0.25">
      <c r="A291" s="216" t="str">
        <f t="shared" si="4"/>
        <v/>
      </c>
    </row>
    <row r="292" spans="1:1" x14ac:dyDescent="0.25">
      <c r="A292" s="216" t="str">
        <f t="shared" si="4"/>
        <v/>
      </c>
    </row>
    <row r="293" spans="1:1" x14ac:dyDescent="0.25">
      <c r="A293" s="216" t="str">
        <f t="shared" si="4"/>
        <v/>
      </c>
    </row>
    <row r="294" spans="1:1" x14ac:dyDescent="0.25">
      <c r="A294" s="216" t="str">
        <f t="shared" si="4"/>
        <v/>
      </c>
    </row>
    <row r="295" spans="1:1" x14ac:dyDescent="0.25">
      <c r="A295" s="216" t="str">
        <f t="shared" si="4"/>
        <v/>
      </c>
    </row>
    <row r="296" spans="1:1" x14ac:dyDescent="0.25">
      <c r="A296" s="216" t="str">
        <f t="shared" si="4"/>
        <v/>
      </c>
    </row>
    <row r="297" spans="1:1" x14ac:dyDescent="0.25">
      <c r="A297" s="216" t="str">
        <f t="shared" si="4"/>
        <v/>
      </c>
    </row>
    <row r="298" spans="1:1" x14ac:dyDescent="0.25">
      <c r="A298" s="216" t="str">
        <f t="shared" si="4"/>
        <v/>
      </c>
    </row>
    <row r="299" spans="1:1" x14ac:dyDescent="0.25">
      <c r="A299" s="216" t="str">
        <f t="shared" si="4"/>
        <v/>
      </c>
    </row>
    <row r="300" spans="1:1" x14ac:dyDescent="0.25">
      <c r="A300" s="216" t="str">
        <f t="shared" si="4"/>
        <v/>
      </c>
    </row>
    <row r="301" spans="1:1" x14ac:dyDescent="0.25">
      <c r="A301" s="216" t="str">
        <f t="shared" si="4"/>
        <v/>
      </c>
    </row>
    <row r="302" spans="1:1" x14ac:dyDescent="0.25">
      <c r="A302" s="216" t="str">
        <f t="shared" si="4"/>
        <v/>
      </c>
    </row>
    <row r="303" spans="1:1" x14ac:dyDescent="0.25">
      <c r="A303" s="216" t="str">
        <f t="shared" si="4"/>
        <v/>
      </c>
    </row>
    <row r="304" spans="1:1" x14ac:dyDescent="0.25">
      <c r="A304" s="216" t="str">
        <f t="shared" si="4"/>
        <v/>
      </c>
    </row>
    <row r="305" spans="1:1" x14ac:dyDescent="0.25">
      <c r="A305" s="216" t="str">
        <f t="shared" si="4"/>
        <v/>
      </c>
    </row>
    <row r="306" spans="1:1" x14ac:dyDescent="0.25">
      <c r="A306" s="216" t="str">
        <f t="shared" si="4"/>
        <v/>
      </c>
    </row>
    <row r="307" spans="1:1" x14ac:dyDescent="0.25">
      <c r="A307" s="216" t="str">
        <f t="shared" si="4"/>
        <v/>
      </c>
    </row>
    <row r="308" spans="1:1" x14ac:dyDescent="0.25">
      <c r="A308" s="216" t="str">
        <f t="shared" si="4"/>
        <v/>
      </c>
    </row>
    <row r="309" spans="1:1" x14ac:dyDescent="0.25">
      <c r="A309" s="216" t="str">
        <f t="shared" si="4"/>
        <v/>
      </c>
    </row>
    <row r="310" spans="1:1" x14ac:dyDescent="0.25">
      <c r="A310" s="216" t="str">
        <f t="shared" si="4"/>
        <v/>
      </c>
    </row>
    <row r="311" spans="1:1" x14ac:dyDescent="0.25">
      <c r="A311" s="216" t="str">
        <f t="shared" si="4"/>
        <v/>
      </c>
    </row>
    <row r="312" spans="1:1" x14ac:dyDescent="0.25">
      <c r="A312" s="216" t="str">
        <f t="shared" si="4"/>
        <v/>
      </c>
    </row>
    <row r="313" spans="1:1" x14ac:dyDescent="0.25">
      <c r="A313" s="216" t="str">
        <f t="shared" si="4"/>
        <v/>
      </c>
    </row>
    <row r="314" spans="1:1" x14ac:dyDescent="0.25">
      <c r="A314" s="216" t="str">
        <f t="shared" si="4"/>
        <v/>
      </c>
    </row>
    <row r="315" spans="1:1" x14ac:dyDescent="0.25">
      <c r="A315" s="216" t="str">
        <f t="shared" si="4"/>
        <v/>
      </c>
    </row>
    <row r="316" spans="1:1" x14ac:dyDescent="0.25">
      <c r="A316" s="216" t="str">
        <f t="shared" si="4"/>
        <v/>
      </c>
    </row>
    <row r="317" spans="1:1" x14ac:dyDescent="0.25">
      <c r="A317" s="216" t="str">
        <f t="shared" si="4"/>
        <v/>
      </c>
    </row>
    <row r="318" spans="1:1" x14ac:dyDescent="0.25">
      <c r="A318" s="216" t="str">
        <f t="shared" si="4"/>
        <v/>
      </c>
    </row>
    <row r="319" spans="1:1" x14ac:dyDescent="0.25">
      <c r="A319" s="216" t="str">
        <f t="shared" si="4"/>
        <v/>
      </c>
    </row>
    <row r="320" spans="1:1" x14ac:dyDescent="0.25">
      <c r="A320" s="216" t="str">
        <f t="shared" si="4"/>
        <v/>
      </c>
    </row>
    <row r="321" spans="1:1" x14ac:dyDescent="0.25">
      <c r="A321" s="216" t="str">
        <f t="shared" si="4"/>
        <v/>
      </c>
    </row>
    <row r="322" spans="1:1" x14ac:dyDescent="0.25">
      <c r="A322" s="216" t="str">
        <f t="shared" si="4"/>
        <v/>
      </c>
    </row>
    <row r="323" spans="1:1" x14ac:dyDescent="0.25">
      <c r="A323" s="216" t="str">
        <f t="shared" si="4"/>
        <v/>
      </c>
    </row>
    <row r="324" spans="1:1" x14ac:dyDescent="0.25">
      <c r="A324" s="216" t="str">
        <f t="shared" ref="A324:A387" si="5">IF(B324&lt;&gt;"",A323+1,"")</f>
        <v/>
      </c>
    </row>
    <row r="325" spans="1:1" x14ac:dyDescent="0.25">
      <c r="A325" s="216" t="str">
        <f t="shared" si="5"/>
        <v/>
      </c>
    </row>
    <row r="326" spans="1:1" x14ac:dyDescent="0.25">
      <c r="A326" s="216" t="str">
        <f t="shared" si="5"/>
        <v/>
      </c>
    </row>
    <row r="327" spans="1:1" x14ac:dyDescent="0.25">
      <c r="A327" s="216" t="str">
        <f t="shared" si="5"/>
        <v/>
      </c>
    </row>
    <row r="328" spans="1:1" x14ac:dyDescent="0.25">
      <c r="A328" s="216" t="str">
        <f t="shared" si="5"/>
        <v/>
      </c>
    </row>
    <row r="329" spans="1:1" x14ac:dyDescent="0.25">
      <c r="A329" s="216" t="str">
        <f t="shared" si="5"/>
        <v/>
      </c>
    </row>
    <row r="330" spans="1:1" x14ac:dyDescent="0.25">
      <c r="A330" s="216" t="str">
        <f t="shared" si="5"/>
        <v/>
      </c>
    </row>
    <row r="331" spans="1:1" x14ac:dyDescent="0.25">
      <c r="A331" s="216" t="str">
        <f t="shared" si="5"/>
        <v/>
      </c>
    </row>
    <row r="332" spans="1:1" x14ac:dyDescent="0.25">
      <c r="A332" s="216" t="str">
        <f t="shared" si="5"/>
        <v/>
      </c>
    </row>
    <row r="333" spans="1:1" x14ac:dyDescent="0.25">
      <c r="A333" s="216" t="str">
        <f t="shared" si="5"/>
        <v/>
      </c>
    </row>
    <row r="334" spans="1:1" x14ac:dyDescent="0.25">
      <c r="A334" s="216" t="str">
        <f t="shared" si="5"/>
        <v/>
      </c>
    </row>
    <row r="335" spans="1:1" x14ac:dyDescent="0.25">
      <c r="A335" s="216" t="str">
        <f t="shared" si="5"/>
        <v/>
      </c>
    </row>
    <row r="336" spans="1:1" x14ac:dyDescent="0.25">
      <c r="A336" s="216" t="str">
        <f t="shared" si="5"/>
        <v/>
      </c>
    </row>
    <row r="337" spans="1:1" x14ac:dyDescent="0.25">
      <c r="A337" s="216" t="str">
        <f t="shared" si="5"/>
        <v/>
      </c>
    </row>
    <row r="338" spans="1:1" x14ac:dyDescent="0.25">
      <c r="A338" s="216" t="str">
        <f t="shared" si="5"/>
        <v/>
      </c>
    </row>
    <row r="339" spans="1:1" x14ac:dyDescent="0.25">
      <c r="A339" s="216" t="str">
        <f t="shared" si="5"/>
        <v/>
      </c>
    </row>
    <row r="340" spans="1:1" x14ac:dyDescent="0.25">
      <c r="A340" s="216" t="str">
        <f t="shared" si="5"/>
        <v/>
      </c>
    </row>
    <row r="341" spans="1:1" x14ac:dyDescent="0.25">
      <c r="A341" s="216" t="str">
        <f t="shared" si="5"/>
        <v/>
      </c>
    </row>
    <row r="342" spans="1:1" x14ac:dyDescent="0.25">
      <c r="A342" s="216" t="str">
        <f t="shared" si="5"/>
        <v/>
      </c>
    </row>
    <row r="343" spans="1:1" x14ac:dyDescent="0.25">
      <c r="A343" s="216" t="str">
        <f t="shared" si="5"/>
        <v/>
      </c>
    </row>
    <row r="344" spans="1:1" x14ac:dyDescent="0.25">
      <c r="A344" s="216" t="str">
        <f t="shared" si="5"/>
        <v/>
      </c>
    </row>
    <row r="345" spans="1:1" x14ac:dyDescent="0.25">
      <c r="A345" s="216" t="str">
        <f t="shared" si="5"/>
        <v/>
      </c>
    </row>
    <row r="346" spans="1:1" x14ac:dyDescent="0.25">
      <c r="A346" s="216" t="str">
        <f t="shared" si="5"/>
        <v/>
      </c>
    </row>
    <row r="347" spans="1:1" x14ac:dyDescent="0.25">
      <c r="A347" s="216" t="str">
        <f t="shared" si="5"/>
        <v/>
      </c>
    </row>
    <row r="348" spans="1:1" x14ac:dyDescent="0.25">
      <c r="A348" s="216" t="str">
        <f t="shared" si="5"/>
        <v/>
      </c>
    </row>
    <row r="349" spans="1:1" x14ac:dyDescent="0.25">
      <c r="A349" s="216" t="str">
        <f t="shared" si="5"/>
        <v/>
      </c>
    </row>
    <row r="350" spans="1:1" x14ac:dyDescent="0.25">
      <c r="A350" s="216" t="str">
        <f t="shared" si="5"/>
        <v/>
      </c>
    </row>
    <row r="351" spans="1:1" x14ac:dyDescent="0.25">
      <c r="A351" s="216" t="str">
        <f t="shared" si="5"/>
        <v/>
      </c>
    </row>
    <row r="352" spans="1:1" x14ac:dyDescent="0.25">
      <c r="A352" s="216" t="str">
        <f t="shared" si="5"/>
        <v/>
      </c>
    </row>
    <row r="353" spans="1:1" x14ac:dyDescent="0.25">
      <c r="A353" s="216" t="str">
        <f t="shared" si="5"/>
        <v/>
      </c>
    </row>
    <row r="354" spans="1:1" x14ac:dyDescent="0.25">
      <c r="A354" s="216" t="str">
        <f t="shared" si="5"/>
        <v/>
      </c>
    </row>
    <row r="355" spans="1:1" x14ac:dyDescent="0.25">
      <c r="A355" s="216" t="str">
        <f t="shared" si="5"/>
        <v/>
      </c>
    </row>
    <row r="356" spans="1:1" x14ac:dyDescent="0.25">
      <c r="A356" s="216" t="str">
        <f t="shared" si="5"/>
        <v/>
      </c>
    </row>
    <row r="357" spans="1:1" x14ac:dyDescent="0.25">
      <c r="A357" s="216" t="str">
        <f t="shared" si="5"/>
        <v/>
      </c>
    </row>
    <row r="358" spans="1:1" x14ac:dyDescent="0.25">
      <c r="A358" s="216" t="str">
        <f t="shared" si="5"/>
        <v/>
      </c>
    </row>
    <row r="359" spans="1:1" x14ac:dyDescent="0.25">
      <c r="A359" s="216" t="str">
        <f t="shared" si="5"/>
        <v/>
      </c>
    </row>
    <row r="360" spans="1:1" x14ac:dyDescent="0.25">
      <c r="A360" s="216" t="str">
        <f t="shared" si="5"/>
        <v/>
      </c>
    </row>
    <row r="361" spans="1:1" x14ac:dyDescent="0.25">
      <c r="A361" s="216" t="str">
        <f t="shared" si="5"/>
        <v/>
      </c>
    </row>
    <row r="362" spans="1:1" x14ac:dyDescent="0.25">
      <c r="A362" s="216" t="str">
        <f t="shared" si="5"/>
        <v/>
      </c>
    </row>
    <row r="363" spans="1:1" x14ac:dyDescent="0.25">
      <c r="A363" s="216" t="str">
        <f t="shared" si="5"/>
        <v/>
      </c>
    </row>
    <row r="364" spans="1:1" x14ac:dyDescent="0.25">
      <c r="A364" s="216" t="str">
        <f t="shared" si="5"/>
        <v/>
      </c>
    </row>
    <row r="365" spans="1:1" x14ac:dyDescent="0.25">
      <c r="A365" s="216" t="str">
        <f t="shared" si="5"/>
        <v/>
      </c>
    </row>
    <row r="366" spans="1:1" x14ac:dyDescent="0.25">
      <c r="A366" s="216" t="str">
        <f t="shared" si="5"/>
        <v/>
      </c>
    </row>
    <row r="367" spans="1:1" x14ac:dyDescent="0.25">
      <c r="A367" s="216" t="str">
        <f t="shared" si="5"/>
        <v/>
      </c>
    </row>
    <row r="368" spans="1:1" x14ac:dyDescent="0.25">
      <c r="A368" s="216" t="str">
        <f t="shared" si="5"/>
        <v/>
      </c>
    </row>
    <row r="369" spans="1:1" x14ac:dyDescent="0.25">
      <c r="A369" s="216" t="str">
        <f t="shared" si="5"/>
        <v/>
      </c>
    </row>
    <row r="370" spans="1:1" x14ac:dyDescent="0.25">
      <c r="A370" s="216" t="str">
        <f t="shared" si="5"/>
        <v/>
      </c>
    </row>
    <row r="371" spans="1:1" x14ac:dyDescent="0.25">
      <c r="A371" s="216" t="str">
        <f t="shared" si="5"/>
        <v/>
      </c>
    </row>
    <row r="372" spans="1:1" x14ac:dyDescent="0.25">
      <c r="A372" s="216" t="str">
        <f t="shared" si="5"/>
        <v/>
      </c>
    </row>
    <row r="373" spans="1:1" x14ac:dyDescent="0.25">
      <c r="A373" s="216" t="str">
        <f t="shared" si="5"/>
        <v/>
      </c>
    </row>
    <row r="374" spans="1:1" x14ac:dyDescent="0.25">
      <c r="A374" s="216" t="str">
        <f t="shared" si="5"/>
        <v/>
      </c>
    </row>
    <row r="375" spans="1:1" x14ac:dyDescent="0.25">
      <c r="A375" s="216" t="str">
        <f t="shared" si="5"/>
        <v/>
      </c>
    </row>
    <row r="376" spans="1:1" x14ac:dyDescent="0.25">
      <c r="A376" s="216" t="str">
        <f t="shared" si="5"/>
        <v/>
      </c>
    </row>
    <row r="377" spans="1:1" x14ac:dyDescent="0.25">
      <c r="A377" s="216" t="str">
        <f t="shared" si="5"/>
        <v/>
      </c>
    </row>
    <row r="378" spans="1:1" x14ac:dyDescent="0.25">
      <c r="A378" s="216" t="str">
        <f t="shared" si="5"/>
        <v/>
      </c>
    </row>
    <row r="379" spans="1:1" x14ac:dyDescent="0.25">
      <c r="A379" s="216" t="str">
        <f t="shared" si="5"/>
        <v/>
      </c>
    </row>
    <row r="380" spans="1:1" x14ac:dyDescent="0.25">
      <c r="A380" s="216" t="str">
        <f t="shared" si="5"/>
        <v/>
      </c>
    </row>
    <row r="381" spans="1:1" x14ac:dyDescent="0.25">
      <c r="A381" s="216" t="str">
        <f t="shared" si="5"/>
        <v/>
      </c>
    </row>
    <row r="382" spans="1:1" x14ac:dyDescent="0.25">
      <c r="A382" s="216" t="str">
        <f t="shared" si="5"/>
        <v/>
      </c>
    </row>
    <row r="383" spans="1:1" x14ac:dyDescent="0.25">
      <c r="A383" s="216" t="str">
        <f t="shared" si="5"/>
        <v/>
      </c>
    </row>
    <row r="384" spans="1:1" x14ac:dyDescent="0.25">
      <c r="A384" s="216" t="str">
        <f t="shared" si="5"/>
        <v/>
      </c>
    </row>
    <row r="385" spans="1:1" x14ac:dyDescent="0.25">
      <c r="A385" s="216" t="str">
        <f t="shared" si="5"/>
        <v/>
      </c>
    </row>
    <row r="386" spans="1:1" x14ac:dyDescent="0.25">
      <c r="A386" s="216" t="str">
        <f t="shared" si="5"/>
        <v/>
      </c>
    </row>
    <row r="387" spans="1:1" x14ac:dyDescent="0.25">
      <c r="A387" s="216" t="str">
        <f t="shared" si="5"/>
        <v/>
      </c>
    </row>
    <row r="388" spans="1:1" x14ac:dyDescent="0.25">
      <c r="A388" s="216" t="str">
        <f t="shared" ref="A388:A451" si="6">IF(B388&lt;&gt;"",A387+1,"")</f>
        <v/>
      </c>
    </row>
    <row r="389" spans="1:1" x14ac:dyDescent="0.25">
      <c r="A389" s="216" t="str">
        <f t="shared" si="6"/>
        <v/>
      </c>
    </row>
    <row r="390" spans="1:1" x14ac:dyDescent="0.25">
      <c r="A390" s="216" t="str">
        <f t="shared" si="6"/>
        <v/>
      </c>
    </row>
    <row r="391" spans="1:1" x14ac:dyDescent="0.25">
      <c r="A391" s="216" t="str">
        <f t="shared" si="6"/>
        <v/>
      </c>
    </row>
    <row r="392" spans="1:1" x14ac:dyDescent="0.25">
      <c r="A392" s="216" t="str">
        <f t="shared" si="6"/>
        <v/>
      </c>
    </row>
    <row r="393" spans="1:1" x14ac:dyDescent="0.25">
      <c r="A393" s="216" t="str">
        <f t="shared" si="6"/>
        <v/>
      </c>
    </row>
    <row r="394" spans="1:1" x14ac:dyDescent="0.25">
      <c r="A394" s="216" t="str">
        <f t="shared" si="6"/>
        <v/>
      </c>
    </row>
    <row r="395" spans="1:1" x14ac:dyDescent="0.25">
      <c r="A395" s="216" t="str">
        <f t="shared" si="6"/>
        <v/>
      </c>
    </row>
    <row r="396" spans="1:1" x14ac:dyDescent="0.25">
      <c r="A396" s="216" t="str">
        <f t="shared" si="6"/>
        <v/>
      </c>
    </row>
    <row r="397" spans="1:1" x14ac:dyDescent="0.25">
      <c r="A397" s="216" t="str">
        <f t="shared" si="6"/>
        <v/>
      </c>
    </row>
    <row r="398" spans="1:1" x14ac:dyDescent="0.25">
      <c r="A398" s="216" t="str">
        <f t="shared" si="6"/>
        <v/>
      </c>
    </row>
    <row r="399" spans="1:1" x14ac:dyDescent="0.25">
      <c r="A399" s="216" t="str">
        <f t="shared" si="6"/>
        <v/>
      </c>
    </row>
    <row r="400" spans="1:1" x14ac:dyDescent="0.25">
      <c r="A400" s="216" t="str">
        <f t="shared" si="6"/>
        <v/>
      </c>
    </row>
    <row r="401" spans="1:1" x14ac:dyDescent="0.25">
      <c r="A401" s="216" t="str">
        <f t="shared" si="6"/>
        <v/>
      </c>
    </row>
    <row r="402" spans="1:1" x14ac:dyDescent="0.25">
      <c r="A402" s="216" t="str">
        <f t="shared" si="6"/>
        <v/>
      </c>
    </row>
    <row r="403" spans="1:1" x14ac:dyDescent="0.25">
      <c r="A403" s="216" t="str">
        <f t="shared" si="6"/>
        <v/>
      </c>
    </row>
    <row r="404" spans="1:1" x14ac:dyDescent="0.25">
      <c r="A404" s="216" t="str">
        <f t="shared" si="6"/>
        <v/>
      </c>
    </row>
    <row r="405" spans="1:1" x14ac:dyDescent="0.25">
      <c r="A405" s="216" t="str">
        <f t="shared" si="6"/>
        <v/>
      </c>
    </row>
    <row r="406" spans="1:1" x14ac:dyDescent="0.25">
      <c r="A406" s="216" t="str">
        <f t="shared" si="6"/>
        <v/>
      </c>
    </row>
    <row r="407" spans="1:1" x14ac:dyDescent="0.25">
      <c r="A407" s="216" t="str">
        <f t="shared" si="6"/>
        <v/>
      </c>
    </row>
    <row r="408" spans="1:1" x14ac:dyDescent="0.25">
      <c r="A408" s="216" t="str">
        <f t="shared" si="6"/>
        <v/>
      </c>
    </row>
    <row r="409" spans="1:1" x14ac:dyDescent="0.25">
      <c r="A409" s="216" t="str">
        <f t="shared" si="6"/>
        <v/>
      </c>
    </row>
    <row r="410" spans="1:1" x14ac:dyDescent="0.25">
      <c r="A410" s="216" t="str">
        <f t="shared" si="6"/>
        <v/>
      </c>
    </row>
    <row r="411" spans="1:1" x14ac:dyDescent="0.25">
      <c r="A411" s="216" t="str">
        <f t="shared" si="6"/>
        <v/>
      </c>
    </row>
    <row r="412" spans="1:1" x14ac:dyDescent="0.25">
      <c r="A412" s="216" t="str">
        <f t="shared" si="6"/>
        <v/>
      </c>
    </row>
    <row r="413" spans="1:1" x14ac:dyDescent="0.25">
      <c r="A413" s="216" t="str">
        <f t="shared" si="6"/>
        <v/>
      </c>
    </row>
    <row r="414" spans="1:1" x14ac:dyDescent="0.25">
      <c r="A414" s="216" t="str">
        <f t="shared" si="6"/>
        <v/>
      </c>
    </row>
    <row r="415" spans="1:1" x14ac:dyDescent="0.25">
      <c r="A415" s="216" t="str">
        <f t="shared" si="6"/>
        <v/>
      </c>
    </row>
    <row r="416" spans="1:1" x14ac:dyDescent="0.25">
      <c r="A416" s="216" t="str">
        <f t="shared" si="6"/>
        <v/>
      </c>
    </row>
    <row r="417" spans="1:1" x14ac:dyDescent="0.25">
      <c r="A417" s="216" t="str">
        <f t="shared" si="6"/>
        <v/>
      </c>
    </row>
    <row r="418" spans="1:1" x14ac:dyDescent="0.25">
      <c r="A418" s="216" t="str">
        <f t="shared" si="6"/>
        <v/>
      </c>
    </row>
    <row r="419" spans="1:1" x14ac:dyDescent="0.25">
      <c r="A419" s="216" t="str">
        <f t="shared" si="6"/>
        <v/>
      </c>
    </row>
    <row r="420" spans="1:1" x14ac:dyDescent="0.25">
      <c r="A420" s="216" t="str">
        <f t="shared" si="6"/>
        <v/>
      </c>
    </row>
    <row r="421" spans="1:1" x14ac:dyDescent="0.25">
      <c r="A421" s="216" t="str">
        <f t="shared" si="6"/>
        <v/>
      </c>
    </row>
    <row r="422" spans="1:1" x14ac:dyDescent="0.25">
      <c r="A422" s="216" t="str">
        <f t="shared" si="6"/>
        <v/>
      </c>
    </row>
    <row r="423" spans="1:1" x14ac:dyDescent="0.25">
      <c r="A423" s="216" t="str">
        <f t="shared" si="6"/>
        <v/>
      </c>
    </row>
    <row r="424" spans="1:1" x14ac:dyDescent="0.25">
      <c r="A424" s="216" t="str">
        <f t="shared" si="6"/>
        <v/>
      </c>
    </row>
    <row r="425" spans="1:1" x14ac:dyDescent="0.25">
      <c r="A425" s="216" t="str">
        <f t="shared" si="6"/>
        <v/>
      </c>
    </row>
    <row r="426" spans="1:1" x14ac:dyDescent="0.25">
      <c r="A426" s="216" t="str">
        <f t="shared" si="6"/>
        <v/>
      </c>
    </row>
    <row r="427" spans="1:1" x14ac:dyDescent="0.25">
      <c r="A427" s="216" t="str">
        <f t="shared" si="6"/>
        <v/>
      </c>
    </row>
    <row r="428" spans="1:1" x14ac:dyDescent="0.25">
      <c r="A428" s="216" t="str">
        <f t="shared" si="6"/>
        <v/>
      </c>
    </row>
    <row r="429" spans="1:1" x14ac:dyDescent="0.25">
      <c r="A429" s="216" t="str">
        <f t="shared" si="6"/>
        <v/>
      </c>
    </row>
    <row r="430" spans="1:1" x14ac:dyDescent="0.25">
      <c r="A430" s="216" t="str">
        <f t="shared" si="6"/>
        <v/>
      </c>
    </row>
    <row r="431" spans="1:1" x14ac:dyDescent="0.25">
      <c r="A431" s="216" t="str">
        <f t="shared" si="6"/>
        <v/>
      </c>
    </row>
    <row r="432" spans="1:1" x14ac:dyDescent="0.25">
      <c r="A432" s="216" t="str">
        <f t="shared" si="6"/>
        <v/>
      </c>
    </row>
    <row r="433" spans="1:1" x14ac:dyDescent="0.25">
      <c r="A433" s="216" t="str">
        <f t="shared" si="6"/>
        <v/>
      </c>
    </row>
    <row r="434" spans="1:1" x14ac:dyDescent="0.25">
      <c r="A434" s="216" t="str">
        <f t="shared" si="6"/>
        <v/>
      </c>
    </row>
    <row r="435" spans="1:1" x14ac:dyDescent="0.25">
      <c r="A435" s="216" t="str">
        <f t="shared" si="6"/>
        <v/>
      </c>
    </row>
    <row r="436" spans="1:1" x14ac:dyDescent="0.25">
      <c r="A436" s="216" t="str">
        <f t="shared" si="6"/>
        <v/>
      </c>
    </row>
    <row r="437" spans="1:1" x14ac:dyDescent="0.25">
      <c r="A437" s="216" t="str">
        <f t="shared" si="6"/>
        <v/>
      </c>
    </row>
    <row r="438" spans="1:1" x14ac:dyDescent="0.25">
      <c r="A438" s="216" t="str">
        <f t="shared" si="6"/>
        <v/>
      </c>
    </row>
    <row r="439" spans="1:1" x14ac:dyDescent="0.25">
      <c r="A439" s="216" t="str">
        <f t="shared" si="6"/>
        <v/>
      </c>
    </row>
    <row r="440" spans="1:1" x14ac:dyDescent="0.25">
      <c r="A440" s="216" t="str">
        <f t="shared" si="6"/>
        <v/>
      </c>
    </row>
    <row r="441" spans="1:1" x14ac:dyDescent="0.25">
      <c r="A441" s="216" t="str">
        <f t="shared" si="6"/>
        <v/>
      </c>
    </row>
    <row r="442" spans="1:1" x14ac:dyDescent="0.25">
      <c r="A442" s="216" t="str">
        <f t="shared" si="6"/>
        <v/>
      </c>
    </row>
    <row r="443" spans="1:1" x14ac:dyDescent="0.25">
      <c r="A443" s="216" t="str">
        <f t="shared" si="6"/>
        <v/>
      </c>
    </row>
    <row r="444" spans="1:1" x14ac:dyDescent="0.25">
      <c r="A444" s="216" t="str">
        <f t="shared" si="6"/>
        <v/>
      </c>
    </row>
    <row r="445" spans="1:1" x14ac:dyDescent="0.25">
      <c r="A445" s="216" t="str">
        <f t="shared" si="6"/>
        <v/>
      </c>
    </row>
    <row r="446" spans="1:1" x14ac:dyDescent="0.25">
      <c r="A446" s="216" t="str">
        <f t="shared" si="6"/>
        <v/>
      </c>
    </row>
    <row r="447" spans="1:1" x14ac:dyDescent="0.25">
      <c r="A447" s="216" t="str">
        <f t="shared" si="6"/>
        <v/>
      </c>
    </row>
    <row r="448" spans="1:1" x14ac:dyDescent="0.25">
      <c r="A448" s="216" t="str">
        <f t="shared" si="6"/>
        <v/>
      </c>
    </row>
    <row r="449" spans="1:1" x14ac:dyDescent="0.25">
      <c r="A449" s="216" t="str">
        <f t="shared" si="6"/>
        <v/>
      </c>
    </row>
    <row r="450" spans="1:1" x14ac:dyDescent="0.25">
      <c r="A450" s="216" t="str">
        <f t="shared" si="6"/>
        <v/>
      </c>
    </row>
    <row r="451" spans="1:1" x14ac:dyDescent="0.25">
      <c r="A451" s="216" t="str">
        <f t="shared" si="6"/>
        <v/>
      </c>
    </row>
    <row r="452" spans="1:1" x14ac:dyDescent="0.25">
      <c r="A452" s="216" t="str">
        <f t="shared" ref="A452:A515" si="7">IF(B452&lt;&gt;"",A451+1,"")</f>
        <v/>
      </c>
    </row>
    <row r="453" spans="1:1" x14ac:dyDescent="0.25">
      <c r="A453" s="216" t="str">
        <f t="shared" si="7"/>
        <v/>
      </c>
    </row>
    <row r="454" spans="1:1" x14ac:dyDescent="0.25">
      <c r="A454" s="216" t="str">
        <f t="shared" si="7"/>
        <v/>
      </c>
    </row>
    <row r="455" spans="1:1" x14ac:dyDescent="0.25">
      <c r="A455" s="216" t="str">
        <f t="shared" si="7"/>
        <v/>
      </c>
    </row>
    <row r="456" spans="1:1" x14ac:dyDescent="0.25">
      <c r="A456" s="216" t="str">
        <f t="shared" si="7"/>
        <v/>
      </c>
    </row>
    <row r="457" spans="1:1" x14ac:dyDescent="0.25">
      <c r="A457" s="216" t="str">
        <f t="shared" si="7"/>
        <v/>
      </c>
    </row>
    <row r="458" spans="1:1" x14ac:dyDescent="0.25">
      <c r="A458" s="216" t="str">
        <f t="shared" si="7"/>
        <v/>
      </c>
    </row>
    <row r="459" spans="1:1" x14ac:dyDescent="0.25">
      <c r="A459" s="216" t="str">
        <f t="shared" si="7"/>
        <v/>
      </c>
    </row>
    <row r="460" spans="1:1" x14ac:dyDescent="0.25">
      <c r="A460" s="216" t="str">
        <f t="shared" si="7"/>
        <v/>
      </c>
    </row>
    <row r="461" spans="1:1" x14ac:dyDescent="0.25">
      <c r="A461" s="216" t="str">
        <f t="shared" si="7"/>
        <v/>
      </c>
    </row>
    <row r="462" spans="1:1" x14ac:dyDescent="0.25">
      <c r="A462" s="216" t="str">
        <f t="shared" si="7"/>
        <v/>
      </c>
    </row>
    <row r="463" spans="1:1" x14ac:dyDescent="0.25">
      <c r="A463" s="216" t="str">
        <f t="shared" si="7"/>
        <v/>
      </c>
    </row>
    <row r="464" spans="1:1" x14ac:dyDescent="0.25">
      <c r="A464" s="216" t="str">
        <f t="shared" si="7"/>
        <v/>
      </c>
    </row>
    <row r="465" spans="1:1" x14ac:dyDescent="0.25">
      <c r="A465" s="216" t="str">
        <f t="shared" si="7"/>
        <v/>
      </c>
    </row>
    <row r="466" spans="1:1" x14ac:dyDescent="0.25">
      <c r="A466" s="216" t="str">
        <f t="shared" si="7"/>
        <v/>
      </c>
    </row>
    <row r="467" spans="1:1" x14ac:dyDescent="0.25">
      <c r="A467" s="216" t="str">
        <f t="shared" si="7"/>
        <v/>
      </c>
    </row>
    <row r="468" spans="1:1" x14ac:dyDescent="0.25">
      <c r="A468" s="216" t="str">
        <f t="shared" si="7"/>
        <v/>
      </c>
    </row>
    <row r="469" spans="1:1" x14ac:dyDescent="0.25">
      <c r="A469" s="216" t="str">
        <f t="shared" si="7"/>
        <v/>
      </c>
    </row>
    <row r="470" spans="1:1" x14ac:dyDescent="0.25">
      <c r="A470" s="216" t="str">
        <f t="shared" si="7"/>
        <v/>
      </c>
    </row>
    <row r="471" spans="1:1" x14ac:dyDescent="0.25">
      <c r="A471" s="216" t="str">
        <f t="shared" si="7"/>
        <v/>
      </c>
    </row>
    <row r="472" spans="1:1" x14ac:dyDescent="0.25">
      <c r="A472" s="216" t="str">
        <f t="shared" si="7"/>
        <v/>
      </c>
    </row>
    <row r="473" spans="1:1" x14ac:dyDescent="0.25">
      <c r="A473" s="216" t="str">
        <f t="shared" si="7"/>
        <v/>
      </c>
    </row>
    <row r="474" spans="1:1" x14ac:dyDescent="0.25">
      <c r="A474" s="216" t="str">
        <f t="shared" si="7"/>
        <v/>
      </c>
    </row>
    <row r="475" spans="1:1" x14ac:dyDescent="0.25">
      <c r="A475" s="216" t="str">
        <f t="shared" si="7"/>
        <v/>
      </c>
    </row>
    <row r="476" spans="1:1" x14ac:dyDescent="0.25">
      <c r="A476" s="216" t="str">
        <f t="shared" si="7"/>
        <v/>
      </c>
    </row>
    <row r="477" spans="1:1" x14ac:dyDescent="0.25">
      <c r="A477" s="216" t="str">
        <f t="shared" si="7"/>
        <v/>
      </c>
    </row>
    <row r="478" spans="1:1" x14ac:dyDescent="0.25">
      <c r="A478" s="216" t="str">
        <f t="shared" si="7"/>
        <v/>
      </c>
    </row>
    <row r="479" spans="1:1" x14ac:dyDescent="0.25">
      <c r="A479" s="216" t="str">
        <f t="shared" si="7"/>
        <v/>
      </c>
    </row>
    <row r="480" spans="1:1" x14ac:dyDescent="0.25">
      <c r="A480" s="216" t="str">
        <f t="shared" si="7"/>
        <v/>
      </c>
    </row>
    <row r="481" spans="1:1" x14ac:dyDescent="0.25">
      <c r="A481" s="216" t="str">
        <f t="shared" si="7"/>
        <v/>
      </c>
    </row>
    <row r="482" spans="1:1" x14ac:dyDescent="0.25">
      <c r="A482" s="216" t="str">
        <f t="shared" si="7"/>
        <v/>
      </c>
    </row>
    <row r="483" spans="1:1" x14ac:dyDescent="0.25">
      <c r="A483" s="216" t="str">
        <f t="shared" si="7"/>
        <v/>
      </c>
    </row>
    <row r="484" spans="1:1" x14ac:dyDescent="0.25">
      <c r="A484" s="216" t="str">
        <f t="shared" si="7"/>
        <v/>
      </c>
    </row>
    <row r="485" spans="1:1" x14ac:dyDescent="0.25">
      <c r="A485" s="216" t="str">
        <f t="shared" si="7"/>
        <v/>
      </c>
    </row>
    <row r="486" spans="1:1" x14ac:dyDescent="0.25">
      <c r="A486" s="216" t="str">
        <f t="shared" si="7"/>
        <v/>
      </c>
    </row>
    <row r="487" spans="1:1" x14ac:dyDescent="0.25">
      <c r="A487" s="216" t="str">
        <f t="shared" si="7"/>
        <v/>
      </c>
    </row>
    <row r="488" spans="1:1" x14ac:dyDescent="0.25">
      <c r="A488" s="216" t="str">
        <f t="shared" si="7"/>
        <v/>
      </c>
    </row>
    <row r="489" spans="1:1" x14ac:dyDescent="0.25">
      <c r="A489" s="216" t="str">
        <f t="shared" si="7"/>
        <v/>
      </c>
    </row>
    <row r="490" spans="1:1" x14ac:dyDescent="0.25">
      <c r="A490" s="216" t="str">
        <f t="shared" si="7"/>
        <v/>
      </c>
    </row>
    <row r="491" spans="1:1" x14ac:dyDescent="0.25">
      <c r="A491" s="216" t="str">
        <f t="shared" si="7"/>
        <v/>
      </c>
    </row>
    <row r="492" spans="1:1" x14ac:dyDescent="0.25">
      <c r="A492" s="216" t="str">
        <f t="shared" si="7"/>
        <v/>
      </c>
    </row>
    <row r="493" spans="1:1" x14ac:dyDescent="0.25">
      <c r="A493" s="216" t="str">
        <f t="shared" si="7"/>
        <v/>
      </c>
    </row>
    <row r="494" spans="1:1" x14ac:dyDescent="0.25">
      <c r="A494" s="216" t="str">
        <f t="shared" si="7"/>
        <v/>
      </c>
    </row>
    <row r="495" spans="1:1" x14ac:dyDescent="0.25">
      <c r="A495" s="216" t="str">
        <f t="shared" si="7"/>
        <v/>
      </c>
    </row>
    <row r="496" spans="1:1" x14ac:dyDescent="0.25">
      <c r="A496" s="216" t="str">
        <f t="shared" si="7"/>
        <v/>
      </c>
    </row>
    <row r="497" spans="1:1" x14ac:dyDescent="0.25">
      <c r="A497" s="216" t="str">
        <f t="shared" si="7"/>
        <v/>
      </c>
    </row>
    <row r="498" spans="1:1" x14ac:dyDescent="0.25">
      <c r="A498" s="216" t="str">
        <f t="shared" si="7"/>
        <v/>
      </c>
    </row>
    <row r="499" spans="1:1" x14ac:dyDescent="0.25">
      <c r="A499" s="216" t="str">
        <f t="shared" si="7"/>
        <v/>
      </c>
    </row>
    <row r="500" spans="1:1" x14ac:dyDescent="0.25">
      <c r="A500" s="216" t="str">
        <f t="shared" si="7"/>
        <v/>
      </c>
    </row>
    <row r="501" spans="1:1" x14ac:dyDescent="0.25">
      <c r="A501" s="216" t="str">
        <f t="shared" si="7"/>
        <v/>
      </c>
    </row>
    <row r="502" spans="1:1" x14ac:dyDescent="0.25">
      <c r="A502" s="216" t="str">
        <f t="shared" si="7"/>
        <v/>
      </c>
    </row>
    <row r="503" spans="1:1" x14ac:dyDescent="0.25">
      <c r="A503" s="216" t="str">
        <f t="shared" si="7"/>
        <v/>
      </c>
    </row>
    <row r="504" spans="1:1" x14ac:dyDescent="0.25">
      <c r="A504" s="216" t="str">
        <f t="shared" si="7"/>
        <v/>
      </c>
    </row>
    <row r="505" spans="1:1" x14ac:dyDescent="0.25">
      <c r="A505" s="216" t="str">
        <f t="shared" si="7"/>
        <v/>
      </c>
    </row>
    <row r="506" spans="1:1" x14ac:dyDescent="0.25">
      <c r="A506" s="216" t="str">
        <f t="shared" si="7"/>
        <v/>
      </c>
    </row>
    <row r="507" spans="1:1" x14ac:dyDescent="0.25">
      <c r="A507" s="216" t="str">
        <f t="shared" si="7"/>
        <v/>
      </c>
    </row>
    <row r="508" spans="1:1" x14ac:dyDescent="0.25">
      <c r="A508" s="216" t="str">
        <f t="shared" si="7"/>
        <v/>
      </c>
    </row>
    <row r="509" spans="1:1" x14ac:dyDescent="0.25">
      <c r="A509" s="216" t="str">
        <f t="shared" si="7"/>
        <v/>
      </c>
    </row>
    <row r="510" spans="1:1" x14ac:dyDescent="0.25">
      <c r="A510" s="216" t="str">
        <f t="shared" si="7"/>
        <v/>
      </c>
    </row>
    <row r="511" spans="1:1" x14ac:dyDescent="0.25">
      <c r="A511" s="216" t="str">
        <f t="shared" si="7"/>
        <v/>
      </c>
    </row>
    <row r="512" spans="1:1" x14ac:dyDescent="0.25">
      <c r="A512" s="216" t="str">
        <f t="shared" si="7"/>
        <v/>
      </c>
    </row>
    <row r="513" spans="1:1" x14ac:dyDescent="0.25">
      <c r="A513" s="216" t="str">
        <f t="shared" si="7"/>
        <v/>
      </c>
    </row>
    <row r="514" spans="1:1" x14ac:dyDescent="0.25">
      <c r="A514" s="216" t="str">
        <f t="shared" si="7"/>
        <v/>
      </c>
    </row>
    <row r="515" spans="1:1" x14ac:dyDescent="0.25">
      <c r="A515" s="216" t="str">
        <f t="shared" si="7"/>
        <v/>
      </c>
    </row>
    <row r="516" spans="1:1" x14ac:dyDescent="0.25">
      <c r="A516" s="216" t="str">
        <f t="shared" ref="A516:A579" si="8">IF(B516&lt;&gt;"",A515+1,"")</f>
        <v/>
      </c>
    </row>
    <row r="517" spans="1:1" x14ac:dyDescent="0.25">
      <c r="A517" s="216" t="str">
        <f t="shared" si="8"/>
        <v/>
      </c>
    </row>
    <row r="518" spans="1:1" x14ac:dyDescent="0.25">
      <c r="A518" s="216" t="str">
        <f t="shared" si="8"/>
        <v/>
      </c>
    </row>
    <row r="519" spans="1:1" x14ac:dyDescent="0.25">
      <c r="A519" s="216" t="str">
        <f t="shared" si="8"/>
        <v/>
      </c>
    </row>
    <row r="520" spans="1:1" x14ac:dyDescent="0.25">
      <c r="A520" s="216" t="str">
        <f t="shared" si="8"/>
        <v/>
      </c>
    </row>
    <row r="521" spans="1:1" x14ac:dyDescent="0.25">
      <c r="A521" s="216" t="str">
        <f t="shared" si="8"/>
        <v/>
      </c>
    </row>
    <row r="522" spans="1:1" x14ac:dyDescent="0.25">
      <c r="A522" s="216" t="str">
        <f t="shared" si="8"/>
        <v/>
      </c>
    </row>
    <row r="523" spans="1:1" x14ac:dyDescent="0.25">
      <c r="A523" s="216" t="str">
        <f t="shared" si="8"/>
        <v/>
      </c>
    </row>
    <row r="524" spans="1:1" x14ac:dyDescent="0.25">
      <c r="A524" s="216" t="str">
        <f t="shared" si="8"/>
        <v/>
      </c>
    </row>
    <row r="525" spans="1:1" x14ac:dyDescent="0.25">
      <c r="A525" s="216" t="str">
        <f t="shared" si="8"/>
        <v/>
      </c>
    </row>
    <row r="526" spans="1:1" x14ac:dyDescent="0.25">
      <c r="A526" s="216" t="str">
        <f t="shared" si="8"/>
        <v/>
      </c>
    </row>
    <row r="527" spans="1:1" x14ac:dyDescent="0.25">
      <c r="A527" s="216" t="str">
        <f t="shared" si="8"/>
        <v/>
      </c>
    </row>
    <row r="528" spans="1:1" x14ac:dyDescent="0.25">
      <c r="A528" s="216" t="str">
        <f t="shared" si="8"/>
        <v/>
      </c>
    </row>
    <row r="529" spans="1:1" x14ac:dyDescent="0.25">
      <c r="A529" s="216" t="str">
        <f t="shared" si="8"/>
        <v/>
      </c>
    </row>
    <row r="530" spans="1:1" x14ac:dyDescent="0.25">
      <c r="A530" s="216" t="str">
        <f t="shared" si="8"/>
        <v/>
      </c>
    </row>
    <row r="531" spans="1:1" x14ac:dyDescent="0.25">
      <c r="A531" s="216" t="str">
        <f t="shared" si="8"/>
        <v/>
      </c>
    </row>
    <row r="532" spans="1:1" x14ac:dyDescent="0.25">
      <c r="A532" s="216" t="str">
        <f t="shared" si="8"/>
        <v/>
      </c>
    </row>
    <row r="533" spans="1:1" x14ac:dyDescent="0.25">
      <c r="A533" s="216" t="str">
        <f t="shared" si="8"/>
        <v/>
      </c>
    </row>
    <row r="534" spans="1:1" x14ac:dyDescent="0.25">
      <c r="A534" s="216" t="str">
        <f t="shared" si="8"/>
        <v/>
      </c>
    </row>
    <row r="535" spans="1:1" x14ac:dyDescent="0.25">
      <c r="A535" s="216" t="str">
        <f t="shared" si="8"/>
        <v/>
      </c>
    </row>
    <row r="536" spans="1:1" x14ac:dyDescent="0.25">
      <c r="A536" s="216" t="str">
        <f t="shared" si="8"/>
        <v/>
      </c>
    </row>
    <row r="537" spans="1:1" x14ac:dyDescent="0.25">
      <c r="A537" s="216" t="str">
        <f t="shared" si="8"/>
        <v/>
      </c>
    </row>
    <row r="538" spans="1:1" x14ac:dyDescent="0.25">
      <c r="A538" s="216" t="str">
        <f t="shared" si="8"/>
        <v/>
      </c>
    </row>
    <row r="539" spans="1:1" x14ac:dyDescent="0.25">
      <c r="A539" s="216" t="str">
        <f t="shared" si="8"/>
        <v/>
      </c>
    </row>
    <row r="540" spans="1:1" x14ac:dyDescent="0.25">
      <c r="A540" s="216" t="str">
        <f t="shared" si="8"/>
        <v/>
      </c>
    </row>
    <row r="541" spans="1:1" x14ac:dyDescent="0.25">
      <c r="A541" s="216" t="str">
        <f t="shared" si="8"/>
        <v/>
      </c>
    </row>
    <row r="542" spans="1:1" x14ac:dyDescent="0.25">
      <c r="A542" s="216" t="str">
        <f t="shared" si="8"/>
        <v/>
      </c>
    </row>
    <row r="543" spans="1:1" x14ac:dyDescent="0.25">
      <c r="A543" s="216" t="str">
        <f t="shared" si="8"/>
        <v/>
      </c>
    </row>
    <row r="544" spans="1:1" x14ac:dyDescent="0.25">
      <c r="A544" s="216" t="str">
        <f t="shared" si="8"/>
        <v/>
      </c>
    </row>
    <row r="545" spans="1:1" x14ac:dyDescent="0.25">
      <c r="A545" s="216" t="str">
        <f t="shared" si="8"/>
        <v/>
      </c>
    </row>
    <row r="546" spans="1:1" x14ac:dyDescent="0.25">
      <c r="A546" s="216" t="str">
        <f t="shared" si="8"/>
        <v/>
      </c>
    </row>
    <row r="547" spans="1:1" x14ac:dyDescent="0.25">
      <c r="A547" s="216" t="str">
        <f t="shared" si="8"/>
        <v/>
      </c>
    </row>
    <row r="548" spans="1:1" x14ac:dyDescent="0.25">
      <c r="A548" s="216" t="str">
        <f t="shared" si="8"/>
        <v/>
      </c>
    </row>
    <row r="549" spans="1:1" x14ac:dyDescent="0.25">
      <c r="A549" s="216" t="str">
        <f t="shared" si="8"/>
        <v/>
      </c>
    </row>
    <row r="550" spans="1:1" x14ac:dyDescent="0.25">
      <c r="A550" s="216" t="str">
        <f t="shared" si="8"/>
        <v/>
      </c>
    </row>
    <row r="551" spans="1:1" x14ac:dyDescent="0.25">
      <c r="A551" s="216" t="str">
        <f t="shared" si="8"/>
        <v/>
      </c>
    </row>
    <row r="552" spans="1:1" x14ac:dyDescent="0.25">
      <c r="A552" s="216" t="str">
        <f t="shared" si="8"/>
        <v/>
      </c>
    </row>
    <row r="553" spans="1:1" x14ac:dyDescent="0.25">
      <c r="A553" s="216" t="str">
        <f t="shared" si="8"/>
        <v/>
      </c>
    </row>
    <row r="554" spans="1:1" x14ac:dyDescent="0.25">
      <c r="A554" s="216" t="str">
        <f t="shared" si="8"/>
        <v/>
      </c>
    </row>
    <row r="555" spans="1:1" x14ac:dyDescent="0.25">
      <c r="A555" s="216" t="str">
        <f t="shared" si="8"/>
        <v/>
      </c>
    </row>
    <row r="556" spans="1:1" x14ac:dyDescent="0.25">
      <c r="A556" s="216" t="str">
        <f t="shared" si="8"/>
        <v/>
      </c>
    </row>
    <row r="557" spans="1:1" x14ac:dyDescent="0.25">
      <c r="A557" s="216" t="str">
        <f t="shared" si="8"/>
        <v/>
      </c>
    </row>
    <row r="558" spans="1:1" x14ac:dyDescent="0.25">
      <c r="A558" s="216" t="str">
        <f t="shared" si="8"/>
        <v/>
      </c>
    </row>
    <row r="559" spans="1:1" x14ac:dyDescent="0.25">
      <c r="A559" s="216" t="str">
        <f t="shared" si="8"/>
        <v/>
      </c>
    </row>
    <row r="560" spans="1:1" x14ac:dyDescent="0.25">
      <c r="A560" s="216" t="str">
        <f t="shared" si="8"/>
        <v/>
      </c>
    </row>
    <row r="561" spans="1:1" x14ac:dyDescent="0.25">
      <c r="A561" s="216" t="str">
        <f t="shared" si="8"/>
        <v/>
      </c>
    </row>
    <row r="562" spans="1:1" x14ac:dyDescent="0.25">
      <c r="A562" s="216" t="str">
        <f t="shared" si="8"/>
        <v/>
      </c>
    </row>
    <row r="563" spans="1:1" x14ac:dyDescent="0.25">
      <c r="A563" s="216" t="str">
        <f t="shared" si="8"/>
        <v/>
      </c>
    </row>
    <row r="564" spans="1:1" x14ac:dyDescent="0.25">
      <c r="A564" s="216" t="str">
        <f t="shared" si="8"/>
        <v/>
      </c>
    </row>
    <row r="565" spans="1:1" x14ac:dyDescent="0.25">
      <c r="A565" s="216" t="str">
        <f t="shared" si="8"/>
        <v/>
      </c>
    </row>
    <row r="566" spans="1:1" x14ac:dyDescent="0.25">
      <c r="A566" s="216" t="str">
        <f t="shared" si="8"/>
        <v/>
      </c>
    </row>
    <row r="567" spans="1:1" x14ac:dyDescent="0.25">
      <c r="A567" s="216" t="str">
        <f t="shared" si="8"/>
        <v/>
      </c>
    </row>
    <row r="568" spans="1:1" x14ac:dyDescent="0.25">
      <c r="A568" s="216" t="str">
        <f t="shared" si="8"/>
        <v/>
      </c>
    </row>
    <row r="569" spans="1:1" x14ac:dyDescent="0.25">
      <c r="A569" s="216" t="str">
        <f t="shared" si="8"/>
        <v/>
      </c>
    </row>
    <row r="570" spans="1:1" x14ac:dyDescent="0.25">
      <c r="A570" s="216" t="str">
        <f t="shared" si="8"/>
        <v/>
      </c>
    </row>
    <row r="571" spans="1:1" x14ac:dyDescent="0.25">
      <c r="A571" s="216" t="str">
        <f t="shared" si="8"/>
        <v/>
      </c>
    </row>
    <row r="572" spans="1:1" x14ac:dyDescent="0.25">
      <c r="A572" s="216" t="str">
        <f t="shared" si="8"/>
        <v/>
      </c>
    </row>
    <row r="573" spans="1:1" x14ac:dyDescent="0.25">
      <c r="A573" s="216" t="str">
        <f t="shared" si="8"/>
        <v/>
      </c>
    </row>
    <row r="574" spans="1:1" x14ac:dyDescent="0.25">
      <c r="A574" s="216" t="str">
        <f t="shared" si="8"/>
        <v/>
      </c>
    </row>
    <row r="575" spans="1:1" x14ac:dyDescent="0.25">
      <c r="A575" s="216" t="str">
        <f t="shared" si="8"/>
        <v/>
      </c>
    </row>
    <row r="576" spans="1:1" x14ac:dyDescent="0.25">
      <c r="A576" s="216" t="str">
        <f t="shared" si="8"/>
        <v/>
      </c>
    </row>
    <row r="577" spans="1:1" x14ac:dyDescent="0.25">
      <c r="A577" s="216" t="str">
        <f t="shared" si="8"/>
        <v/>
      </c>
    </row>
    <row r="578" spans="1:1" x14ac:dyDescent="0.25">
      <c r="A578" s="216" t="str">
        <f t="shared" si="8"/>
        <v/>
      </c>
    </row>
    <row r="579" spans="1:1" x14ac:dyDescent="0.25">
      <c r="A579" s="216" t="str">
        <f t="shared" si="8"/>
        <v/>
      </c>
    </row>
    <row r="580" spans="1:1" x14ac:dyDescent="0.25">
      <c r="A580" s="216" t="str">
        <f t="shared" ref="A580:A643" si="9">IF(B580&lt;&gt;"",A579+1,"")</f>
        <v/>
      </c>
    </row>
    <row r="581" spans="1:1" x14ac:dyDescent="0.25">
      <c r="A581" s="216" t="str">
        <f t="shared" si="9"/>
        <v/>
      </c>
    </row>
    <row r="582" spans="1:1" x14ac:dyDescent="0.25">
      <c r="A582" s="216" t="str">
        <f t="shared" si="9"/>
        <v/>
      </c>
    </row>
    <row r="583" spans="1:1" x14ac:dyDescent="0.25">
      <c r="A583" s="216" t="str">
        <f t="shared" si="9"/>
        <v/>
      </c>
    </row>
    <row r="584" spans="1:1" x14ac:dyDescent="0.25">
      <c r="A584" s="216" t="str">
        <f t="shared" si="9"/>
        <v/>
      </c>
    </row>
    <row r="585" spans="1:1" x14ac:dyDescent="0.25">
      <c r="A585" s="216" t="str">
        <f t="shared" si="9"/>
        <v/>
      </c>
    </row>
    <row r="586" spans="1:1" x14ac:dyDescent="0.25">
      <c r="A586" s="216" t="str">
        <f t="shared" si="9"/>
        <v/>
      </c>
    </row>
    <row r="587" spans="1:1" x14ac:dyDescent="0.25">
      <c r="A587" s="216" t="str">
        <f t="shared" si="9"/>
        <v/>
      </c>
    </row>
    <row r="588" spans="1:1" x14ac:dyDescent="0.25">
      <c r="A588" s="216" t="str">
        <f t="shared" si="9"/>
        <v/>
      </c>
    </row>
    <row r="589" spans="1:1" x14ac:dyDescent="0.25">
      <c r="A589" s="216" t="str">
        <f t="shared" si="9"/>
        <v/>
      </c>
    </row>
    <row r="590" spans="1:1" x14ac:dyDescent="0.25">
      <c r="A590" s="216" t="str">
        <f t="shared" si="9"/>
        <v/>
      </c>
    </row>
    <row r="591" spans="1:1" x14ac:dyDescent="0.25">
      <c r="A591" s="216" t="str">
        <f t="shared" si="9"/>
        <v/>
      </c>
    </row>
    <row r="592" spans="1:1" x14ac:dyDescent="0.25">
      <c r="A592" s="216" t="str">
        <f t="shared" si="9"/>
        <v/>
      </c>
    </row>
    <row r="593" spans="1:1" x14ac:dyDescent="0.25">
      <c r="A593" s="216" t="str">
        <f t="shared" si="9"/>
        <v/>
      </c>
    </row>
    <row r="594" spans="1:1" x14ac:dyDescent="0.25">
      <c r="A594" s="216" t="str">
        <f t="shared" si="9"/>
        <v/>
      </c>
    </row>
    <row r="595" spans="1:1" x14ac:dyDescent="0.25">
      <c r="A595" s="216" t="str">
        <f t="shared" si="9"/>
        <v/>
      </c>
    </row>
    <row r="596" spans="1:1" x14ac:dyDescent="0.25">
      <c r="A596" s="216" t="str">
        <f t="shared" si="9"/>
        <v/>
      </c>
    </row>
    <row r="597" spans="1:1" x14ac:dyDescent="0.25">
      <c r="A597" s="216" t="str">
        <f t="shared" si="9"/>
        <v/>
      </c>
    </row>
    <row r="598" spans="1:1" x14ac:dyDescent="0.25">
      <c r="A598" s="216" t="str">
        <f t="shared" si="9"/>
        <v/>
      </c>
    </row>
    <row r="599" spans="1:1" x14ac:dyDescent="0.25">
      <c r="A599" s="216" t="str">
        <f t="shared" si="9"/>
        <v/>
      </c>
    </row>
    <row r="600" spans="1:1" x14ac:dyDescent="0.25">
      <c r="A600" s="216" t="str">
        <f t="shared" si="9"/>
        <v/>
      </c>
    </row>
    <row r="601" spans="1:1" x14ac:dyDescent="0.25">
      <c r="A601" s="216" t="str">
        <f t="shared" si="9"/>
        <v/>
      </c>
    </row>
    <row r="602" spans="1:1" x14ac:dyDescent="0.25">
      <c r="A602" s="216" t="str">
        <f t="shared" si="9"/>
        <v/>
      </c>
    </row>
    <row r="603" spans="1:1" x14ac:dyDescent="0.25">
      <c r="A603" s="216" t="str">
        <f t="shared" si="9"/>
        <v/>
      </c>
    </row>
    <row r="604" spans="1:1" x14ac:dyDescent="0.25">
      <c r="A604" s="216" t="str">
        <f t="shared" si="9"/>
        <v/>
      </c>
    </row>
    <row r="605" spans="1:1" x14ac:dyDescent="0.25">
      <c r="A605" s="216" t="str">
        <f t="shared" si="9"/>
        <v/>
      </c>
    </row>
    <row r="606" spans="1:1" x14ac:dyDescent="0.25">
      <c r="A606" s="216" t="str">
        <f t="shared" si="9"/>
        <v/>
      </c>
    </row>
    <row r="607" spans="1:1" x14ac:dyDescent="0.25">
      <c r="A607" s="216" t="str">
        <f t="shared" si="9"/>
        <v/>
      </c>
    </row>
    <row r="608" spans="1:1" x14ac:dyDescent="0.25">
      <c r="A608" s="216" t="str">
        <f t="shared" si="9"/>
        <v/>
      </c>
    </row>
    <row r="609" spans="1:1" x14ac:dyDescent="0.25">
      <c r="A609" s="216" t="str">
        <f t="shared" si="9"/>
        <v/>
      </c>
    </row>
    <row r="610" spans="1:1" x14ac:dyDescent="0.25">
      <c r="A610" s="216" t="str">
        <f t="shared" si="9"/>
        <v/>
      </c>
    </row>
    <row r="611" spans="1:1" x14ac:dyDescent="0.25">
      <c r="A611" s="216" t="str">
        <f t="shared" si="9"/>
        <v/>
      </c>
    </row>
    <row r="612" spans="1:1" x14ac:dyDescent="0.25">
      <c r="A612" s="216" t="str">
        <f t="shared" si="9"/>
        <v/>
      </c>
    </row>
    <row r="613" spans="1:1" x14ac:dyDescent="0.25">
      <c r="A613" s="216" t="str">
        <f t="shared" si="9"/>
        <v/>
      </c>
    </row>
    <row r="614" spans="1:1" x14ac:dyDescent="0.25">
      <c r="A614" s="216" t="str">
        <f t="shared" si="9"/>
        <v/>
      </c>
    </row>
    <row r="615" spans="1:1" x14ac:dyDescent="0.25">
      <c r="A615" s="216" t="str">
        <f t="shared" si="9"/>
        <v/>
      </c>
    </row>
    <row r="616" spans="1:1" x14ac:dyDescent="0.25">
      <c r="A616" s="216" t="str">
        <f t="shared" si="9"/>
        <v/>
      </c>
    </row>
    <row r="617" spans="1:1" x14ac:dyDescent="0.25">
      <c r="A617" s="216" t="str">
        <f t="shared" si="9"/>
        <v/>
      </c>
    </row>
    <row r="618" spans="1:1" x14ac:dyDescent="0.25">
      <c r="A618" s="216" t="str">
        <f t="shared" si="9"/>
        <v/>
      </c>
    </row>
    <row r="619" spans="1:1" x14ac:dyDescent="0.25">
      <c r="A619" s="216" t="str">
        <f t="shared" si="9"/>
        <v/>
      </c>
    </row>
    <row r="620" spans="1:1" x14ac:dyDescent="0.25">
      <c r="A620" s="216" t="str">
        <f t="shared" si="9"/>
        <v/>
      </c>
    </row>
    <row r="621" spans="1:1" x14ac:dyDescent="0.25">
      <c r="A621" s="216" t="str">
        <f t="shared" si="9"/>
        <v/>
      </c>
    </row>
    <row r="622" spans="1:1" x14ac:dyDescent="0.25">
      <c r="A622" s="216" t="str">
        <f t="shared" si="9"/>
        <v/>
      </c>
    </row>
    <row r="623" spans="1:1" x14ac:dyDescent="0.25">
      <c r="A623" s="216" t="str">
        <f t="shared" si="9"/>
        <v/>
      </c>
    </row>
    <row r="624" spans="1:1" x14ac:dyDescent="0.25">
      <c r="A624" s="216" t="str">
        <f t="shared" si="9"/>
        <v/>
      </c>
    </row>
    <row r="625" spans="1:1" x14ac:dyDescent="0.25">
      <c r="A625" s="216" t="str">
        <f t="shared" si="9"/>
        <v/>
      </c>
    </row>
    <row r="626" spans="1:1" x14ac:dyDescent="0.25">
      <c r="A626" s="216" t="str">
        <f t="shared" si="9"/>
        <v/>
      </c>
    </row>
    <row r="627" spans="1:1" x14ac:dyDescent="0.25">
      <c r="A627" s="216" t="str">
        <f t="shared" si="9"/>
        <v/>
      </c>
    </row>
    <row r="628" spans="1:1" x14ac:dyDescent="0.25">
      <c r="A628" s="216" t="str">
        <f t="shared" si="9"/>
        <v/>
      </c>
    </row>
    <row r="629" spans="1:1" x14ac:dyDescent="0.25">
      <c r="A629" s="216" t="str">
        <f t="shared" si="9"/>
        <v/>
      </c>
    </row>
    <row r="630" spans="1:1" x14ac:dyDescent="0.25">
      <c r="A630" s="216" t="str">
        <f t="shared" si="9"/>
        <v/>
      </c>
    </row>
    <row r="631" spans="1:1" x14ac:dyDescent="0.25">
      <c r="A631" s="216" t="str">
        <f t="shared" si="9"/>
        <v/>
      </c>
    </row>
    <row r="632" spans="1:1" x14ac:dyDescent="0.25">
      <c r="A632" s="216" t="str">
        <f t="shared" si="9"/>
        <v/>
      </c>
    </row>
    <row r="633" spans="1:1" x14ac:dyDescent="0.25">
      <c r="A633" s="216" t="str">
        <f t="shared" si="9"/>
        <v/>
      </c>
    </row>
    <row r="634" spans="1:1" x14ac:dyDescent="0.25">
      <c r="A634" s="216" t="str">
        <f t="shared" si="9"/>
        <v/>
      </c>
    </row>
    <row r="635" spans="1:1" x14ac:dyDescent="0.25">
      <c r="A635" s="216" t="str">
        <f t="shared" si="9"/>
        <v/>
      </c>
    </row>
    <row r="636" spans="1:1" x14ac:dyDescent="0.25">
      <c r="A636" s="216" t="str">
        <f t="shared" si="9"/>
        <v/>
      </c>
    </row>
    <row r="637" spans="1:1" x14ac:dyDescent="0.25">
      <c r="A637" s="216" t="str">
        <f t="shared" si="9"/>
        <v/>
      </c>
    </row>
    <row r="638" spans="1:1" x14ac:dyDescent="0.25">
      <c r="A638" s="216" t="str">
        <f t="shared" si="9"/>
        <v/>
      </c>
    </row>
    <row r="639" spans="1:1" x14ac:dyDescent="0.25">
      <c r="A639" s="216" t="str">
        <f t="shared" si="9"/>
        <v/>
      </c>
    </row>
    <row r="640" spans="1:1" x14ac:dyDescent="0.25">
      <c r="A640" s="216" t="str">
        <f t="shared" si="9"/>
        <v/>
      </c>
    </row>
    <row r="641" spans="1:1" x14ac:dyDescent="0.25">
      <c r="A641" s="216" t="str">
        <f t="shared" si="9"/>
        <v/>
      </c>
    </row>
    <row r="642" spans="1:1" x14ac:dyDescent="0.25">
      <c r="A642" s="216" t="str">
        <f t="shared" si="9"/>
        <v/>
      </c>
    </row>
    <row r="643" spans="1:1" x14ac:dyDescent="0.25">
      <c r="A643" s="216" t="str">
        <f t="shared" si="9"/>
        <v/>
      </c>
    </row>
    <row r="644" spans="1:1" x14ac:dyDescent="0.25">
      <c r="A644" s="216" t="str">
        <f t="shared" ref="A644:A707" si="10">IF(B644&lt;&gt;"",A643+1,"")</f>
        <v/>
      </c>
    </row>
    <row r="645" spans="1:1" x14ac:dyDescent="0.25">
      <c r="A645" s="216" t="str">
        <f t="shared" si="10"/>
        <v/>
      </c>
    </row>
    <row r="646" spans="1:1" x14ac:dyDescent="0.25">
      <c r="A646" s="216" t="str">
        <f t="shared" si="10"/>
        <v/>
      </c>
    </row>
    <row r="647" spans="1:1" x14ac:dyDescent="0.25">
      <c r="A647" s="216" t="str">
        <f t="shared" si="10"/>
        <v/>
      </c>
    </row>
    <row r="648" spans="1:1" x14ac:dyDescent="0.25">
      <c r="A648" s="216" t="str">
        <f t="shared" si="10"/>
        <v/>
      </c>
    </row>
    <row r="649" spans="1:1" x14ac:dyDescent="0.25">
      <c r="A649" s="216" t="str">
        <f t="shared" si="10"/>
        <v/>
      </c>
    </row>
    <row r="650" spans="1:1" x14ac:dyDescent="0.25">
      <c r="A650" s="216" t="str">
        <f t="shared" si="10"/>
        <v/>
      </c>
    </row>
    <row r="651" spans="1:1" x14ac:dyDescent="0.25">
      <c r="A651" s="216" t="str">
        <f t="shared" si="10"/>
        <v/>
      </c>
    </row>
    <row r="652" spans="1:1" x14ac:dyDescent="0.25">
      <c r="A652" s="216" t="str">
        <f t="shared" si="10"/>
        <v/>
      </c>
    </row>
    <row r="653" spans="1:1" x14ac:dyDescent="0.25">
      <c r="A653" s="216" t="str">
        <f t="shared" si="10"/>
        <v/>
      </c>
    </row>
    <row r="654" spans="1:1" x14ac:dyDescent="0.25">
      <c r="A654" s="216" t="str">
        <f t="shared" si="10"/>
        <v/>
      </c>
    </row>
    <row r="655" spans="1:1" x14ac:dyDescent="0.25">
      <c r="A655" s="216" t="str">
        <f t="shared" si="10"/>
        <v/>
      </c>
    </row>
    <row r="656" spans="1:1" x14ac:dyDescent="0.25">
      <c r="A656" s="216" t="str">
        <f t="shared" si="10"/>
        <v/>
      </c>
    </row>
    <row r="657" spans="1:1" x14ac:dyDescent="0.25">
      <c r="A657" s="216" t="str">
        <f t="shared" si="10"/>
        <v/>
      </c>
    </row>
    <row r="658" spans="1:1" x14ac:dyDescent="0.25">
      <c r="A658" s="216" t="str">
        <f t="shared" si="10"/>
        <v/>
      </c>
    </row>
    <row r="659" spans="1:1" x14ac:dyDescent="0.25">
      <c r="A659" s="216" t="str">
        <f t="shared" si="10"/>
        <v/>
      </c>
    </row>
    <row r="660" spans="1:1" x14ac:dyDescent="0.25">
      <c r="A660" s="216" t="str">
        <f t="shared" si="10"/>
        <v/>
      </c>
    </row>
    <row r="661" spans="1:1" x14ac:dyDescent="0.25">
      <c r="A661" s="216" t="str">
        <f t="shared" si="10"/>
        <v/>
      </c>
    </row>
    <row r="662" spans="1:1" x14ac:dyDescent="0.25">
      <c r="A662" s="216" t="str">
        <f t="shared" si="10"/>
        <v/>
      </c>
    </row>
    <row r="663" spans="1:1" x14ac:dyDescent="0.25">
      <c r="A663" s="216" t="str">
        <f t="shared" si="10"/>
        <v/>
      </c>
    </row>
    <row r="664" spans="1:1" x14ac:dyDescent="0.25">
      <c r="A664" s="216" t="str">
        <f t="shared" si="10"/>
        <v/>
      </c>
    </row>
    <row r="665" spans="1:1" x14ac:dyDescent="0.25">
      <c r="A665" s="216" t="str">
        <f t="shared" si="10"/>
        <v/>
      </c>
    </row>
    <row r="666" spans="1:1" x14ac:dyDescent="0.25">
      <c r="A666" s="216" t="str">
        <f t="shared" si="10"/>
        <v/>
      </c>
    </row>
    <row r="667" spans="1:1" x14ac:dyDescent="0.25">
      <c r="A667" s="216" t="str">
        <f t="shared" si="10"/>
        <v/>
      </c>
    </row>
    <row r="668" spans="1:1" x14ac:dyDescent="0.25">
      <c r="A668" s="216" t="str">
        <f t="shared" si="10"/>
        <v/>
      </c>
    </row>
    <row r="669" spans="1:1" x14ac:dyDescent="0.25">
      <c r="A669" s="216" t="str">
        <f t="shared" si="10"/>
        <v/>
      </c>
    </row>
    <row r="670" spans="1:1" x14ac:dyDescent="0.25">
      <c r="A670" s="216" t="str">
        <f t="shared" si="10"/>
        <v/>
      </c>
    </row>
    <row r="671" spans="1:1" x14ac:dyDescent="0.25">
      <c r="A671" s="216" t="str">
        <f t="shared" si="10"/>
        <v/>
      </c>
    </row>
    <row r="672" spans="1:1" x14ac:dyDescent="0.25">
      <c r="A672" s="216" t="str">
        <f t="shared" si="10"/>
        <v/>
      </c>
    </row>
    <row r="673" spans="1:1" x14ac:dyDescent="0.25">
      <c r="A673" s="216" t="str">
        <f t="shared" si="10"/>
        <v/>
      </c>
    </row>
    <row r="674" spans="1:1" x14ac:dyDescent="0.25">
      <c r="A674" s="216" t="str">
        <f t="shared" si="10"/>
        <v/>
      </c>
    </row>
    <row r="675" spans="1:1" x14ac:dyDescent="0.25">
      <c r="A675" s="216" t="str">
        <f t="shared" si="10"/>
        <v/>
      </c>
    </row>
    <row r="676" spans="1:1" x14ac:dyDescent="0.25">
      <c r="A676" s="216" t="str">
        <f t="shared" si="10"/>
        <v/>
      </c>
    </row>
    <row r="677" spans="1:1" x14ac:dyDescent="0.25">
      <c r="A677" s="216" t="str">
        <f t="shared" si="10"/>
        <v/>
      </c>
    </row>
    <row r="678" spans="1:1" x14ac:dyDescent="0.25">
      <c r="A678" s="216" t="str">
        <f t="shared" si="10"/>
        <v/>
      </c>
    </row>
    <row r="679" spans="1:1" x14ac:dyDescent="0.25">
      <c r="A679" s="216" t="str">
        <f t="shared" si="10"/>
        <v/>
      </c>
    </row>
    <row r="680" spans="1:1" x14ac:dyDescent="0.25">
      <c r="A680" s="216" t="str">
        <f t="shared" si="10"/>
        <v/>
      </c>
    </row>
    <row r="681" spans="1:1" x14ac:dyDescent="0.25">
      <c r="A681" s="216" t="str">
        <f t="shared" si="10"/>
        <v/>
      </c>
    </row>
    <row r="682" spans="1:1" x14ac:dyDescent="0.25">
      <c r="A682" s="216" t="str">
        <f t="shared" si="10"/>
        <v/>
      </c>
    </row>
    <row r="683" spans="1:1" x14ac:dyDescent="0.25">
      <c r="A683" s="216" t="str">
        <f t="shared" si="10"/>
        <v/>
      </c>
    </row>
    <row r="684" spans="1:1" x14ac:dyDescent="0.25">
      <c r="A684" s="216" t="str">
        <f t="shared" si="10"/>
        <v/>
      </c>
    </row>
    <row r="685" spans="1:1" x14ac:dyDescent="0.25">
      <c r="A685" s="216" t="str">
        <f t="shared" si="10"/>
        <v/>
      </c>
    </row>
    <row r="686" spans="1:1" x14ac:dyDescent="0.25">
      <c r="A686" s="216" t="str">
        <f t="shared" si="10"/>
        <v/>
      </c>
    </row>
    <row r="687" spans="1:1" x14ac:dyDescent="0.25">
      <c r="A687" s="216" t="str">
        <f t="shared" si="10"/>
        <v/>
      </c>
    </row>
    <row r="688" spans="1:1" x14ac:dyDescent="0.25">
      <c r="A688" s="216" t="str">
        <f t="shared" si="10"/>
        <v/>
      </c>
    </row>
    <row r="689" spans="1:1" x14ac:dyDescent="0.25">
      <c r="A689" s="216" t="str">
        <f t="shared" si="10"/>
        <v/>
      </c>
    </row>
    <row r="690" spans="1:1" x14ac:dyDescent="0.25">
      <c r="A690" s="216" t="str">
        <f t="shared" si="10"/>
        <v/>
      </c>
    </row>
    <row r="691" spans="1:1" x14ac:dyDescent="0.25">
      <c r="A691" s="216" t="str">
        <f t="shared" si="10"/>
        <v/>
      </c>
    </row>
    <row r="692" spans="1:1" x14ac:dyDescent="0.25">
      <c r="A692" s="216" t="str">
        <f t="shared" si="10"/>
        <v/>
      </c>
    </row>
    <row r="693" spans="1:1" x14ac:dyDescent="0.25">
      <c r="A693" s="216" t="str">
        <f t="shared" si="10"/>
        <v/>
      </c>
    </row>
    <row r="694" spans="1:1" x14ac:dyDescent="0.25">
      <c r="A694" s="216" t="str">
        <f t="shared" si="10"/>
        <v/>
      </c>
    </row>
    <row r="695" spans="1:1" x14ac:dyDescent="0.25">
      <c r="A695" s="216" t="str">
        <f t="shared" si="10"/>
        <v/>
      </c>
    </row>
    <row r="696" spans="1:1" x14ac:dyDescent="0.25">
      <c r="A696" s="216" t="str">
        <f t="shared" si="10"/>
        <v/>
      </c>
    </row>
    <row r="697" spans="1:1" x14ac:dyDescent="0.25">
      <c r="A697" s="216" t="str">
        <f t="shared" si="10"/>
        <v/>
      </c>
    </row>
    <row r="698" spans="1:1" x14ac:dyDescent="0.25">
      <c r="A698" s="216" t="str">
        <f t="shared" si="10"/>
        <v/>
      </c>
    </row>
    <row r="699" spans="1:1" x14ac:dyDescent="0.25">
      <c r="A699" s="216" t="str">
        <f t="shared" si="10"/>
        <v/>
      </c>
    </row>
    <row r="700" spans="1:1" x14ac:dyDescent="0.25">
      <c r="A700" s="216" t="str">
        <f t="shared" si="10"/>
        <v/>
      </c>
    </row>
    <row r="701" spans="1:1" x14ac:dyDescent="0.25">
      <c r="A701" s="216" t="str">
        <f t="shared" si="10"/>
        <v/>
      </c>
    </row>
    <row r="702" spans="1:1" x14ac:dyDescent="0.25">
      <c r="A702" s="216" t="str">
        <f t="shared" si="10"/>
        <v/>
      </c>
    </row>
    <row r="703" spans="1:1" x14ac:dyDescent="0.25">
      <c r="A703" s="216" t="str">
        <f t="shared" si="10"/>
        <v/>
      </c>
    </row>
    <row r="704" spans="1:1" x14ac:dyDescent="0.25">
      <c r="A704" s="216" t="str">
        <f t="shared" si="10"/>
        <v/>
      </c>
    </row>
    <row r="705" spans="1:1" x14ac:dyDescent="0.25">
      <c r="A705" s="216" t="str">
        <f t="shared" si="10"/>
        <v/>
      </c>
    </row>
    <row r="706" spans="1:1" x14ac:dyDescent="0.25">
      <c r="A706" s="216" t="str">
        <f t="shared" si="10"/>
        <v/>
      </c>
    </row>
    <row r="707" spans="1:1" x14ac:dyDescent="0.25">
      <c r="A707" s="216" t="str">
        <f t="shared" si="10"/>
        <v/>
      </c>
    </row>
    <row r="708" spans="1:1" x14ac:dyDescent="0.25">
      <c r="A708" s="216" t="str">
        <f t="shared" ref="A708:A771" si="11">IF(B708&lt;&gt;"",A707+1,"")</f>
        <v/>
      </c>
    </row>
    <row r="709" spans="1:1" x14ac:dyDescent="0.25">
      <c r="A709" s="216" t="str">
        <f t="shared" si="11"/>
        <v/>
      </c>
    </row>
    <row r="710" spans="1:1" x14ac:dyDescent="0.25">
      <c r="A710" s="216" t="str">
        <f t="shared" si="11"/>
        <v/>
      </c>
    </row>
    <row r="711" spans="1:1" x14ac:dyDescent="0.25">
      <c r="A711" s="216" t="str">
        <f t="shared" si="11"/>
        <v/>
      </c>
    </row>
    <row r="712" spans="1:1" x14ac:dyDescent="0.25">
      <c r="A712" s="216" t="str">
        <f t="shared" si="11"/>
        <v/>
      </c>
    </row>
    <row r="713" spans="1:1" x14ac:dyDescent="0.25">
      <c r="A713" s="216" t="str">
        <f t="shared" si="11"/>
        <v/>
      </c>
    </row>
    <row r="714" spans="1:1" x14ac:dyDescent="0.25">
      <c r="A714" s="216" t="str">
        <f t="shared" si="11"/>
        <v/>
      </c>
    </row>
    <row r="715" spans="1:1" x14ac:dyDescent="0.25">
      <c r="A715" s="216" t="str">
        <f t="shared" si="11"/>
        <v/>
      </c>
    </row>
    <row r="716" spans="1:1" x14ac:dyDescent="0.25">
      <c r="A716" s="216" t="str">
        <f t="shared" si="11"/>
        <v/>
      </c>
    </row>
    <row r="717" spans="1:1" x14ac:dyDescent="0.25">
      <c r="A717" s="216" t="str">
        <f t="shared" si="11"/>
        <v/>
      </c>
    </row>
    <row r="718" spans="1:1" x14ac:dyDescent="0.25">
      <c r="A718" s="216" t="str">
        <f t="shared" si="11"/>
        <v/>
      </c>
    </row>
    <row r="719" spans="1:1" x14ac:dyDescent="0.25">
      <c r="A719" s="216" t="str">
        <f t="shared" si="11"/>
        <v/>
      </c>
    </row>
    <row r="720" spans="1:1" x14ac:dyDescent="0.25">
      <c r="A720" s="216" t="str">
        <f t="shared" si="11"/>
        <v/>
      </c>
    </row>
    <row r="721" spans="1:1" x14ac:dyDescent="0.25">
      <c r="A721" s="216" t="str">
        <f t="shared" si="11"/>
        <v/>
      </c>
    </row>
    <row r="722" spans="1:1" x14ac:dyDescent="0.25">
      <c r="A722" s="216" t="str">
        <f t="shared" si="11"/>
        <v/>
      </c>
    </row>
    <row r="723" spans="1:1" x14ac:dyDescent="0.25">
      <c r="A723" s="216" t="str">
        <f t="shared" si="11"/>
        <v/>
      </c>
    </row>
    <row r="724" spans="1:1" x14ac:dyDescent="0.25">
      <c r="A724" s="216" t="str">
        <f t="shared" si="11"/>
        <v/>
      </c>
    </row>
    <row r="725" spans="1:1" x14ac:dyDescent="0.25">
      <c r="A725" s="216" t="str">
        <f t="shared" si="11"/>
        <v/>
      </c>
    </row>
    <row r="726" spans="1:1" x14ac:dyDescent="0.25">
      <c r="A726" s="216" t="str">
        <f t="shared" si="11"/>
        <v/>
      </c>
    </row>
    <row r="727" spans="1:1" x14ac:dyDescent="0.25">
      <c r="A727" s="216" t="str">
        <f t="shared" si="11"/>
        <v/>
      </c>
    </row>
    <row r="728" spans="1:1" x14ac:dyDescent="0.25">
      <c r="A728" s="216" t="str">
        <f t="shared" si="11"/>
        <v/>
      </c>
    </row>
    <row r="729" spans="1:1" x14ac:dyDescent="0.25">
      <c r="A729" s="216" t="str">
        <f t="shared" si="11"/>
        <v/>
      </c>
    </row>
    <row r="730" spans="1:1" x14ac:dyDescent="0.25">
      <c r="A730" s="216" t="str">
        <f t="shared" si="11"/>
        <v/>
      </c>
    </row>
    <row r="731" spans="1:1" x14ac:dyDescent="0.25">
      <c r="A731" s="216" t="str">
        <f t="shared" si="11"/>
        <v/>
      </c>
    </row>
    <row r="732" spans="1:1" x14ac:dyDescent="0.25">
      <c r="A732" s="216" t="str">
        <f t="shared" si="11"/>
        <v/>
      </c>
    </row>
    <row r="733" spans="1:1" x14ac:dyDescent="0.25">
      <c r="A733" s="216" t="str">
        <f t="shared" si="11"/>
        <v/>
      </c>
    </row>
    <row r="734" spans="1:1" x14ac:dyDescent="0.25">
      <c r="A734" s="216" t="str">
        <f t="shared" si="11"/>
        <v/>
      </c>
    </row>
    <row r="735" spans="1:1" x14ac:dyDescent="0.25">
      <c r="A735" s="216" t="str">
        <f t="shared" si="11"/>
        <v/>
      </c>
    </row>
    <row r="736" spans="1:1" x14ac:dyDescent="0.25">
      <c r="A736" s="216" t="str">
        <f t="shared" si="11"/>
        <v/>
      </c>
    </row>
    <row r="737" spans="1:1" x14ac:dyDescent="0.25">
      <c r="A737" s="216" t="str">
        <f t="shared" si="11"/>
        <v/>
      </c>
    </row>
    <row r="738" spans="1:1" x14ac:dyDescent="0.25">
      <c r="A738" s="216" t="str">
        <f t="shared" si="11"/>
        <v/>
      </c>
    </row>
    <row r="739" spans="1:1" x14ac:dyDescent="0.25">
      <c r="A739" s="216" t="str">
        <f t="shared" si="11"/>
        <v/>
      </c>
    </row>
    <row r="740" spans="1:1" x14ac:dyDescent="0.25">
      <c r="A740" s="216" t="str">
        <f t="shared" si="11"/>
        <v/>
      </c>
    </row>
    <row r="741" spans="1:1" x14ac:dyDescent="0.25">
      <c r="A741" s="216" t="str">
        <f t="shared" si="11"/>
        <v/>
      </c>
    </row>
    <row r="742" spans="1:1" x14ac:dyDescent="0.25">
      <c r="A742" s="216" t="str">
        <f t="shared" si="11"/>
        <v/>
      </c>
    </row>
    <row r="743" spans="1:1" x14ac:dyDescent="0.25">
      <c r="A743" s="216" t="str">
        <f t="shared" si="11"/>
        <v/>
      </c>
    </row>
    <row r="744" spans="1:1" x14ac:dyDescent="0.25">
      <c r="A744" s="216" t="str">
        <f t="shared" si="11"/>
        <v/>
      </c>
    </row>
    <row r="745" spans="1:1" x14ac:dyDescent="0.25">
      <c r="A745" s="216" t="str">
        <f t="shared" si="11"/>
        <v/>
      </c>
    </row>
    <row r="746" spans="1:1" x14ac:dyDescent="0.25">
      <c r="A746" s="216" t="str">
        <f t="shared" si="11"/>
        <v/>
      </c>
    </row>
    <row r="747" spans="1:1" x14ac:dyDescent="0.25">
      <c r="A747" s="216" t="str">
        <f t="shared" si="11"/>
        <v/>
      </c>
    </row>
    <row r="748" spans="1:1" x14ac:dyDescent="0.25">
      <c r="A748" s="216" t="str">
        <f t="shared" si="11"/>
        <v/>
      </c>
    </row>
    <row r="749" spans="1:1" x14ac:dyDescent="0.25">
      <c r="A749" s="216" t="str">
        <f t="shared" si="11"/>
        <v/>
      </c>
    </row>
    <row r="750" spans="1:1" x14ac:dyDescent="0.25">
      <c r="A750" s="216" t="str">
        <f t="shared" si="11"/>
        <v/>
      </c>
    </row>
    <row r="751" spans="1:1" x14ac:dyDescent="0.25">
      <c r="A751" s="216" t="str">
        <f t="shared" si="11"/>
        <v/>
      </c>
    </row>
    <row r="752" spans="1:1" x14ac:dyDescent="0.25">
      <c r="A752" s="216" t="str">
        <f t="shared" si="11"/>
        <v/>
      </c>
    </row>
    <row r="753" spans="1:1" x14ac:dyDescent="0.25">
      <c r="A753" s="216" t="str">
        <f t="shared" si="11"/>
        <v/>
      </c>
    </row>
    <row r="754" spans="1:1" x14ac:dyDescent="0.25">
      <c r="A754" s="216" t="str">
        <f t="shared" si="11"/>
        <v/>
      </c>
    </row>
    <row r="755" spans="1:1" x14ac:dyDescent="0.25">
      <c r="A755" s="216" t="str">
        <f t="shared" si="11"/>
        <v/>
      </c>
    </row>
    <row r="756" spans="1:1" x14ac:dyDescent="0.25">
      <c r="A756" s="216" t="str">
        <f t="shared" si="11"/>
        <v/>
      </c>
    </row>
    <row r="757" spans="1:1" x14ac:dyDescent="0.25">
      <c r="A757" s="216" t="str">
        <f t="shared" si="11"/>
        <v/>
      </c>
    </row>
    <row r="758" spans="1:1" x14ac:dyDescent="0.25">
      <c r="A758" s="216" t="str">
        <f t="shared" si="11"/>
        <v/>
      </c>
    </row>
    <row r="759" spans="1:1" x14ac:dyDescent="0.25">
      <c r="A759" s="216" t="str">
        <f t="shared" si="11"/>
        <v/>
      </c>
    </row>
    <row r="760" spans="1:1" x14ac:dyDescent="0.25">
      <c r="A760" s="216" t="str">
        <f t="shared" si="11"/>
        <v/>
      </c>
    </row>
    <row r="761" spans="1:1" x14ac:dyDescent="0.25">
      <c r="A761" s="216" t="str">
        <f t="shared" si="11"/>
        <v/>
      </c>
    </row>
    <row r="762" spans="1:1" x14ac:dyDescent="0.25">
      <c r="A762" s="216" t="str">
        <f t="shared" si="11"/>
        <v/>
      </c>
    </row>
    <row r="763" spans="1:1" x14ac:dyDescent="0.25">
      <c r="A763" s="216" t="str">
        <f t="shared" si="11"/>
        <v/>
      </c>
    </row>
    <row r="764" spans="1:1" x14ac:dyDescent="0.25">
      <c r="A764" s="216" t="str">
        <f t="shared" si="11"/>
        <v/>
      </c>
    </row>
    <row r="765" spans="1:1" x14ac:dyDescent="0.25">
      <c r="A765" s="216" t="str">
        <f t="shared" si="11"/>
        <v/>
      </c>
    </row>
    <row r="766" spans="1:1" x14ac:dyDescent="0.25">
      <c r="A766" s="216" t="str">
        <f t="shared" si="11"/>
        <v/>
      </c>
    </row>
    <row r="767" spans="1:1" x14ac:dyDescent="0.25">
      <c r="A767" s="216" t="str">
        <f t="shared" si="11"/>
        <v/>
      </c>
    </row>
    <row r="768" spans="1:1" x14ac:dyDescent="0.25">
      <c r="A768" s="216" t="str">
        <f t="shared" si="11"/>
        <v/>
      </c>
    </row>
    <row r="769" spans="1:1" x14ac:dyDescent="0.25">
      <c r="A769" s="216" t="str">
        <f t="shared" si="11"/>
        <v/>
      </c>
    </row>
    <row r="770" spans="1:1" x14ac:dyDescent="0.25">
      <c r="A770" s="216" t="str">
        <f t="shared" si="11"/>
        <v/>
      </c>
    </row>
    <row r="771" spans="1:1" x14ac:dyDescent="0.25">
      <c r="A771" s="216" t="str">
        <f t="shared" si="11"/>
        <v/>
      </c>
    </row>
    <row r="772" spans="1:1" x14ac:dyDescent="0.25">
      <c r="A772" s="216" t="str">
        <f t="shared" ref="A772:A835" si="12">IF(B772&lt;&gt;"",A771+1,"")</f>
        <v/>
      </c>
    </row>
    <row r="773" spans="1:1" x14ac:dyDescent="0.25">
      <c r="A773" s="216" t="str">
        <f t="shared" si="12"/>
        <v/>
      </c>
    </row>
    <row r="774" spans="1:1" x14ac:dyDescent="0.25">
      <c r="A774" s="216" t="str">
        <f t="shared" si="12"/>
        <v/>
      </c>
    </row>
    <row r="775" spans="1:1" x14ac:dyDescent="0.25">
      <c r="A775" s="216" t="str">
        <f t="shared" si="12"/>
        <v/>
      </c>
    </row>
    <row r="776" spans="1:1" x14ac:dyDescent="0.25">
      <c r="A776" s="216" t="str">
        <f t="shared" si="12"/>
        <v/>
      </c>
    </row>
    <row r="777" spans="1:1" x14ac:dyDescent="0.25">
      <c r="A777" s="216" t="str">
        <f t="shared" si="12"/>
        <v/>
      </c>
    </row>
    <row r="778" spans="1:1" x14ac:dyDescent="0.25">
      <c r="A778" s="216" t="str">
        <f t="shared" si="12"/>
        <v/>
      </c>
    </row>
    <row r="779" spans="1:1" x14ac:dyDescent="0.25">
      <c r="A779" s="216" t="str">
        <f t="shared" si="12"/>
        <v/>
      </c>
    </row>
    <row r="780" spans="1:1" x14ac:dyDescent="0.25">
      <c r="A780" s="216" t="str">
        <f t="shared" si="12"/>
        <v/>
      </c>
    </row>
    <row r="781" spans="1:1" x14ac:dyDescent="0.25">
      <c r="A781" s="216" t="str">
        <f t="shared" si="12"/>
        <v/>
      </c>
    </row>
    <row r="782" spans="1:1" x14ac:dyDescent="0.25">
      <c r="A782" s="216" t="str">
        <f t="shared" si="12"/>
        <v/>
      </c>
    </row>
    <row r="783" spans="1:1" x14ac:dyDescent="0.25">
      <c r="A783" s="216" t="str">
        <f t="shared" si="12"/>
        <v/>
      </c>
    </row>
    <row r="784" spans="1:1" x14ac:dyDescent="0.25">
      <c r="A784" s="216" t="str">
        <f t="shared" si="12"/>
        <v/>
      </c>
    </row>
    <row r="785" spans="1:1" x14ac:dyDescent="0.25">
      <c r="A785" s="216" t="str">
        <f t="shared" si="12"/>
        <v/>
      </c>
    </row>
    <row r="786" spans="1:1" x14ac:dyDescent="0.25">
      <c r="A786" s="216" t="str">
        <f t="shared" si="12"/>
        <v/>
      </c>
    </row>
    <row r="787" spans="1:1" x14ac:dyDescent="0.25">
      <c r="A787" s="216" t="str">
        <f t="shared" si="12"/>
        <v/>
      </c>
    </row>
    <row r="788" spans="1:1" x14ac:dyDescent="0.25">
      <c r="A788" s="216" t="str">
        <f t="shared" si="12"/>
        <v/>
      </c>
    </row>
    <row r="789" spans="1:1" x14ac:dyDescent="0.25">
      <c r="A789" s="216" t="str">
        <f t="shared" si="12"/>
        <v/>
      </c>
    </row>
    <row r="790" spans="1:1" x14ac:dyDescent="0.25">
      <c r="A790" s="216" t="str">
        <f t="shared" si="12"/>
        <v/>
      </c>
    </row>
    <row r="791" spans="1:1" x14ac:dyDescent="0.25">
      <c r="A791" s="216" t="str">
        <f t="shared" si="12"/>
        <v/>
      </c>
    </row>
    <row r="792" spans="1:1" x14ac:dyDescent="0.25">
      <c r="A792" s="216" t="str">
        <f t="shared" si="12"/>
        <v/>
      </c>
    </row>
    <row r="793" spans="1:1" x14ac:dyDescent="0.25">
      <c r="A793" s="216" t="str">
        <f t="shared" si="12"/>
        <v/>
      </c>
    </row>
    <row r="794" spans="1:1" x14ac:dyDescent="0.25">
      <c r="A794" s="216" t="str">
        <f t="shared" si="12"/>
        <v/>
      </c>
    </row>
    <row r="795" spans="1:1" x14ac:dyDescent="0.25">
      <c r="A795" s="216" t="str">
        <f t="shared" si="12"/>
        <v/>
      </c>
    </row>
    <row r="796" spans="1:1" x14ac:dyDescent="0.25">
      <c r="A796" s="216" t="str">
        <f t="shared" si="12"/>
        <v/>
      </c>
    </row>
    <row r="797" spans="1:1" x14ac:dyDescent="0.25">
      <c r="A797" s="216" t="str">
        <f t="shared" si="12"/>
        <v/>
      </c>
    </row>
    <row r="798" spans="1:1" x14ac:dyDescent="0.25">
      <c r="A798" s="216" t="str">
        <f t="shared" si="12"/>
        <v/>
      </c>
    </row>
    <row r="799" spans="1:1" x14ac:dyDescent="0.25">
      <c r="A799" s="216" t="str">
        <f t="shared" si="12"/>
        <v/>
      </c>
    </row>
    <row r="800" spans="1:1" x14ac:dyDescent="0.25">
      <c r="A800" s="216" t="str">
        <f t="shared" si="12"/>
        <v/>
      </c>
    </row>
    <row r="801" spans="1:1" x14ac:dyDescent="0.25">
      <c r="A801" s="216" t="str">
        <f t="shared" si="12"/>
        <v/>
      </c>
    </row>
    <row r="802" spans="1:1" x14ac:dyDescent="0.25">
      <c r="A802" s="216" t="str">
        <f t="shared" si="12"/>
        <v/>
      </c>
    </row>
    <row r="803" spans="1:1" x14ac:dyDescent="0.25">
      <c r="A803" s="216" t="str">
        <f t="shared" si="12"/>
        <v/>
      </c>
    </row>
    <row r="804" spans="1:1" x14ac:dyDescent="0.25">
      <c r="A804" s="216" t="str">
        <f t="shared" si="12"/>
        <v/>
      </c>
    </row>
    <row r="805" spans="1:1" x14ac:dyDescent="0.25">
      <c r="A805" s="216" t="str">
        <f t="shared" si="12"/>
        <v/>
      </c>
    </row>
    <row r="806" spans="1:1" x14ac:dyDescent="0.25">
      <c r="A806" s="216" t="str">
        <f t="shared" si="12"/>
        <v/>
      </c>
    </row>
    <row r="807" spans="1:1" x14ac:dyDescent="0.25">
      <c r="A807" s="216" t="str">
        <f t="shared" si="12"/>
        <v/>
      </c>
    </row>
    <row r="808" spans="1:1" x14ac:dyDescent="0.25">
      <c r="A808" s="216" t="str">
        <f t="shared" si="12"/>
        <v/>
      </c>
    </row>
    <row r="809" spans="1:1" x14ac:dyDescent="0.25">
      <c r="A809" s="216" t="str">
        <f t="shared" si="12"/>
        <v/>
      </c>
    </row>
    <row r="810" spans="1:1" x14ac:dyDescent="0.25">
      <c r="A810" s="216" t="str">
        <f t="shared" si="12"/>
        <v/>
      </c>
    </row>
    <row r="811" spans="1:1" x14ac:dyDescent="0.25">
      <c r="A811" s="216" t="str">
        <f t="shared" si="12"/>
        <v/>
      </c>
    </row>
    <row r="812" spans="1:1" x14ac:dyDescent="0.25">
      <c r="A812" s="216" t="str">
        <f t="shared" si="12"/>
        <v/>
      </c>
    </row>
    <row r="813" spans="1:1" x14ac:dyDescent="0.25">
      <c r="A813" s="216" t="str">
        <f t="shared" si="12"/>
        <v/>
      </c>
    </row>
    <row r="814" spans="1:1" x14ac:dyDescent="0.25">
      <c r="A814" s="216" t="str">
        <f t="shared" si="12"/>
        <v/>
      </c>
    </row>
    <row r="815" spans="1:1" x14ac:dyDescent="0.25">
      <c r="A815" s="216" t="str">
        <f t="shared" si="12"/>
        <v/>
      </c>
    </row>
    <row r="816" spans="1:1" x14ac:dyDescent="0.25">
      <c r="A816" s="216" t="str">
        <f t="shared" si="12"/>
        <v/>
      </c>
    </row>
    <row r="817" spans="1:1" x14ac:dyDescent="0.25">
      <c r="A817" s="216" t="str">
        <f t="shared" si="12"/>
        <v/>
      </c>
    </row>
    <row r="818" spans="1:1" x14ac:dyDescent="0.25">
      <c r="A818" s="216" t="str">
        <f t="shared" si="12"/>
        <v/>
      </c>
    </row>
    <row r="819" spans="1:1" x14ac:dyDescent="0.25">
      <c r="A819" s="216" t="str">
        <f t="shared" si="12"/>
        <v/>
      </c>
    </row>
    <row r="820" spans="1:1" x14ac:dyDescent="0.25">
      <c r="A820" s="216" t="str">
        <f t="shared" si="12"/>
        <v/>
      </c>
    </row>
    <row r="821" spans="1:1" x14ac:dyDescent="0.25">
      <c r="A821" s="216" t="str">
        <f t="shared" si="12"/>
        <v/>
      </c>
    </row>
    <row r="822" spans="1:1" x14ac:dyDescent="0.25">
      <c r="A822" s="216" t="str">
        <f t="shared" si="12"/>
        <v/>
      </c>
    </row>
    <row r="823" spans="1:1" x14ac:dyDescent="0.25">
      <c r="A823" s="216" t="str">
        <f t="shared" si="12"/>
        <v/>
      </c>
    </row>
    <row r="824" spans="1:1" x14ac:dyDescent="0.25">
      <c r="A824" s="216" t="str">
        <f t="shared" si="12"/>
        <v/>
      </c>
    </row>
    <row r="825" spans="1:1" x14ac:dyDescent="0.25">
      <c r="A825" s="216" t="str">
        <f t="shared" si="12"/>
        <v/>
      </c>
    </row>
    <row r="826" spans="1:1" x14ac:dyDescent="0.25">
      <c r="A826" s="216" t="str">
        <f t="shared" si="12"/>
        <v/>
      </c>
    </row>
    <row r="827" spans="1:1" x14ac:dyDescent="0.25">
      <c r="A827" s="216" t="str">
        <f t="shared" si="12"/>
        <v/>
      </c>
    </row>
    <row r="828" spans="1:1" x14ac:dyDescent="0.25">
      <c r="A828" s="216" t="str">
        <f t="shared" si="12"/>
        <v/>
      </c>
    </row>
    <row r="829" spans="1:1" x14ac:dyDescent="0.25">
      <c r="A829" s="216" t="str">
        <f t="shared" si="12"/>
        <v/>
      </c>
    </row>
    <row r="830" spans="1:1" x14ac:dyDescent="0.25">
      <c r="A830" s="216" t="str">
        <f t="shared" si="12"/>
        <v/>
      </c>
    </row>
    <row r="831" spans="1:1" x14ac:dyDescent="0.25">
      <c r="A831" s="216" t="str">
        <f t="shared" si="12"/>
        <v/>
      </c>
    </row>
    <row r="832" spans="1:1" x14ac:dyDescent="0.25">
      <c r="A832" s="216" t="str">
        <f t="shared" si="12"/>
        <v/>
      </c>
    </row>
    <row r="833" spans="1:1" x14ac:dyDescent="0.25">
      <c r="A833" s="216" t="str">
        <f t="shared" si="12"/>
        <v/>
      </c>
    </row>
    <row r="834" spans="1:1" x14ac:dyDescent="0.25">
      <c r="A834" s="216" t="str">
        <f t="shared" si="12"/>
        <v/>
      </c>
    </row>
    <row r="835" spans="1:1" x14ac:dyDescent="0.25">
      <c r="A835" s="216" t="str">
        <f t="shared" si="12"/>
        <v/>
      </c>
    </row>
    <row r="836" spans="1:1" x14ac:dyDescent="0.25">
      <c r="A836" s="216" t="str">
        <f t="shared" ref="A836:A899" si="13">IF(B836&lt;&gt;"",A835+1,"")</f>
        <v/>
      </c>
    </row>
    <row r="837" spans="1:1" x14ac:dyDescent="0.25">
      <c r="A837" s="216" t="str">
        <f t="shared" si="13"/>
        <v/>
      </c>
    </row>
    <row r="838" spans="1:1" x14ac:dyDescent="0.25">
      <c r="A838" s="216" t="str">
        <f t="shared" si="13"/>
        <v/>
      </c>
    </row>
    <row r="839" spans="1:1" x14ac:dyDescent="0.25">
      <c r="A839" s="216" t="str">
        <f t="shared" si="13"/>
        <v/>
      </c>
    </row>
    <row r="840" spans="1:1" x14ac:dyDescent="0.25">
      <c r="A840" s="216" t="str">
        <f t="shared" si="13"/>
        <v/>
      </c>
    </row>
    <row r="841" spans="1:1" x14ac:dyDescent="0.25">
      <c r="A841" s="216" t="str">
        <f t="shared" si="13"/>
        <v/>
      </c>
    </row>
    <row r="842" spans="1:1" x14ac:dyDescent="0.25">
      <c r="A842" s="216" t="str">
        <f t="shared" si="13"/>
        <v/>
      </c>
    </row>
    <row r="843" spans="1:1" x14ac:dyDescent="0.25">
      <c r="A843" s="216" t="str">
        <f t="shared" si="13"/>
        <v/>
      </c>
    </row>
    <row r="844" spans="1:1" x14ac:dyDescent="0.25">
      <c r="A844" s="216" t="str">
        <f t="shared" si="13"/>
        <v/>
      </c>
    </row>
    <row r="845" spans="1:1" x14ac:dyDescent="0.25">
      <c r="A845" s="216" t="str">
        <f t="shared" si="13"/>
        <v/>
      </c>
    </row>
    <row r="846" spans="1:1" x14ac:dyDescent="0.25">
      <c r="A846" s="216" t="str">
        <f t="shared" si="13"/>
        <v/>
      </c>
    </row>
    <row r="847" spans="1:1" x14ac:dyDescent="0.25">
      <c r="A847" s="216" t="str">
        <f t="shared" si="13"/>
        <v/>
      </c>
    </row>
    <row r="848" spans="1:1" x14ac:dyDescent="0.25">
      <c r="A848" s="216" t="str">
        <f t="shared" si="13"/>
        <v/>
      </c>
    </row>
    <row r="849" spans="1:1" x14ac:dyDescent="0.25">
      <c r="A849" s="216" t="str">
        <f t="shared" si="13"/>
        <v/>
      </c>
    </row>
    <row r="850" spans="1:1" x14ac:dyDescent="0.25">
      <c r="A850" s="216" t="str">
        <f t="shared" si="13"/>
        <v/>
      </c>
    </row>
    <row r="851" spans="1:1" x14ac:dyDescent="0.25">
      <c r="A851" s="216" t="str">
        <f t="shared" si="13"/>
        <v/>
      </c>
    </row>
    <row r="852" spans="1:1" x14ac:dyDescent="0.25">
      <c r="A852" s="216" t="str">
        <f t="shared" si="13"/>
        <v/>
      </c>
    </row>
    <row r="853" spans="1:1" x14ac:dyDescent="0.25">
      <c r="A853" s="216" t="str">
        <f t="shared" si="13"/>
        <v/>
      </c>
    </row>
    <row r="854" spans="1:1" x14ac:dyDescent="0.25">
      <c r="A854" s="216" t="str">
        <f t="shared" si="13"/>
        <v/>
      </c>
    </row>
    <row r="855" spans="1:1" x14ac:dyDescent="0.25">
      <c r="A855" s="216" t="str">
        <f t="shared" si="13"/>
        <v/>
      </c>
    </row>
    <row r="856" spans="1:1" x14ac:dyDescent="0.25">
      <c r="A856" s="216" t="str">
        <f t="shared" si="13"/>
        <v/>
      </c>
    </row>
    <row r="857" spans="1:1" x14ac:dyDescent="0.25">
      <c r="A857" s="216" t="str">
        <f t="shared" si="13"/>
        <v/>
      </c>
    </row>
    <row r="858" spans="1:1" x14ac:dyDescent="0.25">
      <c r="A858" s="216" t="str">
        <f t="shared" si="13"/>
        <v/>
      </c>
    </row>
    <row r="859" spans="1:1" x14ac:dyDescent="0.25">
      <c r="A859" s="216" t="str">
        <f t="shared" si="13"/>
        <v/>
      </c>
    </row>
    <row r="860" spans="1:1" x14ac:dyDescent="0.25">
      <c r="A860" s="216" t="str">
        <f t="shared" si="13"/>
        <v/>
      </c>
    </row>
    <row r="861" spans="1:1" x14ac:dyDescent="0.25">
      <c r="A861" s="216" t="str">
        <f t="shared" si="13"/>
        <v/>
      </c>
    </row>
    <row r="862" spans="1:1" x14ac:dyDescent="0.25">
      <c r="A862" s="216" t="str">
        <f t="shared" si="13"/>
        <v/>
      </c>
    </row>
    <row r="863" spans="1:1" x14ac:dyDescent="0.25">
      <c r="A863" s="216" t="str">
        <f t="shared" si="13"/>
        <v/>
      </c>
    </row>
    <row r="864" spans="1:1" x14ac:dyDescent="0.25">
      <c r="A864" s="216" t="str">
        <f t="shared" si="13"/>
        <v/>
      </c>
    </row>
    <row r="865" spans="1:1" x14ac:dyDescent="0.25">
      <c r="A865" s="216" t="str">
        <f t="shared" si="13"/>
        <v/>
      </c>
    </row>
    <row r="866" spans="1:1" x14ac:dyDescent="0.25">
      <c r="A866" s="216" t="str">
        <f t="shared" si="13"/>
        <v/>
      </c>
    </row>
    <row r="867" spans="1:1" x14ac:dyDescent="0.25">
      <c r="A867" s="216" t="str">
        <f t="shared" si="13"/>
        <v/>
      </c>
    </row>
    <row r="868" spans="1:1" x14ac:dyDescent="0.25">
      <c r="A868" s="216" t="str">
        <f t="shared" si="13"/>
        <v/>
      </c>
    </row>
    <row r="869" spans="1:1" x14ac:dyDescent="0.25">
      <c r="A869" s="216" t="str">
        <f t="shared" si="13"/>
        <v/>
      </c>
    </row>
    <row r="870" spans="1:1" x14ac:dyDescent="0.25">
      <c r="A870" s="216" t="str">
        <f t="shared" si="13"/>
        <v/>
      </c>
    </row>
    <row r="871" spans="1:1" x14ac:dyDescent="0.25">
      <c r="A871" s="216" t="str">
        <f t="shared" si="13"/>
        <v/>
      </c>
    </row>
    <row r="872" spans="1:1" x14ac:dyDescent="0.25">
      <c r="A872" s="216" t="str">
        <f t="shared" si="13"/>
        <v/>
      </c>
    </row>
    <row r="873" spans="1:1" x14ac:dyDescent="0.25">
      <c r="A873" s="216" t="str">
        <f t="shared" si="13"/>
        <v/>
      </c>
    </row>
    <row r="874" spans="1:1" x14ac:dyDescent="0.25">
      <c r="A874" s="216" t="str">
        <f t="shared" si="13"/>
        <v/>
      </c>
    </row>
    <row r="875" spans="1:1" x14ac:dyDescent="0.25">
      <c r="A875" s="216" t="str">
        <f t="shared" si="13"/>
        <v/>
      </c>
    </row>
    <row r="876" spans="1:1" x14ac:dyDescent="0.25">
      <c r="A876" s="216" t="str">
        <f t="shared" si="13"/>
        <v/>
      </c>
    </row>
    <row r="877" spans="1:1" x14ac:dyDescent="0.25">
      <c r="A877" s="216" t="str">
        <f t="shared" si="13"/>
        <v/>
      </c>
    </row>
    <row r="878" spans="1:1" x14ac:dyDescent="0.25">
      <c r="A878" s="216" t="str">
        <f t="shared" si="13"/>
        <v/>
      </c>
    </row>
    <row r="879" spans="1:1" x14ac:dyDescent="0.25">
      <c r="A879" s="216" t="str">
        <f t="shared" si="13"/>
        <v/>
      </c>
    </row>
    <row r="880" spans="1:1" x14ac:dyDescent="0.25">
      <c r="A880" s="216" t="str">
        <f t="shared" si="13"/>
        <v/>
      </c>
    </row>
    <row r="881" spans="1:1" x14ac:dyDescent="0.25">
      <c r="A881" s="216" t="str">
        <f t="shared" si="13"/>
        <v/>
      </c>
    </row>
    <row r="882" spans="1:1" x14ac:dyDescent="0.25">
      <c r="A882" s="216" t="str">
        <f t="shared" si="13"/>
        <v/>
      </c>
    </row>
    <row r="883" spans="1:1" x14ac:dyDescent="0.25">
      <c r="A883" s="216" t="str">
        <f t="shared" si="13"/>
        <v/>
      </c>
    </row>
    <row r="884" spans="1:1" x14ac:dyDescent="0.25">
      <c r="A884" s="216" t="str">
        <f t="shared" si="13"/>
        <v/>
      </c>
    </row>
    <row r="885" spans="1:1" x14ac:dyDescent="0.25">
      <c r="A885" s="216" t="str">
        <f t="shared" si="13"/>
        <v/>
      </c>
    </row>
    <row r="886" spans="1:1" x14ac:dyDescent="0.25">
      <c r="A886" s="216" t="str">
        <f t="shared" si="13"/>
        <v/>
      </c>
    </row>
    <row r="887" spans="1:1" x14ac:dyDescent="0.25">
      <c r="A887" s="216" t="str">
        <f t="shared" si="13"/>
        <v/>
      </c>
    </row>
    <row r="888" spans="1:1" x14ac:dyDescent="0.25">
      <c r="A888" s="216" t="str">
        <f t="shared" si="13"/>
        <v/>
      </c>
    </row>
    <row r="889" spans="1:1" x14ac:dyDescent="0.25">
      <c r="A889" s="216" t="str">
        <f t="shared" si="13"/>
        <v/>
      </c>
    </row>
    <row r="890" spans="1:1" x14ac:dyDescent="0.25">
      <c r="A890" s="216" t="str">
        <f t="shared" si="13"/>
        <v/>
      </c>
    </row>
    <row r="891" spans="1:1" x14ac:dyDescent="0.25">
      <c r="A891" s="216" t="str">
        <f t="shared" si="13"/>
        <v/>
      </c>
    </row>
    <row r="892" spans="1:1" x14ac:dyDescent="0.25">
      <c r="A892" s="216" t="str">
        <f t="shared" si="13"/>
        <v/>
      </c>
    </row>
    <row r="893" spans="1:1" x14ac:dyDescent="0.25">
      <c r="A893" s="216" t="str">
        <f t="shared" si="13"/>
        <v/>
      </c>
    </row>
    <row r="894" spans="1:1" x14ac:dyDescent="0.25">
      <c r="A894" s="216" t="str">
        <f t="shared" si="13"/>
        <v/>
      </c>
    </row>
    <row r="895" spans="1:1" x14ac:dyDescent="0.25">
      <c r="A895" s="216" t="str">
        <f t="shared" si="13"/>
        <v/>
      </c>
    </row>
    <row r="896" spans="1:1" x14ac:dyDescent="0.25">
      <c r="A896" s="216" t="str">
        <f t="shared" si="13"/>
        <v/>
      </c>
    </row>
    <row r="897" spans="1:1" x14ac:dyDescent="0.25">
      <c r="A897" s="216" t="str">
        <f t="shared" si="13"/>
        <v/>
      </c>
    </row>
    <row r="898" spans="1:1" x14ac:dyDescent="0.25">
      <c r="A898" s="216" t="str">
        <f t="shared" si="13"/>
        <v/>
      </c>
    </row>
    <row r="899" spans="1:1" x14ac:dyDescent="0.25">
      <c r="A899" s="216" t="str">
        <f t="shared" si="13"/>
        <v/>
      </c>
    </row>
    <row r="900" spans="1:1" x14ac:dyDescent="0.25">
      <c r="A900" s="216" t="str">
        <f t="shared" ref="A900:A963" si="14">IF(B900&lt;&gt;"",A899+1,"")</f>
        <v/>
      </c>
    </row>
    <row r="901" spans="1:1" x14ac:dyDescent="0.25">
      <c r="A901" s="216" t="str">
        <f t="shared" si="14"/>
        <v/>
      </c>
    </row>
    <row r="902" spans="1:1" x14ac:dyDescent="0.25">
      <c r="A902" s="216" t="str">
        <f t="shared" si="14"/>
        <v/>
      </c>
    </row>
    <row r="903" spans="1:1" x14ac:dyDescent="0.25">
      <c r="A903" s="216" t="str">
        <f t="shared" si="14"/>
        <v/>
      </c>
    </row>
    <row r="904" spans="1:1" x14ac:dyDescent="0.25">
      <c r="A904" s="216" t="str">
        <f t="shared" si="14"/>
        <v/>
      </c>
    </row>
    <row r="905" spans="1:1" x14ac:dyDescent="0.25">
      <c r="A905" s="216" t="str">
        <f t="shared" si="14"/>
        <v/>
      </c>
    </row>
    <row r="906" spans="1:1" x14ac:dyDescent="0.25">
      <c r="A906" s="216" t="str">
        <f t="shared" si="14"/>
        <v/>
      </c>
    </row>
    <row r="907" spans="1:1" x14ac:dyDescent="0.25">
      <c r="A907" s="216" t="str">
        <f t="shared" si="14"/>
        <v/>
      </c>
    </row>
    <row r="908" spans="1:1" x14ac:dyDescent="0.25">
      <c r="A908" s="216" t="str">
        <f t="shared" si="14"/>
        <v/>
      </c>
    </row>
    <row r="909" spans="1:1" x14ac:dyDescent="0.25">
      <c r="A909" s="216" t="str">
        <f t="shared" si="14"/>
        <v/>
      </c>
    </row>
    <row r="910" spans="1:1" x14ac:dyDescent="0.25">
      <c r="A910" s="216" t="str">
        <f t="shared" si="14"/>
        <v/>
      </c>
    </row>
    <row r="911" spans="1:1" x14ac:dyDescent="0.25">
      <c r="A911" s="216" t="str">
        <f t="shared" si="14"/>
        <v/>
      </c>
    </row>
    <row r="912" spans="1:1" x14ac:dyDescent="0.25">
      <c r="A912" s="216" t="str">
        <f t="shared" si="14"/>
        <v/>
      </c>
    </row>
    <row r="913" spans="1:1" x14ac:dyDescent="0.25">
      <c r="A913" s="216" t="str">
        <f t="shared" si="14"/>
        <v/>
      </c>
    </row>
    <row r="914" spans="1:1" x14ac:dyDescent="0.25">
      <c r="A914" s="216" t="str">
        <f t="shared" si="14"/>
        <v/>
      </c>
    </row>
    <row r="915" spans="1:1" x14ac:dyDescent="0.25">
      <c r="A915" s="216" t="str">
        <f t="shared" si="14"/>
        <v/>
      </c>
    </row>
    <row r="916" spans="1:1" x14ac:dyDescent="0.25">
      <c r="A916" s="216" t="str">
        <f t="shared" si="14"/>
        <v/>
      </c>
    </row>
    <row r="917" spans="1:1" x14ac:dyDescent="0.25">
      <c r="A917" s="216" t="str">
        <f t="shared" si="14"/>
        <v/>
      </c>
    </row>
    <row r="918" spans="1:1" x14ac:dyDescent="0.25">
      <c r="A918" s="216" t="str">
        <f t="shared" si="14"/>
        <v/>
      </c>
    </row>
    <row r="919" spans="1:1" x14ac:dyDescent="0.25">
      <c r="A919" s="216" t="str">
        <f t="shared" si="14"/>
        <v/>
      </c>
    </row>
    <row r="920" spans="1:1" x14ac:dyDescent="0.25">
      <c r="A920" s="216" t="str">
        <f t="shared" si="14"/>
        <v/>
      </c>
    </row>
    <row r="921" spans="1:1" x14ac:dyDescent="0.25">
      <c r="A921" s="216" t="str">
        <f t="shared" si="14"/>
        <v/>
      </c>
    </row>
    <row r="922" spans="1:1" x14ac:dyDescent="0.25">
      <c r="A922" s="216" t="str">
        <f t="shared" si="14"/>
        <v/>
      </c>
    </row>
    <row r="923" spans="1:1" x14ac:dyDescent="0.25">
      <c r="A923" s="216" t="str">
        <f t="shared" si="14"/>
        <v/>
      </c>
    </row>
    <row r="924" spans="1:1" x14ac:dyDescent="0.25">
      <c r="A924" s="216" t="str">
        <f t="shared" si="14"/>
        <v/>
      </c>
    </row>
    <row r="925" spans="1:1" x14ac:dyDescent="0.25">
      <c r="A925" s="216" t="str">
        <f t="shared" si="14"/>
        <v/>
      </c>
    </row>
    <row r="926" spans="1:1" x14ac:dyDescent="0.25">
      <c r="A926" s="216" t="str">
        <f t="shared" si="14"/>
        <v/>
      </c>
    </row>
    <row r="927" spans="1:1" x14ac:dyDescent="0.25">
      <c r="A927" s="216" t="str">
        <f t="shared" si="14"/>
        <v/>
      </c>
    </row>
    <row r="928" spans="1:1" x14ac:dyDescent="0.25">
      <c r="A928" s="216" t="str">
        <f t="shared" si="14"/>
        <v/>
      </c>
    </row>
    <row r="929" spans="1:1" x14ac:dyDescent="0.25">
      <c r="A929" s="216" t="str">
        <f t="shared" si="14"/>
        <v/>
      </c>
    </row>
    <row r="930" spans="1:1" x14ac:dyDescent="0.25">
      <c r="A930" s="216" t="str">
        <f t="shared" si="14"/>
        <v/>
      </c>
    </row>
    <row r="931" spans="1:1" x14ac:dyDescent="0.25">
      <c r="A931" s="216" t="str">
        <f t="shared" si="14"/>
        <v/>
      </c>
    </row>
    <row r="932" spans="1:1" x14ac:dyDescent="0.25">
      <c r="A932" s="216" t="str">
        <f t="shared" si="14"/>
        <v/>
      </c>
    </row>
    <row r="933" spans="1:1" x14ac:dyDescent="0.25">
      <c r="A933" s="216" t="str">
        <f t="shared" si="14"/>
        <v/>
      </c>
    </row>
    <row r="934" spans="1:1" x14ac:dyDescent="0.25">
      <c r="A934" s="216" t="str">
        <f t="shared" si="14"/>
        <v/>
      </c>
    </row>
    <row r="935" spans="1:1" x14ac:dyDescent="0.25">
      <c r="A935" s="216" t="str">
        <f t="shared" si="14"/>
        <v/>
      </c>
    </row>
    <row r="936" spans="1:1" x14ac:dyDescent="0.25">
      <c r="A936" s="216" t="str">
        <f t="shared" si="14"/>
        <v/>
      </c>
    </row>
    <row r="937" spans="1:1" x14ac:dyDescent="0.25">
      <c r="A937" s="216" t="str">
        <f t="shared" si="14"/>
        <v/>
      </c>
    </row>
    <row r="938" spans="1:1" x14ac:dyDescent="0.25">
      <c r="A938" s="216" t="str">
        <f t="shared" si="14"/>
        <v/>
      </c>
    </row>
    <row r="939" spans="1:1" x14ac:dyDescent="0.25">
      <c r="A939" s="216" t="str">
        <f t="shared" si="14"/>
        <v/>
      </c>
    </row>
    <row r="940" spans="1:1" x14ac:dyDescent="0.25">
      <c r="A940" s="216" t="str">
        <f t="shared" si="14"/>
        <v/>
      </c>
    </row>
    <row r="941" spans="1:1" x14ac:dyDescent="0.25">
      <c r="A941" s="216" t="str">
        <f t="shared" si="14"/>
        <v/>
      </c>
    </row>
    <row r="942" spans="1:1" x14ac:dyDescent="0.25">
      <c r="A942" s="216" t="str">
        <f t="shared" si="14"/>
        <v/>
      </c>
    </row>
    <row r="943" spans="1:1" x14ac:dyDescent="0.25">
      <c r="A943" s="216" t="str">
        <f t="shared" si="14"/>
        <v/>
      </c>
    </row>
    <row r="944" spans="1:1" x14ac:dyDescent="0.25">
      <c r="A944" s="216" t="str">
        <f t="shared" si="14"/>
        <v/>
      </c>
    </row>
    <row r="945" spans="1:1" x14ac:dyDescent="0.25">
      <c r="A945" s="216" t="str">
        <f t="shared" si="14"/>
        <v/>
      </c>
    </row>
    <row r="946" spans="1:1" x14ac:dyDescent="0.25">
      <c r="A946" s="216" t="str">
        <f t="shared" si="14"/>
        <v/>
      </c>
    </row>
    <row r="947" spans="1:1" x14ac:dyDescent="0.25">
      <c r="A947" s="216" t="str">
        <f t="shared" si="14"/>
        <v/>
      </c>
    </row>
    <row r="948" spans="1:1" x14ac:dyDescent="0.25">
      <c r="A948" s="216" t="str">
        <f t="shared" si="14"/>
        <v/>
      </c>
    </row>
    <row r="949" spans="1:1" x14ac:dyDescent="0.25">
      <c r="A949" s="216" t="str">
        <f t="shared" si="14"/>
        <v/>
      </c>
    </row>
    <row r="950" spans="1:1" x14ac:dyDescent="0.25">
      <c r="A950" s="216" t="str">
        <f t="shared" si="14"/>
        <v/>
      </c>
    </row>
    <row r="951" spans="1:1" x14ac:dyDescent="0.25">
      <c r="A951" s="216" t="str">
        <f t="shared" si="14"/>
        <v/>
      </c>
    </row>
    <row r="952" spans="1:1" x14ac:dyDescent="0.25">
      <c r="A952" s="216" t="str">
        <f t="shared" si="14"/>
        <v/>
      </c>
    </row>
    <row r="953" spans="1:1" x14ac:dyDescent="0.25">
      <c r="A953" s="216" t="str">
        <f t="shared" si="14"/>
        <v/>
      </c>
    </row>
    <row r="954" spans="1:1" x14ac:dyDescent="0.25">
      <c r="A954" s="216" t="str">
        <f t="shared" si="14"/>
        <v/>
      </c>
    </row>
    <row r="955" spans="1:1" x14ac:dyDescent="0.25">
      <c r="A955" s="216" t="str">
        <f t="shared" si="14"/>
        <v/>
      </c>
    </row>
    <row r="956" spans="1:1" x14ac:dyDescent="0.25">
      <c r="A956" s="216" t="str">
        <f t="shared" si="14"/>
        <v/>
      </c>
    </row>
    <row r="957" spans="1:1" x14ac:dyDescent="0.25">
      <c r="A957" s="216" t="str">
        <f t="shared" si="14"/>
        <v/>
      </c>
    </row>
    <row r="958" spans="1:1" x14ac:dyDescent="0.25">
      <c r="A958" s="216" t="str">
        <f t="shared" si="14"/>
        <v/>
      </c>
    </row>
    <row r="959" spans="1:1" x14ac:dyDescent="0.25">
      <c r="A959" s="216" t="str">
        <f t="shared" si="14"/>
        <v/>
      </c>
    </row>
    <row r="960" spans="1:1" x14ac:dyDescent="0.25">
      <c r="A960" s="216" t="str">
        <f t="shared" si="14"/>
        <v/>
      </c>
    </row>
    <row r="961" spans="1:1" x14ac:dyDescent="0.25">
      <c r="A961" s="216" t="str">
        <f t="shared" si="14"/>
        <v/>
      </c>
    </row>
    <row r="962" spans="1:1" x14ac:dyDescent="0.25">
      <c r="A962" s="216" t="str">
        <f t="shared" si="14"/>
        <v/>
      </c>
    </row>
    <row r="963" spans="1:1" x14ac:dyDescent="0.25">
      <c r="A963" s="216" t="str">
        <f t="shared" si="14"/>
        <v/>
      </c>
    </row>
    <row r="964" spans="1:1" x14ac:dyDescent="0.25">
      <c r="A964" s="216" t="str">
        <f t="shared" ref="A964:A1027" si="15">IF(B964&lt;&gt;"",A963+1,"")</f>
        <v/>
      </c>
    </row>
    <row r="965" spans="1:1" x14ac:dyDescent="0.25">
      <c r="A965" s="216" t="str">
        <f t="shared" si="15"/>
        <v/>
      </c>
    </row>
    <row r="966" spans="1:1" x14ac:dyDescent="0.25">
      <c r="A966" s="216" t="str">
        <f t="shared" si="15"/>
        <v/>
      </c>
    </row>
    <row r="967" spans="1:1" x14ac:dyDescent="0.25">
      <c r="A967" s="216" t="str">
        <f t="shared" si="15"/>
        <v/>
      </c>
    </row>
    <row r="968" spans="1:1" x14ac:dyDescent="0.25">
      <c r="A968" s="216" t="str">
        <f t="shared" si="15"/>
        <v/>
      </c>
    </row>
    <row r="969" spans="1:1" x14ac:dyDescent="0.25">
      <c r="A969" s="216" t="str">
        <f t="shared" si="15"/>
        <v/>
      </c>
    </row>
    <row r="970" spans="1:1" x14ac:dyDescent="0.25">
      <c r="A970" s="216" t="str">
        <f t="shared" si="15"/>
        <v/>
      </c>
    </row>
    <row r="971" spans="1:1" x14ac:dyDescent="0.25">
      <c r="A971" s="216" t="str">
        <f t="shared" si="15"/>
        <v/>
      </c>
    </row>
    <row r="972" spans="1:1" x14ac:dyDescent="0.25">
      <c r="A972" s="216" t="str">
        <f t="shared" si="15"/>
        <v/>
      </c>
    </row>
    <row r="973" spans="1:1" x14ac:dyDescent="0.25">
      <c r="A973" s="216" t="str">
        <f t="shared" si="15"/>
        <v/>
      </c>
    </row>
    <row r="974" spans="1:1" x14ac:dyDescent="0.25">
      <c r="A974" s="216" t="str">
        <f t="shared" si="15"/>
        <v/>
      </c>
    </row>
    <row r="975" spans="1:1" x14ac:dyDescent="0.25">
      <c r="A975" s="216" t="str">
        <f t="shared" si="15"/>
        <v/>
      </c>
    </row>
    <row r="976" spans="1:1" x14ac:dyDescent="0.25">
      <c r="A976" s="216" t="str">
        <f t="shared" si="15"/>
        <v/>
      </c>
    </row>
    <row r="977" spans="1:1" x14ac:dyDescent="0.25">
      <c r="A977" s="216" t="str">
        <f t="shared" si="15"/>
        <v/>
      </c>
    </row>
    <row r="978" spans="1:1" x14ac:dyDescent="0.25">
      <c r="A978" s="216" t="str">
        <f t="shared" si="15"/>
        <v/>
      </c>
    </row>
    <row r="979" spans="1:1" x14ac:dyDescent="0.25">
      <c r="A979" s="216" t="str">
        <f t="shared" si="15"/>
        <v/>
      </c>
    </row>
    <row r="980" spans="1:1" x14ac:dyDescent="0.25">
      <c r="A980" s="216" t="str">
        <f t="shared" si="15"/>
        <v/>
      </c>
    </row>
    <row r="981" spans="1:1" x14ac:dyDescent="0.25">
      <c r="A981" s="216" t="str">
        <f t="shared" si="15"/>
        <v/>
      </c>
    </row>
    <row r="982" spans="1:1" x14ac:dyDescent="0.25">
      <c r="A982" s="216" t="str">
        <f t="shared" si="15"/>
        <v/>
      </c>
    </row>
    <row r="983" spans="1:1" x14ac:dyDescent="0.25">
      <c r="A983" s="216" t="str">
        <f t="shared" si="15"/>
        <v/>
      </c>
    </row>
    <row r="984" spans="1:1" x14ac:dyDescent="0.25">
      <c r="A984" s="216" t="str">
        <f t="shared" si="15"/>
        <v/>
      </c>
    </row>
    <row r="985" spans="1:1" x14ac:dyDescent="0.25">
      <c r="A985" s="216" t="str">
        <f t="shared" si="15"/>
        <v/>
      </c>
    </row>
    <row r="986" spans="1:1" x14ac:dyDescent="0.25">
      <c r="A986" s="216" t="str">
        <f t="shared" si="15"/>
        <v/>
      </c>
    </row>
    <row r="987" spans="1:1" x14ac:dyDescent="0.25">
      <c r="A987" s="216" t="str">
        <f t="shared" si="15"/>
        <v/>
      </c>
    </row>
    <row r="988" spans="1:1" x14ac:dyDescent="0.25">
      <c r="A988" s="216" t="str">
        <f t="shared" si="15"/>
        <v/>
      </c>
    </row>
    <row r="989" spans="1:1" x14ac:dyDescent="0.25">
      <c r="A989" s="216" t="str">
        <f t="shared" si="15"/>
        <v/>
      </c>
    </row>
    <row r="990" spans="1:1" x14ac:dyDescent="0.25">
      <c r="A990" s="216" t="str">
        <f t="shared" si="15"/>
        <v/>
      </c>
    </row>
    <row r="991" spans="1:1" x14ac:dyDescent="0.25">
      <c r="A991" s="216" t="str">
        <f t="shared" si="15"/>
        <v/>
      </c>
    </row>
    <row r="992" spans="1:1" x14ac:dyDescent="0.25">
      <c r="A992" s="216" t="str">
        <f t="shared" si="15"/>
        <v/>
      </c>
    </row>
    <row r="993" spans="1:1" x14ac:dyDescent="0.25">
      <c r="A993" s="216" t="str">
        <f t="shared" si="15"/>
        <v/>
      </c>
    </row>
    <row r="994" spans="1:1" x14ac:dyDescent="0.25">
      <c r="A994" s="216" t="str">
        <f t="shared" si="15"/>
        <v/>
      </c>
    </row>
    <row r="995" spans="1:1" x14ac:dyDescent="0.25">
      <c r="A995" s="216" t="str">
        <f t="shared" si="15"/>
        <v/>
      </c>
    </row>
    <row r="996" spans="1:1" x14ac:dyDescent="0.25">
      <c r="A996" s="216" t="str">
        <f t="shared" si="15"/>
        <v/>
      </c>
    </row>
    <row r="997" spans="1:1" x14ac:dyDescent="0.25">
      <c r="A997" s="216" t="str">
        <f t="shared" si="15"/>
        <v/>
      </c>
    </row>
    <row r="998" spans="1:1" x14ac:dyDescent="0.25">
      <c r="A998" s="216" t="str">
        <f t="shared" si="15"/>
        <v/>
      </c>
    </row>
    <row r="999" spans="1:1" x14ac:dyDescent="0.25">
      <c r="A999" s="216" t="str">
        <f t="shared" si="15"/>
        <v/>
      </c>
    </row>
    <row r="1000" spans="1:1" x14ac:dyDescent="0.25">
      <c r="A1000" s="216" t="str">
        <f t="shared" si="15"/>
        <v/>
      </c>
    </row>
    <row r="1001" spans="1:1" x14ac:dyDescent="0.25">
      <c r="A1001" s="216" t="str">
        <f t="shared" si="15"/>
        <v/>
      </c>
    </row>
    <row r="1002" spans="1:1" x14ac:dyDescent="0.25">
      <c r="A1002" s="216" t="str">
        <f t="shared" si="15"/>
        <v/>
      </c>
    </row>
    <row r="1003" spans="1:1" x14ac:dyDescent="0.25">
      <c r="A1003" s="216" t="str">
        <f t="shared" si="15"/>
        <v/>
      </c>
    </row>
    <row r="1004" spans="1:1" x14ac:dyDescent="0.25">
      <c r="A1004" s="216" t="str">
        <f t="shared" si="15"/>
        <v/>
      </c>
    </row>
    <row r="1005" spans="1:1" x14ac:dyDescent="0.25">
      <c r="A1005" s="216" t="str">
        <f t="shared" si="15"/>
        <v/>
      </c>
    </row>
    <row r="1006" spans="1:1" x14ac:dyDescent="0.25">
      <c r="A1006" s="216" t="str">
        <f t="shared" si="15"/>
        <v/>
      </c>
    </row>
    <row r="1007" spans="1:1" x14ac:dyDescent="0.25">
      <c r="A1007" s="216" t="str">
        <f t="shared" si="15"/>
        <v/>
      </c>
    </row>
    <row r="1008" spans="1:1" x14ac:dyDescent="0.25">
      <c r="A1008" s="216" t="str">
        <f t="shared" si="15"/>
        <v/>
      </c>
    </row>
    <row r="1009" spans="1:1" x14ac:dyDescent="0.25">
      <c r="A1009" s="216" t="str">
        <f t="shared" si="15"/>
        <v/>
      </c>
    </row>
    <row r="1010" spans="1:1" x14ac:dyDescent="0.25">
      <c r="A1010" s="216" t="str">
        <f t="shared" si="15"/>
        <v/>
      </c>
    </row>
    <row r="1011" spans="1:1" x14ac:dyDescent="0.25">
      <c r="A1011" s="216" t="str">
        <f t="shared" si="15"/>
        <v/>
      </c>
    </row>
    <row r="1012" spans="1:1" x14ac:dyDescent="0.25">
      <c r="A1012" s="216" t="str">
        <f t="shared" si="15"/>
        <v/>
      </c>
    </row>
    <row r="1013" spans="1:1" x14ac:dyDescent="0.25">
      <c r="A1013" s="216" t="str">
        <f t="shared" si="15"/>
        <v/>
      </c>
    </row>
    <row r="1014" spans="1:1" x14ac:dyDescent="0.25">
      <c r="A1014" s="216" t="str">
        <f t="shared" si="15"/>
        <v/>
      </c>
    </row>
    <row r="1015" spans="1:1" x14ac:dyDescent="0.25">
      <c r="A1015" s="216" t="str">
        <f t="shared" si="15"/>
        <v/>
      </c>
    </row>
    <row r="1016" spans="1:1" x14ac:dyDescent="0.25">
      <c r="A1016" s="216" t="str">
        <f t="shared" si="15"/>
        <v/>
      </c>
    </row>
    <row r="1017" spans="1:1" x14ac:dyDescent="0.25">
      <c r="A1017" s="216" t="str">
        <f t="shared" si="15"/>
        <v/>
      </c>
    </row>
    <row r="1018" spans="1:1" x14ac:dyDescent="0.25">
      <c r="A1018" s="216" t="str">
        <f t="shared" si="15"/>
        <v/>
      </c>
    </row>
    <row r="1019" spans="1:1" x14ac:dyDescent="0.25">
      <c r="A1019" s="216" t="str">
        <f t="shared" si="15"/>
        <v/>
      </c>
    </row>
    <row r="1020" spans="1:1" x14ac:dyDescent="0.25">
      <c r="A1020" s="216" t="str">
        <f t="shared" si="15"/>
        <v/>
      </c>
    </row>
    <row r="1021" spans="1:1" x14ac:dyDescent="0.25">
      <c r="A1021" s="216" t="str">
        <f t="shared" si="15"/>
        <v/>
      </c>
    </row>
    <row r="1022" spans="1:1" x14ac:dyDescent="0.25">
      <c r="A1022" s="216" t="str">
        <f t="shared" si="15"/>
        <v/>
      </c>
    </row>
    <row r="1023" spans="1:1" x14ac:dyDescent="0.25">
      <c r="A1023" s="216" t="str">
        <f t="shared" si="15"/>
        <v/>
      </c>
    </row>
    <row r="1024" spans="1:1" x14ac:dyDescent="0.25">
      <c r="A1024" s="216" t="str">
        <f t="shared" si="15"/>
        <v/>
      </c>
    </row>
    <row r="1025" spans="1:1" x14ac:dyDescent="0.25">
      <c r="A1025" s="216" t="str">
        <f t="shared" si="15"/>
        <v/>
      </c>
    </row>
    <row r="1026" spans="1:1" x14ac:dyDescent="0.25">
      <c r="A1026" s="216" t="str">
        <f t="shared" si="15"/>
        <v/>
      </c>
    </row>
    <row r="1027" spans="1:1" x14ac:dyDescent="0.25">
      <c r="A1027" s="216" t="str">
        <f t="shared" si="15"/>
        <v/>
      </c>
    </row>
    <row r="1028" spans="1:1" x14ac:dyDescent="0.25">
      <c r="A1028" s="216" t="str">
        <f t="shared" ref="A1028:A1091" si="16">IF(B1028&lt;&gt;"",A1027+1,"")</f>
        <v/>
      </c>
    </row>
    <row r="1029" spans="1:1" x14ac:dyDescent="0.25">
      <c r="A1029" s="216" t="str">
        <f t="shared" si="16"/>
        <v/>
      </c>
    </row>
    <row r="1030" spans="1:1" x14ac:dyDescent="0.25">
      <c r="A1030" s="216" t="str">
        <f t="shared" si="16"/>
        <v/>
      </c>
    </row>
    <row r="1031" spans="1:1" x14ac:dyDescent="0.25">
      <c r="A1031" s="216" t="str">
        <f t="shared" si="16"/>
        <v/>
      </c>
    </row>
    <row r="1032" spans="1:1" x14ac:dyDescent="0.25">
      <c r="A1032" s="216" t="str">
        <f t="shared" si="16"/>
        <v/>
      </c>
    </row>
    <row r="1033" spans="1:1" x14ac:dyDescent="0.25">
      <c r="A1033" s="216" t="str">
        <f t="shared" si="16"/>
        <v/>
      </c>
    </row>
    <row r="1034" spans="1:1" x14ac:dyDescent="0.25">
      <c r="A1034" s="216" t="str">
        <f t="shared" si="16"/>
        <v/>
      </c>
    </row>
    <row r="1035" spans="1:1" x14ac:dyDescent="0.25">
      <c r="A1035" s="216" t="str">
        <f t="shared" si="16"/>
        <v/>
      </c>
    </row>
    <row r="1036" spans="1:1" x14ac:dyDescent="0.25">
      <c r="A1036" s="216" t="str">
        <f t="shared" si="16"/>
        <v/>
      </c>
    </row>
    <row r="1037" spans="1:1" x14ac:dyDescent="0.25">
      <c r="A1037" s="216" t="str">
        <f t="shared" si="16"/>
        <v/>
      </c>
    </row>
    <row r="1038" spans="1:1" x14ac:dyDescent="0.25">
      <c r="A1038" s="216" t="str">
        <f t="shared" si="16"/>
        <v/>
      </c>
    </row>
    <row r="1039" spans="1:1" x14ac:dyDescent="0.25">
      <c r="A1039" s="216" t="str">
        <f t="shared" si="16"/>
        <v/>
      </c>
    </row>
    <row r="1040" spans="1:1" x14ac:dyDescent="0.25">
      <c r="A1040" s="216" t="str">
        <f t="shared" si="16"/>
        <v/>
      </c>
    </row>
    <row r="1041" spans="1:1" x14ac:dyDescent="0.25">
      <c r="A1041" s="216" t="str">
        <f t="shared" si="16"/>
        <v/>
      </c>
    </row>
    <row r="1042" spans="1:1" x14ac:dyDescent="0.25">
      <c r="A1042" s="216" t="str">
        <f t="shared" si="16"/>
        <v/>
      </c>
    </row>
    <row r="1043" spans="1:1" x14ac:dyDescent="0.25">
      <c r="A1043" s="216" t="str">
        <f t="shared" si="16"/>
        <v/>
      </c>
    </row>
    <row r="1044" spans="1:1" x14ac:dyDescent="0.25">
      <c r="A1044" s="216" t="str">
        <f t="shared" si="16"/>
        <v/>
      </c>
    </row>
    <row r="1045" spans="1:1" x14ac:dyDescent="0.25">
      <c r="A1045" s="216" t="str">
        <f t="shared" si="16"/>
        <v/>
      </c>
    </row>
    <row r="1046" spans="1:1" x14ac:dyDescent="0.25">
      <c r="A1046" s="216" t="str">
        <f t="shared" si="16"/>
        <v/>
      </c>
    </row>
    <row r="1047" spans="1:1" x14ac:dyDescent="0.25">
      <c r="A1047" s="216" t="str">
        <f t="shared" si="16"/>
        <v/>
      </c>
    </row>
    <row r="1048" spans="1:1" x14ac:dyDescent="0.25">
      <c r="A1048" s="216" t="str">
        <f t="shared" si="16"/>
        <v/>
      </c>
    </row>
    <row r="1049" spans="1:1" x14ac:dyDescent="0.25">
      <c r="A1049" s="216" t="str">
        <f t="shared" si="16"/>
        <v/>
      </c>
    </row>
    <row r="1050" spans="1:1" x14ac:dyDescent="0.25">
      <c r="A1050" s="216" t="str">
        <f t="shared" si="16"/>
        <v/>
      </c>
    </row>
    <row r="1051" spans="1:1" x14ac:dyDescent="0.25">
      <c r="A1051" s="216" t="str">
        <f t="shared" si="16"/>
        <v/>
      </c>
    </row>
    <row r="1052" spans="1:1" x14ac:dyDescent="0.25">
      <c r="A1052" s="216" t="str">
        <f t="shared" si="16"/>
        <v/>
      </c>
    </row>
    <row r="1053" spans="1:1" x14ac:dyDescent="0.25">
      <c r="A1053" s="216" t="str">
        <f t="shared" si="16"/>
        <v/>
      </c>
    </row>
    <row r="1054" spans="1:1" x14ac:dyDescent="0.25">
      <c r="A1054" s="216" t="str">
        <f t="shared" si="16"/>
        <v/>
      </c>
    </row>
    <row r="1055" spans="1:1" x14ac:dyDescent="0.25">
      <c r="A1055" s="216" t="str">
        <f t="shared" si="16"/>
        <v/>
      </c>
    </row>
    <row r="1056" spans="1:1" x14ac:dyDescent="0.25">
      <c r="A1056" s="216" t="str">
        <f t="shared" si="16"/>
        <v/>
      </c>
    </row>
    <row r="1057" spans="1:1" x14ac:dyDescent="0.25">
      <c r="A1057" s="216" t="str">
        <f t="shared" si="16"/>
        <v/>
      </c>
    </row>
    <row r="1058" spans="1:1" x14ac:dyDescent="0.25">
      <c r="A1058" s="216" t="str">
        <f t="shared" si="16"/>
        <v/>
      </c>
    </row>
    <row r="1059" spans="1:1" x14ac:dyDescent="0.25">
      <c r="A1059" s="216" t="str">
        <f t="shared" si="16"/>
        <v/>
      </c>
    </row>
    <row r="1060" spans="1:1" x14ac:dyDescent="0.25">
      <c r="A1060" s="216" t="str">
        <f t="shared" si="16"/>
        <v/>
      </c>
    </row>
    <row r="1061" spans="1:1" x14ac:dyDescent="0.25">
      <c r="A1061" s="216" t="str">
        <f t="shared" si="16"/>
        <v/>
      </c>
    </row>
    <row r="1062" spans="1:1" x14ac:dyDescent="0.25">
      <c r="A1062" s="216" t="str">
        <f t="shared" si="16"/>
        <v/>
      </c>
    </row>
    <row r="1063" spans="1:1" x14ac:dyDescent="0.25">
      <c r="A1063" s="216" t="str">
        <f t="shared" si="16"/>
        <v/>
      </c>
    </row>
    <row r="1064" spans="1:1" x14ac:dyDescent="0.25">
      <c r="A1064" s="216" t="str">
        <f t="shared" si="16"/>
        <v/>
      </c>
    </row>
    <row r="1065" spans="1:1" x14ac:dyDescent="0.25">
      <c r="A1065" s="216" t="str">
        <f t="shared" si="16"/>
        <v/>
      </c>
    </row>
    <row r="1066" spans="1:1" x14ac:dyDescent="0.25">
      <c r="A1066" s="216" t="str">
        <f t="shared" si="16"/>
        <v/>
      </c>
    </row>
    <row r="1067" spans="1:1" x14ac:dyDescent="0.25">
      <c r="A1067" s="216" t="str">
        <f t="shared" si="16"/>
        <v/>
      </c>
    </row>
    <row r="1068" spans="1:1" x14ac:dyDescent="0.25">
      <c r="A1068" s="216" t="str">
        <f t="shared" si="16"/>
        <v/>
      </c>
    </row>
    <row r="1069" spans="1:1" x14ac:dyDescent="0.25">
      <c r="A1069" s="216" t="str">
        <f t="shared" si="16"/>
        <v/>
      </c>
    </row>
    <row r="1070" spans="1:1" x14ac:dyDescent="0.25">
      <c r="A1070" s="216" t="str">
        <f t="shared" si="16"/>
        <v/>
      </c>
    </row>
    <row r="1071" spans="1:1" x14ac:dyDescent="0.25">
      <c r="A1071" s="216" t="str">
        <f t="shared" si="16"/>
        <v/>
      </c>
    </row>
    <row r="1072" spans="1:1" x14ac:dyDescent="0.25">
      <c r="A1072" s="216" t="str">
        <f t="shared" si="16"/>
        <v/>
      </c>
    </row>
    <row r="1073" spans="1:1" x14ac:dyDescent="0.25">
      <c r="A1073" s="216" t="str">
        <f t="shared" si="16"/>
        <v/>
      </c>
    </row>
    <row r="1074" spans="1:1" x14ac:dyDescent="0.25">
      <c r="A1074" s="216" t="str">
        <f t="shared" si="16"/>
        <v/>
      </c>
    </row>
    <row r="1075" spans="1:1" x14ac:dyDescent="0.25">
      <c r="A1075" s="216" t="str">
        <f t="shared" si="16"/>
        <v/>
      </c>
    </row>
    <row r="1076" spans="1:1" x14ac:dyDescent="0.25">
      <c r="A1076" s="216" t="str">
        <f t="shared" si="16"/>
        <v/>
      </c>
    </row>
    <row r="1077" spans="1:1" x14ac:dyDescent="0.25">
      <c r="A1077" s="216" t="str">
        <f t="shared" si="16"/>
        <v/>
      </c>
    </row>
    <row r="1078" spans="1:1" x14ac:dyDescent="0.25">
      <c r="A1078" s="216" t="str">
        <f t="shared" si="16"/>
        <v/>
      </c>
    </row>
    <row r="1079" spans="1:1" x14ac:dyDescent="0.25">
      <c r="A1079" s="216" t="str">
        <f t="shared" si="16"/>
        <v/>
      </c>
    </row>
    <row r="1080" spans="1:1" x14ac:dyDescent="0.25">
      <c r="A1080" s="216" t="str">
        <f t="shared" si="16"/>
        <v/>
      </c>
    </row>
    <row r="1081" spans="1:1" x14ac:dyDescent="0.25">
      <c r="A1081" s="216" t="str">
        <f t="shared" si="16"/>
        <v/>
      </c>
    </row>
    <row r="1082" spans="1:1" x14ac:dyDescent="0.25">
      <c r="A1082" s="216" t="str">
        <f t="shared" si="16"/>
        <v/>
      </c>
    </row>
    <row r="1083" spans="1:1" x14ac:dyDescent="0.25">
      <c r="A1083" s="216" t="str">
        <f t="shared" si="16"/>
        <v/>
      </c>
    </row>
    <row r="1084" spans="1:1" x14ac:dyDescent="0.25">
      <c r="A1084" s="216" t="str">
        <f t="shared" si="16"/>
        <v/>
      </c>
    </row>
    <row r="1085" spans="1:1" x14ac:dyDescent="0.25">
      <c r="A1085" s="216" t="str">
        <f t="shared" si="16"/>
        <v/>
      </c>
    </row>
    <row r="1086" spans="1:1" x14ac:dyDescent="0.25">
      <c r="A1086" s="216" t="str">
        <f t="shared" si="16"/>
        <v/>
      </c>
    </row>
    <row r="1087" spans="1:1" x14ac:dyDescent="0.25">
      <c r="A1087" s="216" t="str">
        <f t="shared" si="16"/>
        <v/>
      </c>
    </row>
    <row r="1088" spans="1:1" x14ac:dyDescent="0.25">
      <c r="A1088" s="216" t="str">
        <f t="shared" si="16"/>
        <v/>
      </c>
    </row>
    <row r="1089" spans="1:1" x14ac:dyDescent="0.25">
      <c r="A1089" s="216" t="str">
        <f t="shared" si="16"/>
        <v/>
      </c>
    </row>
    <row r="1090" spans="1:1" x14ac:dyDescent="0.25">
      <c r="A1090" s="216" t="str">
        <f t="shared" si="16"/>
        <v/>
      </c>
    </row>
    <row r="1091" spans="1:1" x14ac:dyDescent="0.25">
      <c r="A1091" s="216" t="str">
        <f t="shared" si="16"/>
        <v/>
      </c>
    </row>
    <row r="1092" spans="1:1" x14ac:dyDescent="0.25">
      <c r="A1092" s="216" t="str">
        <f t="shared" ref="A1092:A1155" si="17">IF(B1092&lt;&gt;"",A1091+1,"")</f>
        <v/>
      </c>
    </row>
    <row r="1093" spans="1:1" x14ac:dyDescent="0.25">
      <c r="A1093" s="216" t="str">
        <f t="shared" si="17"/>
        <v/>
      </c>
    </row>
    <row r="1094" spans="1:1" x14ac:dyDescent="0.25">
      <c r="A1094" s="216" t="str">
        <f t="shared" si="17"/>
        <v/>
      </c>
    </row>
    <row r="1095" spans="1:1" x14ac:dyDescent="0.25">
      <c r="A1095" s="216" t="str">
        <f t="shared" si="17"/>
        <v/>
      </c>
    </row>
    <row r="1096" spans="1:1" x14ac:dyDescent="0.25">
      <c r="A1096" s="216" t="str">
        <f t="shared" si="17"/>
        <v/>
      </c>
    </row>
    <row r="1097" spans="1:1" x14ac:dyDescent="0.25">
      <c r="A1097" s="216" t="str">
        <f t="shared" si="17"/>
        <v/>
      </c>
    </row>
    <row r="1098" spans="1:1" x14ac:dyDescent="0.25">
      <c r="A1098" s="216" t="str">
        <f t="shared" si="17"/>
        <v/>
      </c>
    </row>
    <row r="1099" spans="1:1" x14ac:dyDescent="0.25">
      <c r="A1099" s="216" t="str">
        <f t="shared" si="17"/>
        <v/>
      </c>
    </row>
    <row r="1100" spans="1:1" x14ac:dyDescent="0.25">
      <c r="A1100" s="216" t="str">
        <f t="shared" si="17"/>
        <v/>
      </c>
    </row>
    <row r="1101" spans="1:1" x14ac:dyDescent="0.25">
      <c r="A1101" s="216" t="str">
        <f t="shared" si="17"/>
        <v/>
      </c>
    </row>
    <row r="1102" spans="1:1" x14ac:dyDescent="0.25">
      <c r="A1102" s="216" t="str">
        <f t="shared" si="17"/>
        <v/>
      </c>
    </row>
    <row r="1103" spans="1:1" x14ac:dyDescent="0.25">
      <c r="A1103" s="216" t="str">
        <f t="shared" si="17"/>
        <v/>
      </c>
    </row>
    <row r="1104" spans="1:1" x14ac:dyDescent="0.25">
      <c r="A1104" s="216" t="str">
        <f t="shared" si="17"/>
        <v/>
      </c>
    </row>
    <row r="1105" spans="1:1" x14ac:dyDescent="0.25">
      <c r="A1105" s="216" t="str">
        <f t="shared" si="17"/>
        <v/>
      </c>
    </row>
    <row r="1106" spans="1:1" x14ac:dyDescent="0.25">
      <c r="A1106" s="216" t="str">
        <f t="shared" si="17"/>
        <v/>
      </c>
    </row>
    <row r="1107" spans="1:1" x14ac:dyDescent="0.25">
      <c r="A1107" s="216" t="str">
        <f t="shared" si="17"/>
        <v/>
      </c>
    </row>
    <row r="1108" spans="1:1" x14ac:dyDescent="0.25">
      <c r="A1108" s="216" t="str">
        <f t="shared" si="17"/>
        <v/>
      </c>
    </row>
    <row r="1109" spans="1:1" x14ac:dyDescent="0.25">
      <c r="A1109" s="216" t="str">
        <f t="shared" si="17"/>
        <v/>
      </c>
    </row>
    <row r="1110" spans="1:1" x14ac:dyDescent="0.25">
      <c r="A1110" s="216" t="str">
        <f t="shared" si="17"/>
        <v/>
      </c>
    </row>
    <row r="1111" spans="1:1" x14ac:dyDescent="0.25">
      <c r="A1111" s="216" t="str">
        <f t="shared" si="17"/>
        <v/>
      </c>
    </row>
    <row r="1112" spans="1:1" x14ac:dyDescent="0.25">
      <c r="A1112" s="216" t="str">
        <f t="shared" si="17"/>
        <v/>
      </c>
    </row>
    <row r="1113" spans="1:1" x14ac:dyDescent="0.25">
      <c r="A1113" s="216" t="str">
        <f t="shared" si="17"/>
        <v/>
      </c>
    </row>
    <row r="1114" spans="1:1" x14ac:dyDescent="0.25">
      <c r="A1114" s="216" t="str">
        <f t="shared" si="17"/>
        <v/>
      </c>
    </row>
    <row r="1115" spans="1:1" x14ac:dyDescent="0.25">
      <c r="A1115" s="216" t="str">
        <f t="shared" si="17"/>
        <v/>
      </c>
    </row>
    <row r="1116" spans="1:1" x14ac:dyDescent="0.25">
      <c r="A1116" s="216" t="str">
        <f t="shared" si="17"/>
        <v/>
      </c>
    </row>
    <row r="1117" spans="1:1" x14ac:dyDescent="0.25">
      <c r="A1117" s="216" t="str">
        <f t="shared" si="17"/>
        <v/>
      </c>
    </row>
    <row r="1118" spans="1:1" x14ac:dyDescent="0.25">
      <c r="A1118" s="216" t="str">
        <f t="shared" si="17"/>
        <v/>
      </c>
    </row>
    <row r="1119" spans="1:1" x14ac:dyDescent="0.25">
      <c r="A1119" s="216" t="str">
        <f t="shared" si="17"/>
        <v/>
      </c>
    </row>
    <row r="1120" spans="1:1" x14ac:dyDescent="0.25">
      <c r="A1120" s="216" t="str">
        <f t="shared" si="17"/>
        <v/>
      </c>
    </row>
    <row r="1121" spans="1:1" x14ac:dyDescent="0.25">
      <c r="A1121" s="216" t="str">
        <f t="shared" si="17"/>
        <v/>
      </c>
    </row>
    <row r="1122" spans="1:1" x14ac:dyDescent="0.25">
      <c r="A1122" s="216" t="str">
        <f t="shared" si="17"/>
        <v/>
      </c>
    </row>
    <row r="1123" spans="1:1" x14ac:dyDescent="0.25">
      <c r="A1123" s="216" t="str">
        <f t="shared" si="17"/>
        <v/>
      </c>
    </row>
    <row r="1124" spans="1:1" x14ac:dyDescent="0.25">
      <c r="A1124" s="216" t="str">
        <f t="shared" si="17"/>
        <v/>
      </c>
    </row>
    <row r="1125" spans="1:1" x14ac:dyDescent="0.25">
      <c r="A1125" s="216" t="str">
        <f t="shared" si="17"/>
        <v/>
      </c>
    </row>
    <row r="1126" spans="1:1" x14ac:dyDescent="0.25">
      <c r="A1126" s="216" t="str">
        <f t="shared" si="17"/>
        <v/>
      </c>
    </row>
    <row r="1127" spans="1:1" x14ac:dyDescent="0.25">
      <c r="A1127" s="216" t="str">
        <f t="shared" si="17"/>
        <v/>
      </c>
    </row>
    <row r="1128" spans="1:1" x14ac:dyDescent="0.25">
      <c r="A1128" s="216" t="str">
        <f t="shared" si="17"/>
        <v/>
      </c>
    </row>
    <row r="1129" spans="1:1" x14ac:dyDescent="0.25">
      <c r="A1129" s="216" t="str">
        <f t="shared" si="17"/>
        <v/>
      </c>
    </row>
    <row r="1130" spans="1:1" x14ac:dyDescent="0.25">
      <c r="A1130" s="216" t="str">
        <f t="shared" si="17"/>
        <v/>
      </c>
    </row>
    <row r="1131" spans="1:1" x14ac:dyDescent="0.25">
      <c r="A1131" s="216" t="str">
        <f t="shared" si="17"/>
        <v/>
      </c>
    </row>
    <row r="1132" spans="1:1" x14ac:dyDescent="0.25">
      <c r="A1132" s="216" t="str">
        <f t="shared" si="17"/>
        <v/>
      </c>
    </row>
    <row r="1133" spans="1:1" x14ac:dyDescent="0.25">
      <c r="A1133" s="216" t="str">
        <f t="shared" si="17"/>
        <v/>
      </c>
    </row>
    <row r="1134" spans="1:1" x14ac:dyDescent="0.25">
      <c r="A1134" s="216" t="str">
        <f t="shared" si="17"/>
        <v/>
      </c>
    </row>
    <row r="1135" spans="1:1" x14ac:dyDescent="0.25">
      <c r="A1135" s="216" t="str">
        <f t="shared" si="17"/>
        <v/>
      </c>
    </row>
    <row r="1136" spans="1:1" x14ac:dyDescent="0.25">
      <c r="A1136" s="216" t="str">
        <f t="shared" si="17"/>
        <v/>
      </c>
    </row>
    <row r="1137" spans="1:1" x14ac:dyDescent="0.25">
      <c r="A1137" s="216" t="str">
        <f t="shared" si="17"/>
        <v/>
      </c>
    </row>
    <row r="1138" spans="1:1" x14ac:dyDescent="0.25">
      <c r="A1138" s="216" t="str">
        <f t="shared" si="17"/>
        <v/>
      </c>
    </row>
    <row r="1139" spans="1:1" x14ac:dyDescent="0.25">
      <c r="A1139" s="216" t="str">
        <f t="shared" si="17"/>
        <v/>
      </c>
    </row>
    <row r="1140" spans="1:1" x14ac:dyDescent="0.25">
      <c r="A1140" s="216" t="str">
        <f t="shared" si="17"/>
        <v/>
      </c>
    </row>
    <row r="1141" spans="1:1" x14ac:dyDescent="0.25">
      <c r="A1141" s="216" t="str">
        <f t="shared" si="17"/>
        <v/>
      </c>
    </row>
    <row r="1142" spans="1:1" x14ac:dyDescent="0.25">
      <c r="A1142" s="216" t="str">
        <f t="shared" si="17"/>
        <v/>
      </c>
    </row>
    <row r="1143" spans="1:1" x14ac:dyDescent="0.25">
      <c r="A1143" s="216" t="str">
        <f t="shared" si="17"/>
        <v/>
      </c>
    </row>
    <row r="1144" spans="1:1" x14ac:dyDescent="0.25">
      <c r="A1144" s="216" t="str">
        <f t="shared" si="17"/>
        <v/>
      </c>
    </row>
    <row r="1145" spans="1:1" x14ac:dyDescent="0.25">
      <c r="A1145" s="216" t="str">
        <f t="shared" si="17"/>
        <v/>
      </c>
    </row>
    <row r="1146" spans="1:1" x14ac:dyDescent="0.25">
      <c r="A1146" s="216" t="str">
        <f t="shared" si="17"/>
        <v/>
      </c>
    </row>
    <row r="1147" spans="1:1" x14ac:dyDescent="0.25">
      <c r="A1147" s="216" t="str">
        <f t="shared" si="17"/>
        <v/>
      </c>
    </row>
    <row r="1148" spans="1:1" x14ac:dyDescent="0.25">
      <c r="A1148" s="216" t="str">
        <f t="shared" si="17"/>
        <v/>
      </c>
    </row>
    <row r="1149" spans="1:1" x14ac:dyDescent="0.25">
      <c r="A1149" s="216" t="str">
        <f t="shared" si="17"/>
        <v/>
      </c>
    </row>
    <row r="1150" spans="1:1" x14ac:dyDescent="0.25">
      <c r="A1150" s="216" t="str">
        <f t="shared" si="17"/>
        <v/>
      </c>
    </row>
    <row r="1151" spans="1:1" x14ac:dyDescent="0.25">
      <c r="A1151" s="216" t="str">
        <f t="shared" si="17"/>
        <v/>
      </c>
    </row>
    <row r="1152" spans="1:1" x14ac:dyDescent="0.25">
      <c r="A1152" s="216" t="str">
        <f t="shared" si="17"/>
        <v/>
      </c>
    </row>
    <row r="1153" spans="1:1" x14ac:dyDescent="0.25">
      <c r="A1153" s="216" t="str">
        <f t="shared" si="17"/>
        <v/>
      </c>
    </row>
    <row r="1154" spans="1:1" x14ac:dyDescent="0.25">
      <c r="A1154" s="216" t="str">
        <f t="shared" si="17"/>
        <v/>
      </c>
    </row>
    <row r="1155" spans="1:1" x14ac:dyDescent="0.25">
      <c r="A1155" s="216" t="str">
        <f t="shared" si="17"/>
        <v/>
      </c>
    </row>
    <row r="1156" spans="1:1" x14ac:dyDescent="0.25">
      <c r="A1156" s="216" t="str">
        <f t="shared" ref="A1156:A1219" si="18">IF(B1156&lt;&gt;"",A1155+1,"")</f>
        <v/>
      </c>
    </row>
    <row r="1157" spans="1:1" x14ac:dyDescent="0.25">
      <c r="A1157" s="216" t="str">
        <f t="shared" si="18"/>
        <v/>
      </c>
    </row>
    <row r="1158" spans="1:1" x14ac:dyDescent="0.25">
      <c r="A1158" s="216" t="str">
        <f t="shared" si="18"/>
        <v/>
      </c>
    </row>
    <row r="1159" spans="1:1" x14ac:dyDescent="0.25">
      <c r="A1159" s="216" t="str">
        <f t="shared" si="18"/>
        <v/>
      </c>
    </row>
    <row r="1160" spans="1:1" x14ac:dyDescent="0.25">
      <c r="A1160" s="216" t="str">
        <f t="shared" si="18"/>
        <v/>
      </c>
    </row>
    <row r="1161" spans="1:1" x14ac:dyDescent="0.25">
      <c r="A1161" s="216" t="str">
        <f t="shared" si="18"/>
        <v/>
      </c>
    </row>
    <row r="1162" spans="1:1" x14ac:dyDescent="0.25">
      <c r="A1162" s="216" t="str">
        <f t="shared" si="18"/>
        <v/>
      </c>
    </row>
    <row r="1163" spans="1:1" x14ac:dyDescent="0.25">
      <c r="A1163" s="216" t="str">
        <f t="shared" si="18"/>
        <v/>
      </c>
    </row>
    <row r="1164" spans="1:1" x14ac:dyDescent="0.25">
      <c r="A1164" s="216" t="str">
        <f t="shared" si="18"/>
        <v/>
      </c>
    </row>
    <row r="1165" spans="1:1" x14ac:dyDescent="0.25">
      <c r="A1165" s="216" t="str">
        <f t="shared" si="18"/>
        <v/>
      </c>
    </row>
    <row r="1166" spans="1:1" x14ac:dyDescent="0.25">
      <c r="A1166" s="216" t="str">
        <f t="shared" si="18"/>
        <v/>
      </c>
    </row>
    <row r="1167" spans="1:1" x14ac:dyDescent="0.25">
      <c r="A1167" s="216" t="str">
        <f t="shared" si="18"/>
        <v/>
      </c>
    </row>
    <row r="1168" spans="1:1" x14ac:dyDescent="0.25">
      <c r="A1168" s="216" t="str">
        <f t="shared" si="18"/>
        <v/>
      </c>
    </row>
    <row r="1169" spans="1:1" x14ac:dyDescent="0.25">
      <c r="A1169" s="216" t="str">
        <f t="shared" si="18"/>
        <v/>
      </c>
    </row>
    <row r="1170" spans="1:1" x14ac:dyDescent="0.25">
      <c r="A1170" s="216" t="str">
        <f t="shared" si="18"/>
        <v/>
      </c>
    </row>
    <row r="1171" spans="1:1" x14ac:dyDescent="0.25">
      <c r="A1171" s="216" t="str">
        <f t="shared" si="18"/>
        <v/>
      </c>
    </row>
    <row r="1172" spans="1:1" x14ac:dyDescent="0.25">
      <c r="A1172" s="216" t="str">
        <f t="shared" si="18"/>
        <v/>
      </c>
    </row>
    <row r="1173" spans="1:1" x14ac:dyDescent="0.25">
      <c r="A1173" s="216" t="str">
        <f t="shared" si="18"/>
        <v/>
      </c>
    </row>
    <row r="1174" spans="1:1" x14ac:dyDescent="0.25">
      <c r="A1174" s="216" t="str">
        <f t="shared" si="18"/>
        <v/>
      </c>
    </row>
    <row r="1175" spans="1:1" x14ac:dyDescent="0.25">
      <c r="A1175" s="216" t="str">
        <f t="shared" si="18"/>
        <v/>
      </c>
    </row>
    <row r="1176" spans="1:1" x14ac:dyDescent="0.25">
      <c r="A1176" s="216" t="str">
        <f t="shared" si="18"/>
        <v/>
      </c>
    </row>
    <row r="1177" spans="1:1" x14ac:dyDescent="0.25">
      <c r="A1177" s="216" t="str">
        <f t="shared" si="18"/>
        <v/>
      </c>
    </row>
    <row r="1178" spans="1:1" x14ac:dyDescent="0.25">
      <c r="A1178" s="216" t="str">
        <f t="shared" si="18"/>
        <v/>
      </c>
    </row>
    <row r="1179" spans="1:1" x14ac:dyDescent="0.25">
      <c r="A1179" s="216" t="str">
        <f t="shared" si="18"/>
        <v/>
      </c>
    </row>
    <row r="1180" spans="1:1" x14ac:dyDescent="0.25">
      <c r="A1180" s="216" t="str">
        <f t="shared" si="18"/>
        <v/>
      </c>
    </row>
    <row r="1181" spans="1:1" x14ac:dyDescent="0.25">
      <c r="A1181" s="216" t="str">
        <f t="shared" si="18"/>
        <v/>
      </c>
    </row>
    <row r="1182" spans="1:1" x14ac:dyDescent="0.25">
      <c r="A1182" s="216" t="str">
        <f t="shared" si="18"/>
        <v/>
      </c>
    </row>
    <row r="1183" spans="1:1" x14ac:dyDescent="0.25">
      <c r="A1183" s="216" t="str">
        <f t="shared" si="18"/>
        <v/>
      </c>
    </row>
    <row r="1184" spans="1:1" x14ac:dyDescent="0.25">
      <c r="A1184" s="216" t="str">
        <f t="shared" si="18"/>
        <v/>
      </c>
    </row>
    <row r="1185" spans="1:1" x14ac:dyDescent="0.25">
      <c r="A1185" s="216" t="str">
        <f t="shared" si="18"/>
        <v/>
      </c>
    </row>
    <row r="1186" spans="1:1" x14ac:dyDescent="0.25">
      <c r="A1186" s="216" t="str">
        <f t="shared" si="18"/>
        <v/>
      </c>
    </row>
    <row r="1187" spans="1:1" x14ac:dyDescent="0.25">
      <c r="A1187" s="216" t="str">
        <f t="shared" si="18"/>
        <v/>
      </c>
    </row>
    <row r="1188" spans="1:1" x14ac:dyDescent="0.25">
      <c r="A1188" s="216" t="str">
        <f t="shared" si="18"/>
        <v/>
      </c>
    </row>
    <row r="1189" spans="1:1" x14ac:dyDescent="0.25">
      <c r="A1189" s="216" t="str">
        <f t="shared" si="18"/>
        <v/>
      </c>
    </row>
    <row r="1190" spans="1:1" x14ac:dyDescent="0.25">
      <c r="A1190" s="216" t="str">
        <f t="shared" si="18"/>
        <v/>
      </c>
    </row>
    <row r="1191" spans="1:1" x14ac:dyDescent="0.25">
      <c r="A1191" s="216" t="str">
        <f t="shared" si="18"/>
        <v/>
      </c>
    </row>
    <row r="1192" spans="1:1" x14ac:dyDescent="0.25">
      <c r="A1192" s="216" t="str">
        <f t="shared" si="18"/>
        <v/>
      </c>
    </row>
    <row r="1193" spans="1:1" x14ac:dyDescent="0.25">
      <c r="A1193" s="216" t="str">
        <f t="shared" si="18"/>
        <v/>
      </c>
    </row>
    <row r="1194" spans="1:1" x14ac:dyDescent="0.25">
      <c r="A1194" s="216" t="str">
        <f t="shared" si="18"/>
        <v/>
      </c>
    </row>
    <row r="1195" spans="1:1" x14ac:dyDescent="0.25">
      <c r="A1195" s="216" t="str">
        <f t="shared" si="18"/>
        <v/>
      </c>
    </row>
    <row r="1196" spans="1:1" x14ac:dyDescent="0.25">
      <c r="A1196" s="216" t="str">
        <f t="shared" si="18"/>
        <v/>
      </c>
    </row>
    <row r="1197" spans="1:1" x14ac:dyDescent="0.25">
      <c r="A1197" s="216" t="str">
        <f t="shared" si="18"/>
        <v/>
      </c>
    </row>
    <row r="1198" spans="1:1" x14ac:dyDescent="0.25">
      <c r="A1198" s="216" t="str">
        <f t="shared" si="18"/>
        <v/>
      </c>
    </row>
    <row r="1199" spans="1:1" x14ac:dyDescent="0.25">
      <c r="A1199" s="216" t="str">
        <f t="shared" si="18"/>
        <v/>
      </c>
    </row>
    <row r="1200" spans="1:1" x14ac:dyDescent="0.25">
      <c r="A1200" s="216" t="str">
        <f t="shared" si="18"/>
        <v/>
      </c>
    </row>
    <row r="1201" spans="1:1" x14ac:dyDescent="0.25">
      <c r="A1201" s="216" t="str">
        <f t="shared" si="18"/>
        <v/>
      </c>
    </row>
    <row r="1202" spans="1:1" x14ac:dyDescent="0.25">
      <c r="A1202" s="216" t="str">
        <f t="shared" si="18"/>
        <v/>
      </c>
    </row>
    <row r="1203" spans="1:1" x14ac:dyDescent="0.25">
      <c r="A1203" s="216" t="str">
        <f t="shared" si="18"/>
        <v/>
      </c>
    </row>
    <row r="1204" spans="1:1" x14ac:dyDescent="0.25">
      <c r="A1204" s="216" t="str">
        <f t="shared" si="18"/>
        <v/>
      </c>
    </row>
    <row r="1205" spans="1:1" x14ac:dyDescent="0.25">
      <c r="A1205" s="216" t="str">
        <f t="shared" si="18"/>
        <v/>
      </c>
    </row>
    <row r="1206" spans="1:1" x14ac:dyDescent="0.25">
      <c r="A1206" s="216" t="str">
        <f t="shared" si="18"/>
        <v/>
      </c>
    </row>
    <row r="1207" spans="1:1" x14ac:dyDescent="0.25">
      <c r="A1207" s="216" t="str">
        <f t="shared" si="18"/>
        <v/>
      </c>
    </row>
    <row r="1208" spans="1:1" x14ac:dyDescent="0.25">
      <c r="A1208" s="216" t="str">
        <f t="shared" si="18"/>
        <v/>
      </c>
    </row>
    <row r="1209" spans="1:1" x14ac:dyDescent="0.25">
      <c r="A1209" s="216" t="str">
        <f t="shared" si="18"/>
        <v/>
      </c>
    </row>
    <row r="1210" spans="1:1" x14ac:dyDescent="0.25">
      <c r="A1210" s="216" t="str">
        <f t="shared" si="18"/>
        <v/>
      </c>
    </row>
    <row r="1211" spans="1:1" x14ac:dyDescent="0.25">
      <c r="A1211" s="216" t="str">
        <f t="shared" si="18"/>
        <v/>
      </c>
    </row>
    <row r="1212" spans="1:1" x14ac:dyDescent="0.25">
      <c r="A1212" s="216" t="str">
        <f t="shared" si="18"/>
        <v/>
      </c>
    </row>
    <row r="1213" spans="1:1" x14ac:dyDescent="0.25">
      <c r="A1213" s="216" t="str">
        <f t="shared" si="18"/>
        <v/>
      </c>
    </row>
    <row r="1214" spans="1:1" x14ac:dyDescent="0.25">
      <c r="A1214" s="216" t="str">
        <f t="shared" si="18"/>
        <v/>
      </c>
    </row>
    <row r="1215" spans="1:1" x14ac:dyDescent="0.25">
      <c r="A1215" s="216" t="str">
        <f t="shared" si="18"/>
        <v/>
      </c>
    </row>
    <row r="1216" spans="1:1" x14ac:dyDescent="0.25">
      <c r="A1216" s="216" t="str">
        <f t="shared" si="18"/>
        <v/>
      </c>
    </row>
    <row r="1217" spans="1:1" x14ac:dyDescent="0.25">
      <c r="A1217" s="216" t="str">
        <f t="shared" si="18"/>
        <v/>
      </c>
    </row>
    <row r="1218" spans="1:1" x14ac:dyDescent="0.25">
      <c r="A1218" s="216" t="str">
        <f t="shared" si="18"/>
        <v/>
      </c>
    </row>
    <row r="1219" spans="1:1" x14ac:dyDescent="0.25">
      <c r="A1219" s="216" t="str">
        <f t="shared" si="18"/>
        <v/>
      </c>
    </row>
    <row r="1220" spans="1:1" x14ac:dyDescent="0.25">
      <c r="A1220" s="216" t="str">
        <f t="shared" ref="A1220:A1283" si="19">IF(B1220&lt;&gt;"",A1219+1,"")</f>
        <v/>
      </c>
    </row>
    <row r="1221" spans="1:1" x14ac:dyDescent="0.25">
      <c r="A1221" s="216" t="str">
        <f t="shared" si="19"/>
        <v/>
      </c>
    </row>
    <row r="1222" spans="1:1" x14ac:dyDescent="0.25">
      <c r="A1222" s="216" t="str">
        <f t="shared" si="19"/>
        <v/>
      </c>
    </row>
    <row r="1223" spans="1:1" x14ac:dyDescent="0.25">
      <c r="A1223" s="216" t="str">
        <f t="shared" si="19"/>
        <v/>
      </c>
    </row>
    <row r="1224" spans="1:1" x14ac:dyDescent="0.25">
      <c r="A1224" s="216" t="str">
        <f t="shared" si="19"/>
        <v/>
      </c>
    </row>
    <row r="1225" spans="1:1" x14ac:dyDescent="0.25">
      <c r="A1225" s="216" t="str">
        <f t="shared" si="19"/>
        <v/>
      </c>
    </row>
    <row r="1226" spans="1:1" x14ac:dyDescent="0.25">
      <c r="A1226" s="216" t="str">
        <f t="shared" si="19"/>
        <v/>
      </c>
    </row>
    <row r="1227" spans="1:1" x14ac:dyDescent="0.25">
      <c r="A1227" s="216" t="str">
        <f t="shared" si="19"/>
        <v/>
      </c>
    </row>
    <row r="1228" spans="1:1" x14ac:dyDescent="0.25">
      <c r="A1228" s="216" t="str">
        <f t="shared" si="19"/>
        <v/>
      </c>
    </row>
    <row r="1229" spans="1:1" x14ac:dyDescent="0.25">
      <c r="A1229" s="216" t="str">
        <f t="shared" si="19"/>
        <v/>
      </c>
    </row>
    <row r="1230" spans="1:1" x14ac:dyDescent="0.25">
      <c r="A1230" s="216" t="str">
        <f t="shared" si="19"/>
        <v/>
      </c>
    </row>
    <row r="1231" spans="1:1" x14ac:dyDescent="0.25">
      <c r="A1231" s="216" t="str">
        <f t="shared" si="19"/>
        <v/>
      </c>
    </row>
    <row r="1232" spans="1:1" x14ac:dyDescent="0.25">
      <c r="A1232" s="216" t="str">
        <f t="shared" si="19"/>
        <v/>
      </c>
    </row>
    <row r="1233" spans="1:1" x14ac:dyDescent="0.25">
      <c r="A1233" s="216" t="str">
        <f t="shared" si="19"/>
        <v/>
      </c>
    </row>
    <row r="1234" spans="1:1" x14ac:dyDescent="0.25">
      <c r="A1234" s="216" t="str">
        <f t="shared" si="19"/>
        <v/>
      </c>
    </row>
    <row r="1235" spans="1:1" x14ac:dyDescent="0.25">
      <c r="A1235" s="216" t="str">
        <f t="shared" si="19"/>
        <v/>
      </c>
    </row>
    <row r="1236" spans="1:1" x14ac:dyDescent="0.25">
      <c r="A1236" s="216" t="str">
        <f t="shared" si="19"/>
        <v/>
      </c>
    </row>
    <row r="1237" spans="1:1" x14ac:dyDescent="0.25">
      <c r="A1237" s="216" t="str">
        <f t="shared" si="19"/>
        <v/>
      </c>
    </row>
    <row r="1238" spans="1:1" x14ac:dyDescent="0.25">
      <c r="A1238" s="216" t="str">
        <f t="shared" si="19"/>
        <v/>
      </c>
    </row>
    <row r="1239" spans="1:1" x14ac:dyDescent="0.25">
      <c r="A1239" s="216" t="str">
        <f t="shared" si="19"/>
        <v/>
      </c>
    </row>
    <row r="1240" spans="1:1" x14ac:dyDescent="0.25">
      <c r="A1240" s="216" t="str">
        <f t="shared" si="19"/>
        <v/>
      </c>
    </row>
    <row r="1241" spans="1:1" x14ac:dyDescent="0.25">
      <c r="A1241" s="216" t="str">
        <f t="shared" si="19"/>
        <v/>
      </c>
    </row>
    <row r="1242" spans="1:1" x14ac:dyDescent="0.25">
      <c r="A1242" s="216" t="str">
        <f t="shared" si="19"/>
        <v/>
      </c>
    </row>
    <row r="1243" spans="1:1" x14ac:dyDescent="0.25">
      <c r="A1243" s="216" t="str">
        <f t="shared" si="19"/>
        <v/>
      </c>
    </row>
    <row r="1244" spans="1:1" x14ac:dyDescent="0.25">
      <c r="A1244" s="216" t="str">
        <f t="shared" si="19"/>
        <v/>
      </c>
    </row>
    <row r="1245" spans="1:1" x14ac:dyDescent="0.25">
      <c r="A1245" s="216" t="str">
        <f t="shared" si="19"/>
        <v/>
      </c>
    </row>
    <row r="1246" spans="1:1" x14ac:dyDescent="0.25">
      <c r="A1246" s="216" t="str">
        <f t="shared" si="19"/>
        <v/>
      </c>
    </row>
    <row r="1247" spans="1:1" x14ac:dyDescent="0.25">
      <c r="A1247" s="216" t="str">
        <f t="shared" si="19"/>
        <v/>
      </c>
    </row>
    <row r="1248" spans="1:1" x14ac:dyDescent="0.25">
      <c r="A1248" s="216" t="str">
        <f t="shared" si="19"/>
        <v/>
      </c>
    </row>
    <row r="1249" spans="1:1" x14ac:dyDescent="0.25">
      <c r="A1249" s="216" t="str">
        <f t="shared" si="19"/>
        <v/>
      </c>
    </row>
    <row r="1250" spans="1:1" x14ac:dyDescent="0.25">
      <c r="A1250" s="216" t="str">
        <f t="shared" si="19"/>
        <v/>
      </c>
    </row>
    <row r="1251" spans="1:1" x14ac:dyDescent="0.25">
      <c r="A1251" s="216" t="str">
        <f t="shared" si="19"/>
        <v/>
      </c>
    </row>
    <row r="1252" spans="1:1" x14ac:dyDescent="0.25">
      <c r="A1252" s="216" t="str">
        <f t="shared" si="19"/>
        <v/>
      </c>
    </row>
    <row r="1253" spans="1:1" x14ac:dyDescent="0.25">
      <c r="A1253" s="216" t="str">
        <f t="shared" si="19"/>
        <v/>
      </c>
    </row>
    <row r="1254" spans="1:1" x14ac:dyDescent="0.25">
      <c r="A1254" s="216" t="str">
        <f t="shared" si="19"/>
        <v/>
      </c>
    </row>
    <row r="1255" spans="1:1" x14ac:dyDescent="0.25">
      <c r="A1255" s="216" t="str">
        <f t="shared" si="19"/>
        <v/>
      </c>
    </row>
    <row r="1256" spans="1:1" x14ac:dyDescent="0.25">
      <c r="A1256" s="216" t="str">
        <f t="shared" si="19"/>
        <v/>
      </c>
    </row>
    <row r="1257" spans="1:1" x14ac:dyDescent="0.25">
      <c r="A1257" s="216" t="str">
        <f t="shared" si="19"/>
        <v/>
      </c>
    </row>
    <row r="1258" spans="1:1" x14ac:dyDescent="0.25">
      <c r="A1258" s="216" t="str">
        <f t="shared" si="19"/>
        <v/>
      </c>
    </row>
    <row r="1259" spans="1:1" x14ac:dyDescent="0.25">
      <c r="A1259" s="216" t="str">
        <f t="shared" si="19"/>
        <v/>
      </c>
    </row>
    <row r="1260" spans="1:1" x14ac:dyDescent="0.25">
      <c r="A1260" s="216" t="str">
        <f t="shared" si="19"/>
        <v/>
      </c>
    </row>
    <row r="1261" spans="1:1" x14ac:dyDescent="0.25">
      <c r="A1261" s="216" t="str">
        <f t="shared" si="19"/>
        <v/>
      </c>
    </row>
    <row r="1262" spans="1:1" x14ac:dyDescent="0.25">
      <c r="A1262" s="216" t="str">
        <f t="shared" si="19"/>
        <v/>
      </c>
    </row>
    <row r="1263" spans="1:1" x14ac:dyDescent="0.25">
      <c r="A1263" s="216" t="str">
        <f t="shared" si="19"/>
        <v/>
      </c>
    </row>
    <row r="1264" spans="1:1" x14ac:dyDescent="0.25">
      <c r="A1264" s="216" t="str">
        <f t="shared" si="19"/>
        <v/>
      </c>
    </row>
    <row r="1265" spans="1:1" x14ac:dyDescent="0.25">
      <c r="A1265" s="216" t="str">
        <f t="shared" si="19"/>
        <v/>
      </c>
    </row>
    <row r="1266" spans="1:1" x14ac:dyDescent="0.25">
      <c r="A1266" s="216" t="str">
        <f t="shared" si="19"/>
        <v/>
      </c>
    </row>
    <row r="1267" spans="1:1" x14ac:dyDescent="0.25">
      <c r="A1267" s="216" t="str">
        <f t="shared" si="19"/>
        <v/>
      </c>
    </row>
    <row r="1268" spans="1:1" x14ac:dyDescent="0.25">
      <c r="A1268" s="216" t="str">
        <f t="shared" si="19"/>
        <v/>
      </c>
    </row>
    <row r="1269" spans="1:1" x14ac:dyDescent="0.25">
      <c r="A1269" s="216" t="str">
        <f t="shared" si="19"/>
        <v/>
      </c>
    </row>
    <row r="1270" spans="1:1" x14ac:dyDescent="0.25">
      <c r="A1270" s="216" t="str">
        <f t="shared" si="19"/>
        <v/>
      </c>
    </row>
    <row r="1271" spans="1:1" x14ac:dyDescent="0.25">
      <c r="A1271" s="216" t="str">
        <f t="shared" si="19"/>
        <v/>
      </c>
    </row>
    <row r="1272" spans="1:1" x14ac:dyDescent="0.25">
      <c r="A1272" s="216" t="str">
        <f t="shared" si="19"/>
        <v/>
      </c>
    </row>
    <row r="1273" spans="1:1" x14ac:dyDescent="0.25">
      <c r="A1273" s="216" t="str">
        <f t="shared" si="19"/>
        <v/>
      </c>
    </row>
    <row r="1274" spans="1:1" x14ac:dyDescent="0.25">
      <c r="A1274" s="216" t="str">
        <f t="shared" si="19"/>
        <v/>
      </c>
    </row>
    <row r="1275" spans="1:1" x14ac:dyDescent="0.25">
      <c r="A1275" s="216" t="str">
        <f t="shared" si="19"/>
        <v/>
      </c>
    </row>
    <row r="1276" spans="1:1" x14ac:dyDescent="0.25">
      <c r="A1276" s="216" t="str">
        <f t="shared" si="19"/>
        <v/>
      </c>
    </row>
    <row r="1277" spans="1:1" x14ac:dyDescent="0.25">
      <c r="A1277" s="216" t="str">
        <f t="shared" si="19"/>
        <v/>
      </c>
    </row>
    <row r="1278" spans="1:1" x14ac:dyDescent="0.25">
      <c r="A1278" s="216" t="str">
        <f t="shared" si="19"/>
        <v/>
      </c>
    </row>
    <row r="1279" spans="1:1" x14ac:dyDescent="0.25">
      <c r="A1279" s="216" t="str">
        <f t="shared" si="19"/>
        <v/>
      </c>
    </row>
    <row r="1280" spans="1:1" x14ac:dyDescent="0.25">
      <c r="A1280" s="216" t="str">
        <f t="shared" si="19"/>
        <v/>
      </c>
    </row>
    <row r="1281" spans="1:1" x14ac:dyDescent="0.25">
      <c r="A1281" s="216" t="str">
        <f t="shared" si="19"/>
        <v/>
      </c>
    </row>
    <row r="1282" spans="1:1" x14ac:dyDescent="0.25">
      <c r="A1282" s="216" t="str">
        <f t="shared" si="19"/>
        <v/>
      </c>
    </row>
    <row r="1283" spans="1:1" x14ac:dyDescent="0.25">
      <c r="A1283" s="216" t="str">
        <f t="shared" si="19"/>
        <v/>
      </c>
    </row>
    <row r="1284" spans="1:1" x14ac:dyDescent="0.25">
      <c r="A1284" s="216" t="str">
        <f t="shared" ref="A1284:A1347" si="20">IF(B1284&lt;&gt;"",A1283+1,"")</f>
        <v/>
      </c>
    </row>
    <row r="1285" spans="1:1" x14ac:dyDescent="0.25">
      <c r="A1285" s="216" t="str">
        <f t="shared" si="20"/>
        <v/>
      </c>
    </row>
    <row r="1286" spans="1:1" x14ac:dyDescent="0.25">
      <c r="A1286" s="216" t="str">
        <f t="shared" si="20"/>
        <v/>
      </c>
    </row>
    <row r="1287" spans="1:1" x14ac:dyDescent="0.25">
      <c r="A1287" s="216" t="str">
        <f t="shared" si="20"/>
        <v/>
      </c>
    </row>
    <row r="1288" spans="1:1" x14ac:dyDescent="0.25">
      <c r="A1288" s="216" t="str">
        <f t="shared" si="20"/>
        <v/>
      </c>
    </row>
    <row r="1289" spans="1:1" x14ac:dyDescent="0.25">
      <c r="A1289" s="216" t="str">
        <f t="shared" si="20"/>
        <v/>
      </c>
    </row>
    <row r="1290" spans="1:1" x14ac:dyDescent="0.25">
      <c r="A1290" s="216" t="str">
        <f t="shared" si="20"/>
        <v/>
      </c>
    </row>
    <row r="1291" spans="1:1" x14ac:dyDescent="0.25">
      <c r="A1291" s="216" t="str">
        <f t="shared" si="20"/>
        <v/>
      </c>
    </row>
    <row r="1292" spans="1:1" x14ac:dyDescent="0.25">
      <c r="A1292" s="216" t="str">
        <f t="shared" si="20"/>
        <v/>
      </c>
    </row>
    <row r="1293" spans="1:1" x14ac:dyDescent="0.25">
      <c r="A1293" s="216" t="str">
        <f t="shared" si="20"/>
        <v/>
      </c>
    </row>
    <row r="1294" spans="1:1" x14ac:dyDescent="0.25">
      <c r="A1294" s="216" t="str">
        <f t="shared" si="20"/>
        <v/>
      </c>
    </row>
    <row r="1295" spans="1:1" x14ac:dyDescent="0.25">
      <c r="A1295" s="216" t="str">
        <f t="shared" si="20"/>
        <v/>
      </c>
    </row>
    <row r="1296" spans="1:1" x14ac:dyDescent="0.25">
      <c r="A1296" s="216" t="str">
        <f t="shared" si="20"/>
        <v/>
      </c>
    </row>
    <row r="1297" spans="1:1" x14ac:dyDescent="0.25">
      <c r="A1297" s="216" t="str">
        <f t="shared" si="20"/>
        <v/>
      </c>
    </row>
    <row r="1298" spans="1:1" x14ac:dyDescent="0.25">
      <c r="A1298" s="216" t="str">
        <f t="shared" si="20"/>
        <v/>
      </c>
    </row>
    <row r="1299" spans="1:1" x14ac:dyDescent="0.25">
      <c r="A1299" s="216" t="str">
        <f t="shared" si="20"/>
        <v/>
      </c>
    </row>
    <row r="1300" spans="1:1" x14ac:dyDescent="0.25">
      <c r="A1300" s="216" t="str">
        <f t="shared" si="20"/>
        <v/>
      </c>
    </row>
    <row r="1301" spans="1:1" x14ac:dyDescent="0.25">
      <c r="A1301" s="216" t="str">
        <f t="shared" si="20"/>
        <v/>
      </c>
    </row>
    <row r="1302" spans="1:1" x14ac:dyDescent="0.25">
      <c r="A1302" s="216" t="str">
        <f t="shared" si="20"/>
        <v/>
      </c>
    </row>
    <row r="1303" spans="1:1" x14ac:dyDescent="0.25">
      <c r="A1303" s="216" t="str">
        <f t="shared" si="20"/>
        <v/>
      </c>
    </row>
    <row r="1304" spans="1:1" x14ac:dyDescent="0.25">
      <c r="A1304" s="216" t="str">
        <f t="shared" si="20"/>
        <v/>
      </c>
    </row>
    <row r="1305" spans="1:1" x14ac:dyDescent="0.25">
      <c r="A1305" s="216" t="str">
        <f t="shared" si="20"/>
        <v/>
      </c>
    </row>
    <row r="1306" spans="1:1" x14ac:dyDescent="0.25">
      <c r="A1306" s="216" t="str">
        <f t="shared" si="20"/>
        <v/>
      </c>
    </row>
    <row r="1307" spans="1:1" x14ac:dyDescent="0.25">
      <c r="A1307" s="216" t="str">
        <f t="shared" si="20"/>
        <v/>
      </c>
    </row>
    <row r="1308" spans="1:1" x14ac:dyDescent="0.25">
      <c r="A1308" s="216" t="str">
        <f t="shared" si="20"/>
        <v/>
      </c>
    </row>
    <row r="1309" spans="1:1" x14ac:dyDescent="0.25">
      <c r="A1309" s="216" t="str">
        <f t="shared" si="20"/>
        <v/>
      </c>
    </row>
    <row r="1310" spans="1:1" x14ac:dyDescent="0.25">
      <c r="A1310" s="216" t="str">
        <f t="shared" si="20"/>
        <v/>
      </c>
    </row>
    <row r="1311" spans="1:1" x14ac:dyDescent="0.25">
      <c r="A1311" s="216" t="str">
        <f t="shared" si="20"/>
        <v/>
      </c>
    </row>
    <row r="1312" spans="1:1" x14ac:dyDescent="0.25">
      <c r="A1312" s="216" t="str">
        <f t="shared" si="20"/>
        <v/>
      </c>
    </row>
    <row r="1313" spans="1:1" x14ac:dyDescent="0.25">
      <c r="A1313" s="216" t="str">
        <f t="shared" si="20"/>
        <v/>
      </c>
    </row>
    <row r="1314" spans="1:1" x14ac:dyDescent="0.25">
      <c r="A1314" s="216" t="str">
        <f t="shared" si="20"/>
        <v/>
      </c>
    </row>
    <row r="1315" spans="1:1" x14ac:dyDescent="0.25">
      <c r="A1315" s="216" t="str">
        <f t="shared" si="20"/>
        <v/>
      </c>
    </row>
    <row r="1316" spans="1:1" x14ac:dyDescent="0.25">
      <c r="A1316" s="216" t="str">
        <f t="shared" si="20"/>
        <v/>
      </c>
    </row>
    <row r="1317" spans="1:1" x14ac:dyDescent="0.25">
      <c r="A1317" s="216" t="str">
        <f t="shared" si="20"/>
        <v/>
      </c>
    </row>
    <row r="1318" spans="1:1" x14ac:dyDescent="0.25">
      <c r="A1318" s="216" t="str">
        <f t="shared" si="20"/>
        <v/>
      </c>
    </row>
    <row r="1319" spans="1:1" x14ac:dyDescent="0.25">
      <c r="A1319" s="216" t="str">
        <f t="shared" si="20"/>
        <v/>
      </c>
    </row>
    <row r="1320" spans="1:1" x14ac:dyDescent="0.25">
      <c r="A1320" s="216" t="str">
        <f t="shared" si="20"/>
        <v/>
      </c>
    </row>
    <row r="1321" spans="1:1" x14ac:dyDescent="0.25">
      <c r="A1321" s="216" t="str">
        <f t="shared" si="20"/>
        <v/>
      </c>
    </row>
    <row r="1322" spans="1:1" x14ac:dyDescent="0.25">
      <c r="A1322" s="216" t="str">
        <f t="shared" si="20"/>
        <v/>
      </c>
    </row>
    <row r="1323" spans="1:1" x14ac:dyDescent="0.25">
      <c r="A1323" s="216" t="str">
        <f t="shared" si="20"/>
        <v/>
      </c>
    </row>
    <row r="1324" spans="1:1" x14ac:dyDescent="0.25">
      <c r="A1324" s="216" t="str">
        <f t="shared" si="20"/>
        <v/>
      </c>
    </row>
    <row r="1325" spans="1:1" x14ac:dyDescent="0.25">
      <c r="A1325" s="216" t="str">
        <f t="shared" si="20"/>
        <v/>
      </c>
    </row>
    <row r="1326" spans="1:1" x14ac:dyDescent="0.25">
      <c r="A1326" s="216" t="str">
        <f t="shared" si="20"/>
        <v/>
      </c>
    </row>
    <row r="1327" spans="1:1" x14ac:dyDescent="0.25">
      <c r="A1327" s="216" t="str">
        <f t="shared" si="20"/>
        <v/>
      </c>
    </row>
    <row r="1328" spans="1:1" x14ac:dyDescent="0.25">
      <c r="A1328" s="216" t="str">
        <f t="shared" si="20"/>
        <v/>
      </c>
    </row>
    <row r="1329" spans="1:1" x14ac:dyDescent="0.25">
      <c r="A1329" s="216" t="str">
        <f t="shared" si="20"/>
        <v/>
      </c>
    </row>
    <row r="1330" spans="1:1" x14ac:dyDescent="0.25">
      <c r="A1330" s="216" t="str">
        <f t="shared" si="20"/>
        <v/>
      </c>
    </row>
    <row r="1331" spans="1:1" x14ac:dyDescent="0.25">
      <c r="A1331" s="216" t="str">
        <f t="shared" si="20"/>
        <v/>
      </c>
    </row>
    <row r="1332" spans="1:1" x14ac:dyDescent="0.25">
      <c r="A1332" s="216" t="str">
        <f t="shared" si="20"/>
        <v/>
      </c>
    </row>
    <row r="1333" spans="1:1" x14ac:dyDescent="0.25">
      <c r="A1333" s="216" t="str">
        <f t="shared" si="20"/>
        <v/>
      </c>
    </row>
    <row r="1334" spans="1:1" x14ac:dyDescent="0.25">
      <c r="A1334" s="216" t="str">
        <f t="shared" si="20"/>
        <v/>
      </c>
    </row>
    <row r="1335" spans="1:1" x14ac:dyDescent="0.25">
      <c r="A1335" s="216" t="str">
        <f t="shared" si="20"/>
        <v/>
      </c>
    </row>
    <row r="1336" spans="1:1" x14ac:dyDescent="0.25">
      <c r="A1336" s="216" t="str">
        <f t="shared" si="20"/>
        <v/>
      </c>
    </row>
    <row r="1337" spans="1:1" x14ac:dyDescent="0.25">
      <c r="A1337" s="216" t="str">
        <f t="shared" si="20"/>
        <v/>
      </c>
    </row>
    <row r="1338" spans="1:1" x14ac:dyDescent="0.25">
      <c r="A1338" s="216" t="str">
        <f t="shared" si="20"/>
        <v/>
      </c>
    </row>
    <row r="1339" spans="1:1" x14ac:dyDescent="0.25">
      <c r="A1339" s="216" t="str">
        <f t="shared" si="20"/>
        <v/>
      </c>
    </row>
    <row r="1340" spans="1:1" x14ac:dyDescent="0.25">
      <c r="A1340" s="216" t="str">
        <f t="shared" si="20"/>
        <v/>
      </c>
    </row>
    <row r="1341" spans="1:1" x14ac:dyDescent="0.25">
      <c r="A1341" s="216" t="str">
        <f t="shared" si="20"/>
        <v/>
      </c>
    </row>
    <row r="1342" spans="1:1" x14ac:dyDescent="0.25">
      <c r="A1342" s="216" t="str">
        <f t="shared" si="20"/>
        <v/>
      </c>
    </row>
    <row r="1343" spans="1:1" x14ac:dyDescent="0.25">
      <c r="A1343" s="216" t="str">
        <f t="shared" si="20"/>
        <v/>
      </c>
    </row>
    <row r="1344" spans="1:1" x14ac:dyDescent="0.25">
      <c r="A1344" s="216" t="str">
        <f t="shared" si="20"/>
        <v/>
      </c>
    </row>
    <row r="1345" spans="1:1" x14ac:dyDescent="0.25">
      <c r="A1345" s="216" t="str">
        <f t="shared" si="20"/>
        <v/>
      </c>
    </row>
    <row r="1346" spans="1:1" x14ac:dyDescent="0.25">
      <c r="A1346" s="216" t="str">
        <f t="shared" si="20"/>
        <v/>
      </c>
    </row>
    <row r="1347" spans="1:1" x14ac:dyDescent="0.25">
      <c r="A1347" s="216" t="str">
        <f t="shared" si="20"/>
        <v/>
      </c>
    </row>
    <row r="1348" spans="1:1" x14ac:dyDescent="0.25">
      <c r="A1348" s="216" t="str">
        <f t="shared" ref="A1348:A1411" si="21">IF(B1348&lt;&gt;"",A1347+1,"")</f>
        <v/>
      </c>
    </row>
    <row r="1349" spans="1:1" x14ac:dyDescent="0.25">
      <c r="A1349" s="216" t="str">
        <f t="shared" si="21"/>
        <v/>
      </c>
    </row>
    <row r="1350" spans="1:1" x14ac:dyDescent="0.25">
      <c r="A1350" s="216" t="str">
        <f t="shared" si="21"/>
        <v/>
      </c>
    </row>
    <row r="1351" spans="1:1" x14ac:dyDescent="0.25">
      <c r="A1351" s="216" t="str">
        <f t="shared" si="21"/>
        <v/>
      </c>
    </row>
    <row r="1352" spans="1:1" x14ac:dyDescent="0.25">
      <c r="A1352" s="216" t="str">
        <f t="shared" si="21"/>
        <v/>
      </c>
    </row>
    <row r="1353" spans="1:1" x14ac:dyDescent="0.25">
      <c r="A1353" s="216" t="str">
        <f t="shared" si="21"/>
        <v/>
      </c>
    </row>
    <row r="1354" spans="1:1" x14ac:dyDescent="0.25">
      <c r="A1354" s="216" t="str">
        <f t="shared" si="21"/>
        <v/>
      </c>
    </row>
    <row r="1355" spans="1:1" x14ac:dyDescent="0.25">
      <c r="A1355" s="216" t="str">
        <f t="shared" si="21"/>
        <v/>
      </c>
    </row>
    <row r="1356" spans="1:1" x14ac:dyDescent="0.25">
      <c r="A1356" s="216" t="str">
        <f t="shared" si="21"/>
        <v/>
      </c>
    </row>
    <row r="1357" spans="1:1" x14ac:dyDescent="0.25">
      <c r="A1357" s="216" t="str">
        <f t="shared" si="21"/>
        <v/>
      </c>
    </row>
    <row r="1358" spans="1:1" x14ac:dyDescent="0.25">
      <c r="A1358" s="216" t="str">
        <f t="shared" si="21"/>
        <v/>
      </c>
    </row>
    <row r="1359" spans="1:1" x14ac:dyDescent="0.25">
      <c r="A1359" s="216" t="str">
        <f t="shared" si="21"/>
        <v/>
      </c>
    </row>
    <row r="1360" spans="1:1" x14ac:dyDescent="0.25">
      <c r="A1360" s="216" t="str">
        <f t="shared" si="21"/>
        <v/>
      </c>
    </row>
    <row r="1361" spans="1:1" x14ac:dyDescent="0.25">
      <c r="A1361" s="216" t="str">
        <f t="shared" si="21"/>
        <v/>
      </c>
    </row>
    <row r="1362" spans="1:1" x14ac:dyDescent="0.25">
      <c r="A1362" s="216" t="str">
        <f t="shared" si="21"/>
        <v/>
      </c>
    </row>
    <row r="1363" spans="1:1" x14ac:dyDescent="0.25">
      <c r="A1363" s="216" t="str">
        <f t="shared" si="21"/>
        <v/>
      </c>
    </row>
    <row r="1364" spans="1:1" x14ac:dyDescent="0.25">
      <c r="A1364" s="216" t="str">
        <f t="shared" si="21"/>
        <v/>
      </c>
    </row>
    <row r="1365" spans="1:1" x14ac:dyDescent="0.25">
      <c r="A1365" s="216" t="str">
        <f t="shared" si="21"/>
        <v/>
      </c>
    </row>
    <row r="1366" spans="1:1" x14ac:dyDescent="0.25">
      <c r="A1366" s="216" t="str">
        <f t="shared" si="21"/>
        <v/>
      </c>
    </row>
    <row r="1367" spans="1:1" x14ac:dyDescent="0.25">
      <c r="A1367" s="216" t="str">
        <f t="shared" si="21"/>
        <v/>
      </c>
    </row>
    <row r="1368" spans="1:1" x14ac:dyDescent="0.25">
      <c r="A1368" s="216" t="str">
        <f t="shared" si="21"/>
        <v/>
      </c>
    </row>
    <row r="1369" spans="1:1" x14ac:dyDescent="0.25">
      <c r="A1369" s="216" t="str">
        <f t="shared" si="21"/>
        <v/>
      </c>
    </row>
    <row r="1370" spans="1:1" x14ac:dyDescent="0.25">
      <c r="A1370" s="216" t="str">
        <f t="shared" si="21"/>
        <v/>
      </c>
    </row>
    <row r="1371" spans="1:1" x14ac:dyDescent="0.25">
      <c r="A1371" s="216" t="str">
        <f t="shared" si="21"/>
        <v/>
      </c>
    </row>
    <row r="1372" spans="1:1" x14ac:dyDescent="0.25">
      <c r="A1372" s="216" t="str">
        <f t="shared" si="21"/>
        <v/>
      </c>
    </row>
    <row r="1373" spans="1:1" x14ac:dyDescent="0.25">
      <c r="A1373" s="216" t="str">
        <f t="shared" si="21"/>
        <v/>
      </c>
    </row>
    <row r="1374" spans="1:1" x14ac:dyDescent="0.25">
      <c r="A1374" s="216" t="str">
        <f t="shared" si="21"/>
        <v/>
      </c>
    </row>
    <row r="1375" spans="1:1" x14ac:dyDescent="0.25">
      <c r="A1375" s="216" t="str">
        <f t="shared" si="21"/>
        <v/>
      </c>
    </row>
    <row r="1376" spans="1:1" x14ac:dyDescent="0.25">
      <c r="A1376" s="216" t="str">
        <f t="shared" si="21"/>
        <v/>
      </c>
    </row>
    <row r="1377" spans="1:1" x14ac:dyDescent="0.25">
      <c r="A1377" s="216" t="str">
        <f t="shared" si="21"/>
        <v/>
      </c>
    </row>
    <row r="1378" spans="1:1" x14ac:dyDescent="0.25">
      <c r="A1378" s="216" t="str">
        <f t="shared" si="21"/>
        <v/>
      </c>
    </row>
    <row r="1379" spans="1:1" x14ac:dyDescent="0.25">
      <c r="A1379" s="216" t="str">
        <f t="shared" si="21"/>
        <v/>
      </c>
    </row>
    <row r="1380" spans="1:1" x14ac:dyDescent="0.25">
      <c r="A1380" s="216" t="str">
        <f t="shared" si="21"/>
        <v/>
      </c>
    </row>
    <row r="1381" spans="1:1" x14ac:dyDescent="0.25">
      <c r="A1381" s="216" t="str">
        <f t="shared" si="21"/>
        <v/>
      </c>
    </row>
    <row r="1382" spans="1:1" x14ac:dyDescent="0.25">
      <c r="A1382" s="216" t="str">
        <f t="shared" si="21"/>
        <v/>
      </c>
    </row>
    <row r="1383" spans="1:1" x14ac:dyDescent="0.25">
      <c r="A1383" s="216" t="str">
        <f t="shared" si="21"/>
        <v/>
      </c>
    </row>
    <row r="1384" spans="1:1" x14ac:dyDescent="0.25">
      <c r="A1384" s="216" t="str">
        <f t="shared" si="21"/>
        <v/>
      </c>
    </row>
    <row r="1385" spans="1:1" x14ac:dyDescent="0.25">
      <c r="A1385" s="216" t="str">
        <f t="shared" si="21"/>
        <v/>
      </c>
    </row>
    <row r="1386" spans="1:1" x14ac:dyDescent="0.25">
      <c r="A1386" s="216" t="str">
        <f t="shared" si="21"/>
        <v/>
      </c>
    </row>
    <row r="1387" spans="1:1" x14ac:dyDescent="0.25">
      <c r="A1387" s="216" t="str">
        <f t="shared" si="21"/>
        <v/>
      </c>
    </row>
    <row r="1388" spans="1:1" x14ac:dyDescent="0.25">
      <c r="A1388" s="216" t="str">
        <f t="shared" si="21"/>
        <v/>
      </c>
    </row>
    <row r="1389" spans="1:1" x14ac:dyDescent="0.25">
      <c r="A1389" s="216" t="str">
        <f t="shared" si="21"/>
        <v/>
      </c>
    </row>
    <row r="1390" spans="1:1" x14ac:dyDescent="0.25">
      <c r="A1390" s="216" t="str">
        <f t="shared" si="21"/>
        <v/>
      </c>
    </row>
    <row r="1391" spans="1:1" x14ac:dyDescent="0.25">
      <c r="A1391" s="216" t="str">
        <f t="shared" si="21"/>
        <v/>
      </c>
    </row>
    <row r="1392" spans="1:1" x14ac:dyDescent="0.25">
      <c r="A1392" s="216" t="str">
        <f t="shared" si="21"/>
        <v/>
      </c>
    </row>
    <row r="1393" spans="1:1" x14ac:dyDescent="0.25">
      <c r="A1393" s="216" t="str">
        <f t="shared" si="21"/>
        <v/>
      </c>
    </row>
    <row r="1394" spans="1:1" x14ac:dyDescent="0.25">
      <c r="A1394" s="216" t="str">
        <f t="shared" si="21"/>
        <v/>
      </c>
    </row>
    <row r="1395" spans="1:1" x14ac:dyDescent="0.25">
      <c r="A1395" s="216" t="str">
        <f t="shared" si="21"/>
        <v/>
      </c>
    </row>
    <row r="1396" spans="1:1" x14ac:dyDescent="0.25">
      <c r="A1396" s="216" t="str">
        <f t="shared" si="21"/>
        <v/>
      </c>
    </row>
    <row r="1397" spans="1:1" x14ac:dyDescent="0.25">
      <c r="A1397" s="216" t="str">
        <f t="shared" si="21"/>
        <v/>
      </c>
    </row>
    <row r="1398" spans="1:1" x14ac:dyDescent="0.25">
      <c r="A1398" s="216" t="str">
        <f t="shared" si="21"/>
        <v/>
      </c>
    </row>
    <row r="1399" spans="1:1" x14ac:dyDescent="0.25">
      <c r="A1399" s="216" t="str">
        <f t="shared" si="21"/>
        <v/>
      </c>
    </row>
    <row r="1400" spans="1:1" x14ac:dyDescent="0.25">
      <c r="A1400" s="216" t="str">
        <f t="shared" si="21"/>
        <v/>
      </c>
    </row>
    <row r="1401" spans="1:1" x14ac:dyDescent="0.25">
      <c r="A1401" s="216" t="str">
        <f t="shared" si="21"/>
        <v/>
      </c>
    </row>
    <row r="1402" spans="1:1" x14ac:dyDescent="0.25">
      <c r="A1402" s="216" t="str">
        <f t="shared" si="21"/>
        <v/>
      </c>
    </row>
    <row r="1403" spans="1:1" x14ac:dyDescent="0.25">
      <c r="A1403" s="216" t="str">
        <f t="shared" si="21"/>
        <v/>
      </c>
    </row>
    <row r="1404" spans="1:1" x14ac:dyDescent="0.25">
      <c r="A1404" s="216" t="str">
        <f t="shared" si="21"/>
        <v/>
      </c>
    </row>
    <row r="1405" spans="1:1" x14ac:dyDescent="0.25">
      <c r="A1405" s="216" t="str">
        <f t="shared" si="21"/>
        <v/>
      </c>
    </row>
    <row r="1406" spans="1:1" x14ac:dyDescent="0.25">
      <c r="A1406" s="216" t="str">
        <f t="shared" si="21"/>
        <v/>
      </c>
    </row>
    <row r="1407" spans="1:1" x14ac:dyDescent="0.25">
      <c r="A1407" s="216" t="str">
        <f t="shared" si="21"/>
        <v/>
      </c>
    </row>
    <row r="1408" spans="1:1" x14ac:dyDescent="0.25">
      <c r="A1408" s="216" t="str">
        <f t="shared" si="21"/>
        <v/>
      </c>
    </row>
    <row r="1409" spans="1:1" x14ac:dyDescent="0.25">
      <c r="A1409" s="216" t="str">
        <f t="shared" si="21"/>
        <v/>
      </c>
    </row>
    <row r="1410" spans="1:1" x14ac:dyDescent="0.25">
      <c r="A1410" s="216" t="str">
        <f t="shared" si="21"/>
        <v/>
      </c>
    </row>
    <row r="1411" spans="1:1" x14ac:dyDescent="0.25">
      <c r="A1411" s="216" t="str">
        <f t="shared" si="21"/>
        <v/>
      </c>
    </row>
    <row r="1412" spans="1:1" x14ac:dyDescent="0.25">
      <c r="A1412" s="216" t="str">
        <f t="shared" ref="A1412:A1475" si="22">IF(B1412&lt;&gt;"",A1411+1,"")</f>
        <v/>
      </c>
    </row>
    <row r="1413" spans="1:1" x14ac:dyDescent="0.25">
      <c r="A1413" s="216" t="str">
        <f t="shared" si="22"/>
        <v/>
      </c>
    </row>
    <row r="1414" spans="1:1" x14ac:dyDescent="0.25">
      <c r="A1414" s="216" t="str">
        <f t="shared" si="22"/>
        <v/>
      </c>
    </row>
    <row r="1415" spans="1:1" x14ac:dyDescent="0.25">
      <c r="A1415" s="216" t="str">
        <f t="shared" si="22"/>
        <v/>
      </c>
    </row>
    <row r="1416" spans="1:1" x14ac:dyDescent="0.25">
      <c r="A1416" s="216" t="str">
        <f t="shared" si="22"/>
        <v/>
      </c>
    </row>
    <row r="1417" spans="1:1" x14ac:dyDescent="0.25">
      <c r="A1417" s="216" t="str">
        <f t="shared" si="22"/>
        <v/>
      </c>
    </row>
    <row r="1418" spans="1:1" x14ac:dyDescent="0.25">
      <c r="A1418" s="216" t="str">
        <f t="shared" si="22"/>
        <v/>
      </c>
    </row>
    <row r="1419" spans="1:1" x14ac:dyDescent="0.25">
      <c r="A1419" s="216" t="str">
        <f t="shared" si="22"/>
        <v/>
      </c>
    </row>
    <row r="1420" spans="1:1" x14ac:dyDescent="0.25">
      <c r="A1420" s="216" t="str">
        <f t="shared" si="22"/>
        <v/>
      </c>
    </row>
    <row r="1421" spans="1:1" x14ac:dyDescent="0.25">
      <c r="A1421" s="216" t="str">
        <f t="shared" si="22"/>
        <v/>
      </c>
    </row>
    <row r="1422" spans="1:1" x14ac:dyDescent="0.25">
      <c r="A1422" s="216" t="str">
        <f t="shared" si="22"/>
        <v/>
      </c>
    </row>
    <row r="1423" spans="1:1" x14ac:dyDescent="0.25">
      <c r="A1423" s="216" t="str">
        <f t="shared" si="22"/>
        <v/>
      </c>
    </row>
    <row r="1424" spans="1:1" x14ac:dyDescent="0.25">
      <c r="A1424" s="216" t="str">
        <f t="shared" si="22"/>
        <v/>
      </c>
    </row>
    <row r="1425" spans="1:1" x14ac:dyDescent="0.25">
      <c r="A1425" s="216" t="str">
        <f t="shared" si="22"/>
        <v/>
      </c>
    </row>
    <row r="1426" spans="1:1" x14ac:dyDescent="0.25">
      <c r="A1426" s="216" t="str">
        <f t="shared" si="22"/>
        <v/>
      </c>
    </row>
    <row r="1427" spans="1:1" x14ac:dyDescent="0.25">
      <c r="A1427" s="216" t="str">
        <f t="shared" si="22"/>
        <v/>
      </c>
    </row>
    <row r="1428" spans="1:1" x14ac:dyDescent="0.25">
      <c r="A1428" s="216" t="str">
        <f t="shared" si="22"/>
        <v/>
      </c>
    </row>
    <row r="1429" spans="1:1" x14ac:dyDescent="0.25">
      <c r="A1429" s="216" t="str">
        <f t="shared" si="22"/>
        <v/>
      </c>
    </row>
    <row r="1430" spans="1:1" x14ac:dyDescent="0.25">
      <c r="A1430" s="216" t="str">
        <f t="shared" si="22"/>
        <v/>
      </c>
    </row>
    <row r="1431" spans="1:1" x14ac:dyDescent="0.25">
      <c r="A1431" s="216" t="str">
        <f t="shared" si="22"/>
        <v/>
      </c>
    </row>
    <row r="1432" spans="1:1" x14ac:dyDescent="0.25">
      <c r="A1432" s="216" t="str">
        <f t="shared" si="22"/>
        <v/>
      </c>
    </row>
    <row r="1433" spans="1:1" x14ac:dyDescent="0.25">
      <c r="A1433" s="216" t="str">
        <f t="shared" si="22"/>
        <v/>
      </c>
    </row>
    <row r="1434" spans="1:1" x14ac:dyDescent="0.25">
      <c r="A1434" s="216" t="str">
        <f t="shared" si="22"/>
        <v/>
      </c>
    </row>
    <row r="1435" spans="1:1" x14ac:dyDescent="0.25">
      <c r="A1435" s="216" t="str">
        <f t="shared" si="22"/>
        <v/>
      </c>
    </row>
    <row r="1436" spans="1:1" x14ac:dyDescent="0.25">
      <c r="A1436" s="216" t="str">
        <f t="shared" si="22"/>
        <v/>
      </c>
    </row>
    <row r="1437" spans="1:1" x14ac:dyDescent="0.25">
      <c r="A1437" s="216" t="str">
        <f t="shared" si="22"/>
        <v/>
      </c>
    </row>
    <row r="1438" spans="1:1" x14ac:dyDescent="0.25">
      <c r="A1438" s="216" t="str">
        <f t="shared" si="22"/>
        <v/>
      </c>
    </row>
    <row r="1439" spans="1:1" x14ac:dyDescent="0.25">
      <c r="A1439" s="216" t="str">
        <f t="shared" si="22"/>
        <v/>
      </c>
    </row>
    <row r="1440" spans="1:1" x14ac:dyDescent="0.25">
      <c r="A1440" s="216" t="str">
        <f t="shared" si="22"/>
        <v/>
      </c>
    </row>
    <row r="1441" spans="1:1" x14ac:dyDescent="0.25">
      <c r="A1441" s="216" t="str">
        <f t="shared" si="22"/>
        <v/>
      </c>
    </row>
    <row r="1442" spans="1:1" x14ac:dyDescent="0.25">
      <c r="A1442" s="216" t="str">
        <f t="shared" si="22"/>
        <v/>
      </c>
    </row>
    <row r="1443" spans="1:1" x14ac:dyDescent="0.25">
      <c r="A1443" s="216" t="str">
        <f t="shared" si="22"/>
        <v/>
      </c>
    </row>
    <row r="1444" spans="1:1" x14ac:dyDescent="0.25">
      <c r="A1444" s="216" t="str">
        <f t="shared" si="22"/>
        <v/>
      </c>
    </row>
    <row r="1445" spans="1:1" x14ac:dyDescent="0.25">
      <c r="A1445" s="216" t="str">
        <f t="shared" si="22"/>
        <v/>
      </c>
    </row>
    <row r="1446" spans="1:1" x14ac:dyDescent="0.25">
      <c r="A1446" s="216" t="str">
        <f t="shared" si="22"/>
        <v/>
      </c>
    </row>
    <row r="1447" spans="1:1" x14ac:dyDescent="0.25">
      <c r="A1447" s="216" t="str">
        <f t="shared" si="22"/>
        <v/>
      </c>
    </row>
    <row r="1448" spans="1:1" x14ac:dyDescent="0.25">
      <c r="A1448" s="216" t="str">
        <f t="shared" si="22"/>
        <v/>
      </c>
    </row>
    <row r="1449" spans="1:1" x14ac:dyDescent="0.25">
      <c r="A1449" s="216" t="str">
        <f t="shared" si="22"/>
        <v/>
      </c>
    </row>
    <row r="1450" spans="1:1" x14ac:dyDescent="0.25">
      <c r="A1450" s="216" t="str">
        <f t="shared" si="22"/>
        <v/>
      </c>
    </row>
    <row r="1451" spans="1:1" x14ac:dyDescent="0.25">
      <c r="A1451" s="216" t="str">
        <f t="shared" si="22"/>
        <v/>
      </c>
    </row>
    <row r="1452" spans="1:1" x14ac:dyDescent="0.25">
      <c r="A1452" s="216" t="str">
        <f t="shared" si="22"/>
        <v/>
      </c>
    </row>
    <row r="1453" spans="1:1" x14ac:dyDescent="0.25">
      <c r="A1453" s="216" t="str">
        <f t="shared" si="22"/>
        <v/>
      </c>
    </row>
    <row r="1454" spans="1:1" x14ac:dyDescent="0.25">
      <c r="A1454" s="216" t="str">
        <f t="shared" si="22"/>
        <v/>
      </c>
    </row>
    <row r="1455" spans="1:1" x14ac:dyDescent="0.25">
      <c r="A1455" s="216" t="str">
        <f t="shared" si="22"/>
        <v/>
      </c>
    </row>
    <row r="1456" spans="1:1" x14ac:dyDescent="0.25">
      <c r="A1456" s="216" t="str">
        <f t="shared" si="22"/>
        <v/>
      </c>
    </row>
    <row r="1457" spans="1:1" x14ac:dyDescent="0.25">
      <c r="A1457" s="216" t="str">
        <f t="shared" si="22"/>
        <v/>
      </c>
    </row>
    <row r="1458" spans="1:1" x14ac:dyDescent="0.25">
      <c r="A1458" s="216" t="str">
        <f t="shared" si="22"/>
        <v/>
      </c>
    </row>
    <row r="1459" spans="1:1" x14ac:dyDescent="0.25">
      <c r="A1459" s="216" t="str">
        <f t="shared" si="22"/>
        <v/>
      </c>
    </row>
    <row r="1460" spans="1:1" x14ac:dyDescent="0.25">
      <c r="A1460" s="216" t="str">
        <f t="shared" si="22"/>
        <v/>
      </c>
    </row>
    <row r="1461" spans="1:1" x14ac:dyDescent="0.25">
      <c r="A1461" s="216" t="str">
        <f t="shared" si="22"/>
        <v/>
      </c>
    </row>
    <row r="1462" spans="1:1" x14ac:dyDescent="0.25">
      <c r="A1462" s="216" t="str">
        <f t="shared" si="22"/>
        <v/>
      </c>
    </row>
    <row r="1463" spans="1:1" x14ac:dyDescent="0.25">
      <c r="A1463" s="216" t="str">
        <f t="shared" si="22"/>
        <v/>
      </c>
    </row>
    <row r="1464" spans="1:1" x14ac:dyDescent="0.25">
      <c r="A1464" s="216" t="str">
        <f t="shared" si="22"/>
        <v/>
      </c>
    </row>
    <row r="1465" spans="1:1" x14ac:dyDescent="0.25">
      <c r="A1465" s="216" t="str">
        <f t="shared" si="22"/>
        <v/>
      </c>
    </row>
    <row r="1466" spans="1:1" x14ac:dyDescent="0.25">
      <c r="A1466" s="216" t="str">
        <f t="shared" si="22"/>
        <v/>
      </c>
    </row>
    <row r="1467" spans="1:1" x14ac:dyDescent="0.25">
      <c r="A1467" s="216" t="str">
        <f t="shared" si="22"/>
        <v/>
      </c>
    </row>
    <row r="1468" spans="1:1" x14ac:dyDescent="0.25">
      <c r="A1468" s="216" t="str">
        <f t="shared" si="22"/>
        <v/>
      </c>
    </row>
    <row r="1469" spans="1:1" x14ac:dyDescent="0.25">
      <c r="A1469" s="216" t="str">
        <f t="shared" si="22"/>
        <v/>
      </c>
    </row>
    <row r="1470" spans="1:1" x14ac:dyDescent="0.25">
      <c r="A1470" s="216" t="str">
        <f t="shared" si="22"/>
        <v/>
      </c>
    </row>
    <row r="1471" spans="1:1" x14ac:dyDescent="0.25">
      <c r="A1471" s="216" t="str">
        <f t="shared" si="22"/>
        <v/>
      </c>
    </row>
    <row r="1472" spans="1:1" x14ac:dyDescent="0.25">
      <c r="A1472" s="216" t="str">
        <f t="shared" si="22"/>
        <v/>
      </c>
    </row>
    <row r="1473" spans="1:1" x14ac:dyDescent="0.25">
      <c r="A1473" s="216" t="str">
        <f t="shared" si="22"/>
        <v/>
      </c>
    </row>
    <row r="1474" spans="1:1" x14ac:dyDescent="0.25">
      <c r="A1474" s="216" t="str">
        <f t="shared" si="22"/>
        <v/>
      </c>
    </row>
    <row r="1475" spans="1:1" x14ac:dyDescent="0.25">
      <c r="A1475" s="216" t="str">
        <f t="shared" si="22"/>
        <v/>
      </c>
    </row>
    <row r="1476" spans="1:1" x14ac:dyDescent="0.25">
      <c r="A1476" s="216" t="str">
        <f t="shared" ref="A1476:A1500" si="23">IF(B1476&lt;&gt;"",A1475+1,"")</f>
        <v/>
      </c>
    </row>
    <row r="1477" spans="1:1" x14ac:dyDescent="0.25">
      <c r="A1477" s="216" t="str">
        <f t="shared" si="23"/>
        <v/>
      </c>
    </row>
    <row r="1478" spans="1:1" x14ac:dyDescent="0.25">
      <c r="A1478" s="216" t="str">
        <f t="shared" si="23"/>
        <v/>
      </c>
    </row>
    <row r="1479" spans="1:1" x14ac:dyDescent="0.25">
      <c r="A1479" s="216" t="str">
        <f t="shared" si="23"/>
        <v/>
      </c>
    </row>
    <row r="1480" spans="1:1" x14ac:dyDescent="0.25">
      <c r="A1480" s="216" t="str">
        <f t="shared" si="23"/>
        <v/>
      </c>
    </row>
    <row r="1481" spans="1:1" x14ac:dyDescent="0.25">
      <c r="A1481" s="216" t="str">
        <f t="shared" si="23"/>
        <v/>
      </c>
    </row>
    <row r="1482" spans="1:1" x14ac:dyDescent="0.25">
      <c r="A1482" s="216" t="str">
        <f t="shared" si="23"/>
        <v/>
      </c>
    </row>
    <row r="1483" spans="1:1" x14ac:dyDescent="0.25">
      <c r="A1483" s="216" t="str">
        <f t="shared" si="23"/>
        <v/>
      </c>
    </row>
    <row r="1484" spans="1:1" x14ac:dyDescent="0.25">
      <c r="A1484" s="216" t="str">
        <f t="shared" si="23"/>
        <v/>
      </c>
    </row>
    <row r="1485" spans="1:1" x14ac:dyDescent="0.25">
      <c r="A1485" s="216" t="str">
        <f t="shared" si="23"/>
        <v/>
      </c>
    </row>
    <row r="1486" spans="1:1" x14ac:dyDescent="0.25">
      <c r="A1486" s="216" t="str">
        <f t="shared" si="23"/>
        <v/>
      </c>
    </row>
    <row r="1487" spans="1:1" x14ac:dyDescent="0.25">
      <c r="A1487" s="216" t="str">
        <f t="shared" si="23"/>
        <v/>
      </c>
    </row>
    <row r="1488" spans="1:1" x14ac:dyDescent="0.25">
      <c r="A1488" s="216" t="str">
        <f t="shared" si="23"/>
        <v/>
      </c>
    </row>
    <row r="1489" spans="1:1" x14ac:dyDescent="0.25">
      <c r="A1489" s="216" t="str">
        <f t="shared" si="23"/>
        <v/>
      </c>
    </row>
    <row r="1490" spans="1:1" x14ac:dyDescent="0.25">
      <c r="A1490" s="216" t="str">
        <f t="shared" si="23"/>
        <v/>
      </c>
    </row>
    <row r="1491" spans="1:1" x14ac:dyDescent="0.25">
      <c r="A1491" s="216" t="str">
        <f t="shared" si="23"/>
        <v/>
      </c>
    </row>
    <row r="1492" spans="1:1" x14ac:dyDescent="0.25">
      <c r="A1492" s="216" t="str">
        <f t="shared" si="23"/>
        <v/>
      </c>
    </row>
    <row r="1493" spans="1:1" x14ac:dyDescent="0.25">
      <c r="A1493" s="216" t="str">
        <f t="shared" si="23"/>
        <v/>
      </c>
    </row>
    <row r="1494" spans="1:1" x14ac:dyDescent="0.25">
      <c r="A1494" s="216" t="str">
        <f t="shared" si="23"/>
        <v/>
      </c>
    </row>
    <row r="1495" spans="1:1" x14ac:dyDescent="0.25">
      <c r="A1495" s="216" t="str">
        <f t="shared" si="23"/>
        <v/>
      </c>
    </row>
    <row r="1496" spans="1:1" x14ac:dyDescent="0.25">
      <c r="A1496" s="216" t="str">
        <f t="shared" si="23"/>
        <v/>
      </c>
    </row>
    <row r="1497" spans="1:1" x14ac:dyDescent="0.25">
      <c r="A1497" s="216" t="str">
        <f t="shared" si="23"/>
        <v/>
      </c>
    </row>
    <row r="1498" spans="1:1" x14ac:dyDescent="0.25">
      <c r="A1498" s="216" t="str">
        <f t="shared" si="23"/>
        <v/>
      </c>
    </row>
    <row r="1499" spans="1:1" x14ac:dyDescent="0.25">
      <c r="A1499" s="216" t="str">
        <f t="shared" si="23"/>
        <v/>
      </c>
    </row>
    <row r="1500" spans="1:1" x14ac:dyDescent="0.25">
      <c r="A1500" s="216" t="str">
        <f t="shared" si="23"/>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2:A1500"/>
  <sheetViews>
    <sheetView workbookViewId="0">
      <selection activeCell="A3" sqref="A3"/>
    </sheetView>
  </sheetViews>
  <sheetFormatPr baseColWidth="10" defaultRowHeight="15" x14ac:dyDescent="0.25"/>
  <sheetData>
    <row r="2" spans="1:1" x14ac:dyDescent="0.25">
      <c r="A2">
        <v>1</v>
      </c>
    </row>
    <row r="3" spans="1:1" x14ac:dyDescent="0.25">
      <c r="A3" s="216" t="str">
        <f>IF(B3&lt;&gt;"",A2+1,"")</f>
        <v/>
      </c>
    </row>
    <row r="4" spans="1:1" x14ac:dyDescent="0.25">
      <c r="A4" s="216" t="str">
        <f t="shared" ref="A4:A67" si="0">IF(B4&lt;&gt;"",A3+1,"")</f>
        <v/>
      </c>
    </row>
    <row r="5" spans="1:1" x14ac:dyDescent="0.25">
      <c r="A5" s="216" t="str">
        <f t="shared" si="0"/>
        <v/>
      </c>
    </row>
    <row r="6" spans="1:1" x14ac:dyDescent="0.25">
      <c r="A6" s="216" t="str">
        <f t="shared" si="0"/>
        <v/>
      </c>
    </row>
    <row r="7" spans="1:1" x14ac:dyDescent="0.25">
      <c r="A7" s="216" t="str">
        <f t="shared" si="0"/>
        <v/>
      </c>
    </row>
    <row r="8" spans="1:1" x14ac:dyDescent="0.25">
      <c r="A8" s="216" t="str">
        <f t="shared" si="0"/>
        <v/>
      </c>
    </row>
    <row r="9" spans="1:1" x14ac:dyDescent="0.25">
      <c r="A9" s="216" t="str">
        <f t="shared" si="0"/>
        <v/>
      </c>
    </row>
    <row r="10" spans="1:1" x14ac:dyDescent="0.25">
      <c r="A10" s="216" t="str">
        <f t="shared" si="0"/>
        <v/>
      </c>
    </row>
    <row r="11" spans="1:1" x14ac:dyDescent="0.25">
      <c r="A11" s="216" t="str">
        <f t="shared" si="0"/>
        <v/>
      </c>
    </row>
    <row r="12" spans="1:1" x14ac:dyDescent="0.25">
      <c r="A12" s="216" t="str">
        <f t="shared" si="0"/>
        <v/>
      </c>
    </row>
    <row r="13" spans="1:1" x14ac:dyDescent="0.25">
      <c r="A13" s="216" t="str">
        <f t="shared" si="0"/>
        <v/>
      </c>
    </row>
    <row r="14" spans="1:1" x14ac:dyDescent="0.25">
      <c r="A14" s="216" t="str">
        <f t="shared" si="0"/>
        <v/>
      </c>
    </row>
    <row r="15" spans="1:1" x14ac:dyDescent="0.25">
      <c r="A15" s="216" t="str">
        <f t="shared" si="0"/>
        <v/>
      </c>
    </row>
    <row r="16" spans="1:1" x14ac:dyDescent="0.25">
      <c r="A16" s="216" t="str">
        <f t="shared" si="0"/>
        <v/>
      </c>
    </row>
    <row r="17" spans="1:1" x14ac:dyDescent="0.25">
      <c r="A17" s="216" t="str">
        <f t="shared" si="0"/>
        <v/>
      </c>
    </row>
    <row r="18" spans="1:1" x14ac:dyDescent="0.25">
      <c r="A18" s="216" t="str">
        <f t="shared" si="0"/>
        <v/>
      </c>
    </row>
    <row r="19" spans="1:1" x14ac:dyDescent="0.25">
      <c r="A19" s="216" t="str">
        <f t="shared" si="0"/>
        <v/>
      </c>
    </row>
    <row r="20" spans="1:1" x14ac:dyDescent="0.25">
      <c r="A20" s="216" t="str">
        <f t="shared" si="0"/>
        <v/>
      </c>
    </row>
    <row r="21" spans="1:1" x14ac:dyDescent="0.25">
      <c r="A21" s="216" t="str">
        <f t="shared" si="0"/>
        <v/>
      </c>
    </row>
    <row r="22" spans="1:1" x14ac:dyDescent="0.25">
      <c r="A22" s="216" t="str">
        <f t="shared" si="0"/>
        <v/>
      </c>
    </row>
    <row r="23" spans="1:1" x14ac:dyDescent="0.25">
      <c r="A23" s="216" t="str">
        <f t="shared" si="0"/>
        <v/>
      </c>
    </row>
    <row r="24" spans="1:1" x14ac:dyDescent="0.25">
      <c r="A24" s="216" t="str">
        <f t="shared" si="0"/>
        <v/>
      </c>
    </row>
    <row r="25" spans="1:1" x14ac:dyDescent="0.25">
      <c r="A25" s="216" t="str">
        <f t="shared" si="0"/>
        <v/>
      </c>
    </row>
    <row r="26" spans="1:1" x14ac:dyDescent="0.25">
      <c r="A26" s="216" t="str">
        <f t="shared" si="0"/>
        <v/>
      </c>
    </row>
    <row r="27" spans="1:1" x14ac:dyDescent="0.25">
      <c r="A27" s="216" t="str">
        <f t="shared" si="0"/>
        <v/>
      </c>
    </row>
    <row r="28" spans="1:1" x14ac:dyDescent="0.25">
      <c r="A28" s="216" t="str">
        <f t="shared" si="0"/>
        <v/>
      </c>
    </row>
    <row r="29" spans="1:1" x14ac:dyDescent="0.25">
      <c r="A29" s="216" t="str">
        <f t="shared" si="0"/>
        <v/>
      </c>
    </row>
    <row r="30" spans="1:1" x14ac:dyDescent="0.25">
      <c r="A30" s="216" t="str">
        <f t="shared" si="0"/>
        <v/>
      </c>
    </row>
    <row r="31" spans="1:1" x14ac:dyDescent="0.25">
      <c r="A31" s="216" t="str">
        <f t="shared" si="0"/>
        <v/>
      </c>
    </row>
    <row r="32" spans="1:1" x14ac:dyDescent="0.25">
      <c r="A32" s="216" t="str">
        <f t="shared" si="0"/>
        <v/>
      </c>
    </row>
    <row r="33" spans="1:1" x14ac:dyDescent="0.25">
      <c r="A33" s="216" t="str">
        <f t="shared" si="0"/>
        <v/>
      </c>
    </row>
    <row r="34" spans="1:1" x14ac:dyDescent="0.25">
      <c r="A34" s="216" t="str">
        <f t="shared" si="0"/>
        <v/>
      </c>
    </row>
    <row r="35" spans="1:1" x14ac:dyDescent="0.25">
      <c r="A35" s="216" t="str">
        <f t="shared" si="0"/>
        <v/>
      </c>
    </row>
    <row r="36" spans="1:1" x14ac:dyDescent="0.25">
      <c r="A36" s="216" t="str">
        <f t="shared" si="0"/>
        <v/>
      </c>
    </row>
    <row r="37" spans="1:1" x14ac:dyDescent="0.25">
      <c r="A37" s="216" t="str">
        <f t="shared" si="0"/>
        <v/>
      </c>
    </row>
    <row r="38" spans="1:1" x14ac:dyDescent="0.25">
      <c r="A38" s="216" t="str">
        <f t="shared" si="0"/>
        <v/>
      </c>
    </row>
    <row r="39" spans="1:1" x14ac:dyDescent="0.25">
      <c r="A39" s="216" t="str">
        <f t="shared" si="0"/>
        <v/>
      </c>
    </row>
    <row r="40" spans="1:1" x14ac:dyDescent="0.25">
      <c r="A40" s="216" t="str">
        <f t="shared" si="0"/>
        <v/>
      </c>
    </row>
    <row r="41" spans="1:1" x14ac:dyDescent="0.25">
      <c r="A41" s="216" t="str">
        <f t="shared" si="0"/>
        <v/>
      </c>
    </row>
    <row r="42" spans="1:1" x14ac:dyDescent="0.25">
      <c r="A42" s="216" t="str">
        <f t="shared" si="0"/>
        <v/>
      </c>
    </row>
    <row r="43" spans="1:1" x14ac:dyDescent="0.25">
      <c r="A43" s="216" t="str">
        <f t="shared" si="0"/>
        <v/>
      </c>
    </row>
    <row r="44" spans="1:1" x14ac:dyDescent="0.25">
      <c r="A44" s="216" t="str">
        <f t="shared" si="0"/>
        <v/>
      </c>
    </row>
    <row r="45" spans="1:1" x14ac:dyDescent="0.25">
      <c r="A45" s="216" t="str">
        <f t="shared" si="0"/>
        <v/>
      </c>
    </row>
    <row r="46" spans="1:1" x14ac:dyDescent="0.25">
      <c r="A46" s="216" t="str">
        <f t="shared" si="0"/>
        <v/>
      </c>
    </row>
    <row r="47" spans="1:1" x14ac:dyDescent="0.25">
      <c r="A47" s="216" t="str">
        <f t="shared" si="0"/>
        <v/>
      </c>
    </row>
    <row r="48" spans="1:1" x14ac:dyDescent="0.25">
      <c r="A48" s="216" t="str">
        <f t="shared" si="0"/>
        <v/>
      </c>
    </row>
    <row r="49" spans="1:1" x14ac:dyDescent="0.25">
      <c r="A49" s="216" t="str">
        <f t="shared" si="0"/>
        <v/>
      </c>
    </row>
    <row r="50" spans="1:1" x14ac:dyDescent="0.25">
      <c r="A50" s="216" t="str">
        <f t="shared" si="0"/>
        <v/>
      </c>
    </row>
    <row r="51" spans="1:1" x14ac:dyDescent="0.25">
      <c r="A51" s="216" t="str">
        <f t="shared" si="0"/>
        <v/>
      </c>
    </row>
    <row r="52" spans="1:1" x14ac:dyDescent="0.25">
      <c r="A52" s="216" t="str">
        <f t="shared" si="0"/>
        <v/>
      </c>
    </row>
    <row r="53" spans="1:1" x14ac:dyDescent="0.25">
      <c r="A53" s="216" t="str">
        <f t="shared" si="0"/>
        <v/>
      </c>
    </row>
    <row r="54" spans="1:1" x14ac:dyDescent="0.25">
      <c r="A54" s="216" t="str">
        <f t="shared" si="0"/>
        <v/>
      </c>
    </row>
    <row r="55" spans="1:1" x14ac:dyDescent="0.25">
      <c r="A55" s="216" t="str">
        <f t="shared" si="0"/>
        <v/>
      </c>
    </row>
    <row r="56" spans="1:1" x14ac:dyDescent="0.25">
      <c r="A56" s="216" t="str">
        <f t="shared" si="0"/>
        <v/>
      </c>
    </row>
    <row r="57" spans="1:1" x14ac:dyDescent="0.25">
      <c r="A57" s="216" t="str">
        <f t="shared" si="0"/>
        <v/>
      </c>
    </row>
    <row r="58" spans="1:1" x14ac:dyDescent="0.25">
      <c r="A58" s="216" t="str">
        <f t="shared" si="0"/>
        <v/>
      </c>
    </row>
    <row r="59" spans="1:1" x14ac:dyDescent="0.25">
      <c r="A59" s="216" t="str">
        <f t="shared" si="0"/>
        <v/>
      </c>
    </row>
    <row r="60" spans="1:1" x14ac:dyDescent="0.25">
      <c r="A60" s="216" t="str">
        <f t="shared" si="0"/>
        <v/>
      </c>
    </row>
    <row r="61" spans="1:1" x14ac:dyDescent="0.25">
      <c r="A61" s="216" t="str">
        <f t="shared" si="0"/>
        <v/>
      </c>
    </row>
    <row r="62" spans="1:1" x14ac:dyDescent="0.25">
      <c r="A62" s="216" t="str">
        <f t="shared" si="0"/>
        <v/>
      </c>
    </row>
    <row r="63" spans="1:1" x14ac:dyDescent="0.25">
      <c r="A63" s="216" t="str">
        <f t="shared" si="0"/>
        <v/>
      </c>
    </row>
    <row r="64" spans="1:1" x14ac:dyDescent="0.25">
      <c r="A64" s="216" t="str">
        <f t="shared" si="0"/>
        <v/>
      </c>
    </row>
    <row r="65" spans="1:1" x14ac:dyDescent="0.25">
      <c r="A65" s="216" t="str">
        <f t="shared" si="0"/>
        <v/>
      </c>
    </row>
    <row r="66" spans="1:1" x14ac:dyDescent="0.25">
      <c r="A66" s="216" t="str">
        <f t="shared" si="0"/>
        <v/>
      </c>
    </row>
    <row r="67" spans="1:1" x14ac:dyDescent="0.25">
      <c r="A67" s="216" t="str">
        <f t="shared" si="0"/>
        <v/>
      </c>
    </row>
    <row r="68" spans="1:1" x14ac:dyDescent="0.25">
      <c r="A68" s="216" t="str">
        <f t="shared" ref="A68:A131" si="1">IF(B68&lt;&gt;"",A67+1,"")</f>
        <v/>
      </c>
    </row>
    <row r="69" spans="1:1" x14ac:dyDescent="0.25">
      <c r="A69" s="216" t="str">
        <f t="shared" si="1"/>
        <v/>
      </c>
    </row>
    <row r="70" spans="1:1" x14ac:dyDescent="0.25">
      <c r="A70" s="216" t="str">
        <f t="shared" si="1"/>
        <v/>
      </c>
    </row>
    <row r="71" spans="1:1" x14ac:dyDescent="0.25">
      <c r="A71" s="216" t="str">
        <f t="shared" si="1"/>
        <v/>
      </c>
    </row>
    <row r="72" spans="1:1" x14ac:dyDescent="0.25">
      <c r="A72" s="216" t="str">
        <f t="shared" si="1"/>
        <v/>
      </c>
    </row>
    <row r="73" spans="1:1" x14ac:dyDescent="0.25">
      <c r="A73" s="216" t="str">
        <f t="shared" si="1"/>
        <v/>
      </c>
    </row>
    <row r="74" spans="1:1" x14ac:dyDescent="0.25">
      <c r="A74" s="216" t="str">
        <f t="shared" si="1"/>
        <v/>
      </c>
    </row>
    <row r="75" spans="1:1" x14ac:dyDescent="0.25">
      <c r="A75" s="216" t="str">
        <f t="shared" si="1"/>
        <v/>
      </c>
    </row>
    <row r="76" spans="1:1" x14ac:dyDescent="0.25">
      <c r="A76" s="216" t="str">
        <f t="shared" si="1"/>
        <v/>
      </c>
    </row>
    <row r="77" spans="1:1" x14ac:dyDescent="0.25">
      <c r="A77" s="216" t="str">
        <f t="shared" si="1"/>
        <v/>
      </c>
    </row>
    <row r="78" spans="1:1" x14ac:dyDescent="0.25">
      <c r="A78" s="216" t="str">
        <f t="shared" si="1"/>
        <v/>
      </c>
    </row>
    <row r="79" spans="1:1" x14ac:dyDescent="0.25">
      <c r="A79" s="216" t="str">
        <f t="shared" si="1"/>
        <v/>
      </c>
    </row>
    <row r="80" spans="1:1" x14ac:dyDescent="0.25">
      <c r="A80" s="216" t="str">
        <f t="shared" si="1"/>
        <v/>
      </c>
    </row>
    <row r="81" spans="1:1" x14ac:dyDescent="0.25">
      <c r="A81" s="216" t="str">
        <f t="shared" si="1"/>
        <v/>
      </c>
    </row>
    <row r="82" spans="1:1" x14ac:dyDescent="0.25">
      <c r="A82" s="216" t="str">
        <f t="shared" si="1"/>
        <v/>
      </c>
    </row>
    <row r="83" spans="1:1" x14ac:dyDescent="0.25">
      <c r="A83" s="216" t="str">
        <f t="shared" si="1"/>
        <v/>
      </c>
    </row>
    <row r="84" spans="1:1" x14ac:dyDescent="0.25">
      <c r="A84" s="216" t="str">
        <f t="shared" si="1"/>
        <v/>
      </c>
    </row>
    <row r="85" spans="1:1" x14ac:dyDescent="0.25">
      <c r="A85" s="216" t="str">
        <f t="shared" si="1"/>
        <v/>
      </c>
    </row>
    <row r="86" spans="1:1" x14ac:dyDescent="0.25">
      <c r="A86" s="216" t="str">
        <f t="shared" si="1"/>
        <v/>
      </c>
    </row>
    <row r="87" spans="1:1" x14ac:dyDescent="0.25">
      <c r="A87" s="216" t="str">
        <f t="shared" si="1"/>
        <v/>
      </c>
    </row>
    <row r="88" spans="1:1" x14ac:dyDescent="0.25">
      <c r="A88" s="216" t="str">
        <f t="shared" si="1"/>
        <v/>
      </c>
    </row>
    <row r="89" spans="1:1" x14ac:dyDescent="0.25">
      <c r="A89" s="216" t="str">
        <f t="shared" si="1"/>
        <v/>
      </c>
    </row>
    <row r="90" spans="1:1" x14ac:dyDescent="0.25">
      <c r="A90" s="216" t="str">
        <f t="shared" si="1"/>
        <v/>
      </c>
    </row>
    <row r="91" spans="1:1" x14ac:dyDescent="0.25">
      <c r="A91" s="216" t="str">
        <f t="shared" si="1"/>
        <v/>
      </c>
    </row>
    <row r="92" spans="1:1" x14ac:dyDescent="0.25">
      <c r="A92" s="216" t="str">
        <f t="shared" si="1"/>
        <v/>
      </c>
    </row>
    <row r="93" spans="1:1" x14ac:dyDescent="0.25">
      <c r="A93" s="216" t="str">
        <f t="shared" si="1"/>
        <v/>
      </c>
    </row>
    <row r="94" spans="1:1" x14ac:dyDescent="0.25">
      <c r="A94" s="216" t="str">
        <f t="shared" si="1"/>
        <v/>
      </c>
    </row>
    <row r="95" spans="1:1" x14ac:dyDescent="0.25">
      <c r="A95" s="216" t="str">
        <f t="shared" si="1"/>
        <v/>
      </c>
    </row>
    <row r="96" spans="1:1" x14ac:dyDescent="0.25">
      <c r="A96" s="216" t="str">
        <f t="shared" si="1"/>
        <v/>
      </c>
    </row>
    <row r="97" spans="1:1" x14ac:dyDescent="0.25">
      <c r="A97" s="216" t="str">
        <f t="shared" si="1"/>
        <v/>
      </c>
    </row>
    <row r="98" spans="1:1" x14ac:dyDescent="0.25">
      <c r="A98" s="216" t="str">
        <f t="shared" si="1"/>
        <v/>
      </c>
    </row>
    <row r="99" spans="1:1" x14ac:dyDescent="0.25">
      <c r="A99" s="216" t="str">
        <f t="shared" si="1"/>
        <v/>
      </c>
    </row>
    <row r="100" spans="1:1" x14ac:dyDescent="0.25">
      <c r="A100" s="216" t="str">
        <f t="shared" si="1"/>
        <v/>
      </c>
    </row>
    <row r="101" spans="1:1" x14ac:dyDescent="0.25">
      <c r="A101" s="216" t="str">
        <f t="shared" si="1"/>
        <v/>
      </c>
    </row>
    <row r="102" spans="1:1" x14ac:dyDescent="0.25">
      <c r="A102" s="216" t="str">
        <f t="shared" si="1"/>
        <v/>
      </c>
    </row>
    <row r="103" spans="1:1" x14ac:dyDescent="0.25">
      <c r="A103" s="216" t="str">
        <f t="shared" si="1"/>
        <v/>
      </c>
    </row>
    <row r="104" spans="1:1" x14ac:dyDescent="0.25">
      <c r="A104" s="216" t="str">
        <f t="shared" si="1"/>
        <v/>
      </c>
    </row>
    <row r="105" spans="1:1" x14ac:dyDescent="0.25">
      <c r="A105" s="216" t="str">
        <f t="shared" si="1"/>
        <v/>
      </c>
    </row>
    <row r="106" spans="1:1" x14ac:dyDescent="0.25">
      <c r="A106" s="216" t="str">
        <f t="shared" si="1"/>
        <v/>
      </c>
    </row>
    <row r="107" spans="1:1" x14ac:dyDescent="0.25">
      <c r="A107" s="216" t="str">
        <f t="shared" si="1"/>
        <v/>
      </c>
    </row>
    <row r="108" spans="1:1" x14ac:dyDescent="0.25">
      <c r="A108" s="216" t="str">
        <f t="shared" si="1"/>
        <v/>
      </c>
    </row>
    <row r="109" spans="1:1" x14ac:dyDescent="0.25">
      <c r="A109" s="216" t="str">
        <f t="shared" si="1"/>
        <v/>
      </c>
    </row>
    <row r="110" spans="1:1" x14ac:dyDescent="0.25">
      <c r="A110" s="216" t="str">
        <f t="shared" si="1"/>
        <v/>
      </c>
    </row>
    <row r="111" spans="1:1" x14ac:dyDescent="0.25">
      <c r="A111" s="216" t="str">
        <f t="shared" si="1"/>
        <v/>
      </c>
    </row>
    <row r="112" spans="1:1" x14ac:dyDescent="0.25">
      <c r="A112" s="216" t="str">
        <f t="shared" si="1"/>
        <v/>
      </c>
    </row>
    <row r="113" spans="1:1" x14ac:dyDescent="0.25">
      <c r="A113" s="216" t="str">
        <f t="shared" si="1"/>
        <v/>
      </c>
    </row>
    <row r="114" spans="1:1" x14ac:dyDescent="0.25">
      <c r="A114" s="216" t="str">
        <f t="shared" si="1"/>
        <v/>
      </c>
    </row>
    <row r="115" spans="1:1" x14ac:dyDescent="0.25">
      <c r="A115" s="216" t="str">
        <f t="shared" si="1"/>
        <v/>
      </c>
    </row>
    <row r="116" spans="1:1" x14ac:dyDescent="0.25">
      <c r="A116" s="216" t="str">
        <f t="shared" si="1"/>
        <v/>
      </c>
    </row>
    <row r="117" spans="1:1" x14ac:dyDescent="0.25">
      <c r="A117" s="216" t="str">
        <f t="shared" si="1"/>
        <v/>
      </c>
    </row>
    <row r="118" spans="1:1" x14ac:dyDescent="0.25">
      <c r="A118" s="216" t="str">
        <f t="shared" si="1"/>
        <v/>
      </c>
    </row>
    <row r="119" spans="1:1" x14ac:dyDescent="0.25">
      <c r="A119" s="216" t="str">
        <f t="shared" si="1"/>
        <v/>
      </c>
    </row>
    <row r="120" spans="1:1" x14ac:dyDescent="0.25">
      <c r="A120" s="216" t="str">
        <f t="shared" si="1"/>
        <v/>
      </c>
    </row>
    <row r="121" spans="1:1" x14ac:dyDescent="0.25">
      <c r="A121" s="216" t="str">
        <f t="shared" si="1"/>
        <v/>
      </c>
    </row>
    <row r="122" spans="1:1" x14ac:dyDescent="0.25">
      <c r="A122" s="216" t="str">
        <f t="shared" si="1"/>
        <v/>
      </c>
    </row>
    <row r="123" spans="1:1" x14ac:dyDescent="0.25">
      <c r="A123" s="216" t="str">
        <f t="shared" si="1"/>
        <v/>
      </c>
    </row>
    <row r="124" spans="1:1" x14ac:dyDescent="0.25">
      <c r="A124" s="216" t="str">
        <f t="shared" si="1"/>
        <v/>
      </c>
    </row>
    <row r="125" spans="1:1" x14ac:dyDescent="0.25">
      <c r="A125" s="216" t="str">
        <f t="shared" si="1"/>
        <v/>
      </c>
    </row>
    <row r="126" spans="1:1" x14ac:dyDescent="0.25">
      <c r="A126" s="216" t="str">
        <f t="shared" si="1"/>
        <v/>
      </c>
    </row>
    <row r="127" spans="1:1" x14ac:dyDescent="0.25">
      <c r="A127" s="216" t="str">
        <f t="shared" si="1"/>
        <v/>
      </c>
    </row>
    <row r="128" spans="1:1" x14ac:dyDescent="0.25">
      <c r="A128" s="216" t="str">
        <f t="shared" si="1"/>
        <v/>
      </c>
    </row>
    <row r="129" spans="1:1" x14ac:dyDescent="0.25">
      <c r="A129" s="216" t="str">
        <f t="shared" si="1"/>
        <v/>
      </c>
    </row>
    <row r="130" spans="1:1" x14ac:dyDescent="0.25">
      <c r="A130" s="216" t="str">
        <f t="shared" si="1"/>
        <v/>
      </c>
    </row>
    <row r="131" spans="1:1" x14ac:dyDescent="0.25">
      <c r="A131" s="216" t="str">
        <f t="shared" si="1"/>
        <v/>
      </c>
    </row>
    <row r="132" spans="1:1" x14ac:dyDescent="0.25">
      <c r="A132" s="216" t="str">
        <f t="shared" ref="A132:A195" si="2">IF(B132&lt;&gt;"",A131+1,"")</f>
        <v/>
      </c>
    </row>
    <row r="133" spans="1:1" x14ac:dyDescent="0.25">
      <c r="A133" s="216" t="str">
        <f t="shared" si="2"/>
        <v/>
      </c>
    </row>
    <row r="134" spans="1:1" x14ac:dyDescent="0.25">
      <c r="A134" s="216" t="str">
        <f t="shared" si="2"/>
        <v/>
      </c>
    </row>
    <row r="135" spans="1:1" x14ac:dyDescent="0.25">
      <c r="A135" s="216" t="str">
        <f t="shared" si="2"/>
        <v/>
      </c>
    </row>
    <row r="136" spans="1:1" x14ac:dyDescent="0.25">
      <c r="A136" s="216" t="str">
        <f t="shared" si="2"/>
        <v/>
      </c>
    </row>
    <row r="137" spans="1:1" x14ac:dyDescent="0.25">
      <c r="A137" s="216" t="str">
        <f t="shared" si="2"/>
        <v/>
      </c>
    </row>
    <row r="138" spans="1:1" x14ac:dyDescent="0.25">
      <c r="A138" s="216" t="str">
        <f t="shared" si="2"/>
        <v/>
      </c>
    </row>
    <row r="139" spans="1:1" x14ac:dyDescent="0.25">
      <c r="A139" s="216" t="str">
        <f t="shared" si="2"/>
        <v/>
      </c>
    </row>
    <row r="140" spans="1:1" x14ac:dyDescent="0.25">
      <c r="A140" s="216" t="str">
        <f t="shared" si="2"/>
        <v/>
      </c>
    </row>
    <row r="141" spans="1:1" x14ac:dyDescent="0.25">
      <c r="A141" s="216" t="str">
        <f t="shared" si="2"/>
        <v/>
      </c>
    </row>
    <row r="142" spans="1:1" x14ac:dyDescent="0.25">
      <c r="A142" s="216" t="str">
        <f t="shared" si="2"/>
        <v/>
      </c>
    </row>
    <row r="143" spans="1:1" x14ac:dyDescent="0.25">
      <c r="A143" s="216" t="str">
        <f t="shared" si="2"/>
        <v/>
      </c>
    </row>
    <row r="144" spans="1:1" x14ac:dyDescent="0.25">
      <c r="A144" s="216" t="str">
        <f t="shared" si="2"/>
        <v/>
      </c>
    </row>
    <row r="145" spans="1:1" x14ac:dyDescent="0.25">
      <c r="A145" s="216" t="str">
        <f t="shared" si="2"/>
        <v/>
      </c>
    </row>
    <row r="146" spans="1:1" x14ac:dyDescent="0.25">
      <c r="A146" s="216" t="str">
        <f t="shared" si="2"/>
        <v/>
      </c>
    </row>
    <row r="147" spans="1:1" x14ac:dyDescent="0.25">
      <c r="A147" s="216" t="str">
        <f t="shared" si="2"/>
        <v/>
      </c>
    </row>
    <row r="148" spans="1:1" x14ac:dyDescent="0.25">
      <c r="A148" s="216" t="str">
        <f t="shared" si="2"/>
        <v/>
      </c>
    </row>
    <row r="149" spans="1:1" x14ac:dyDescent="0.25">
      <c r="A149" s="216" t="str">
        <f t="shared" si="2"/>
        <v/>
      </c>
    </row>
    <row r="150" spans="1:1" x14ac:dyDescent="0.25">
      <c r="A150" s="216" t="str">
        <f t="shared" si="2"/>
        <v/>
      </c>
    </row>
    <row r="151" spans="1:1" x14ac:dyDescent="0.25">
      <c r="A151" s="216" t="str">
        <f t="shared" si="2"/>
        <v/>
      </c>
    </row>
    <row r="152" spans="1:1" x14ac:dyDescent="0.25">
      <c r="A152" s="216" t="str">
        <f t="shared" si="2"/>
        <v/>
      </c>
    </row>
    <row r="153" spans="1:1" x14ac:dyDescent="0.25">
      <c r="A153" s="216" t="str">
        <f t="shared" si="2"/>
        <v/>
      </c>
    </row>
    <row r="154" spans="1:1" x14ac:dyDescent="0.25">
      <c r="A154" s="216" t="str">
        <f t="shared" si="2"/>
        <v/>
      </c>
    </row>
    <row r="155" spans="1:1" x14ac:dyDescent="0.25">
      <c r="A155" s="216" t="str">
        <f t="shared" si="2"/>
        <v/>
      </c>
    </row>
    <row r="156" spans="1:1" x14ac:dyDescent="0.25">
      <c r="A156" s="216" t="str">
        <f t="shared" si="2"/>
        <v/>
      </c>
    </row>
    <row r="157" spans="1:1" x14ac:dyDescent="0.25">
      <c r="A157" s="216" t="str">
        <f t="shared" si="2"/>
        <v/>
      </c>
    </row>
    <row r="158" spans="1:1" x14ac:dyDescent="0.25">
      <c r="A158" s="216" t="str">
        <f t="shared" si="2"/>
        <v/>
      </c>
    </row>
    <row r="159" spans="1:1" x14ac:dyDescent="0.25">
      <c r="A159" s="216" t="str">
        <f t="shared" si="2"/>
        <v/>
      </c>
    </row>
    <row r="160" spans="1:1" x14ac:dyDescent="0.25">
      <c r="A160" s="216" t="str">
        <f t="shared" si="2"/>
        <v/>
      </c>
    </row>
    <row r="161" spans="1:1" x14ac:dyDescent="0.25">
      <c r="A161" s="216" t="str">
        <f t="shared" si="2"/>
        <v/>
      </c>
    </row>
    <row r="162" spans="1:1" x14ac:dyDescent="0.25">
      <c r="A162" s="216" t="str">
        <f t="shared" si="2"/>
        <v/>
      </c>
    </row>
    <row r="163" spans="1:1" x14ac:dyDescent="0.25">
      <c r="A163" s="216" t="str">
        <f t="shared" si="2"/>
        <v/>
      </c>
    </row>
    <row r="164" spans="1:1" x14ac:dyDescent="0.25">
      <c r="A164" s="216" t="str">
        <f t="shared" si="2"/>
        <v/>
      </c>
    </row>
    <row r="165" spans="1:1" x14ac:dyDescent="0.25">
      <c r="A165" s="216" t="str">
        <f t="shared" si="2"/>
        <v/>
      </c>
    </row>
    <row r="166" spans="1:1" x14ac:dyDescent="0.25">
      <c r="A166" s="216" t="str">
        <f t="shared" si="2"/>
        <v/>
      </c>
    </row>
    <row r="167" spans="1:1" x14ac:dyDescent="0.25">
      <c r="A167" s="216" t="str">
        <f t="shared" si="2"/>
        <v/>
      </c>
    </row>
    <row r="168" spans="1:1" x14ac:dyDescent="0.25">
      <c r="A168" s="216" t="str">
        <f t="shared" si="2"/>
        <v/>
      </c>
    </row>
    <row r="169" spans="1:1" x14ac:dyDescent="0.25">
      <c r="A169" s="216" t="str">
        <f t="shared" si="2"/>
        <v/>
      </c>
    </row>
    <row r="170" spans="1:1" x14ac:dyDescent="0.25">
      <c r="A170" s="216" t="str">
        <f t="shared" si="2"/>
        <v/>
      </c>
    </row>
    <row r="171" spans="1:1" x14ac:dyDescent="0.25">
      <c r="A171" s="216" t="str">
        <f t="shared" si="2"/>
        <v/>
      </c>
    </row>
    <row r="172" spans="1:1" x14ac:dyDescent="0.25">
      <c r="A172" s="216" t="str">
        <f t="shared" si="2"/>
        <v/>
      </c>
    </row>
    <row r="173" spans="1:1" x14ac:dyDescent="0.25">
      <c r="A173" s="216" t="str">
        <f t="shared" si="2"/>
        <v/>
      </c>
    </row>
    <row r="174" spans="1:1" x14ac:dyDescent="0.25">
      <c r="A174" s="216" t="str">
        <f t="shared" si="2"/>
        <v/>
      </c>
    </row>
    <row r="175" spans="1:1" x14ac:dyDescent="0.25">
      <c r="A175" s="216" t="str">
        <f t="shared" si="2"/>
        <v/>
      </c>
    </row>
    <row r="176" spans="1:1" x14ac:dyDescent="0.25">
      <c r="A176" s="216" t="str">
        <f t="shared" si="2"/>
        <v/>
      </c>
    </row>
    <row r="177" spans="1:1" x14ac:dyDescent="0.25">
      <c r="A177" s="216" t="str">
        <f t="shared" si="2"/>
        <v/>
      </c>
    </row>
    <row r="178" spans="1:1" x14ac:dyDescent="0.25">
      <c r="A178" s="216" t="str">
        <f t="shared" si="2"/>
        <v/>
      </c>
    </row>
    <row r="179" spans="1:1" x14ac:dyDescent="0.25">
      <c r="A179" s="216" t="str">
        <f t="shared" si="2"/>
        <v/>
      </c>
    </row>
    <row r="180" spans="1:1" x14ac:dyDescent="0.25">
      <c r="A180" s="216" t="str">
        <f t="shared" si="2"/>
        <v/>
      </c>
    </row>
    <row r="181" spans="1:1" x14ac:dyDescent="0.25">
      <c r="A181" s="216" t="str">
        <f t="shared" si="2"/>
        <v/>
      </c>
    </row>
    <row r="182" spans="1:1" x14ac:dyDescent="0.25">
      <c r="A182" s="216" t="str">
        <f t="shared" si="2"/>
        <v/>
      </c>
    </row>
    <row r="183" spans="1:1" x14ac:dyDescent="0.25">
      <c r="A183" s="216" t="str">
        <f t="shared" si="2"/>
        <v/>
      </c>
    </row>
    <row r="184" spans="1:1" x14ac:dyDescent="0.25">
      <c r="A184" s="216" t="str">
        <f t="shared" si="2"/>
        <v/>
      </c>
    </row>
    <row r="185" spans="1:1" x14ac:dyDescent="0.25">
      <c r="A185" s="216" t="str">
        <f t="shared" si="2"/>
        <v/>
      </c>
    </row>
    <row r="186" spans="1:1" x14ac:dyDescent="0.25">
      <c r="A186" s="216" t="str">
        <f t="shared" si="2"/>
        <v/>
      </c>
    </row>
    <row r="187" spans="1:1" x14ac:dyDescent="0.25">
      <c r="A187" s="216" t="str">
        <f t="shared" si="2"/>
        <v/>
      </c>
    </row>
    <row r="188" spans="1:1" x14ac:dyDescent="0.25">
      <c r="A188" s="216" t="str">
        <f t="shared" si="2"/>
        <v/>
      </c>
    </row>
    <row r="189" spans="1:1" x14ac:dyDescent="0.25">
      <c r="A189" s="216" t="str">
        <f t="shared" si="2"/>
        <v/>
      </c>
    </row>
    <row r="190" spans="1:1" x14ac:dyDescent="0.25">
      <c r="A190" s="216" t="str">
        <f t="shared" si="2"/>
        <v/>
      </c>
    </row>
    <row r="191" spans="1:1" x14ac:dyDescent="0.25">
      <c r="A191" s="216" t="str">
        <f t="shared" si="2"/>
        <v/>
      </c>
    </row>
    <row r="192" spans="1:1" x14ac:dyDescent="0.25">
      <c r="A192" s="216" t="str">
        <f t="shared" si="2"/>
        <v/>
      </c>
    </row>
    <row r="193" spans="1:1" x14ac:dyDescent="0.25">
      <c r="A193" s="216" t="str">
        <f t="shared" si="2"/>
        <v/>
      </c>
    </row>
    <row r="194" spans="1:1" x14ac:dyDescent="0.25">
      <c r="A194" s="216" t="str">
        <f t="shared" si="2"/>
        <v/>
      </c>
    </row>
    <row r="195" spans="1:1" x14ac:dyDescent="0.25">
      <c r="A195" s="216" t="str">
        <f t="shared" si="2"/>
        <v/>
      </c>
    </row>
    <row r="196" spans="1:1" x14ac:dyDescent="0.25">
      <c r="A196" s="216" t="str">
        <f t="shared" ref="A196:A259" si="3">IF(B196&lt;&gt;"",A195+1,"")</f>
        <v/>
      </c>
    </row>
    <row r="197" spans="1:1" x14ac:dyDescent="0.25">
      <c r="A197" s="216" t="str">
        <f t="shared" si="3"/>
        <v/>
      </c>
    </row>
    <row r="198" spans="1:1" x14ac:dyDescent="0.25">
      <c r="A198" s="216" t="str">
        <f t="shared" si="3"/>
        <v/>
      </c>
    </row>
    <row r="199" spans="1:1" x14ac:dyDescent="0.25">
      <c r="A199" s="216" t="str">
        <f t="shared" si="3"/>
        <v/>
      </c>
    </row>
    <row r="200" spans="1:1" x14ac:dyDescent="0.25">
      <c r="A200" s="216" t="str">
        <f t="shared" si="3"/>
        <v/>
      </c>
    </row>
    <row r="201" spans="1:1" x14ac:dyDescent="0.25">
      <c r="A201" s="216" t="str">
        <f t="shared" si="3"/>
        <v/>
      </c>
    </row>
    <row r="202" spans="1:1" x14ac:dyDescent="0.25">
      <c r="A202" s="216" t="str">
        <f t="shared" si="3"/>
        <v/>
      </c>
    </row>
    <row r="203" spans="1:1" x14ac:dyDescent="0.25">
      <c r="A203" s="216" t="str">
        <f t="shared" si="3"/>
        <v/>
      </c>
    </row>
    <row r="204" spans="1:1" x14ac:dyDescent="0.25">
      <c r="A204" s="216" t="str">
        <f t="shared" si="3"/>
        <v/>
      </c>
    </row>
    <row r="205" spans="1:1" x14ac:dyDescent="0.25">
      <c r="A205" s="216" t="str">
        <f t="shared" si="3"/>
        <v/>
      </c>
    </row>
    <row r="206" spans="1:1" x14ac:dyDescent="0.25">
      <c r="A206" s="216" t="str">
        <f t="shared" si="3"/>
        <v/>
      </c>
    </row>
    <row r="207" spans="1:1" x14ac:dyDescent="0.25">
      <c r="A207" s="216" t="str">
        <f t="shared" si="3"/>
        <v/>
      </c>
    </row>
    <row r="208" spans="1:1" x14ac:dyDescent="0.25">
      <c r="A208" s="216" t="str">
        <f t="shared" si="3"/>
        <v/>
      </c>
    </row>
    <row r="209" spans="1:1" x14ac:dyDescent="0.25">
      <c r="A209" s="216" t="str">
        <f t="shared" si="3"/>
        <v/>
      </c>
    </row>
    <row r="210" spans="1:1" x14ac:dyDescent="0.25">
      <c r="A210" s="216" t="str">
        <f t="shared" si="3"/>
        <v/>
      </c>
    </row>
    <row r="211" spans="1:1" x14ac:dyDescent="0.25">
      <c r="A211" s="216" t="str">
        <f t="shared" si="3"/>
        <v/>
      </c>
    </row>
    <row r="212" spans="1:1" x14ac:dyDescent="0.25">
      <c r="A212" s="216" t="str">
        <f t="shared" si="3"/>
        <v/>
      </c>
    </row>
    <row r="213" spans="1:1" x14ac:dyDescent="0.25">
      <c r="A213" s="216" t="str">
        <f t="shared" si="3"/>
        <v/>
      </c>
    </row>
    <row r="214" spans="1:1" x14ac:dyDescent="0.25">
      <c r="A214" s="216" t="str">
        <f t="shared" si="3"/>
        <v/>
      </c>
    </row>
    <row r="215" spans="1:1" x14ac:dyDescent="0.25">
      <c r="A215" s="216" t="str">
        <f t="shared" si="3"/>
        <v/>
      </c>
    </row>
    <row r="216" spans="1:1" x14ac:dyDescent="0.25">
      <c r="A216" s="216" t="str">
        <f t="shared" si="3"/>
        <v/>
      </c>
    </row>
    <row r="217" spans="1:1" x14ac:dyDescent="0.25">
      <c r="A217" s="216" t="str">
        <f t="shared" si="3"/>
        <v/>
      </c>
    </row>
    <row r="218" spans="1:1" x14ac:dyDescent="0.25">
      <c r="A218" s="216" t="str">
        <f t="shared" si="3"/>
        <v/>
      </c>
    </row>
    <row r="219" spans="1:1" x14ac:dyDescent="0.25">
      <c r="A219" s="216" t="str">
        <f t="shared" si="3"/>
        <v/>
      </c>
    </row>
    <row r="220" spans="1:1" x14ac:dyDescent="0.25">
      <c r="A220" s="216" t="str">
        <f t="shared" si="3"/>
        <v/>
      </c>
    </row>
    <row r="221" spans="1:1" x14ac:dyDescent="0.25">
      <c r="A221" s="216" t="str">
        <f t="shared" si="3"/>
        <v/>
      </c>
    </row>
    <row r="222" spans="1:1" x14ac:dyDescent="0.25">
      <c r="A222" s="216" t="str">
        <f t="shared" si="3"/>
        <v/>
      </c>
    </row>
    <row r="223" spans="1:1" x14ac:dyDescent="0.25">
      <c r="A223" s="216" t="str">
        <f t="shared" si="3"/>
        <v/>
      </c>
    </row>
    <row r="224" spans="1:1" x14ac:dyDescent="0.25">
      <c r="A224" s="216" t="str">
        <f t="shared" si="3"/>
        <v/>
      </c>
    </row>
    <row r="225" spans="1:1" x14ac:dyDescent="0.25">
      <c r="A225" s="216" t="str">
        <f t="shared" si="3"/>
        <v/>
      </c>
    </row>
    <row r="226" spans="1:1" x14ac:dyDescent="0.25">
      <c r="A226" s="216" t="str">
        <f t="shared" si="3"/>
        <v/>
      </c>
    </row>
    <row r="227" spans="1:1" x14ac:dyDescent="0.25">
      <c r="A227" s="216" t="str">
        <f t="shared" si="3"/>
        <v/>
      </c>
    </row>
    <row r="228" spans="1:1" x14ac:dyDescent="0.25">
      <c r="A228" s="216" t="str">
        <f t="shared" si="3"/>
        <v/>
      </c>
    </row>
    <row r="229" spans="1:1" x14ac:dyDescent="0.25">
      <c r="A229" s="216" t="str">
        <f t="shared" si="3"/>
        <v/>
      </c>
    </row>
    <row r="230" spans="1:1" x14ac:dyDescent="0.25">
      <c r="A230" s="216" t="str">
        <f t="shared" si="3"/>
        <v/>
      </c>
    </row>
    <row r="231" spans="1:1" x14ac:dyDescent="0.25">
      <c r="A231" s="216" t="str">
        <f t="shared" si="3"/>
        <v/>
      </c>
    </row>
    <row r="232" spans="1:1" x14ac:dyDescent="0.25">
      <c r="A232" s="216" t="str">
        <f t="shared" si="3"/>
        <v/>
      </c>
    </row>
    <row r="233" spans="1:1" x14ac:dyDescent="0.25">
      <c r="A233" s="216" t="str">
        <f t="shared" si="3"/>
        <v/>
      </c>
    </row>
    <row r="234" spans="1:1" x14ac:dyDescent="0.25">
      <c r="A234" s="216" t="str">
        <f t="shared" si="3"/>
        <v/>
      </c>
    </row>
    <row r="235" spans="1:1" x14ac:dyDescent="0.25">
      <c r="A235" s="216" t="str">
        <f t="shared" si="3"/>
        <v/>
      </c>
    </row>
    <row r="236" spans="1:1" x14ac:dyDescent="0.25">
      <c r="A236" s="216" t="str">
        <f t="shared" si="3"/>
        <v/>
      </c>
    </row>
    <row r="237" spans="1:1" x14ac:dyDescent="0.25">
      <c r="A237" s="216" t="str">
        <f t="shared" si="3"/>
        <v/>
      </c>
    </row>
    <row r="238" spans="1:1" x14ac:dyDescent="0.25">
      <c r="A238" s="216" t="str">
        <f t="shared" si="3"/>
        <v/>
      </c>
    </row>
    <row r="239" spans="1:1" x14ac:dyDescent="0.25">
      <c r="A239" s="216" t="str">
        <f t="shared" si="3"/>
        <v/>
      </c>
    </row>
    <row r="240" spans="1:1" x14ac:dyDescent="0.25">
      <c r="A240" s="216" t="str">
        <f t="shared" si="3"/>
        <v/>
      </c>
    </row>
    <row r="241" spans="1:1" x14ac:dyDescent="0.25">
      <c r="A241" s="216" t="str">
        <f t="shared" si="3"/>
        <v/>
      </c>
    </row>
    <row r="242" spans="1:1" x14ac:dyDescent="0.25">
      <c r="A242" s="216" t="str">
        <f t="shared" si="3"/>
        <v/>
      </c>
    </row>
    <row r="243" spans="1:1" x14ac:dyDescent="0.25">
      <c r="A243" s="216" t="str">
        <f t="shared" si="3"/>
        <v/>
      </c>
    </row>
    <row r="244" spans="1:1" x14ac:dyDescent="0.25">
      <c r="A244" s="216" t="str">
        <f t="shared" si="3"/>
        <v/>
      </c>
    </row>
    <row r="245" spans="1:1" x14ac:dyDescent="0.25">
      <c r="A245" s="216" t="str">
        <f t="shared" si="3"/>
        <v/>
      </c>
    </row>
    <row r="246" spans="1:1" x14ac:dyDescent="0.25">
      <c r="A246" s="216" t="str">
        <f t="shared" si="3"/>
        <v/>
      </c>
    </row>
    <row r="247" spans="1:1" x14ac:dyDescent="0.25">
      <c r="A247" s="216" t="str">
        <f t="shared" si="3"/>
        <v/>
      </c>
    </row>
    <row r="248" spans="1:1" x14ac:dyDescent="0.25">
      <c r="A248" s="216" t="str">
        <f t="shared" si="3"/>
        <v/>
      </c>
    </row>
    <row r="249" spans="1:1" x14ac:dyDescent="0.25">
      <c r="A249" s="216" t="str">
        <f t="shared" si="3"/>
        <v/>
      </c>
    </row>
    <row r="250" spans="1:1" x14ac:dyDescent="0.25">
      <c r="A250" s="216" t="str">
        <f t="shared" si="3"/>
        <v/>
      </c>
    </row>
    <row r="251" spans="1:1" x14ac:dyDescent="0.25">
      <c r="A251" s="216" t="str">
        <f t="shared" si="3"/>
        <v/>
      </c>
    </row>
    <row r="252" spans="1:1" x14ac:dyDescent="0.25">
      <c r="A252" s="216" t="str">
        <f t="shared" si="3"/>
        <v/>
      </c>
    </row>
    <row r="253" spans="1:1" x14ac:dyDescent="0.25">
      <c r="A253" s="216" t="str">
        <f t="shared" si="3"/>
        <v/>
      </c>
    </row>
    <row r="254" spans="1:1" x14ac:dyDescent="0.25">
      <c r="A254" s="216" t="str">
        <f t="shared" si="3"/>
        <v/>
      </c>
    </row>
    <row r="255" spans="1:1" x14ac:dyDescent="0.25">
      <c r="A255" s="216" t="str">
        <f t="shared" si="3"/>
        <v/>
      </c>
    </row>
    <row r="256" spans="1:1" x14ac:dyDescent="0.25">
      <c r="A256" s="216" t="str">
        <f t="shared" si="3"/>
        <v/>
      </c>
    </row>
    <row r="257" spans="1:1" x14ac:dyDescent="0.25">
      <c r="A257" s="216" t="str">
        <f t="shared" si="3"/>
        <v/>
      </c>
    </row>
    <row r="258" spans="1:1" x14ac:dyDescent="0.25">
      <c r="A258" s="216" t="str">
        <f t="shared" si="3"/>
        <v/>
      </c>
    </row>
    <row r="259" spans="1:1" x14ac:dyDescent="0.25">
      <c r="A259" s="216" t="str">
        <f t="shared" si="3"/>
        <v/>
      </c>
    </row>
    <row r="260" spans="1:1" x14ac:dyDescent="0.25">
      <c r="A260" s="216" t="str">
        <f t="shared" ref="A260:A323" si="4">IF(B260&lt;&gt;"",A259+1,"")</f>
        <v/>
      </c>
    </row>
    <row r="261" spans="1:1" x14ac:dyDescent="0.25">
      <c r="A261" s="216" t="str">
        <f t="shared" si="4"/>
        <v/>
      </c>
    </row>
    <row r="262" spans="1:1" x14ac:dyDescent="0.25">
      <c r="A262" s="216" t="str">
        <f t="shared" si="4"/>
        <v/>
      </c>
    </row>
    <row r="263" spans="1:1" x14ac:dyDescent="0.25">
      <c r="A263" s="216" t="str">
        <f t="shared" si="4"/>
        <v/>
      </c>
    </row>
    <row r="264" spans="1:1" x14ac:dyDescent="0.25">
      <c r="A264" s="216" t="str">
        <f t="shared" si="4"/>
        <v/>
      </c>
    </row>
    <row r="265" spans="1:1" x14ac:dyDescent="0.25">
      <c r="A265" s="216" t="str">
        <f t="shared" si="4"/>
        <v/>
      </c>
    </row>
    <row r="266" spans="1:1" x14ac:dyDescent="0.25">
      <c r="A266" s="216" t="str">
        <f t="shared" si="4"/>
        <v/>
      </c>
    </row>
    <row r="267" spans="1:1" x14ac:dyDescent="0.25">
      <c r="A267" s="216" t="str">
        <f t="shared" si="4"/>
        <v/>
      </c>
    </row>
    <row r="268" spans="1:1" x14ac:dyDescent="0.25">
      <c r="A268" s="216" t="str">
        <f t="shared" si="4"/>
        <v/>
      </c>
    </row>
    <row r="269" spans="1:1" x14ac:dyDescent="0.25">
      <c r="A269" s="216" t="str">
        <f t="shared" si="4"/>
        <v/>
      </c>
    </row>
    <row r="270" spans="1:1" x14ac:dyDescent="0.25">
      <c r="A270" s="216" t="str">
        <f t="shared" si="4"/>
        <v/>
      </c>
    </row>
    <row r="271" spans="1:1" x14ac:dyDescent="0.25">
      <c r="A271" s="216" t="str">
        <f t="shared" si="4"/>
        <v/>
      </c>
    </row>
    <row r="272" spans="1:1" x14ac:dyDescent="0.25">
      <c r="A272" s="216" t="str">
        <f t="shared" si="4"/>
        <v/>
      </c>
    </row>
    <row r="273" spans="1:1" x14ac:dyDescent="0.25">
      <c r="A273" s="216" t="str">
        <f t="shared" si="4"/>
        <v/>
      </c>
    </row>
    <row r="274" spans="1:1" x14ac:dyDescent="0.25">
      <c r="A274" s="216" t="str">
        <f t="shared" si="4"/>
        <v/>
      </c>
    </row>
    <row r="275" spans="1:1" x14ac:dyDescent="0.25">
      <c r="A275" s="216" t="str">
        <f t="shared" si="4"/>
        <v/>
      </c>
    </row>
    <row r="276" spans="1:1" x14ac:dyDescent="0.25">
      <c r="A276" s="216" t="str">
        <f t="shared" si="4"/>
        <v/>
      </c>
    </row>
    <row r="277" spans="1:1" x14ac:dyDescent="0.25">
      <c r="A277" s="216" t="str">
        <f t="shared" si="4"/>
        <v/>
      </c>
    </row>
    <row r="278" spans="1:1" x14ac:dyDescent="0.25">
      <c r="A278" s="216" t="str">
        <f t="shared" si="4"/>
        <v/>
      </c>
    </row>
    <row r="279" spans="1:1" x14ac:dyDescent="0.25">
      <c r="A279" s="216" t="str">
        <f t="shared" si="4"/>
        <v/>
      </c>
    </row>
    <row r="280" spans="1:1" x14ac:dyDescent="0.25">
      <c r="A280" s="216" t="str">
        <f t="shared" si="4"/>
        <v/>
      </c>
    </row>
    <row r="281" spans="1:1" x14ac:dyDescent="0.25">
      <c r="A281" s="216" t="str">
        <f t="shared" si="4"/>
        <v/>
      </c>
    </row>
    <row r="282" spans="1:1" x14ac:dyDescent="0.25">
      <c r="A282" s="216" t="str">
        <f t="shared" si="4"/>
        <v/>
      </c>
    </row>
    <row r="283" spans="1:1" x14ac:dyDescent="0.25">
      <c r="A283" s="216" t="str">
        <f t="shared" si="4"/>
        <v/>
      </c>
    </row>
    <row r="284" spans="1:1" x14ac:dyDescent="0.25">
      <c r="A284" s="216" t="str">
        <f t="shared" si="4"/>
        <v/>
      </c>
    </row>
    <row r="285" spans="1:1" x14ac:dyDescent="0.25">
      <c r="A285" s="216" t="str">
        <f t="shared" si="4"/>
        <v/>
      </c>
    </row>
    <row r="286" spans="1:1" x14ac:dyDescent="0.25">
      <c r="A286" s="216" t="str">
        <f t="shared" si="4"/>
        <v/>
      </c>
    </row>
    <row r="287" spans="1:1" x14ac:dyDescent="0.25">
      <c r="A287" s="216" t="str">
        <f t="shared" si="4"/>
        <v/>
      </c>
    </row>
    <row r="288" spans="1:1" x14ac:dyDescent="0.25">
      <c r="A288" s="216" t="str">
        <f t="shared" si="4"/>
        <v/>
      </c>
    </row>
    <row r="289" spans="1:1" x14ac:dyDescent="0.25">
      <c r="A289" s="216" t="str">
        <f t="shared" si="4"/>
        <v/>
      </c>
    </row>
    <row r="290" spans="1:1" x14ac:dyDescent="0.25">
      <c r="A290" s="216" t="str">
        <f t="shared" si="4"/>
        <v/>
      </c>
    </row>
    <row r="291" spans="1:1" x14ac:dyDescent="0.25">
      <c r="A291" s="216" t="str">
        <f t="shared" si="4"/>
        <v/>
      </c>
    </row>
    <row r="292" spans="1:1" x14ac:dyDescent="0.25">
      <c r="A292" s="216" t="str">
        <f t="shared" si="4"/>
        <v/>
      </c>
    </row>
    <row r="293" spans="1:1" x14ac:dyDescent="0.25">
      <c r="A293" s="216" t="str">
        <f t="shared" si="4"/>
        <v/>
      </c>
    </row>
    <row r="294" spans="1:1" x14ac:dyDescent="0.25">
      <c r="A294" s="216" t="str">
        <f t="shared" si="4"/>
        <v/>
      </c>
    </row>
    <row r="295" spans="1:1" x14ac:dyDescent="0.25">
      <c r="A295" s="216" t="str">
        <f t="shared" si="4"/>
        <v/>
      </c>
    </row>
    <row r="296" spans="1:1" x14ac:dyDescent="0.25">
      <c r="A296" s="216" t="str">
        <f t="shared" si="4"/>
        <v/>
      </c>
    </row>
    <row r="297" spans="1:1" x14ac:dyDescent="0.25">
      <c r="A297" s="216" t="str">
        <f t="shared" si="4"/>
        <v/>
      </c>
    </row>
    <row r="298" spans="1:1" x14ac:dyDescent="0.25">
      <c r="A298" s="216" t="str">
        <f t="shared" si="4"/>
        <v/>
      </c>
    </row>
    <row r="299" spans="1:1" x14ac:dyDescent="0.25">
      <c r="A299" s="216" t="str">
        <f t="shared" si="4"/>
        <v/>
      </c>
    </row>
    <row r="300" spans="1:1" x14ac:dyDescent="0.25">
      <c r="A300" s="216" t="str">
        <f t="shared" si="4"/>
        <v/>
      </c>
    </row>
    <row r="301" spans="1:1" x14ac:dyDescent="0.25">
      <c r="A301" s="216" t="str">
        <f t="shared" si="4"/>
        <v/>
      </c>
    </row>
    <row r="302" spans="1:1" x14ac:dyDescent="0.25">
      <c r="A302" s="216" t="str">
        <f t="shared" si="4"/>
        <v/>
      </c>
    </row>
    <row r="303" spans="1:1" x14ac:dyDescent="0.25">
      <c r="A303" s="216" t="str">
        <f t="shared" si="4"/>
        <v/>
      </c>
    </row>
    <row r="304" spans="1:1" x14ac:dyDescent="0.25">
      <c r="A304" s="216" t="str">
        <f t="shared" si="4"/>
        <v/>
      </c>
    </row>
    <row r="305" spans="1:1" x14ac:dyDescent="0.25">
      <c r="A305" s="216" t="str">
        <f t="shared" si="4"/>
        <v/>
      </c>
    </row>
    <row r="306" spans="1:1" x14ac:dyDescent="0.25">
      <c r="A306" s="216" t="str">
        <f t="shared" si="4"/>
        <v/>
      </c>
    </row>
    <row r="307" spans="1:1" x14ac:dyDescent="0.25">
      <c r="A307" s="216" t="str">
        <f t="shared" si="4"/>
        <v/>
      </c>
    </row>
    <row r="308" spans="1:1" x14ac:dyDescent="0.25">
      <c r="A308" s="216" t="str">
        <f t="shared" si="4"/>
        <v/>
      </c>
    </row>
    <row r="309" spans="1:1" x14ac:dyDescent="0.25">
      <c r="A309" s="216" t="str">
        <f t="shared" si="4"/>
        <v/>
      </c>
    </row>
    <row r="310" spans="1:1" x14ac:dyDescent="0.25">
      <c r="A310" s="216" t="str">
        <f t="shared" si="4"/>
        <v/>
      </c>
    </row>
    <row r="311" spans="1:1" x14ac:dyDescent="0.25">
      <c r="A311" s="216" t="str">
        <f t="shared" si="4"/>
        <v/>
      </c>
    </row>
    <row r="312" spans="1:1" x14ac:dyDescent="0.25">
      <c r="A312" s="216" t="str">
        <f t="shared" si="4"/>
        <v/>
      </c>
    </row>
    <row r="313" spans="1:1" x14ac:dyDescent="0.25">
      <c r="A313" s="216" t="str">
        <f t="shared" si="4"/>
        <v/>
      </c>
    </row>
    <row r="314" spans="1:1" x14ac:dyDescent="0.25">
      <c r="A314" s="216" t="str">
        <f t="shared" si="4"/>
        <v/>
      </c>
    </row>
    <row r="315" spans="1:1" x14ac:dyDescent="0.25">
      <c r="A315" s="216" t="str">
        <f t="shared" si="4"/>
        <v/>
      </c>
    </row>
    <row r="316" spans="1:1" x14ac:dyDescent="0.25">
      <c r="A316" s="216" t="str">
        <f t="shared" si="4"/>
        <v/>
      </c>
    </row>
    <row r="317" spans="1:1" x14ac:dyDescent="0.25">
      <c r="A317" s="216" t="str">
        <f t="shared" si="4"/>
        <v/>
      </c>
    </row>
    <row r="318" spans="1:1" x14ac:dyDescent="0.25">
      <c r="A318" s="216" t="str">
        <f t="shared" si="4"/>
        <v/>
      </c>
    </row>
    <row r="319" spans="1:1" x14ac:dyDescent="0.25">
      <c r="A319" s="216" t="str">
        <f t="shared" si="4"/>
        <v/>
      </c>
    </row>
    <row r="320" spans="1:1" x14ac:dyDescent="0.25">
      <c r="A320" s="216" t="str">
        <f t="shared" si="4"/>
        <v/>
      </c>
    </row>
    <row r="321" spans="1:1" x14ac:dyDescent="0.25">
      <c r="A321" s="216" t="str">
        <f t="shared" si="4"/>
        <v/>
      </c>
    </row>
    <row r="322" spans="1:1" x14ac:dyDescent="0.25">
      <c r="A322" s="216" t="str">
        <f t="shared" si="4"/>
        <v/>
      </c>
    </row>
    <row r="323" spans="1:1" x14ac:dyDescent="0.25">
      <c r="A323" s="216" t="str">
        <f t="shared" si="4"/>
        <v/>
      </c>
    </row>
    <row r="324" spans="1:1" x14ac:dyDescent="0.25">
      <c r="A324" s="216" t="str">
        <f t="shared" ref="A324:A387" si="5">IF(B324&lt;&gt;"",A323+1,"")</f>
        <v/>
      </c>
    </row>
    <row r="325" spans="1:1" x14ac:dyDescent="0.25">
      <c r="A325" s="216" t="str">
        <f t="shared" si="5"/>
        <v/>
      </c>
    </row>
    <row r="326" spans="1:1" x14ac:dyDescent="0.25">
      <c r="A326" s="216" t="str">
        <f t="shared" si="5"/>
        <v/>
      </c>
    </row>
    <row r="327" spans="1:1" x14ac:dyDescent="0.25">
      <c r="A327" s="216" t="str">
        <f t="shared" si="5"/>
        <v/>
      </c>
    </row>
    <row r="328" spans="1:1" x14ac:dyDescent="0.25">
      <c r="A328" s="216" t="str">
        <f t="shared" si="5"/>
        <v/>
      </c>
    </row>
    <row r="329" spans="1:1" x14ac:dyDescent="0.25">
      <c r="A329" s="216" t="str">
        <f t="shared" si="5"/>
        <v/>
      </c>
    </row>
    <row r="330" spans="1:1" x14ac:dyDescent="0.25">
      <c r="A330" s="216" t="str">
        <f t="shared" si="5"/>
        <v/>
      </c>
    </row>
    <row r="331" spans="1:1" x14ac:dyDescent="0.25">
      <c r="A331" s="216" t="str">
        <f t="shared" si="5"/>
        <v/>
      </c>
    </row>
    <row r="332" spans="1:1" x14ac:dyDescent="0.25">
      <c r="A332" s="216" t="str">
        <f t="shared" si="5"/>
        <v/>
      </c>
    </row>
    <row r="333" spans="1:1" x14ac:dyDescent="0.25">
      <c r="A333" s="216" t="str">
        <f t="shared" si="5"/>
        <v/>
      </c>
    </row>
    <row r="334" spans="1:1" x14ac:dyDescent="0.25">
      <c r="A334" s="216" t="str">
        <f t="shared" si="5"/>
        <v/>
      </c>
    </row>
    <row r="335" spans="1:1" x14ac:dyDescent="0.25">
      <c r="A335" s="216" t="str">
        <f t="shared" si="5"/>
        <v/>
      </c>
    </row>
    <row r="336" spans="1:1" x14ac:dyDescent="0.25">
      <c r="A336" s="216" t="str">
        <f t="shared" si="5"/>
        <v/>
      </c>
    </row>
    <row r="337" spans="1:1" x14ac:dyDescent="0.25">
      <c r="A337" s="216" t="str">
        <f t="shared" si="5"/>
        <v/>
      </c>
    </row>
    <row r="338" spans="1:1" x14ac:dyDescent="0.25">
      <c r="A338" s="216" t="str">
        <f t="shared" si="5"/>
        <v/>
      </c>
    </row>
    <row r="339" spans="1:1" x14ac:dyDescent="0.25">
      <c r="A339" s="216" t="str">
        <f t="shared" si="5"/>
        <v/>
      </c>
    </row>
    <row r="340" spans="1:1" x14ac:dyDescent="0.25">
      <c r="A340" s="216" t="str">
        <f t="shared" si="5"/>
        <v/>
      </c>
    </row>
    <row r="341" spans="1:1" x14ac:dyDescent="0.25">
      <c r="A341" s="216" t="str">
        <f t="shared" si="5"/>
        <v/>
      </c>
    </row>
    <row r="342" spans="1:1" x14ac:dyDescent="0.25">
      <c r="A342" s="216" t="str">
        <f t="shared" si="5"/>
        <v/>
      </c>
    </row>
    <row r="343" spans="1:1" x14ac:dyDescent="0.25">
      <c r="A343" s="216" t="str">
        <f t="shared" si="5"/>
        <v/>
      </c>
    </row>
    <row r="344" spans="1:1" x14ac:dyDescent="0.25">
      <c r="A344" s="216" t="str">
        <f t="shared" si="5"/>
        <v/>
      </c>
    </row>
    <row r="345" spans="1:1" x14ac:dyDescent="0.25">
      <c r="A345" s="216" t="str">
        <f t="shared" si="5"/>
        <v/>
      </c>
    </row>
    <row r="346" spans="1:1" x14ac:dyDescent="0.25">
      <c r="A346" s="216" t="str">
        <f t="shared" si="5"/>
        <v/>
      </c>
    </row>
    <row r="347" spans="1:1" x14ac:dyDescent="0.25">
      <c r="A347" s="216" t="str">
        <f t="shared" si="5"/>
        <v/>
      </c>
    </row>
    <row r="348" spans="1:1" x14ac:dyDescent="0.25">
      <c r="A348" s="216" t="str">
        <f t="shared" si="5"/>
        <v/>
      </c>
    </row>
    <row r="349" spans="1:1" x14ac:dyDescent="0.25">
      <c r="A349" s="216" t="str">
        <f t="shared" si="5"/>
        <v/>
      </c>
    </row>
    <row r="350" spans="1:1" x14ac:dyDescent="0.25">
      <c r="A350" s="216" t="str">
        <f t="shared" si="5"/>
        <v/>
      </c>
    </row>
    <row r="351" spans="1:1" x14ac:dyDescent="0.25">
      <c r="A351" s="216" t="str">
        <f t="shared" si="5"/>
        <v/>
      </c>
    </row>
    <row r="352" spans="1:1" x14ac:dyDescent="0.25">
      <c r="A352" s="216" t="str">
        <f t="shared" si="5"/>
        <v/>
      </c>
    </row>
    <row r="353" spans="1:1" x14ac:dyDescent="0.25">
      <c r="A353" s="216" t="str">
        <f t="shared" si="5"/>
        <v/>
      </c>
    </row>
    <row r="354" spans="1:1" x14ac:dyDescent="0.25">
      <c r="A354" s="216" t="str">
        <f t="shared" si="5"/>
        <v/>
      </c>
    </row>
    <row r="355" spans="1:1" x14ac:dyDescent="0.25">
      <c r="A355" s="216" t="str">
        <f t="shared" si="5"/>
        <v/>
      </c>
    </row>
    <row r="356" spans="1:1" x14ac:dyDescent="0.25">
      <c r="A356" s="216" t="str">
        <f t="shared" si="5"/>
        <v/>
      </c>
    </row>
    <row r="357" spans="1:1" x14ac:dyDescent="0.25">
      <c r="A357" s="216" t="str">
        <f t="shared" si="5"/>
        <v/>
      </c>
    </row>
    <row r="358" spans="1:1" x14ac:dyDescent="0.25">
      <c r="A358" s="216" t="str">
        <f t="shared" si="5"/>
        <v/>
      </c>
    </row>
    <row r="359" spans="1:1" x14ac:dyDescent="0.25">
      <c r="A359" s="216" t="str">
        <f t="shared" si="5"/>
        <v/>
      </c>
    </row>
    <row r="360" spans="1:1" x14ac:dyDescent="0.25">
      <c r="A360" s="216" t="str">
        <f t="shared" si="5"/>
        <v/>
      </c>
    </row>
    <row r="361" spans="1:1" x14ac:dyDescent="0.25">
      <c r="A361" s="216" t="str">
        <f t="shared" si="5"/>
        <v/>
      </c>
    </row>
    <row r="362" spans="1:1" x14ac:dyDescent="0.25">
      <c r="A362" s="216" t="str">
        <f t="shared" si="5"/>
        <v/>
      </c>
    </row>
    <row r="363" spans="1:1" x14ac:dyDescent="0.25">
      <c r="A363" s="216" t="str">
        <f t="shared" si="5"/>
        <v/>
      </c>
    </row>
    <row r="364" spans="1:1" x14ac:dyDescent="0.25">
      <c r="A364" s="216" t="str">
        <f t="shared" si="5"/>
        <v/>
      </c>
    </row>
    <row r="365" spans="1:1" x14ac:dyDescent="0.25">
      <c r="A365" s="216" t="str">
        <f t="shared" si="5"/>
        <v/>
      </c>
    </row>
    <row r="366" spans="1:1" x14ac:dyDescent="0.25">
      <c r="A366" s="216" t="str">
        <f t="shared" si="5"/>
        <v/>
      </c>
    </row>
    <row r="367" spans="1:1" x14ac:dyDescent="0.25">
      <c r="A367" s="216" t="str">
        <f t="shared" si="5"/>
        <v/>
      </c>
    </row>
    <row r="368" spans="1:1" x14ac:dyDescent="0.25">
      <c r="A368" s="216" t="str">
        <f t="shared" si="5"/>
        <v/>
      </c>
    </row>
    <row r="369" spans="1:1" x14ac:dyDescent="0.25">
      <c r="A369" s="216" t="str">
        <f t="shared" si="5"/>
        <v/>
      </c>
    </row>
    <row r="370" spans="1:1" x14ac:dyDescent="0.25">
      <c r="A370" s="216" t="str">
        <f t="shared" si="5"/>
        <v/>
      </c>
    </row>
    <row r="371" spans="1:1" x14ac:dyDescent="0.25">
      <c r="A371" s="216" t="str">
        <f t="shared" si="5"/>
        <v/>
      </c>
    </row>
    <row r="372" spans="1:1" x14ac:dyDescent="0.25">
      <c r="A372" s="216" t="str">
        <f t="shared" si="5"/>
        <v/>
      </c>
    </row>
    <row r="373" spans="1:1" x14ac:dyDescent="0.25">
      <c r="A373" s="216" t="str">
        <f t="shared" si="5"/>
        <v/>
      </c>
    </row>
    <row r="374" spans="1:1" x14ac:dyDescent="0.25">
      <c r="A374" s="216" t="str">
        <f t="shared" si="5"/>
        <v/>
      </c>
    </row>
    <row r="375" spans="1:1" x14ac:dyDescent="0.25">
      <c r="A375" s="216" t="str">
        <f t="shared" si="5"/>
        <v/>
      </c>
    </row>
    <row r="376" spans="1:1" x14ac:dyDescent="0.25">
      <c r="A376" s="216" t="str">
        <f t="shared" si="5"/>
        <v/>
      </c>
    </row>
    <row r="377" spans="1:1" x14ac:dyDescent="0.25">
      <c r="A377" s="216" t="str">
        <f t="shared" si="5"/>
        <v/>
      </c>
    </row>
    <row r="378" spans="1:1" x14ac:dyDescent="0.25">
      <c r="A378" s="216" t="str">
        <f t="shared" si="5"/>
        <v/>
      </c>
    </row>
    <row r="379" spans="1:1" x14ac:dyDescent="0.25">
      <c r="A379" s="216" t="str">
        <f t="shared" si="5"/>
        <v/>
      </c>
    </row>
    <row r="380" spans="1:1" x14ac:dyDescent="0.25">
      <c r="A380" s="216" t="str">
        <f t="shared" si="5"/>
        <v/>
      </c>
    </row>
    <row r="381" spans="1:1" x14ac:dyDescent="0.25">
      <c r="A381" s="216" t="str">
        <f t="shared" si="5"/>
        <v/>
      </c>
    </row>
    <row r="382" spans="1:1" x14ac:dyDescent="0.25">
      <c r="A382" s="216" t="str">
        <f t="shared" si="5"/>
        <v/>
      </c>
    </row>
    <row r="383" spans="1:1" x14ac:dyDescent="0.25">
      <c r="A383" s="216" t="str">
        <f t="shared" si="5"/>
        <v/>
      </c>
    </row>
    <row r="384" spans="1:1" x14ac:dyDescent="0.25">
      <c r="A384" s="216" t="str">
        <f t="shared" si="5"/>
        <v/>
      </c>
    </row>
    <row r="385" spans="1:1" x14ac:dyDescent="0.25">
      <c r="A385" s="216" t="str">
        <f t="shared" si="5"/>
        <v/>
      </c>
    </row>
    <row r="386" spans="1:1" x14ac:dyDescent="0.25">
      <c r="A386" s="216" t="str">
        <f t="shared" si="5"/>
        <v/>
      </c>
    </row>
    <row r="387" spans="1:1" x14ac:dyDescent="0.25">
      <c r="A387" s="216" t="str">
        <f t="shared" si="5"/>
        <v/>
      </c>
    </row>
    <row r="388" spans="1:1" x14ac:dyDescent="0.25">
      <c r="A388" s="216" t="str">
        <f t="shared" ref="A388:A451" si="6">IF(B388&lt;&gt;"",A387+1,"")</f>
        <v/>
      </c>
    </row>
    <row r="389" spans="1:1" x14ac:dyDescent="0.25">
      <c r="A389" s="216" t="str">
        <f t="shared" si="6"/>
        <v/>
      </c>
    </row>
    <row r="390" spans="1:1" x14ac:dyDescent="0.25">
      <c r="A390" s="216" t="str">
        <f t="shared" si="6"/>
        <v/>
      </c>
    </row>
    <row r="391" spans="1:1" x14ac:dyDescent="0.25">
      <c r="A391" s="216" t="str">
        <f t="shared" si="6"/>
        <v/>
      </c>
    </row>
    <row r="392" spans="1:1" x14ac:dyDescent="0.25">
      <c r="A392" s="216" t="str">
        <f t="shared" si="6"/>
        <v/>
      </c>
    </row>
    <row r="393" spans="1:1" x14ac:dyDescent="0.25">
      <c r="A393" s="216" t="str">
        <f t="shared" si="6"/>
        <v/>
      </c>
    </row>
    <row r="394" spans="1:1" x14ac:dyDescent="0.25">
      <c r="A394" s="216" t="str">
        <f t="shared" si="6"/>
        <v/>
      </c>
    </row>
    <row r="395" spans="1:1" x14ac:dyDescent="0.25">
      <c r="A395" s="216" t="str">
        <f t="shared" si="6"/>
        <v/>
      </c>
    </row>
    <row r="396" spans="1:1" x14ac:dyDescent="0.25">
      <c r="A396" s="216" t="str">
        <f t="shared" si="6"/>
        <v/>
      </c>
    </row>
    <row r="397" spans="1:1" x14ac:dyDescent="0.25">
      <c r="A397" s="216" t="str">
        <f t="shared" si="6"/>
        <v/>
      </c>
    </row>
    <row r="398" spans="1:1" x14ac:dyDescent="0.25">
      <c r="A398" s="216" t="str">
        <f t="shared" si="6"/>
        <v/>
      </c>
    </row>
    <row r="399" spans="1:1" x14ac:dyDescent="0.25">
      <c r="A399" s="216" t="str">
        <f t="shared" si="6"/>
        <v/>
      </c>
    </row>
    <row r="400" spans="1:1" x14ac:dyDescent="0.25">
      <c r="A400" s="216" t="str">
        <f t="shared" si="6"/>
        <v/>
      </c>
    </row>
    <row r="401" spans="1:1" x14ac:dyDescent="0.25">
      <c r="A401" s="216" t="str">
        <f t="shared" si="6"/>
        <v/>
      </c>
    </row>
    <row r="402" spans="1:1" x14ac:dyDescent="0.25">
      <c r="A402" s="216" t="str">
        <f t="shared" si="6"/>
        <v/>
      </c>
    </row>
    <row r="403" spans="1:1" x14ac:dyDescent="0.25">
      <c r="A403" s="216" t="str">
        <f t="shared" si="6"/>
        <v/>
      </c>
    </row>
    <row r="404" spans="1:1" x14ac:dyDescent="0.25">
      <c r="A404" s="216" t="str">
        <f t="shared" si="6"/>
        <v/>
      </c>
    </row>
    <row r="405" spans="1:1" x14ac:dyDescent="0.25">
      <c r="A405" s="216" t="str">
        <f t="shared" si="6"/>
        <v/>
      </c>
    </row>
    <row r="406" spans="1:1" x14ac:dyDescent="0.25">
      <c r="A406" s="216" t="str">
        <f t="shared" si="6"/>
        <v/>
      </c>
    </row>
    <row r="407" spans="1:1" x14ac:dyDescent="0.25">
      <c r="A407" s="216" t="str">
        <f t="shared" si="6"/>
        <v/>
      </c>
    </row>
    <row r="408" spans="1:1" x14ac:dyDescent="0.25">
      <c r="A408" s="216" t="str">
        <f t="shared" si="6"/>
        <v/>
      </c>
    </row>
    <row r="409" spans="1:1" x14ac:dyDescent="0.25">
      <c r="A409" s="216" t="str">
        <f t="shared" si="6"/>
        <v/>
      </c>
    </row>
    <row r="410" spans="1:1" x14ac:dyDescent="0.25">
      <c r="A410" s="216" t="str">
        <f t="shared" si="6"/>
        <v/>
      </c>
    </row>
    <row r="411" spans="1:1" x14ac:dyDescent="0.25">
      <c r="A411" s="216" t="str">
        <f t="shared" si="6"/>
        <v/>
      </c>
    </row>
    <row r="412" spans="1:1" x14ac:dyDescent="0.25">
      <c r="A412" s="216" t="str">
        <f t="shared" si="6"/>
        <v/>
      </c>
    </row>
    <row r="413" spans="1:1" x14ac:dyDescent="0.25">
      <c r="A413" s="216" t="str">
        <f t="shared" si="6"/>
        <v/>
      </c>
    </row>
    <row r="414" spans="1:1" x14ac:dyDescent="0.25">
      <c r="A414" s="216" t="str">
        <f t="shared" si="6"/>
        <v/>
      </c>
    </row>
    <row r="415" spans="1:1" x14ac:dyDescent="0.25">
      <c r="A415" s="216" t="str">
        <f t="shared" si="6"/>
        <v/>
      </c>
    </row>
    <row r="416" spans="1:1" x14ac:dyDescent="0.25">
      <c r="A416" s="216" t="str">
        <f t="shared" si="6"/>
        <v/>
      </c>
    </row>
    <row r="417" spans="1:1" x14ac:dyDescent="0.25">
      <c r="A417" s="216" t="str">
        <f t="shared" si="6"/>
        <v/>
      </c>
    </row>
    <row r="418" spans="1:1" x14ac:dyDescent="0.25">
      <c r="A418" s="216" t="str">
        <f t="shared" si="6"/>
        <v/>
      </c>
    </row>
    <row r="419" spans="1:1" x14ac:dyDescent="0.25">
      <c r="A419" s="216" t="str">
        <f t="shared" si="6"/>
        <v/>
      </c>
    </row>
    <row r="420" spans="1:1" x14ac:dyDescent="0.25">
      <c r="A420" s="216" t="str">
        <f t="shared" si="6"/>
        <v/>
      </c>
    </row>
    <row r="421" spans="1:1" x14ac:dyDescent="0.25">
      <c r="A421" s="216" t="str">
        <f t="shared" si="6"/>
        <v/>
      </c>
    </row>
    <row r="422" spans="1:1" x14ac:dyDescent="0.25">
      <c r="A422" s="216" t="str">
        <f t="shared" si="6"/>
        <v/>
      </c>
    </row>
    <row r="423" spans="1:1" x14ac:dyDescent="0.25">
      <c r="A423" s="216" t="str">
        <f t="shared" si="6"/>
        <v/>
      </c>
    </row>
    <row r="424" spans="1:1" x14ac:dyDescent="0.25">
      <c r="A424" s="216" t="str">
        <f t="shared" si="6"/>
        <v/>
      </c>
    </row>
    <row r="425" spans="1:1" x14ac:dyDescent="0.25">
      <c r="A425" s="216" t="str">
        <f t="shared" si="6"/>
        <v/>
      </c>
    </row>
    <row r="426" spans="1:1" x14ac:dyDescent="0.25">
      <c r="A426" s="216" t="str">
        <f t="shared" si="6"/>
        <v/>
      </c>
    </row>
    <row r="427" spans="1:1" x14ac:dyDescent="0.25">
      <c r="A427" s="216" t="str">
        <f t="shared" si="6"/>
        <v/>
      </c>
    </row>
    <row r="428" spans="1:1" x14ac:dyDescent="0.25">
      <c r="A428" s="216" t="str">
        <f t="shared" si="6"/>
        <v/>
      </c>
    </row>
    <row r="429" spans="1:1" x14ac:dyDescent="0.25">
      <c r="A429" s="216" t="str">
        <f t="shared" si="6"/>
        <v/>
      </c>
    </row>
    <row r="430" spans="1:1" x14ac:dyDescent="0.25">
      <c r="A430" s="216" t="str">
        <f t="shared" si="6"/>
        <v/>
      </c>
    </row>
    <row r="431" spans="1:1" x14ac:dyDescent="0.25">
      <c r="A431" s="216" t="str">
        <f t="shared" si="6"/>
        <v/>
      </c>
    </row>
    <row r="432" spans="1:1" x14ac:dyDescent="0.25">
      <c r="A432" s="216" t="str">
        <f t="shared" si="6"/>
        <v/>
      </c>
    </row>
    <row r="433" spans="1:1" x14ac:dyDescent="0.25">
      <c r="A433" s="216" t="str">
        <f t="shared" si="6"/>
        <v/>
      </c>
    </row>
    <row r="434" spans="1:1" x14ac:dyDescent="0.25">
      <c r="A434" s="216" t="str">
        <f t="shared" si="6"/>
        <v/>
      </c>
    </row>
    <row r="435" spans="1:1" x14ac:dyDescent="0.25">
      <c r="A435" s="216" t="str">
        <f t="shared" si="6"/>
        <v/>
      </c>
    </row>
    <row r="436" spans="1:1" x14ac:dyDescent="0.25">
      <c r="A436" s="216" t="str">
        <f t="shared" si="6"/>
        <v/>
      </c>
    </row>
    <row r="437" spans="1:1" x14ac:dyDescent="0.25">
      <c r="A437" s="216" t="str">
        <f t="shared" si="6"/>
        <v/>
      </c>
    </row>
    <row r="438" spans="1:1" x14ac:dyDescent="0.25">
      <c r="A438" s="216" t="str">
        <f t="shared" si="6"/>
        <v/>
      </c>
    </row>
    <row r="439" spans="1:1" x14ac:dyDescent="0.25">
      <c r="A439" s="216" t="str">
        <f t="shared" si="6"/>
        <v/>
      </c>
    </row>
    <row r="440" spans="1:1" x14ac:dyDescent="0.25">
      <c r="A440" s="216" t="str">
        <f t="shared" si="6"/>
        <v/>
      </c>
    </row>
    <row r="441" spans="1:1" x14ac:dyDescent="0.25">
      <c r="A441" s="216" t="str">
        <f t="shared" si="6"/>
        <v/>
      </c>
    </row>
    <row r="442" spans="1:1" x14ac:dyDescent="0.25">
      <c r="A442" s="216" t="str">
        <f t="shared" si="6"/>
        <v/>
      </c>
    </row>
    <row r="443" spans="1:1" x14ac:dyDescent="0.25">
      <c r="A443" s="216" t="str">
        <f t="shared" si="6"/>
        <v/>
      </c>
    </row>
    <row r="444" spans="1:1" x14ac:dyDescent="0.25">
      <c r="A444" s="216" t="str">
        <f t="shared" si="6"/>
        <v/>
      </c>
    </row>
    <row r="445" spans="1:1" x14ac:dyDescent="0.25">
      <c r="A445" s="216" t="str">
        <f t="shared" si="6"/>
        <v/>
      </c>
    </row>
    <row r="446" spans="1:1" x14ac:dyDescent="0.25">
      <c r="A446" s="216" t="str">
        <f t="shared" si="6"/>
        <v/>
      </c>
    </row>
    <row r="447" spans="1:1" x14ac:dyDescent="0.25">
      <c r="A447" s="216" t="str">
        <f t="shared" si="6"/>
        <v/>
      </c>
    </row>
    <row r="448" spans="1:1" x14ac:dyDescent="0.25">
      <c r="A448" s="216" t="str">
        <f t="shared" si="6"/>
        <v/>
      </c>
    </row>
    <row r="449" spans="1:1" x14ac:dyDescent="0.25">
      <c r="A449" s="216" t="str">
        <f t="shared" si="6"/>
        <v/>
      </c>
    </row>
    <row r="450" spans="1:1" x14ac:dyDescent="0.25">
      <c r="A450" s="216" t="str">
        <f t="shared" si="6"/>
        <v/>
      </c>
    </row>
    <row r="451" spans="1:1" x14ac:dyDescent="0.25">
      <c r="A451" s="216" t="str">
        <f t="shared" si="6"/>
        <v/>
      </c>
    </row>
    <row r="452" spans="1:1" x14ac:dyDescent="0.25">
      <c r="A452" s="216" t="str">
        <f t="shared" ref="A452:A515" si="7">IF(B452&lt;&gt;"",A451+1,"")</f>
        <v/>
      </c>
    </row>
    <row r="453" spans="1:1" x14ac:dyDescent="0.25">
      <c r="A453" s="216" t="str">
        <f t="shared" si="7"/>
        <v/>
      </c>
    </row>
    <row r="454" spans="1:1" x14ac:dyDescent="0.25">
      <c r="A454" s="216" t="str">
        <f t="shared" si="7"/>
        <v/>
      </c>
    </row>
    <row r="455" spans="1:1" x14ac:dyDescent="0.25">
      <c r="A455" s="216" t="str">
        <f t="shared" si="7"/>
        <v/>
      </c>
    </row>
    <row r="456" spans="1:1" x14ac:dyDescent="0.25">
      <c r="A456" s="216" t="str">
        <f t="shared" si="7"/>
        <v/>
      </c>
    </row>
    <row r="457" spans="1:1" x14ac:dyDescent="0.25">
      <c r="A457" s="216" t="str">
        <f t="shared" si="7"/>
        <v/>
      </c>
    </row>
    <row r="458" spans="1:1" x14ac:dyDescent="0.25">
      <c r="A458" s="216" t="str">
        <f t="shared" si="7"/>
        <v/>
      </c>
    </row>
    <row r="459" spans="1:1" x14ac:dyDescent="0.25">
      <c r="A459" s="216" t="str">
        <f t="shared" si="7"/>
        <v/>
      </c>
    </row>
    <row r="460" spans="1:1" x14ac:dyDescent="0.25">
      <c r="A460" s="216" t="str">
        <f t="shared" si="7"/>
        <v/>
      </c>
    </row>
    <row r="461" spans="1:1" x14ac:dyDescent="0.25">
      <c r="A461" s="216" t="str">
        <f t="shared" si="7"/>
        <v/>
      </c>
    </row>
    <row r="462" spans="1:1" x14ac:dyDescent="0.25">
      <c r="A462" s="216" t="str">
        <f t="shared" si="7"/>
        <v/>
      </c>
    </row>
    <row r="463" spans="1:1" x14ac:dyDescent="0.25">
      <c r="A463" s="216" t="str">
        <f t="shared" si="7"/>
        <v/>
      </c>
    </row>
    <row r="464" spans="1:1" x14ac:dyDescent="0.25">
      <c r="A464" s="216" t="str">
        <f t="shared" si="7"/>
        <v/>
      </c>
    </row>
    <row r="465" spans="1:1" x14ac:dyDescent="0.25">
      <c r="A465" s="216" t="str">
        <f t="shared" si="7"/>
        <v/>
      </c>
    </row>
    <row r="466" spans="1:1" x14ac:dyDescent="0.25">
      <c r="A466" s="216" t="str">
        <f t="shared" si="7"/>
        <v/>
      </c>
    </row>
    <row r="467" spans="1:1" x14ac:dyDescent="0.25">
      <c r="A467" s="216" t="str">
        <f t="shared" si="7"/>
        <v/>
      </c>
    </row>
    <row r="468" spans="1:1" x14ac:dyDescent="0.25">
      <c r="A468" s="216" t="str">
        <f t="shared" si="7"/>
        <v/>
      </c>
    </row>
    <row r="469" spans="1:1" x14ac:dyDescent="0.25">
      <c r="A469" s="216" t="str">
        <f t="shared" si="7"/>
        <v/>
      </c>
    </row>
    <row r="470" spans="1:1" x14ac:dyDescent="0.25">
      <c r="A470" s="216" t="str">
        <f t="shared" si="7"/>
        <v/>
      </c>
    </row>
    <row r="471" spans="1:1" x14ac:dyDescent="0.25">
      <c r="A471" s="216" t="str">
        <f t="shared" si="7"/>
        <v/>
      </c>
    </row>
    <row r="472" spans="1:1" x14ac:dyDescent="0.25">
      <c r="A472" s="216" t="str">
        <f t="shared" si="7"/>
        <v/>
      </c>
    </row>
    <row r="473" spans="1:1" x14ac:dyDescent="0.25">
      <c r="A473" s="216" t="str">
        <f t="shared" si="7"/>
        <v/>
      </c>
    </row>
    <row r="474" spans="1:1" x14ac:dyDescent="0.25">
      <c r="A474" s="216" t="str">
        <f t="shared" si="7"/>
        <v/>
      </c>
    </row>
    <row r="475" spans="1:1" x14ac:dyDescent="0.25">
      <c r="A475" s="216" t="str">
        <f t="shared" si="7"/>
        <v/>
      </c>
    </row>
    <row r="476" spans="1:1" x14ac:dyDescent="0.25">
      <c r="A476" s="216" t="str">
        <f t="shared" si="7"/>
        <v/>
      </c>
    </row>
    <row r="477" spans="1:1" x14ac:dyDescent="0.25">
      <c r="A477" s="216" t="str">
        <f t="shared" si="7"/>
        <v/>
      </c>
    </row>
    <row r="478" spans="1:1" x14ac:dyDescent="0.25">
      <c r="A478" s="216" t="str">
        <f t="shared" si="7"/>
        <v/>
      </c>
    </row>
    <row r="479" spans="1:1" x14ac:dyDescent="0.25">
      <c r="A479" s="216" t="str">
        <f t="shared" si="7"/>
        <v/>
      </c>
    </row>
    <row r="480" spans="1:1" x14ac:dyDescent="0.25">
      <c r="A480" s="216" t="str">
        <f t="shared" si="7"/>
        <v/>
      </c>
    </row>
    <row r="481" spans="1:1" x14ac:dyDescent="0.25">
      <c r="A481" s="216" t="str">
        <f t="shared" si="7"/>
        <v/>
      </c>
    </row>
    <row r="482" spans="1:1" x14ac:dyDescent="0.25">
      <c r="A482" s="216" t="str">
        <f t="shared" si="7"/>
        <v/>
      </c>
    </row>
    <row r="483" spans="1:1" x14ac:dyDescent="0.25">
      <c r="A483" s="216" t="str">
        <f t="shared" si="7"/>
        <v/>
      </c>
    </row>
    <row r="484" spans="1:1" x14ac:dyDescent="0.25">
      <c r="A484" s="216" t="str">
        <f t="shared" si="7"/>
        <v/>
      </c>
    </row>
    <row r="485" spans="1:1" x14ac:dyDescent="0.25">
      <c r="A485" s="216" t="str">
        <f t="shared" si="7"/>
        <v/>
      </c>
    </row>
    <row r="486" spans="1:1" x14ac:dyDescent="0.25">
      <c r="A486" s="216" t="str">
        <f t="shared" si="7"/>
        <v/>
      </c>
    </row>
    <row r="487" spans="1:1" x14ac:dyDescent="0.25">
      <c r="A487" s="216" t="str">
        <f t="shared" si="7"/>
        <v/>
      </c>
    </row>
    <row r="488" spans="1:1" x14ac:dyDescent="0.25">
      <c r="A488" s="216" t="str">
        <f t="shared" si="7"/>
        <v/>
      </c>
    </row>
    <row r="489" spans="1:1" x14ac:dyDescent="0.25">
      <c r="A489" s="216" t="str">
        <f t="shared" si="7"/>
        <v/>
      </c>
    </row>
    <row r="490" spans="1:1" x14ac:dyDescent="0.25">
      <c r="A490" s="216" t="str">
        <f t="shared" si="7"/>
        <v/>
      </c>
    </row>
    <row r="491" spans="1:1" x14ac:dyDescent="0.25">
      <c r="A491" s="216" t="str">
        <f t="shared" si="7"/>
        <v/>
      </c>
    </row>
    <row r="492" spans="1:1" x14ac:dyDescent="0.25">
      <c r="A492" s="216" t="str">
        <f t="shared" si="7"/>
        <v/>
      </c>
    </row>
    <row r="493" spans="1:1" x14ac:dyDescent="0.25">
      <c r="A493" s="216" t="str">
        <f t="shared" si="7"/>
        <v/>
      </c>
    </row>
    <row r="494" spans="1:1" x14ac:dyDescent="0.25">
      <c r="A494" s="216" t="str">
        <f t="shared" si="7"/>
        <v/>
      </c>
    </row>
    <row r="495" spans="1:1" x14ac:dyDescent="0.25">
      <c r="A495" s="216" t="str">
        <f t="shared" si="7"/>
        <v/>
      </c>
    </row>
    <row r="496" spans="1:1" x14ac:dyDescent="0.25">
      <c r="A496" s="216" t="str">
        <f t="shared" si="7"/>
        <v/>
      </c>
    </row>
    <row r="497" spans="1:1" x14ac:dyDescent="0.25">
      <c r="A497" s="216" t="str">
        <f t="shared" si="7"/>
        <v/>
      </c>
    </row>
    <row r="498" spans="1:1" x14ac:dyDescent="0.25">
      <c r="A498" s="216" t="str">
        <f t="shared" si="7"/>
        <v/>
      </c>
    </row>
    <row r="499" spans="1:1" x14ac:dyDescent="0.25">
      <c r="A499" s="216" t="str">
        <f t="shared" si="7"/>
        <v/>
      </c>
    </row>
    <row r="500" spans="1:1" x14ac:dyDescent="0.25">
      <c r="A500" s="216" t="str">
        <f t="shared" si="7"/>
        <v/>
      </c>
    </row>
    <row r="501" spans="1:1" x14ac:dyDescent="0.25">
      <c r="A501" s="216" t="str">
        <f t="shared" si="7"/>
        <v/>
      </c>
    </row>
    <row r="502" spans="1:1" x14ac:dyDescent="0.25">
      <c r="A502" s="216" t="str">
        <f t="shared" si="7"/>
        <v/>
      </c>
    </row>
    <row r="503" spans="1:1" x14ac:dyDescent="0.25">
      <c r="A503" s="216" t="str">
        <f t="shared" si="7"/>
        <v/>
      </c>
    </row>
    <row r="504" spans="1:1" x14ac:dyDescent="0.25">
      <c r="A504" s="216" t="str">
        <f t="shared" si="7"/>
        <v/>
      </c>
    </row>
    <row r="505" spans="1:1" x14ac:dyDescent="0.25">
      <c r="A505" s="216" t="str">
        <f t="shared" si="7"/>
        <v/>
      </c>
    </row>
    <row r="506" spans="1:1" x14ac:dyDescent="0.25">
      <c r="A506" s="216" t="str">
        <f t="shared" si="7"/>
        <v/>
      </c>
    </row>
    <row r="507" spans="1:1" x14ac:dyDescent="0.25">
      <c r="A507" s="216" t="str">
        <f t="shared" si="7"/>
        <v/>
      </c>
    </row>
    <row r="508" spans="1:1" x14ac:dyDescent="0.25">
      <c r="A508" s="216" t="str">
        <f t="shared" si="7"/>
        <v/>
      </c>
    </row>
    <row r="509" spans="1:1" x14ac:dyDescent="0.25">
      <c r="A509" s="216" t="str">
        <f t="shared" si="7"/>
        <v/>
      </c>
    </row>
    <row r="510" spans="1:1" x14ac:dyDescent="0.25">
      <c r="A510" s="216" t="str">
        <f t="shared" si="7"/>
        <v/>
      </c>
    </row>
    <row r="511" spans="1:1" x14ac:dyDescent="0.25">
      <c r="A511" s="216" t="str">
        <f t="shared" si="7"/>
        <v/>
      </c>
    </row>
    <row r="512" spans="1:1" x14ac:dyDescent="0.25">
      <c r="A512" s="216" t="str">
        <f t="shared" si="7"/>
        <v/>
      </c>
    </row>
    <row r="513" spans="1:1" x14ac:dyDescent="0.25">
      <c r="A513" s="216" t="str">
        <f t="shared" si="7"/>
        <v/>
      </c>
    </row>
    <row r="514" spans="1:1" x14ac:dyDescent="0.25">
      <c r="A514" s="216" t="str">
        <f t="shared" si="7"/>
        <v/>
      </c>
    </row>
    <row r="515" spans="1:1" x14ac:dyDescent="0.25">
      <c r="A515" s="216" t="str">
        <f t="shared" si="7"/>
        <v/>
      </c>
    </row>
    <row r="516" spans="1:1" x14ac:dyDescent="0.25">
      <c r="A516" s="216" t="str">
        <f t="shared" ref="A516:A579" si="8">IF(B516&lt;&gt;"",A515+1,"")</f>
        <v/>
      </c>
    </row>
    <row r="517" spans="1:1" x14ac:dyDescent="0.25">
      <c r="A517" s="216" t="str">
        <f t="shared" si="8"/>
        <v/>
      </c>
    </row>
    <row r="518" spans="1:1" x14ac:dyDescent="0.25">
      <c r="A518" s="216" t="str">
        <f t="shared" si="8"/>
        <v/>
      </c>
    </row>
    <row r="519" spans="1:1" x14ac:dyDescent="0.25">
      <c r="A519" s="216" t="str">
        <f t="shared" si="8"/>
        <v/>
      </c>
    </row>
    <row r="520" spans="1:1" x14ac:dyDescent="0.25">
      <c r="A520" s="216" t="str">
        <f t="shared" si="8"/>
        <v/>
      </c>
    </row>
    <row r="521" spans="1:1" x14ac:dyDescent="0.25">
      <c r="A521" s="216" t="str">
        <f t="shared" si="8"/>
        <v/>
      </c>
    </row>
    <row r="522" spans="1:1" x14ac:dyDescent="0.25">
      <c r="A522" s="216" t="str">
        <f t="shared" si="8"/>
        <v/>
      </c>
    </row>
    <row r="523" spans="1:1" x14ac:dyDescent="0.25">
      <c r="A523" s="216" t="str">
        <f t="shared" si="8"/>
        <v/>
      </c>
    </row>
    <row r="524" spans="1:1" x14ac:dyDescent="0.25">
      <c r="A524" s="216" t="str">
        <f t="shared" si="8"/>
        <v/>
      </c>
    </row>
    <row r="525" spans="1:1" x14ac:dyDescent="0.25">
      <c r="A525" s="216" t="str">
        <f t="shared" si="8"/>
        <v/>
      </c>
    </row>
    <row r="526" spans="1:1" x14ac:dyDescent="0.25">
      <c r="A526" s="216" t="str">
        <f t="shared" si="8"/>
        <v/>
      </c>
    </row>
    <row r="527" spans="1:1" x14ac:dyDescent="0.25">
      <c r="A527" s="216" t="str">
        <f t="shared" si="8"/>
        <v/>
      </c>
    </row>
    <row r="528" spans="1:1" x14ac:dyDescent="0.25">
      <c r="A528" s="216" t="str">
        <f t="shared" si="8"/>
        <v/>
      </c>
    </row>
    <row r="529" spans="1:1" x14ac:dyDescent="0.25">
      <c r="A529" s="216" t="str">
        <f t="shared" si="8"/>
        <v/>
      </c>
    </row>
    <row r="530" spans="1:1" x14ac:dyDescent="0.25">
      <c r="A530" s="216" t="str">
        <f t="shared" si="8"/>
        <v/>
      </c>
    </row>
    <row r="531" spans="1:1" x14ac:dyDescent="0.25">
      <c r="A531" s="216" t="str">
        <f t="shared" si="8"/>
        <v/>
      </c>
    </row>
    <row r="532" spans="1:1" x14ac:dyDescent="0.25">
      <c r="A532" s="216" t="str">
        <f t="shared" si="8"/>
        <v/>
      </c>
    </row>
    <row r="533" spans="1:1" x14ac:dyDescent="0.25">
      <c r="A533" s="216" t="str">
        <f t="shared" si="8"/>
        <v/>
      </c>
    </row>
    <row r="534" spans="1:1" x14ac:dyDescent="0.25">
      <c r="A534" s="216" t="str">
        <f t="shared" si="8"/>
        <v/>
      </c>
    </row>
    <row r="535" spans="1:1" x14ac:dyDescent="0.25">
      <c r="A535" s="216" t="str">
        <f t="shared" si="8"/>
        <v/>
      </c>
    </row>
    <row r="536" spans="1:1" x14ac:dyDescent="0.25">
      <c r="A536" s="216" t="str">
        <f t="shared" si="8"/>
        <v/>
      </c>
    </row>
    <row r="537" spans="1:1" x14ac:dyDescent="0.25">
      <c r="A537" s="216" t="str">
        <f t="shared" si="8"/>
        <v/>
      </c>
    </row>
    <row r="538" spans="1:1" x14ac:dyDescent="0.25">
      <c r="A538" s="216" t="str">
        <f t="shared" si="8"/>
        <v/>
      </c>
    </row>
    <row r="539" spans="1:1" x14ac:dyDescent="0.25">
      <c r="A539" s="216" t="str">
        <f t="shared" si="8"/>
        <v/>
      </c>
    </row>
    <row r="540" spans="1:1" x14ac:dyDescent="0.25">
      <c r="A540" s="216" t="str">
        <f t="shared" si="8"/>
        <v/>
      </c>
    </row>
    <row r="541" spans="1:1" x14ac:dyDescent="0.25">
      <c r="A541" s="216" t="str">
        <f t="shared" si="8"/>
        <v/>
      </c>
    </row>
    <row r="542" spans="1:1" x14ac:dyDescent="0.25">
      <c r="A542" s="216" t="str">
        <f t="shared" si="8"/>
        <v/>
      </c>
    </row>
    <row r="543" spans="1:1" x14ac:dyDescent="0.25">
      <c r="A543" s="216" t="str">
        <f t="shared" si="8"/>
        <v/>
      </c>
    </row>
    <row r="544" spans="1:1" x14ac:dyDescent="0.25">
      <c r="A544" s="216" t="str">
        <f t="shared" si="8"/>
        <v/>
      </c>
    </row>
    <row r="545" spans="1:1" x14ac:dyDescent="0.25">
      <c r="A545" s="216" t="str">
        <f t="shared" si="8"/>
        <v/>
      </c>
    </row>
    <row r="546" spans="1:1" x14ac:dyDescent="0.25">
      <c r="A546" s="216" t="str">
        <f t="shared" si="8"/>
        <v/>
      </c>
    </row>
    <row r="547" spans="1:1" x14ac:dyDescent="0.25">
      <c r="A547" s="216" t="str">
        <f t="shared" si="8"/>
        <v/>
      </c>
    </row>
    <row r="548" spans="1:1" x14ac:dyDescent="0.25">
      <c r="A548" s="216" t="str">
        <f t="shared" si="8"/>
        <v/>
      </c>
    </row>
    <row r="549" spans="1:1" x14ac:dyDescent="0.25">
      <c r="A549" s="216" t="str">
        <f t="shared" si="8"/>
        <v/>
      </c>
    </row>
    <row r="550" spans="1:1" x14ac:dyDescent="0.25">
      <c r="A550" s="216" t="str">
        <f t="shared" si="8"/>
        <v/>
      </c>
    </row>
    <row r="551" spans="1:1" x14ac:dyDescent="0.25">
      <c r="A551" s="216" t="str">
        <f t="shared" si="8"/>
        <v/>
      </c>
    </row>
    <row r="552" spans="1:1" x14ac:dyDescent="0.25">
      <c r="A552" s="216" t="str">
        <f t="shared" si="8"/>
        <v/>
      </c>
    </row>
    <row r="553" spans="1:1" x14ac:dyDescent="0.25">
      <c r="A553" s="216" t="str">
        <f t="shared" si="8"/>
        <v/>
      </c>
    </row>
    <row r="554" spans="1:1" x14ac:dyDescent="0.25">
      <c r="A554" s="216" t="str">
        <f t="shared" si="8"/>
        <v/>
      </c>
    </row>
    <row r="555" spans="1:1" x14ac:dyDescent="0.25">
      <c r="A555" s="216" t="str">
        <f t="shared" si="8"/>
        <v/>
      </c>
    </row>
    <row r="556" spans="1:1" x14ac:dyDescent="0.25">
      <c r="A556" s="216" t="str">
        <f t="shared" si="8"/>
        <v/>
      </c>
    </row>
    <row r="557" spans="1:1" x14ac:dyDescent="0.25">
      <c r="A557" s="216" t="str">
        <f t="shared" si="8"/>
        <v/>
      </c>
    </row>
    <row r="558" spans="1:1" x14ac:dyDescent="0.25">
      <c r="A558" s="216" t="str">
        <f t="shared" si="8"/>
        <v/>
      </c>
    </row>
    <row r="559" spans="1:1" x14ac:dyDescent="0.25">
      <c r="A559" s="216" t="str">
        <f t="shared" si="8"/>
        <v/>
      </c>
    </row>
    <row r="560" spans="1:1" x14ac:dyDescent="0.25">
      <c r="A560" s="216" t="str">
        <f t="shared" si="8"/>
        <v/>
      </c>
    </row>
    <row r="561" spans="1:1" x14ac:dyDescent="0.25">
      <c r="A561" s="216" t="str">
        <f t="shared" si="8"/>
        <v/>
      </c>
    </row>
    <row r="562" spans="1:1" x14ac:dyDescent="0.25">
      <c r="A562" s="216" t="str">
        <f t="shared" si="8"/>
        <v/>
      </c>
    </row>
    <row r="563" spans="1:1" x14ac:dyDescent="0.25">
      <c r="A563" s="216" t="str">
        <f t="shared" si="8"/>
        <v/>
      </c>
    </row>
    <row r="564" spans="1:1" x14ac:dyDescent="0.25">
      <c r="A564" s="216" t="str">
        <f t="shared" si="8"/>
        <v/>
      </c>
    </row>
    <row r="565" spans="1:1" x14ac:dyDescent="0.25">
      <c r="A565" s="216" t="str">
        <f t="shared" si="8"/>
        <v/>
      </c>
    </row>
    <row r="566" spans="1:1" x14ac:dyDescent="0.25">
      <c r="A566" s="216" t="str">
        <f t="shared" si="8"/>
        <v/>
      </c>
    </row>
    <row r="567" spans="1:1" x14ac:dyDescent="0.25">
      <c r="A567" s="216" t="str">
        <f t="shared" si="8"/>
        <v/>
      </c>
    </row>
    <row r="568" spans="1:1" x14ac:dyDescent="0.25">
      <c r="A568" s="216" t="str">
        <f t="shared" si="8"/>
        <v/>
      </c>
    </row>
    <row r="569" spans="1:1" x14ac:dyDescent="0.25">
      <c r="A569" s="216" t="str">
        <f t="shared" si="8"/>
        <v/>
      </c>
    </row>
    <row r="570" spans="1:1" x14ac:dyDescent="0.25">
      <c r="A570" s="216" t="str">
        <f t="shared" si="8"/>
        <v/>
      </c>
    </row>
    <row r="571" spans="1:1" x14ac:dyDescent="0.25">
      <c r="A571" s="216" t="str">
        <f t="shared" si="8"/>
        <v/>
      </c>
    </row>
    <row r="572" spans="1:1" x14ac:dyDescent="0.25">
      <c r="A572" s="216" t="str">
        <f t="shared" si="8"/>
        <v/>
      </c>
    </row>
    <row r="573" spans="1:1" x14ac:dyDescent="0.25">
      <c r="A573" s="216" t="str">
        <f t="shared" si="8"/>
        <v/>
      </c>
    </row>
    <row r="574" spans="1:1" x14ac:dyDescent="0.25">
      <c r="A574" s="216" t="str">
        <f t="shared" si="8"/>
        <v/>
      </c>
    </row>
    <row r="575" spans="1:1" x14ac:dyDescent="0.25">
      <c r="A575" s="216" t="str">
        <f t="shared" si="8"/>
        <v/>
      </c>
    </row>
    <row r="576" spans="1:1" x14ac:dyDescent="0.25">
      <c r="A576" s="216" t="str">
        <f t="shared" si="8"/>
        <v/>
      </c>
    </row>
    <row r="577" spans="1:1" x14ac:dyDescent="0.25">
      <c r="A577" s="216" t="str">
        <f t="shared" si="8"/>
        <v/>
      </c>
    </row>
    <row r="578" spans="1:1" x14ac:dyDescent="0.25">
      <c r="A578" s="216" t="str">
        <f t="shared" si="8"/>
        <v/>
      </c>
    </row>
    <row r="579" spans="1:1" x14ac:dyDescent="0.25">
      <c r="A579" s="216" t="str">
        <f t="shared" si="8"/>
        <v/>
      </c>
    </row>
    <row r="580" spans="1:1" x14ac:dyDescent="0.25">
      <c r="A580" s="216" t="str">
        <f t="shared" ref="A580:A643" si="9">IF(B580&lt;&gt;"",A579+1,"")</f>
        <v/>
      </c>
    </row>
    <row r="581" spans="1:1" x14ac:dyDescent="0.25">
      <c r="A581" s="216" t="str">
        <f t="shared" si="9"/>
        <v/>
      </c>
    </row>
    <row r="582" spans="1:1" x14ac:dyDescent="0.25">
      <c r="A582" s="216" t="str">
        <f t="shared" si="9"/>
        <v/>
      </c>
    </row>
    <row r="583" spans="1:1" x14ac:dyDescent="0.25">
      <c r="A583" s="216" t="str">
        <f t="shared" si="9"/>
        <v/>
      </c>
    </row>
    <row r="584" spans="1:1" x14ac:dyDescent="0.25">
      <c r="A584" s="216" t="str">
        <f t="shared" si="9"/>
        <v/>
      </c>
    </row>
    <row r="585" spans="1:1" x14ac:dyDescent="0.25">
      <c r="A585" s="216" t="str">
        <f t="shared" si="9"/>
        <v/>
      </c>
    </row>
    <row r="586" spans="1:1" x14ac:dyDescent="0.25">
      <c r="A586" s="216" t="str">
        <f t="shared" si="9"/>
        <v/>
      </c>
    </row>
    <row r="587" spans="1:1" x14ac:dyDescent="0.25">
      <c r="A587" s="216" t="str">
        <f t="shared" si="9"/>
        <v/>
      </c>
    </row>
    <row r="588" spans="1:1" x14ac:dyDescent="0.25">
      <c r="A588" s="216" t="str">
        <f t="shared" si="9"/>
        <v/>
      </c>
    </row>
    <row r="589" spans="1:1" x14ac:dyDescent="0.25">
      <c r="A589" s="216" t="str">
        <f t="shared" si="9"/>
        <v/>
      </c>
    </row>
    <row r="590" spans="1:1" x14ac:dyDescent="0.25">
      <c r="A590" s="216" t="str">
        <f t="shared" si="9"/>
        <v/>
      </c>
    </row>
    <row r="591" spans="1:1" x14ac:dyDescent="0.25">
      <c r="A591" s="216" t="str">
        <f t="shared" si="9"/>
        <v/>
      </c>
    </row>
    <row r="592" spans="1:1" x14ac:dyDescent="0.25">
      <c r="A592" s="216" t="str">
        <f t="shared" si="9"/>
        <v/>
      </c>
    </row>
    <row r="593" spans="1:1" x14ac:dyDescent="0.25">
      <c r="A593" s="216" t="str">
        <f t="shared" si="9"/>
        <v/>
      </c>
    </row>
    <row r="594" spans="1:1" x14ac:dyDescent="0.25">
      <c r="A594" s="216" t="str">
        <f t="shared" si="9"/>
        <v/>
      </c>
    </row>
    <row r="595" spans="1:1" x14ac:dyDescent="0.25">
      <c r="A595" s="216" t="str">
        <f t="shared" si="9"/>
        <v/>
      </c>
    </row>
    <row r="596" spans="1:1" x14ac:dyDescent="0.25">
      <c r="A596" s="216" t="str">
        <f t="shared" si="9"/>
        <v/>
      </c>
    </row>
    <row r="597" spans="1:1" x14ac:dyDescent="0.25">
      <c r="A597" s="216" t="str">
        <f t="shared" si="9"/>
        <v/>
      </c>
    </row>
    <row r="598" spans="1:1" x14ac:dyDescent="0.25">
      <c r="A598" s="216" t="str">
        <f t="shared" si="9"/>
        <v/>
      </c>
    </row>
    <row r="599" spans="1:1" x14ac:dyDescent="0.25">
      <c r="A599" s="216" t="str">
        <f t="shared" si="9"/>
        <v/>
      </c>
    </row>
    <row r="600" spans="1:1" x14ac:dyDescent="0.25">
      <c r="A600" s="216" t="str">
        <f t="shared" si="9"/>
        <v/>
      </c>
    </row>
    <row r="601" spans="1:1" x14ac:dyDescent="0.25">
      <c r="A601" s="216" t="str">
        <f t="shared" si="9"/>
        <v/>
      </c>
    </row>
    <row r="602" spans="1:1" x14ac:dyDescent="0.25">
      <c r="A602" s="216" t="str">
        <f t="shared" si="9"/>
        <v/>
      </c>
    </row>
    <row r="603" spans="1:1" x14ac:dyDescent="0.25">
      <c r="A603" s="216" t="str">
        <f t="shared" si="9"/>
        <v/>
      </c>
    </row>
    <row r="604" spans="1:1" x14ac:dyDescent="0.25">
      <c r="A604" s="216" t="str">
        <f t="shared" si="9"/>
        <v/>
      </c>
    </row>
    <row r="605" spans="1:1" x14ac:dyDescent="0.25">
      <c r="A605" s="216" t="str">
        <f t="shared" si="9"/>
        <v/>
      </c>
    </row>
    <row r="606" spans="1:1" x14ac:dyDescent="0.25">
      <c r="A606" s="216" t="str">
        <f t="shared" si="9"/>
        <v/>
      </c>
    </row>
    <row r="607" spans="1:1" x14ac:dyDescent="0.25">
      <c r="A607" s="216" t="str">
        <f t="shared" si="9"/>
        <v/>
      </c>
    </row>
    <row r="608" spans="1:1" x14ac:dyDescent="0.25">
      <c r="A608" s="216" t="str">
        <f t="shared" si="9"/>
        <v/>
      </c>
    </row>
    <row r="609" spans="1:1" x14ac:dyDescent="0.25">
      <c r="A609" s="216" t="str">
        <f t="shared" si="9"/>
        <v/>
      </c>
    </row>
    <row r="610" spans="1:1" x14ac:dyDescent="0.25">
      <c r="A610" s="216" t="str">
        <f t="shared" si="9"/>
        <v/>
      </c>
    </row>
    <row r="611" spans="1:1" x14ac:dyDescent="0.25">
      <c r="A611" s="216" t="str">
        <f t="shared" si="9"/>
        <v/>
      </c>
    </row>
    <row r="612" spans="1:1" x14ac:dyDescent="0.25">
      <c r="A612" s="216" t="str">
        <f t="shared" si="9"/>
        <v/>
      </c>
    </row>
    <row r="613" spans="1:1" x14ac:dyDescent="0.25">
      <c r="A613" s="216" t="str">
        <f t="shared" si="9"/>
        <v/>
      </c>
    </row>
    <row r="614" spans="1:1" x14ac:dyDescent="0.25">
      <c r="A614" s="216" t="str">
        <f t="shared" si="9"/>
        <v/>
      </c>
    </row>
    <row r="615" spans="1:1" x14ac:dyDescent="0.25">
      <c r="A615" s="216" t="str">
        <f t="shared" si="9"/>
        <v/>
      </c>
    </row>
    <row r="616" spans="1:1" x14ac:dyDescent="0.25">
      <c r="A616" s="216" t="str">
        <f t="shared" si="9"/>
        <v/>
      </c>
    </row>
    <row r="617" spans="1:1" x14ac:dyDescent="0.25">
      <c r="A617" s="216" t="str">
        <f t="shared" si="9"/>
        <v/>
      </c>
    </row>
    <row r="618" spans="1:1" x14ac:dyDescent="0.25">
      <c r="A618" s="216" t="str">
        <f t="shared" si="9"/>
        <v/>
      </c>
    </row>
    <row r="619" spans="1:1" x14ac:dyDescent="0.25">
      <c r="A619" s="216" t="str">
        <f t="shared" si="9"/>
        <v/>
      </c>
    </row>
    <row r="620" spans="1:1" x14ac:dyDescent="0.25">
      <c r="A620" s="216" t="str">
        <f t="shared" si="9"/>
        <v/>
      </c>
    </row>
    <row r="621" spans="1:1" x14ac:dyDescent="0.25">
      <c r="A621" s="216" t="str">
        <f t="shared" si="9"/>
        <v/>
      </c>
    </row>
    <row r="622" spans="1:1" x14ac:dyDescent="0.25">
      <c r="A622" s="216" t="str">
        <f t="shared" si="9"/>
        <v/>
      </c>
    </row>
    <row r="623" spans="1:1" x14ac:dyDescent="0.25">
      <c r="A623" s="216" t="str">
        <f t="shared" si="9"/>
        <v/>
      </c>
    </row>
    <row r="624" spans="1:1" x14ac:dyDescent="0.25">
      <c r="A624" s="216" t="str">
        <f t="shared" si="9"/>
        <v/>
      </c>
    </row>
    <row r="625" spans="1:1" x14ac:dyDescent="0.25">
      <c r="A625" s="216" t="str">
        <f t="shared" si="9"/>
        <v/>
      </c>
    </row>
    <row r="626" spans="1:1" x14ac:dyDescent="0.25">
      <c r="A626" s="216" t="str">
        <f t="shared" si="9"/>
        <v/>
      </c>
    </row>
    <row r="627" spans="1:1" x14ac:dyDescent="0.25">
      <c r="A627" s="216" t="str">
        <f t="shared" si="9"/>
        <v/>
      </c>
    </row>
    <row r="628" spans="1:1" x14ac:dyDescent="0.25">
      <c r="A628" s="216" t="str">
        <f t="shared" si="9"/>
        <v/>
      </c>
    </row>
    <row r="629" spans="1:1" x14ac:dyDescent="0.25">
      <c r="A629" s="216" t="str">
        <f t="shared" si="9"/>
        <v/>
      </c>
    </row>
    <row r="630" spans="1:1" x14ac:dyDescent="0.25">
      <c r="A630" s="216" t="str">
        <f t="shared" si="9"/>
        <v/>
      </c>
    </row>
    <row r="631" spans="1:1" x14ac:dyDescent="0.25">
      <c r="A631" s="216" t="str">
        <f t="shared" si="9"/>
        <v/>
      </c>
    </row>
    <row r="632" spans="1:1" x14ac:dyDescent="0.25">
      <c r="A632" s="216" t="str">
        <f t="shared" si="9"/>
        <v/>
      </c>
    </row>
    <row r="633" spans="1:1" x14ac:dyDescent="0.25">
      <c r="A633" s="216" t="str">
        <f t="shared" si="9"/>
        <v/>
      </c>
    </row>
    <row r="634" spans="1:1" x14ac:dyDescent="0.25">
      <c r="A634" s="216" t="str">
        <f t="shared" si="9"/>
        <v/>
      </c>
    </row>
    <row r="635" spans="1:1" x14ac:dyDescent="0.25">
      <c r="A635" s="216" t="str">
        <f t="shared" si="9"/>
        <v/>
      </c>
    </row>
    <row r="636" spans="1:1" x14ac:dyDescent="0.25">
      <c r="A636" s="216" t="str">
        <f t="shared" si="9"/>
        <v/>
      </c>
    </row>
    <row r="637" spans="1:1" x14ac:dyDescent="0.25">
      <c r="A637" s="216" t="str">
        <f t="shared" si="9"/>
        <v/>
      </c>
    </row>
    <row r="638" spans="1:1" x14ac:dyDescent="0.25">
      <c r="A638" s="216" t="str">
        <f t="shared" si="9"/>
        <v/>
      </c>
    </row>
    <row r="639" spans="1:1" x14ac:dyDescent="0.25">
      <c r="A639" s="216" t="str">
        <f t="shared" si="9"/>
        <v/>
      </c>
    </row>
    <row r="640" spans="1:1" x14ac:dyDescent="0.25">
      <c r="A640" s="216" t="str">
        <f t="shared" si="9"/>
        <v/>
      </c>
    </row>
    <row r="641" spans="1:1" x14ac:dyDescent="0.25">
      <c r="A641" s="216" t="str">
        <f t="shared" si="9"/>
        <v/>
      </c>
    </row>
    <row r="642" spans="1:1" x14ac:dyDescent="0.25">
      <c r="A642" s="216" t="str">
        <f t="shared" si="9"/>
        <v/>
      </c>
    </row>
    <row r="643" spans="1:1" x14ac:dyDescent="0.25">
      <c r="A643" s="216" t="str">
        <f t="shared" si="9"/>
        <v/>
      </c>
    </row>
    <row r="644" spans="1:1" x14ac:dyDescent="0.25">
      <c r="A644" s="216" t="str">
        <f t="shared" ref="A644:A707" si="10">IF(B644&lt;&gt;"",A643+1,"")</f>
        <v/>
      </c>
    </row>
    <row r="645" spans="1:1" x14ac:dyDescent="0.25">
      <c r="A645" s="216" t="str">
        <f t="shared" si="10"/>
        <v/>
      </c>
    </row>
    <row r="646" spans="1:1" x14ac:dyDescent="0.25">
      <c r="A646" s="216" t="str">
        <f t="shared" si="10"/>
        <v/>
      </c>
    </row>
    <row r="647" spans="1:1" x14ac:dyDescent="0.25">
      <c r="A647" s="216" t="str">
        <f t="shared" si="10"/>
        <v/>
      </c>
    </row>
    <row r="648" spans="1:1" x14ac:dyDescent="0.25">
      <c r="A648" s="216" t="str">
        <f t="shared" si="10"/>
        <v/>
      </c>
    </row>
    <row r="649" spans="1:1" x14ac:dyDescent="0.25">
      <c r="A649" s="216" t="str">
        <f t="shared" si="10"/>
        <v/>
      </c>
    </row>
    <row r="650" spans="1:1" x14ac:dyDescent="0.25">
      <c r="A650" s="216" t="str">
        <f t="shared" si="10"/>
        <v/>
      </c>
    </row>
    <row r="651" spans="1:1" x14ac:dyDescent="0.25">
      <c r="A651" s="216" t="str">
        <f t="shared" si="10"/>
        <v/>
      </c>
    </row>
    <row r="652" spans="1:1" x14ac:dyDescent="0.25">
      <c r="A652" s="216" t="str">
        <f t="shared" si="10"/>
        <v/>
      </c>
    </row>
    <row r="653" spans="1:1" x14ac:dyDescent="0.25">
      <c r="A653" s="216" t="str">
        <f t="shared" si="10"/>
        <v/>
      </c>
    </row>
    <row r="654" spans="1:1" x14ac:dyDescent="0.25">
      <c r="A654" s="216" t="str">
        <f t="shared" si="10"/>
        <v/>
      </c>
    </row>
    <row r="655" spans="1:1" x14ac:dyDescent="0.25">
      <c r="A655" s="216" t="str">
        <f t="shared" si="10"/>
        <v/>
      </c>
    </row>
    <row r="656" spans="1:1" x14ac:dyDescent="0.25">
      <c r="A656" s="216" t="str">
        <f t="shared" si="10"/>
        <v/>
      </c>
    </row>
    <row r="657" spans="1:1" x14ac:dyDescent="0.25">
      <c r="A657" s="216" t="str">
        <f t="shared" si="10"/>
        <v/>
      </c>
    </row>
    <row r="658" spans="1:1" x14ac:dyDescent="0.25">
      <c r="A658" s="216" t="str">
        <f t="shared" si="10"/>
        <v/>
      </c>
    </row>
    <row r="659" spans="1:1" x14ac:dyDescent="0.25">
      <c r="A659" s="216" t="str">
        <f t="shared" si="10"/>
        <v/>
      </c>
    </row>
    <row r="660" spans="1:1" x14ac:dyDescent="0.25">
      <c r="A660" s="216" t="str">
        <f t="shared" si="10"/>
        <v/>
      </c>
    </row>
    <row r="661" spans="1:1" x14ac:dyDescent="0.25">
      <c r="A661" s="216" t="str">
        <f t="shared" si="10"/>
        <v/>
      </c>
    </row>
    <row r="662" spans="1:1" x14ac:dyDescent="0.25">
      <c r="A662" s="216" t="str">
        <f t="shared" si="10"/>
        <v/>
      </c>
    </row>
    <row r="663" spans="1:1" x14ac:dyDescent="0.25">
      <c r="A663" s="216" t="str">
        <f t="shared" si="10"/>
        <v/>
      </c>
    </row>
    <row r="664" spans="1:1" x14ac:dyDescent="0.25">
      <c r="A664" s="216" t="str">
        <f t="shared" si="10"/>
        <v/>
      </c>
    </row>
    <row r="665" spans="1:1" x14ac:dyDescent="0.25">
      <c r="A665" s="216" t="str">
        <f t="shared" si="10"/>
        <v/>
      </c>
    </row>
    <row r="666" spans="1:1" x14ac:dyDescent="0.25">
      <c r="A666" s="216" t="str">
        <f t="shared" si="10"/>
        <v/>
      </c>
    </row>
    <row r="667" spans="1:1" x14ac:dyDescent="0.25">
      <c r="A667" s="216" t="str">
        <f t="shared" si="10"/>
        <v/>
      </c>
    </row>
    <row r="668" spans="1:1" x14ac:dyDescent="0.25">
      <c r="A668" s="216" t="str">
        <f t="shared" si="10"/>
        <v/>
      </c>
    </row>
    <row r="669" spans="1:1" x14ac:dyDescent="0.25">
      <c r="A669" s="216" t="str">
        <f t="shared" si="10"/>
        <v/>
      </c>
    </row>
    <row r="670" spans="1:1" x14ac:dyDescent="0.25">
      <c r="A670" s="216" t="str">
        <f t="shared" si="10"/>
        <v/>
      </c>
    </row>
    <row r="671" spans="1:1" x14ac:dyDescent="0.25">
      <c r="A671" s="216" t="str">
        <f t="shared" si="10"/>
        <v/>
      </c>
    </row>
    <row r="672" spans="1:1" x14ac:dyDescent="0.25">
      <c r="A672" s="216" t="str">
        <f t="shared" si="10"/>
        <v/>
      </c>
    </row>
    <row r="673" spans="1:1" x14ac:dyDescent="0.25">
      <c r="A673" s="216" t="str">
        <f t="shared" si="10"/>
        <v/>
      </c>
    </row>
    <row r="674" spans="1:1" x14ac:dyDescent="0.25">
      <c r="A674" s="216" t="str">
        <f t="shared" si="10"/>
        <v/>
      </c>
    </row>
    <row r="675" spans="1:1" x14ac:dyDescent="0.25">
      <c r="A675" s="216" t="str">
        <f t="shared" si="10"/>
        <v/>
      </c>
    </row>
    <row r="676" spans="1:1" x14ac:dyDescent="0.25">
      <c r="A676" s="216" t="str">
        <f t="shared" si="10"/>
        <v/>
      </c>
    </row>
    <row r="677" spans="1:1" x14ac:dyDescent="0.25">
      <c r="A677" s="216" t="str">
        <f t="shared" si="10"/>
        <v/>
      </c>
    </row>
    <row r="678" spans="1:1" x14ac:dyDescent="0.25">
      <c r="A678" s="216" t="str">
        <f t="shared" si="10"/>
        <v/>
      </c>
    </row>
    <row r="679" spans="1:1" x14ac:dyDescent="0.25">
      <c r="A679" s="216" t="str">
        <f t="shared" si="10"/>
        <v/>
      </c>
    </row>
    <row r="680" spans="1:1" x14ac:dyDescent="0.25">
      <c r="A680" s="216" t="str">
        <f t="shared" si="10"/>
        <v/>
      </c>
    </row>
    <row r="681" spans="1:1" x14ac:dyDescent="0.25">
      <c r="A681" s="216" t="str">
        <f t="shared" si="10"/>
        <v/>
      </c>
    </row>
    <row r="682" spans="1:1" x14ac:dyDescent="0.25">
      <c r="A682" s="216" t="str">
        <f t="shared" si="10"/>
        <v/>
      </c>
    </row>
    <row r="683" spans="1:1" x14ac:dyDescent="0.25">
      <c r="A683" s="216" t="str">
        <f t="shared" si="10"/>
        <v/>
      </c>
    </row>
    <row r="684" spans="1:1" x14ac:dyDescent="0.25">
      <c r="A684" s="216" t="str">
        <f t="shared" si="10"/>
        <v/>
      </c>
    </row>
    <row r="685" spans="1:1" x14ac:dyDescent="0.25">
      <c r="A685" s="216" t="str">
        <f t="shared" si="10"/>
        <v/>
      </c>
    </row>
    <row r="686" spans="1:1" x14ac:dyDescent="0.25">
      <c r="A686" s="216" t="str">
        <f t="shared" si="10"/>
        <v/>
      </c>
    </row>
    <row r="687" spans="1:1" x14ac:dyDescent="0.25">
      <c r="A687" s="216" t="str">
        <f t="shared" si="10"/>
        <v/>
      </c>
    </row>
    <row r="688" spans="1:1" x14ac:dyDescent="0.25">
      <c r="A688" s="216" t="str">
        <f t="shared" si="10"/>
        <v/>
      </c>
    </row>
    <row r="689" spans="1:1" x14ac:dyDescent="0.25">
      <c r="A689" s="216" t="str">
        <f t="shared" si="10"/>
        <v/>
      </c>
    </row>
    <row r="690" spans="1:1" x14ac:dyDescent="0.25">
      <c r="A690" s="216" t="str">
        <f t="shared" si="10"/>
        <v/>
      </c>
    </row>
    <row r="691" spans="1:1" x14ac:dyDescent="0.25">
      <c r="A691" s="216" t="str">
        <f t="shared" si="10"/>
        <v/>
      </c>
    </row>
    <row r="692" spans="1:1" x14ac:dyDescent="0.25">
      <c r="A692" s="216" t="str">
        <f t="shared" si="10"/>
        <v/>
      </c>
    </row>
    <row r="693" spans="1:1" x14ac:dyDescent="0.25">
      <c r="A693" s="216" t="str">
        <f t="shared" si="10"/>
        <v/>
      </c>
    </row>
    <row r="694" spans="1:1" x14ac:dyDescent="0.25">
      <c r="A694" s="216" t="str">
        <f t="shared" si="10"/>
        <v/>
      </c>
    </row>
    <row r="695" spans="1:1" x14ac:dyDescent="0.25">
      <c r="A695" s="216" t="str">
        <f t="shared" si="10"/>
        <v/>
      </c>
    </row>
    <row r="696" spans="1:1" x14ac:dyDescent="0.25">
      <c r="A696" s="216" t="str">
        <f t="shared" si="10"/>
        <v/>
      </c>
    </row>
    <row r="697" spans="1:1" x14ac:dyDescent="0.25">
      <c r="A697" s="216" t="str">
        <f t="shared" si="10"/>
        <v/>
      </c>
    </row>
    <row r="698" spans="1:1" x14ac:dyDescent="0.25">
      <c r="A698" s="216" t="str">
        <f t="shared" si="10"/>
        <v/>
      </c>
    </row>
    <row r="699" spans="1:1" x14ac:dyDescent="0.25">
      <c r="A699" s="216" t="str">
        <f t="shared" si="10"/>
        <v/>
      </c>
    </row>
    <row r="700" spans="1:1" x14ac:dyDescent="0.25">
      <c r="A700" s="216" t="str">
        <f t="shared" si="10"/>
        <v/>
      </c>
    </row>
    <row r="701" spans="1:1" x14ac:dyDescent="0.25">
      <c r="A701" s="216" t="str">
        <f t="shared" si="10"/>
        <v/>
      </c>
    </row>
    <row r="702" spans="1:1" x14ac:dyDescent="0.25">
      <c r="A702" s="216" t="str">
        <f t="shared" si="10"/>
        <v/>
      </c>
    </row>
    <row r="703" spans="1:1" x14ac:dyDescent="0.25">
      <c r="A703" s="216" t="str">
        <f t="shared" si="10"/>
        <v/>
      </c>
    </row>
    <row r="704" spans="1:1" x14ac:dyDescent="0.25">
      <c r="A704" s="216" t="str">
        <f t="shared" si="10"/>
        <v/>
      </c>
    </row>
    <row r="705" spans="1:1" x14ac:dyDescent="0.25">
      <c r="A705" s="216" t="str">
        <f t="shared" si="10"/>
        <v/>
      </c>
    </row>
    <row r="706" spans="1:1" x14ac:dyDescent="0.25">
      <c r="A706" s="216" t="str">
        <f t="shared" si="10"/>
        <v/>
      </c>
    </row>
    <row r="707" spans="1:1" x14ac:dyDescent="0.25">
      <c r="A707" s="216" t="str">
        <f t="shared" si="10"/>
        <v/>
      </c>
    </row>
    <row r="708" spans="1:1" x14ac:dyDescent="0.25">
      <c r="A708" s="216" t="str">
        <f t="shared" ref="A708:A771" si="11">IF(B708&lt;&gt;"",A707+1,"")</f>
        <v/>
      </c>
    </row>
    <row r="709" spans="1:1" x14ac:dyDescent="0.25">
      <c r="A709" s="216" t="str">
        <f t="shared" si="11"/>
        <v/>
      </c>
    </row>
    <row r="710" spans="1:1" x14ac:dyDescent="0.25">
      <c r="A710" s="216" t="str">
        <f t="shared" si="11"/>
        <v/>
      </c>
    </row>
    <row r="711" spans="1:1" x14ac:dyDescent="0.25">
      <c r="A711" s="216" t="str">
        <f t="shared" si="11"/>
        <v/>
      </c>
    </row>
    <row r="712" spans="1:1" x14ac:dyDescent="0.25">
      <c r="A712" s="216" t="str">
        <f t="shared" si="11"/>
        <v/>
      </c>
    </row>
    <row r="713" spans="1:1" x14ac:dyDescent="0.25">
      <c r="A713" s="216" t="str">
        <f t="shared" si="11"/>
        <v/>
      </c>
    </row>
    <row r="714" spans="1:1" x14ac:dyDescent="0.25">
      <c r="A714" s="216" t="str">
        <f t="shared" si="11"/>
        <v/>
      </c>
    </row>
    <row r="715" spans="1:1" x14ac:dyDescent="0.25">
      <c r="A715" s="216" t="str">
        <f t="shared" si="11"/>
        <v/>
      </c>
    </row>
    <row r="716" spans="1:1" x14ac:dyDescent="0.25">
      <c r="A716" s="216" t="str">
        <f t="shared" si="11"/>
        <v/>
      </c>
    </row>
    <row r="717" spans="1:1" x14ac:dyDescent="0.25">
      <c r="A717" s="216" t="str">
        <f t="shared" si="11"/>
        <v/>
      </c>
    </row>
    <row r="718" spans="1:1" x14ac:dyDescent="0.25">
      <c r="A718" s="216" t="str">
        <f t="shared" si="11"/>
        <v/>
      </c>
    </row>
    <row r="719" spans="1:1" x14ac:dyDescent="0.25">
      <c r="A719" s="216" t="str">
        <f t="shared" si="11"/>
        <v/>
      </c>
    </row>
    <row r="720" spans="1:1" x14ac:dyDescent="0.25">
      <c r="A720" s="216" t="str">
        <f t="shared" si="11"/>
        <v/>
      </c>
    </row>
    <row r="721" spans="1:1" x14ac:dyDescent="0.25">
      <c r="A721" s="216" t="str">
        <f t="shared" si="11"/>
        <v/>
      </c>
    </row>
    <row r="722" spans="1:1" x14ac:dyDescent="0.25">
      <c r="A722" s="216" t="str">
        <f t="shared" si="11"/>
        <v/>
      </c>
    </row>
    <row r="723" spans="1:1" x14ac:dyDescent="0.25">
      <c r="A723" s="216" t="str">
        <f t="shared" si="11"/>
        <v/>
      </c>
    </row>
    <row r="724" spans="1:1" x14ac:dyDescent="0.25">
      <c r="A724" s="216" t="str">
        <f t="shared" si="11"/>
        <v/>
      </c>
    </row>
    <row r="725" spans="1:1" x14ac:dyDescent="0.25">
      <c r="A725" s="216" t="str">
        <f t="shared" si="11"/>
        <v/>
      </c>
    </row>
    <row r="726" spans="1:1" x14ac:dyDescent="0.25">
      <c r="A726" s="216" t="str">
        <f t="shared" si="11"/>
        <v/>
      </c>
    </row>
    <row r="727" spans="1:1" x14ac:dyDescent="0.25">
      <c r="A727" s="216" t="str">
        <f t="shared" si="11"/>
        <v/>
      </c>
    </row>
    <row r="728" spans="1:1" x14ac:dyDescent="0.25">
      <c r="A728" s="216" t="str">
        <f t="shared" si="11"/>
        <v/>
      </c>
    </row>
    <row r="729" spans="1:1" x14ac:dyDescent="0.25">
      <c r="A729" s="216" t="str">
        <f t="shared" si="11"/>
        <v/>
      </c>
    </row>
    <row r="730" spans="1:1" x14ac:dyDescent="0.25">
      <c r="A730" s="216" t="str">
        <f t="shared" si="11"/>
        <v/>
      </c>
    </row>
    <row r="731" spans="1:1" x14ac:dyDescent="0.25">
      <c r="A731" s="216" t="str">
        <f t="shared" si="11"/>
        <v/>
      </c>
    </row>
    <row r="732" spans="1:1" x14ac:dyDescent="0.25">
      <c r="A732" s="216" t="str">
        <f t="shared" si="11"/>
        <v/>
      </c>
    </row>
    <row r="733" spans="1:1" x14ac:dyDescent="0.25">
      <c r="A733" s="216" t="str">
        <f t="shared" si="11"/>
        <v/>
      </c>
    </row>
    <row r="734" spans="1:1" x14ac:dyDescent="0.25">
      <c r="A734" s="216" t="str">
        <f t="shared" si="11"/>
        <v/>
      </c>
    </row>
    <row r="735" spans="1:1" x14ac:dyDescent="0.25">
      <c r="A735" s="216" t="str">
        <f t="shared" si="11"/>
        <v/>
      </c>
    </row>
    <row r="736" spans="1:1" x14ac:dyDescent="0.25">
      <c r="A736" s="216" t="str">
        <f t="shared" si="11"/>
        <v/>
      </c>
    </row>
    <row r="737" spans="1:1" x14ac:dyDescent="0.25">
      <c r="A737" s="216" t="str">
        <f t="shared" si="11"/>
        <v/>
      </c>
    </row>
    <row r="738" spans="1:1" x14ac:dyDescent="0.25">
      <c r="A738" s="216" t="str">
        <f t="shared" si="11"/>
        <v/>
      </c>
    </row>
    <row r="739" spans="1:1" x14ac:dyDescent="0.25">
      <c r="A739" s="216" t="str">
        <f t="shared" si="11"/>
        <v/>
      </c>
    </row>
    <row r="740" spans="1:1" x14ac:dyDescent="0.25">
      <c r="A740" s="216" t="str">
        <f t="shared" si="11"/>
        <v/>
      </c>
    </row>
    <row r="741" spans="1:1" x14ac:dyDescent="0.25">
      <c r="A741" s="216" t="str">
        <f t="shared" si="11"/>
        <v/>
      </c>
    </row>
    <row r="742" spans="1:1" x14ac:dyDescent="0.25">
      <c r="A742" s="216" t="str">
        <f t="shared" si="11"/>
        <v/>
      </c>
    </row>
    <row r="743" spans="1:1" x14ac:dyDescent="0.25">
      <c r="A743" s="216" t="str">
        <f t="shared" si="11"/>
        <v/>
      </c>
    </row>
    <row r="744" spans="1:1" x14ac:dyDescent="0.25">
      <c r="A744" s="216" t="str">
        <f t="shared" si="11"/>
        <v/>
      </c>
    </row>
    <row r="745" spans="1:1" x14ac:dyDescent="0.25">
      <c r="A745" s="216" t="str">
        <f t="shared" si="11"/>
        <v/>
      </c>
    </row>
    <row r="746" spans="1:1" x14ac:dyDescent="0.25">
      <c r="A746" s="216" t="str">
        <f t="shared" si="11"/>
        <v/>
      </c>
    </row>
    <row r="747" spans="1:1" x14ac:dyDescent="0.25">
      <c r="A747" s="216" t="str">
        <f t="shared" si="11"/>
        <v/>
      </c>
    </row>
    <row r="748" spans="1:1" x14ac:dyDescent="0.25">
      <c r="A748" s="216" t="str">
        <f t="shared" si="11"/>
        <v/>
      </c>
    </row>
    <row r="749" spans="1:1" x14ac:dyDescent="0.25">
      <c r="A749" s="216" t="str">
        <f t="shared" si="11"/>
        <v/>
      </c>
    </row>
    <row r="750" spans="1:1" x14ac:dyDescent="0.25">
      <c r="A750" s="216" t="str">
        <f t="shared" si="11"/>
        <v/>
      </c>
    </row>
    <row r="751" spans="1:1" x14ac:dyDescent="0.25">
      <c r="A751" s="216" t="str">
        <f t="shared" si="11"/>
        <v/>
      </c>
    </row>
    <row r="752" spans="1:1" x14ac:dyDescent="0.25">
      <c r="A752" s="216" t="str">
        <f t="shared" si="11"/>
        <v/>
      </c>
    </row>
    <row r="753" spans="1:1" x14ac:dyDescent="0.25">
      <c r="A753" s="216" t="str">
        <f t="shared" si="11"/>
        <v/>
      </c>
    </row>
    <row r="754" spans="1:1" x14ac:dyDescent="0.25">
      <c r="A754" s="216" t="str">
        <f t="shared" si="11"/>
        <v/>
      </c>
    </row>
    <row r="755" spans="1:1" x14ac:dyDescent="0.25">
      <c r="A755" s="216" t="str">
        <f t="shared" si="11"/>
        <v/>
      </c>
    </row>
    <row r="756" spans="1:1" x14ac:dyDescent="0.25">
      <c r="A756" s="216" t="str">
        <f t="shared" si="11"/>
        <v/>
      </c>
    </row>
    <row r="757" spans="1:1" x14ac:dyDescent="0.25">
      <c r="A757" s="216" t="str">
        <f t="shared" si="11"/>
        <v/>
      </c>
    </row>
    <row r="758" spans="1:1" x14ac:dyDescent="0.25">
      <c r="A758" s="216" t="str">
        <f t="shared" si="11"/>
        <v/>
      </c>
    </row>
    <row r="759" spans="1:1" x14ac:dyDescent="0.25">
      <c r="A759" s="216" t="str">
        <f t="shared" si="11"/>
        <v/>
      </c>
    </row>
    <row r="760" spans="1:1" x14ac:dyDescent="0.25">
      <c r="A760" s="216" t="str">
        <f t="shared" si="11"/>
        <v/>
      </c>
    </row>
    <row r="761" spans="1:1" x14ac:dyDescent="0.25">
      <c r="A761" s="216" t="str">
        <f t="shared" si="11"/>
        <v/>
      </c>
    </row>
    <row r="762" spans="1:1" x14ac:dyDescent="0.25">
      <c r="A762" s="216" t="str">
        <f t="shared" si="11"/>
        <v/>
      </c>
    </row>
    <row r="763" spans="1:1" x14ac:dyDescent="0.25">
      <c r="A763" s="216" t="str">
        <f t="shared" si="11"/>
        <v/>
      </c>
    </row>
    <row r="764" spans="1:1" x14ac:dyDescent="0.25">
      <c r="A764" s="216" t="str">
        <f t="shared" si="11"/>
        <v/>
      </c>
    </row>
    <row r="765" spans="1:1" x14ac:dyDescent="0.25">
      <c r="A765" s="216" t="str">
        <f t="shared" si="11"/>
        <v/>
      </c>
    </row>
    <row r="766" spans="1:1" x14ac:dyDescent="0.25">
      <c r="A766" s="216" t="str">
        <f t="shared" si="11"/>
        <v/>
      </c>
    </row>
    <row r="767" spans="1:1" x14ac:dyDescent="0.25">
      <c r="A767" s="216" t="str">
        <f t="shared" si="11"/>
        <v/>
      </c>
    </row>
    <row r="768" spans="1:1" x14ac:dyDescent="0.25">
      <c r="A768" s="216" t="str">
        <f t="shared" si="11"/>
        <v/>
      </c>
    </row>
    <row r="769" spans="1:1" x14ac:dyDescent="0.25">
      <c r="A769" s="216" t="str">
        <f t="shared" si="11"/>
        <v/>
      </c>
    </row>
    <row r="770" spans="1:1" x14ac:dyDescent="0.25">
      <c r="A770" s="216" t="str">
        <f t="shared" si="11"/>
        <v/>
      </c>
    </row>
    <row r="771" spans="1:1" x14ac:dyDescent="0.25">
      <c r="A771" s="216" t="str">
        <f t="shared" si="11"/>
        <v/>
      </c>
    </row>
    <row r="772" spans="1:1" x14ac:dyDescent="0.25">
      <c r="A772" s="216" t="str">
        <f t="shared" ref="A772:A835" si="12">IF(B772&lt;&gt;"",A771+1,"")</f>
        <v/>
      </c>
    </row>
    <row r="773" spans="1:1" x14ac:dyDescent="0.25">
      <c r="A773" s="216" t="str">
        <f t="shared" si="12"/>
        <v/>
      </c>
    </row>
    <row r="774" spans="1:1" x14ac:dyDescent="0.25">
      <c r="A774" s="216" t="str">
        <f t="shared" si="12"/>
        <v/>
      </c>
    </row>
    <row r="775" spans="1:1" x14ac:dyDescent="0.25">
      <c r="A775" s="216" t="str">
        <f t="shared" si="12"/>
        <v/>
      </c>
    </row>
    <row r="776" spans="1:1" x14ac:dyDescent="0.25">
      <c r="A776" s="216" t="str">
        <f t="shared" si="12"/>
        <v/>
      </c>
    </row>
    <row r="777" spans="1:1" x14ac:dyDescent="0.25">
      <c r="A777" s="216" t="str">
        <f t="shared" si="12"/>
        <v/>
      </c>
    </row>
    <row r="778" spans="1:1" x14ac:dyDescent="0.25">
      <c r="A778" s="216" t="str">
        <f t="shared" si="12"/>
        <v/>
      </c>
    </row>
    <row r="779" spans="1:1" x14ac:dyDescent="0.25">
      <c r="A779" s="216" t="str">
        <f t="shared" si="12"/>
        <v/>
      </c>
    </row>
    <row r="780" spans="1:1" x14ac:dyDescent="0.25">
      <c r="A780" s="216" t="str">
        <f t="shared" si="12"/>
        <v/>
      </c>
    </row>
    <row r="781" spans="1:1" x14ac:dyDescent="0.25">
      <c r="A781" s="216" t="str">
        <f t="shared" si="12"/>
        <v/>
      </c>
    </row>
    <row r="782" spans="1:1" x14ac:dyDescent="0.25">
      <c r="A782" s="216" t="str">
        <f t="shared" si="12"/>
        <v/>
      </c>
    </row>
    <row r="783" spans="1:1" x14ac:dyDescent="0.25">
      <c r="A783" s="216" t="str">
        <f t="shared" si="12"/>
        <v/>
      </c>
    </row>
    <row r="784" spans="1:1" x14ac:dyDescent="0.25">
      <c r="A784" s="216" t="str">
        <f t="shared" si="12"/>
        <v/>
      </c>
    </row>
    <row r="785" spans="1:1" x14ac:dyDescent="0.25">
      <c r="A785" s="216" t="str">
        <f t="shared" si="12"/>
        <v/>
      </c>
    </row>
    <row r="786" spans="1:1" x14ac:dyDescent="0.25">
      <c r="A786" s="216" t="str">
        <f t="shared" si="12"/>
        <v/>
      </c>
    </row>
    <row r="787" spans="1:1" x14ac:dyDescent="0.25">
      <c r="A787" s="216" t="str">
        <f t="shared" si="12"/>
        <v/>
      </c>
    </row>
    <row r="788" spans="1:1" x14ac:dyDescent="0.25">
      <c r="A788" s="216" t="str">
        <f t="shared" si="12"/>
        <v/>
      </c>
    </row>
    <row r="789" spans="1:1" x14ac:dyDescent="0.25">
      <c r="A789" s="216" t="str">
        <f t="shared" si="12"/>
        <v/>
      </c>
    </row>
    <row r="790" spans="1:1" x14ac:dyDescent="0.25">
      <c r="A790" s="216" t="str">
        <f t="shared" si="12"/>
        <v/>
      </c>
    </row>
    <row r="791" spans="1:1" x14ac:dyDescent="0.25">
      <c r="A791" s="216" t="str">
        <f t="shared" si="12"/>
        <v/>
      </c>
    </row>
    <row r="792" spans="1:1" x14ac:dyDescent="0.25">
      <c r="A792" s="216" t="str">
        <f t="shared" si="12"/>
        <v/>
      </c>
    </row>
    <row r="793" spans="1:1" x14ac:dyDescent="0.25">
      <c r="A793" s="216" t="str">
        <f t="shared" si="12"/>
        <v/>
      </c>
    </row>
    <row r="794" spans="1:1" x14ac:dyDescent="0.25">
      <c r="A794" s="216" t="str">
        <f t="shared" si="12"/>
        <v/>
      </c>
    </row>
    <row r="795" spans="1:1" x14ac:dyDescent="0.25">
      <c r="A795" s="216" t="str">
        <f t="shared" si="12"/>
        <v/>
      </c>
    </row>
    <row r="796" spans="1:1" x14ac:dyDescent="0.25">
      <c r="A796" s="216" t="str">
        <f t="shared" si="12"/>
        <v/>
      </c>
    </row>
    <row r="797" spans="1:1" x14ac:dyDescent="0.25">
      <c r="A797" s="216" t="str">
        <f t="shared" si="12"/>
        <v/>
      </c>
    </row>
    <row r="798" spans="1:1" x14ac:dyDescent="0.25">
      <c r="A798" s="216" t="str">
        <f t="shared" si="12"/>
        <v/>
      </c>
    </row>
    <row r="799" spans="1:1" x14ac:dyDescent="0.25">
      <c r="A799" s="216" t="str">
        <f t="shared" si="12"/>
        <v/>
      </c>
    </row>
    <row r="800" spans="1:1" x14ac:dyDescent="0.25">
      <c r="A800" s="216" t="str">
        <f t="shared" si="12"/>
        <v/>
      </c>
    </row>
    <row r="801" spans="1:1" x14ac:dyDescent="0.25">
      <c r="A801" s="216" t="str">
        <f t="shared" si="12"/>
        <v/>
      </c>
    </row>
    <row r="802" spans="1:1" x14ac:dyDescent="0.25">
      <c r="A802" s="216" t="str">
        <f t="shared" si="12"/>
        <v/>
      </c>
    </row>
    <row r="803" spans="1:1" x14ac:dyDescent="0.25">
      <c r="A803" s="216" t="str">
        <f t="shared" si="12"/>
        <v/>
      </c>
    </row>
    <row r="804" spans="1:1" x14ac:dyDescent="0.25">
      <c r="A804" s="216" t="str">
        <f t="shared" si="12"/>
        <v/>
      </c>
    </row>
    <row r="805" spans="1:1" x14ac:dyDescent="0.25">
      <c r="A805" s="216" t="str">
        <f t="shared" si="12"/>
        <v/>
      </c>
    </row>
    <row r="806" spans="1:1" x14ac:dyDescent="0.25">
      <c r="A806" s="216" t="str">
        <f t="shared" si="12"/>
        <v/>
      </c>
    </row>
    <row r="807" spans="1:1" x14ac:dyDescent="0.25">
      <c r="A807" s="216" t="str">
        <f t="shared" si="12"/>
        <v/>
      </c>
    </row>
    <row r="808" spans="1:1" x14ac:dyDescent="0.25">
      <c r="A808" s="216" t="str">
        <f t="shared" si="12"/>
        <v/>
      </c>
    </row>
    <row r="809" spans="1:1" x14ac:dyDescent="0.25">
      <c r="A809" s="216" t="str">
        <f t="shared" si="12"/>
        <v/>
      </c>
    </row>
    <row r="810" spans="1:1" x14ac:dyDescent="0.25">
      <c r="A810" s="216" t="str">
        <f t="shared" si="12"/>
        <v/>
      </c>
    </row>
    <row r="811" spans="1:1" x14ac:dyDescent="0.25">
      <c r="A811" s="216" t="str">
        <f t="shared" si="12"/>
        <v/>
      </c>
    </row>
    <row r="812" spans="1:1" x14ac:dyDescent="0.25">
      <c r="A812" s="216" t="str">
        <f t="shared" si="12"/>
        <v/>
      </c>
    </row>
    <row r="813" spans="1:1" x14ac:dyDescent="0.25">
      <c r="A813" s="216" t="str">
        <f t="shared" si="12"/>
        <v/>
      </c>
    </row>
    <row r="814" spans="1:1" x14ac:dyDescent="0.25">
      <c r="A814" s="216" t="str">
        <f t="shared" si="12"/>
        <v/>
      </c>
    </row>
    <row r="815" spans="1:1" x14ac:dyDescent="0.25">
      <c r="A815" s="216" t="str">
        <f t="shared" si="12"/>
        <v/>
      </c>
    </row>
    <row r="816" spans="1:1" x14ac:dyDescent="0.25">
      <c r="A816" s="216" t="str">
        <f t="shared" si="12"/>
        <v/>
      </c>
    </row>
    <row r="817" spans="1:1" x14ac:dyDescent="0.25">
      <c r="A817" s="216" t="str">
        <f t="shared" si="12"/>
        <v/>
      </c>
    </row>
    <row r="818" spans="1:1" x14ac:dyDescent="0.25">
      <c r="A818" s="216" t="str">
        <f t="shared" si="12"/>
        <v/>
      </c>
    </row>
    <row r="819" spans="1:1" x14ac:dyDescent="0.25">
      <c r="A819" s="216" t="str">
        <f t="shared" si="12"/>
        <v/>
      </c>
    </row>
    <row r="820" spans="1:1" x14ac:dyDescent="0.25">
      <c r="A820" s="216" t="str">
        <f t="shared" si="12"/>
        <v/>
      </c>
    </row>
    <row r="821" spans="1:1" x14ac:dyDescent="0.25">
      <c r="A821" s="216" t="str">
        <f t="shared" si="12"/>
        <v/>
      </c>
    </row>
    <row r="822" spans="1:1" x14ac:dyDescent="0.25">
      <c r="A822" s="216" t="str">
        <f t="shared" si="12"/>
        <v/>
      </c>
    </row>
    <row r="823" spans="1:1" x14ac:dyDescent="0.25">
      <c r="A823" s="216" t="str">
        <f t="shared" si="12"/>
        <v/>
      </c>
    </row>
    <row r="824" spans="1:1" x14ac:dyDescent="0.25">
      <c r="A824" s="216" t="str">
        <f t="shared" si="12"/>
        <v/>
      </c>
    </row>
    <row r="825" spans="1:1" x14ac:dyDescent="0.25">
      <c r="A825" s="216" t="str">
        <f t="shared" si="12"/>
        <v/>
      </c>
    </row>
    <row r="826" spans="1:1" x14ac:dyDescent="0.25">
      <c r="A826" s="216" t="str">
        <f t="shared" si="12"/>
        <v/>
      </c>
    </row>
    <row r="827" spans="1:1" x14ac:dyDescent="0.25">
      <c r="A827" s="216" t="str">
        <f t="shared" si="12"/>
        <v/>
      </c>
    </row>
    <row r="828" spans="1:1" x14ac:dyDescent="0.25">
      <c r="A828" s="216" t="str">
        <f t="shared" si="12"/>
        <v/>
      </c>
    </row>
    <row r="829" spans="1:1" x14ac:dyDescent="0.25">
      <c r="A829" s="216" t="str">
        <f t="shared" si="12"/>
        <v/>
      </c>
    </row>
    <row r="830" spans="1:1" x14ac:dyDescent="0.25">
      <c r="A830" s="216" t="str">
        <f t="shared" si="12"/>
        <v/>
      </c>
    </row>
    <row r="831" spans="1:1" x14ac:dyDescent="0.25">
      <c r="A831" s="216" t="str">
        <f t="shared" si="12"/>
        <v/>
      </c>
    </row>
    <row r="832" spans="1:1" x14ac:dyDescent="0.25">
      <c r="A832" s="216" t="str">
        <f t="shared" si="12"/>
        <v/>
      </c>
    </row>
    <row r="833" spans="1:1" x14ac:dyDescent="0.25">
      <c r="A833" s="216" t="str">
        <f t="shared" si="12"/>
        <v/>
      </c>
    </row>
    <row r="834" spans="1:1" x14ac:dyDescent="0.25">
      <c r="A834" s="216" t="str">
        <f t="shared" si="12"/>
        <v/>
      </c>
    </row>
    <row r="835" spans="1:1" x14ac:dyDescent="0.25">
      <c r="A835" s="216" t="str">
        <f t="shared" si="12"/>
        <v/>
      </c>
    </row>
    <row r="836" spans="1:1" x14ac:dyDescent="0.25">
      <c r="A836" s="216" t="str">
        <f t="shared" ref="A836:A899" si="13">IF(B836&lt;&gt;"",A835+1,"")</f>
        <v/>
      </c>
    </row>
    <row r="837" spans="1:1" x14ac:dyDescent="0.25">
      <c r="A837" s="216" t="str">
        <f t="shared" si="13"/>
        <v/>
      </c>
    </row>
    <row r="838" spans="1:1" x14ac:dyDescent="0.25">
      <c r="A838" s="216" t="str">
        <f t="shared" si="13"/>
        <v/>
      </c>
    </row>
    <row r="839" spans="1:1" x14ac:dyDescent="0.25">
      <c r="A839" s="216" t="str">
        <f t="shared" si="13"/>
        <v/>
      </c>
    </row>
    <row r="840" spans="1:1" x14ac:dyDescent="0.25">
      <c r="A840" s="216" t="str">
        <f t="shared" si="13"/>
        <v/>
      </c>
    </row>
    <row r="841" spans="1:1" x14ac:dyDescent="0.25">
      <c r="A841" s="216" t="str">
        <f t="shared" si="13"/>
        <v/>
      </c>
    </row>
    <row r="842" spans="1:1" x14ac:dyDescent="0.25">
      <c r="A842" s="216" t="str">
        <f t="shared" si="13"/>
        <v/>
      </c>
    </row>
    <row r="843" spans="1:1" x14ac:dyDescent="0.25">
      <c r="A843" s="216" t="str">
        <f t="shared" si="13"/>
        <v/>
      </c>
    </row>
    <row r="844" spans="1:1" x14ac:dyDescent="0.25">
      <c r="A844" s="216" t="str">
        <f t="shared" si="13"/>
        <v/>
      </c>
    </row>
    <row r="845" spans="1:1" x14ac:dyDescent="0.25">
      <c r="A845" s="216" t="str">
        <f t="shared" si="13"/>
        <v/>
      </c>
    </row>
    <row r="846" spans="1:1" x14ac:dyDescent="0.25">
      <c r="A846" s="216" t="str">
        <f t="shared" si="13"/>
        <v/>
      </c>
    </row>
    <row r="847" spans="1:1" x14ac:dyDescent="0.25">
      <c r="A847" s="216" t="str">
        <f t="shared" si="13"/>
        <v/>
      </c>
    </row>
    <row r="848" spans="1:1" x14ac:dyDescent="0.25">
      <c r="A848" s="216" t="str">
        <f t="shared" si="13"/>
        <v/>
      </c>
    </row>
    <row r="849" spans="1:1" x14ac:dyDescent="0.25">
      <c r="A849" s="216" t="str">
        <f t="shared" si="13"/>
        <v/>
      </c>
    </row>
    <row r="850" spans="1:1" x14ac:dyDescent="0.25">
      <c r="A850" s="216" t="str">
        <f t="shared" si="13"/>
        <v/>
      </c>
    </row>
    <row r="851" spans="1:1" x14ac:dyDescent="0.25">
      <c r="A851" s="216" t="str">
        <f t="shared" si="13"/>
        <v/>
      </c>
    </row>
    <row r="852" spans="1:1" x14ac:dyDescent="0.25">
      <c r="A852" s="216" t="str">
        <f t="shared" si="13"/>
        <v/>
      </c>
    </row>
    <row r="853" spans="1:1" x14ac:dyDescent="0.25">
      <c r="A853" s="216" t="str">
        <f t="shared" si="13"/>
        <v/>
      </c>
    </row>
    <row r="854" spans="1:1" x14ac:dyDescent="0.25">
      <c r="A854" s="216" t="str">
        <f t="shared" si="13"/>
        <v/>
      </c>
    </row>
    <row r="855" spans="1:1" x14ac:dyDescent="0.25">
      <c r="A855" s="216" t="str">
        <f t="shared" si="13"/>
        <v/>
      </c>
    </row>
    <row r="856" spans="1:1" x14ac:dyDescent="0.25">
      <c r="A856" s="216" t="str">
        <f t="shared" si="13"/>
        <v/>
      </c>
    </row>
    <row r="857" spans="1:1" x14ac:dyDescent="0.25">
      <c r="A857" s="216" t="str">
        <f t="shared" si="13"/>
        <v/>
      </c>
    </row>
    <row r="858" spans="1:1" x14ac:dyDescent="0.25">
      <c r="A858" s="216" t="str">
        <f t="shared" si="13"/>
        <v/>
      </c>
    </row>
    <row r="859" spans="1:1" x14ac:dyDescent="0.25">
      <c r="A859" s="216" t="str">
        <f t="shared" si="13"/>
        <v/>
      </c>
    </row>
    <row r="860" spans="1:1" x14ac:dyDescent="0.25">
      <c r="A860" s="216" t="str">
        <f t="shared" si="13"/>
        <v/>
      </c>
    </row>
    <row r="861" spans="1:1" x14ac:dyDescent="0.25">
      <c r="A861" s="216" t="str">
        <f t="shared" si="13"/>
        <v/>
      </c>
    </row>
    <row r="862" spans="1:1" x14ac:dyDescent="0.25">
      <c r="A862" s="216" t="str">
        <f t="shared" si="13"/>
        <v/>
      </c>
    </row>
    <row r="863" spans="1:1" x14ac:dyDescent="0.25">
      <c r="A863" s="216" t="str">
        <f t="shared" si="13"/>
        <v/>
      </c>
    </row>
    <row r="864" spans="1:1" x14ac:dyDescent="0.25">
      <c r="A864" s="216" t="str">
        <f t="shared" si="13"/>
        <v/>
      </c>
    </row>
    <row r="865" spans="1:1" x14ac:dyDescent="0.25">
      <c r="A865" s="216" t="str">
        <f t="shared" si="13"/>
        <v/>
      </c>
    </row>
    <row r="866" spans="1:1" x14ac:dyDescent="0.25">
      <c r="A866" s="216" t="str">
        <f t="shared" si="13"/>
        <v/>
      </c>
    </row>
    <row r="867" spans="1:1" x14ac:dyDescent="0.25">
      <c r="A867" s="216" t="str">
        <f t="shared" si="13"/>
        <v/>
      </c>
    </row>
    <row r="868" spans="1:1" x14ac:dyDescent="0.25">
      <c r="A868" s="216" t="str">
        <f t="shared" si="13"/>
        <v/>
      </c>
    </row>
    <row r="869" spans="1:1" x14ac:dyDescent="0.25">
      <c r="A869" s="216" t="str">
        <f t="shared" si="13"/>
        <v/>
      </c>
    </row>
    <row r="870" spans="1:1" x14ac:dyDescent="0.25">
      <c r="A870" s="216" t="str">
        <f t="shared" si="13"/>
        <v/>
      </c>
    </row>
    <row r="871" spans="1:1" x14ac:dyDescent="0.25">
      <c r="A871" s="216" t="str">
        <f t="shared" si="13"/>
        <v/>
      </c>
    </row>
    <row r="872" spans="1:1" x14ac:dyDescent="0.25">
      <c r="A872" s="216" t="str">
        <f t="shared" si="13"/>
        <v/>
      </c>
    </row>
    <row r="873" spans="1:1" x14ac:dyDescent="0.25">
      <c r="A873" s="216" t="str">
        <f t="shared" si="13"/>
        <v/>
      </c>
    </row>
    <row r="874" spans="1:1" x14ac:dyDescent="0.25">
      <c r="A874" s="216" t="str">
        <f t="shared" si="13"/>
        <v/>
      </c>
    </row>
    <row r="875" spans="1:1" x14ac:dyDescent="0.25">
      <c r="A875" s="216" t="str">
        <f t="shared" si="13"/>
        <v/>
      </c>
    </row>
    <row r="876" spans="1:1" x14ac:dyDescent="0.25">
      <c r="A876" s="216" t="str">
        <f t="shared" si="13"/>
        <v/>
      </c>
    </row>
    <row r="877" spans="1:1" x14ac:dyDescent="0.25">
      <c r="A877" s="216" t="str">
        <f t="shared" si="13"/>
        <v/>
      </c>
    </row>
    <row r="878" spans="1:1" x14ac:dyDescent="0.25">
      <c r="A878" s="216" t="str">
        <f t="shared" si="13"/>
        <v/>
      </c>
    </row>
    <row r="879" spans="1:1" x14ac:dyDescent="0.25">
      <c r="A879" s="216" t="str">
        <f t="shared" si="13"/>
        <v/>
      </c>
    </row>
    <row r="880" spans="1:1" x14ac:dyDescent="0.25">
      <c r="A880" s="216" t="str">
        <f t="shared" si="13"/>
        <v/>
      </c>
    </row>
    <row r="881" spans="1:1" x14ac:dyDescent="0.25">
      <c r="A881" s="216" t="str">
        <f t="shared" si="13"/>
        <v/>
      </c>
    </row>
    <row r="882" spans="1:1" x14ac:dyDescent="0.25">
      <c r="A882" s="216" t="str">
        <f t="shared" si="13"/>
        <v/>
      </c>
    </row>
    <row r="883" spans="1:1" x14ac:dyDescent="0.25">
      <c r="A883" s="216" t="str">
        <f t="shared" si="13"/>
        <v/>
      </c>
    </row>
    <row r="884" spans="1:1" x14ac:dyDescent="0.25">
      <c r="A884" s="216" t="str">
        <f t="shared" si="13"/>
        <v/>
      </c>
    </row>
    <row r="885" spans="1:1" x14ac:dyDescent="0.25">
      <c r="A885" s="216" t="str">
        <f t="shared" si="13"/>
        <v/>
      </c>
    </row>
    <row r="886" spans="1:1" x14ac:dyDescent="0.25">
      <c r="A886" s="216" t="str">
        <f t="shared" si="13"/>
        <v/>
      </c>
    </row>
    <row r="887" spans="1:1" x14ac:dyDescent="0.25">
      <c r="A887" s="216" t="str">
        <f t="shared" si="13"/>
        <v/>
      </c>
    </row>
    <row r="888" spans="1:1" x14ac:dyDescent="0.25">
      <c r="A888" s="216" t="str">
        <f t="shared" si="13"/>
        <v/>
      </c>
    </row>
    <row r="889" spans="1:1" x14ac:dyDescent="0.25">
      <c r="A889" s="216" t="str">
        <f t="shared" si="13"/>
        <v/>
      </c>
    </row>
    <row r="890" spans="1:1" x14ac:dyDescent="0.25">
      <c r="A890" s="216" t="str">
        <f t="shared" si="13"/>
        <v/>
      </c>
    </row>
    <row r="891" spans="1:1" x14ac:dyDescent="0.25">
      <c r="A891" s="216" t="str">
        <f t="shared" si="13"/>
        <v/>
      </c>
    </row>
    <row r="892" spans="1:1" x14ac:dyDescent="0.25">
      <c r="A892" s="216" t="str">
        <f t="shared" si="13"/>
        <v/>
      </c>
    </row>
    <row r="893" spans="1:1" x14ac:dyDescent="0.25">
      <c r="A893" s="216" t="str">
        <f t="shared" si="13"/>
        <v/>
      </c>
    </row>
    <row r="894" spans="1:1" x14ac:dyDescent="0.25">
      <c r="A894" s="216" t="str">
        <f t="shared" si="13"/>
        <v/>
      </c>
    </row>
    <row r="895" spans="1:1" x14ac:dyDescent="0.25">
      <c r="A895" s="216" t="str">
        <f t="shared" si="13"/>
        <v/>
      </c>
    </row>
    <row r="896" spans="1:1" x14ac:dyDescent="0.25">
      <c r="A896" s="216" t="str">
        <f t="shared" si="13"/>
        <v/>
      </c>
    </row>
    <row r="897" spans="1:1" x14ac:dyDescent="0.25">
      <c r="A897" s="216" t="str">
        <f t="shared" si="13"/>
        <v/>
      </c>
    </row>
    <row r="898" spans="1:1" x14ac:dyDescent="0.25">
      <c r="A898" s="216" t="str">
        <f t="shared" si="13"/>
        <v/>
      </c>
    </row>
    <row r="899" spans="1:1" x14ac:dyDescent="0.25">
      <c r="A899" s="216" t="str">
        <f t="shared" si="13"/>
        <v/>
      </c>
    </row>
    <row r="900" spans="1:1" x14ac:dyDescent="0.25">
      <c r="A900" s="216" t="str">
        <f t="shared" ref="A900:A963" si="14">IF(B900&lt;&gt;"",A899+1,"")</f>
        <v/>
      </c>
    </row>
    <row r="901" spans="1:1" x14ac:dyDescent="0.25">
      <c r="A901" s="216" t="str">
        <f t="shared" si="14"/>
        <v/>
      </c>
    </row>
    <row r="902" spans="1:1" x14ac:dyDescent="0.25">
      <c r="A902" s="216" t="str">
        <f t="shared" si="14"/>
        <v/>
      </c>
    </row>
    <row r="903" spans="1:1" x14ac:dyDescent="0.25">
      <c r="A903" s="216" t="str">
        <f t="shared" si="14"/>
        <v/>
      </c>
    </row>
    <row r="904" spans="1:1" x14ac:dyDescent="0.25">
      <c r="A904" s="216" t="str">
        <f t="shared" si="14"/>
        <v/>
      </c>
    </row>
    <row r="905" spans="1:1" x14ac:dyDescent="0.25">
      <c r="A905" s="216" t="str">
        <f t="shared" si="14"/>
        <v/>
      </c>
    </row>
    <row r="906" spans="1:1" x14ac:dyDescent="0.25">
      <c r="A906" s="216" t="str">
        <f t="shared" si="14"/>
        <v/>
      </c>
    </row>
    <row r="907" spans="1:1" x14ac:dyDescent="0.25">
      <c r="A907" s="216" t="str">
        <f t="shared" si="14"/>
        <v/>
      </c>
    </row>
    <row r="908" spans="1:1" x14ac:dyDescent="0.25">
      <c r="A908" s="216" t="str">
        <f t="shared" si="14"/>
        <v/>
      </c>
    </row>
    <row r="909" spans="1:1" x14ac:dyDescent="0.25">
      <c r="A909" s="216" t="str">
        <f t="shared" si="14"/>
        <v/>
      </c>
    </row>
    <row r="910" spans="1:1" x14ac:dyDescent="0.25">
      <c r="A910" s="216" t="str">
        <f t="shared" si="14"/>
        <v/>
      </c>
    </row>
    <row r="911" spans="1:1" x14ac:dyDescent="0.25">
      <c r="A911" s="216" t="str">
        <f t="shared" si="14"/>
        <v/>
      </c>
    </row>
    <row r="912" spans="1:1" x14ac:dyDescent="0.25">
      <c r="A912" s="216" t="str">
        <f t="shared" si="14"/>
        <v/>
      </c>
    </row>
    <row r="913" spans="1:1" x14ac:dyDescent="0.25">
      <c r="A913" s="216" t="str">
        <f t="shared" si="14"/>
        <v/>
      </c>
    </row>
    <row r="914" spans="1:1" x14ac:dyDescent="0.25">
      <c r="A914" s="216" t="str">
        <f t="shared" si="14"/>
        <v/>
      </c>
    </row>
    <row r="915" spans="1:1" x14ac:dyDescent="0.25">
      <c r="A915" s="216" t="str">
        <f t="shared" si="14"/>
        <v/>
      </c>
    </row>
    <row r="916" spans="1:1" x14ac:dyDescent="0.25">
      <c r="A916" s="216" t="str">
        <f t="shared" si="14"/>
        <v/>
      </c>
    </row>
    <row r="917" spans="1:1" x14ac:dyDescent="0.25">
      <c r="A917" s="216" t="str">
        <f t="shared" si="14"/>
        <v/>
      </c>
    </row>
    <row r="918" spans="1:1" x14ac:dyDescent="0.25">
      <c r="A918" s="216" t="str">
        <f t="shared" si="14"/>
        <v/>
      </c>
    </row>
    <row r="919" spans="1:1" x14ac:dyDescent="0.25">
      <c r="A919" s="216" t="str">
        <f t="shared" si="14"/>
        <v/>
      </c>
    </row>
    <row r="920" spans="1:1" x14ac:dyDescent="0.25">
      <c r="A920" s="216" t="str">
        <f t="shared" si="14"/>
        <v/>
      </c>
    </row>
    <row r="921" spans="1:1" x14ac:dyDescent="0.25">
      <c r="A921" s="216" t="str">
        <f t="shared" si="14"/>
        <v/>
      </c>
    </row>
    <row r="922" spans="1:1" x14ac:dyDescent="0.25">
      <c r="A922" s="216" t="str">
        <f t="shared" si="14"/>
        <v/>
      </c>
    </row>
    <row r="923" spans="1:1" x14ac:dyDescent="0.25">
      <c r="A923" s="216" t="str">
        <f t="shared" si="14"/>
        <v/>
      </c>
    </row>
    <row r="924" spans="1:1" x14ac:dyDescent="0.25">
      <c r="A924" s="216" t="str">
        <f t="shared" si="14"/>
        <v/>
      </c>
    </row>
    <row r="925" spans="1:1" x14ac:dyDescent="0.25">
      <c r="A925" s="216" t="str">
        <f t="shared" si="14"/>
        <v/>
      </c>
    </row>
    <row r="926" spans="1:1" x14ac:dyDescent="0.25">
      <c r="A926" s="216" t="str">
        <f t="shared" si="14"/>
        <v/>
      </c>
    </row>
    <row r="927" spans="1:1" x14ac:dyDescent="0.25">
      <c r="A927" s="216" t="str">
        <f t="shared" si="14"/>
        <v/>
      </c>
    </row>
    <row r="928" spans="1:1" x14ac:dyDescent="0.25">
      <c r="A928" s="216" t="str">
        <f t="shared" si="14"/>
        <v/>
      </c>
    </row>
    <row r="929" spans="1:1" x14ac:dyDescent="0.25">
      <c r="A929" s="216" t="str">
        <f t="shared" si="14"/>
        <v/>
      </c>
    </row>
    <row r="930" spans="1:1" x14ac:dyDescent="0.25">
      <c r="A930" s="216" t="str">
        <f t="shared" si="14"/>
        <v/>
      </c>
    </row>
    <row r="931" spans="1:1" x14ac:dyDescent="0.25">
      <c r="A931" s="216" t="str">
        <f t="shared" si="14"/>
        <v/>
      </c>
    </row>
    <row r="932" spans="1:1" x14ac:dyDescent="0.25">
      <c r="A932" s="216" t="str">
        <f t="shared" si="14"/>
        <v/>
      </c>
    </row>
    <row r="933" spans="1:1" x14ac:dyDescent="0.25">
      <c r="A933" s="216" t="str">
        <f t="shared" si="14"/>
        <v/>
      </c>
    </row>
    <row r="934" spans="1:1" x14ac:dyDescent="0.25">
      <c r="A934" s="216" t="str">
        <f t="shared" si="14"/>
        <v/>
      </c>
    </row>
    <row r="935" spans="1:1" x14ac:dyDescent="0.25">
      <c r="A935" s="216" t="str">
        <f t="shared" si="14"/>
        <v/>
      </c>
    </row>
    <row r="936" spans="1:1" x14ac:dyDescent="0.25">
      <c r="A936" s="216" t="str">
        <f t="shared" si="14"/>
        <v/>
      </c>
    </row>
    <row r="937" spans="1:1" x14ac:dyDescent="0.25">
      <c r="A937" s="216" t="str">
        <f t="shared" si="14"/>
        <v/>
      </c>
    </row>
    <row r="938" spans="1:1" x14ac:dyDescent="0.25">
      <c r="A938" s="216" t="str">
        <f t="shared" si="14"/>
        <v/>
      </c>
    </row>
    <row r="939" spans="1:1" x14ac:dyDescent="0.25">
      <c r="A939" s="216" t="str">
        <f t="shared" si="14"/>
        <v/>
      </c>
    </row>
    <row r="940" spans="1:1" x14ac:dyDescent="0.25">
      <c r="A940" s="216" t="str">
        <f t="shared" si="14"/>
        <v/>
      </c>
    </row>
    <row r="941" spans="1:1" x14ac:dyDescent="0.25">
      <c r="A941" s="216" t="str">
        <f t="shared" si="14"/>
        <v/>
      </c>
    </row>
    <row r="942" spans="1:1" x14ac:dyDescent="0.25">
      <c r="A942" s="216" t="str">
        <f t="shared" si="14"/>
        <v/>
      </c>
    </row>
    <row r="943" spans="1:1" x14ac:dyDescent="0.25">
      <c r="A943" s="216" t="str">
        <f t="shared" si="14"/>
        <v/>
      </c>
    </row>
    <row r="944" spans="1:1" x14ac:dyDescent="0.25">
      <c r="A944" s="216" t="str">
        <f t="shared" si="14"/>
        <v/>
      </c>
    </row>
    <row r="945" spans="1:1" x14ac:dyDescent="0.25">
      <c r="A945" s="216" t="str">
        <f t="shared" si="14"/>
        <v/>
      </c>
    </row>
    <row r="946" spans="1:1" x14ac:dyDescent="0.25">
      <c r="A946" s="216" t="str">
        <f t="shared" si="14"/>
        <v/>
      </c>
    </row>
    <row r="947" spans="1:1" x14ac:dyDescent="0.25">
      <c r="A947" s="216" t="str">
        <f t="shared" si="14"/>
        <v/>
      </c>
    </row>
    <row r="948" spans="1:1" x14ac:dyDescent="0.25">
      <c r="A948" s="216" t="str">
        <f t="shared" si="14"/>
        <v/>
      </c>
    </row>
    <row r="949" spans="1:1" x14ac:dyDescent="0.25">
      <c r="A949" s="216" t="str">
        <f t="shared" si="14"/>
        <v/>
      </c>
    </row>
    <row r="950" spans="1:1" x14ac:dyDescent="0.25">
      <c r="A950" s="216" t="str">
        <f t="shared" si="14"/>
        <v/>
      </c>
    </row>
    <row r="951" spans="1:1" x14ac:dyDescent="0.25">
      <c r="A951" s="216" t="str">
        <f t="shared" si="14"/>
        <v/>
      </c>
    </row>
    <row r="952" spans="1:1" x14ac:dyDescent="0.25">
      <c r="A952" s="216" t="str">
        <f t="shared" si="14"/>
        <v/>
      </c>
    </row>
    <row r="953" spans="1:1" x14ac:dyDescent="0.25">
      <c r="A953" s="216" t="str">
        <f t="shared" si="14"/>
        <v/>
      </c>
    </row>
    <row r="954" spans="1:1" x14ac:dyDescent="0.25">
      <c r="A954" s="216" t="str">
        <f t="shared" si="14"/>
        <v/>
      </c>
    </row>
    <row r="955" spans="1:1" x14ac:dyDescent="0.25">
      <c r="A955" s="216" t="str">
        <f t="shared" si="14"/>
        <v/>
      </c>
    </row>
    <row r="956" spans="1:1" x14ac:dyDescent="0.25">
      <c r="A956" s="216" t="str">
        <f t="shared" si="14"/>
        <v/>
      </c>
    </row>
    <row r="957" spans="1:1" x14ac:dyDescent="0.25">
      <c r="A957" s="216" t="str">
        <f t="shared" si="14"/>
        <v/>
      </c>
    </row>
    <row r="958" spans="1:1" x14ac:dyDescent="0.25">
      <c r="A958" s="216" t="str">
        <f t="shared" si="14"/>
        <v/>
      </c>
    </row>
    <row r="959" spans="1:1" x14ac:dyDescent="0.25">
      <c r="A959" s="216" t="str">
        <f t="shared" si="14"/>
        <v/>
      </c>
    </row>
    <row r="960" spans="1:1" x14ac:dyDescent="0.25">
      <c r="A960" s="216" t="str">
        <f t="shared" si="14"/>
        <v/>
      </c>
    </row>
    <row r="961" spans="1:1" x14ac:dyDescent="0.25">
      <c r="A961" s="216" t="str">
        <f t="shared" si="14"/>
        <v/>
      </c>
    </row>
    <row r="962" spans="1:1" x14ac:dyDescent="0.25">
      <c r="A962" s="216" t="str">
        <f t="shared" si="14"/>
        <v/>
      </c>
    </row>
    <row r="963" spans="1:1" x14ac:dyDescent="0.25">
      <c r="A963" s="216" t="str">
        <f t="shared" si="14"/>
        <v/>
      </c>
    </row>
    <row r="964" spans="1:1" x14ac:dyDescent="0.25">
      <c r="A964" s="216" t="str">
        <f t="shared" ref="A964:A1027" si="15">IF(B964&lt;&gt;"",A963+1,"")</f>
        <v/>
      </c>
    </row>
    <row r="965" spans="1:1" x14ac:dyDescent="0.25">
      <c r="A965" s="216" t="str">
        <f t="shared" si="15"/>
        <v/>
      </c>
    </row>
    <row r="966" spans="1:1" x14ac:dyDescent="0.25">
      <c r="A966" s="216" t="str">
        <f t="shared" si="15"/>
        <v/>
      </c>
    </row>
    <row r="967" spans="1:1" x14ac:dyDescent="0.25">
      <c r="A967" s="216" t="str">
        <f t="shared" si="15"/>
        <v/>
      </c>
    </row>
    <row r="968" spans="1:1" x14ac:dyDescent="0.25">
      <c r="A968" s="216" t="str">
        <f t="shared" si="15"/>
        <v/>
      </c>
    </row>
    <row r="969" spans="1:1" x14ac:dyDescent="0.25">
      <c r="A969" s="216" t="str">
        <f t="shared" si="15"/>
        <v/>
      </c>
    </row>
    <row r="970" spans="1:1" x14ac:dyDescent="0.25">
      <c r="A970" s="216" t="str">
        <f t="shared" si="15"/>
        <v/>
      </c>
    </row>
    <row r="971" spans="1:1" x14ac:dyDescent="0.25">
      <c r="A971" s="216" t="str">
        <f t="shared" si="15"/>
        <v/>
      </c>
    </row>
    <row r="972" spans="1:1" x14ac:dyDescent="0.25">
      <c r="A972" s="216" t="str">
        <f t="shared" si="15"/>
        <v/>
      </c>
    </row>
    <row r="973" spans="1:1" x14ac:dyDescent="0.25">
      <c r="A973" s="216" t="str">
        <f t="shared" si="15"/>
        <v/>
      </c>
    </row>
    <row r="974" spans="1:1" x14ac:dyDescent="0.25">
      <c r="A974" s="216" t="str">
        <f t="shared" si="15"/>
        <v/>
      </c>
    </row>
    <row r="975" spans="1:1" x14ac:dyDescent="0.25">
      <c r="A975" s="216" t="str">
        <f t="shared" si="15"/>
        <v/>
      </c>
    </row>
    <row r="976" spans="1:1" x14ac:dyDescent="0.25">
      <c r="A976" s="216" t="str">
        <f t="shared" si="15"/>
        <v/>
      </c>
    </row>
    <row r="977" spans="1:1" x14ac:dyDescent="0.25">
      <c r="A977" s="216" t="str">
        <f t="shared" si="15"/>
        <v/>
      </c>
    </row>
    <row r="978" spans="1:1" x14ac:dyDescent="0.25">
      <c r="A978" s="216" t="str">
        <f t="shared" si="15"/>
        <v/>
      </c>
    </row>
    <row r="979" spans="1:1" x14ac:dyDescent="0.25">
      <c r="A979" s="216" t="str">
        <f t="shared" si="15"/>
        <v/>
      </c>
    </row>
    <row r="980" spans="1:1" x14ac:dyDescent="0.25">
      <c r="A980" s="216" t="str">
        <f t="shared" si="15"/>
        <v/>
      </c>
    </row>
    <row r="981" spans="1:1" x14ac:dyDescent="0.25">
      <c r="A981" s="216" t="str">
        <f t="shared" si="15"/>
        <v/>
      </c>
    </row>
    <row r="982" spans="1:1" x14ac:dyDescent="0.25">
      <c r="A982" s="216" t="str">
        <f t="shared" si="15"/>
        <v/>
      </c>
    </row>
    <row r="983" spans="1:1" x14ac:dyDescent="0.25">
      <c r="A983" s="216" t="str">
        <f t="shared" si="15"/>
        <v/>
      </c>
    </row>
    <row r="984" spans="1:1" x14ac:dyDescent="0.25">
      <c r="A984" s="216" t="str">
        <f t="shared" si="15"/>
        <v/>
      </c>
    </row>
    <row r="985" spans="1:1" x14ac:dyDescent="0.25">
      <c r="A985" s="216" t="str">
        <f t="shared" si="15"/>
        <v/>
      </c>
    </row>
    <row r="986" spans="1:1" x14ac:dyDescent="0.25">
      <c r="A986" s="216" t="str">
        <f t="shared" si="15"/>
        <v/>
      </c>
    </row>
    <row r="987" spans="1:1" x14ac:dyDescent="0.25">
      <c r="A987" s="216" t="str">
        <f t="shared" si="15"/>
        <v/>
      </c>
    </row>
    <row r="988" spans="1:1" x14ac:dyDescent="0.25">
      <c r="A988" s="216" t="str">
        <f t="shared" si="15"/>
        <v/>
      </c>
    </row>
    <row r="989" spans="1:1" x14ac:dyDescent="0.25">
      <c r="A989" s="216" t="str">
        <f t="shared" si="15"/>
        <v/>
      </c>
    </row>
    <row r="990" spans="1:1" x14ac:dyDescent="0.25">
      <c r="A990" s="216" t="str">
        <f t="shared" si="15"/>
        <v/>
      </c>
    </row>
    <row r="991" spans="1:1" x14ac:dyDescent="0.25">
      <c r="A991" s="216" t="str">
        <f t="shared" si="15"/>
        <v/>
      </c>
    </row>
    <row r="992" spans="1:1" x14ac:dyDescent="0.25">
      <c r="A992" s="216" t="str">
        <f t="shared" si="15"/>
        <v/>
      </c>
    </row>
    <row r="993" spans="1:1" x14ac:dyDescent="0.25">
      <c r="A993" s="216" t="str">
        <f t="shared" si="15"/>
        <v/>
      </c>
    </row>
    <row r="994" spans="1:1" x14ac:dyDescent="0.25">
      <c r="A994" s="216" t="str">
        <f t="shared" si="15"/>
        <v/>
      </c>
    </row>
    <row r="995" spans="1:1" x14ac:dyDescent="0.25">
      <c r="A995" s="216" t="str">
        <f t="shared" si="15"/>
        <v/>
      </c>
    </row>
    <row r="996" spans="1:1" x14ac:dyDescent="0.25">
      <c r="A996" s="216" t="str">
        <f t="shared" si="15"/>
        <v/>
      </c>
    </row>
    <row r="997" spans="1:1" x14ac:dyDescent="0.25">
      <c r="A997" s="216" t="str">
        <f t="shared" si="15"/>
        <v/>
      </c>
    </row>
    <row r="998" spans="1:1" x14ac:dyDescent="0.25">
      <c r="A998" s="216" t="str">
        <f t="shared" si="15"/>
        <v/>
      </c>
    </row>
    <row r="999" spans="1:1" x14ac:dyDescent="0.25">
      <c r="A999" s="216" t="str">
        <f t="shared" si="15"/>
        <v/>
      </c>
    </row>
    <row r="1000" spans="1:1" x14ac:dyDescent="0.25">
      <c r="A1000" s="216" t="str">
        <f t="shared" si="15"/>
        <v/>
      </c>
    </row>
    <row r="1001" spans="1:1" x14ac:dyDescent="0.25">
      <c r="A1001" s="216" t="str">
        <f t="shared" si="15"/>
        <v/>
      </c>
    </row>
    <row r="1002" spans="1:1" x14ac:dyDescent="0.25">
      <c r="A1002" s="216" t="str">
        <f t="shared" si="15"/>
        <v/>
      </c>
    </row>
    <row r="1003" spans="1:1" x14ac:dyDescent="0.25">
      <c r="A1003" s="216" t="str">
        <f t="shared" si="15"/>
        <v/>
      </c>
    </row>
    <row r="1004" spans="1:1" x14ac:dyDescent="0.25">
      <c r="A1004" s="216" t="str">
        <f t="shared" si="15"/>
        <v/>
      </c>
    </row>
    <row r="1005" spans="1:1" x14ac:dyDescent="0.25">
      <c r="A1005" s="216" t="str">
        <f t="shared" si="15"/>
        <v/>
      </c>
    </row>
    <row r="1006" spans="1:1" x14ac:dyDescent="0.25">
      <c r="A1006" s="216" t="str">
        <f t="shared" si="15"/>
        <v/>
      </c>
    </row>
    <row r="1007" spans="1:1" x14ac:dyDescent="0.25">
      <c r="A1007" s="216" t="str">
        <f t="shared" si="15"/>
        <v/>
      </c>
    </row>
    <row r="1008" spans="1:1" x14ac:dyDescent="0.25">
      <c r="A1008" s="216" t="str">
        <f t="shared" si="15"/>
        <v/>
      </c>
    </row>
    <row r="1009" spans="1:1" x14ac:dyDescent="0.25">
      <c r="A1009" s="216" t="str">
        <f t="shared" si="15"/>
        <v/>
      </c>
    </row>
    <row r="1010" spans="1:1" x14ac:dyDescent="0.25">
      <c r="A1010" s="216" t="str">
        <f t="shared" si="15"/>
        <v/>
      </c>
    </row>
    <row r="1011" spans="1:1" x14ac:dyDescent="0.25">
      <c r="A1011" s="216" t="str">
        <f t="shared" si="15"/>
        <v/>
      </c>
    </row>
    <row r="1012" spans="1:1" x14ac:dyDescent="0.25">
      <c r="A1012" s="216" t="str">
        <f t="shared" si="15"/>
        <v/>
      </c>
    </row>
    <row r="1013" spans="1:1" x14ac:dyDescent="0.25">
      <c r="A1013" s="216" t="str">
        <f t="shared" si="15"/>
        <v/>
      </c>
    </row>
    <row r="1014" spans="1:1" x14ac:dyDescent="0.25">
      <c r="A1014" s="216" t="str">
        <f t="shared" si="15"/>
        <v/>
      </c>
    </row>
    <row r="1015" spans="1:1" x14ac:dyDescent="0.25">
      <c r="A1015" s="216" t="str">
        <f t="shared" si="15"/>
        <v/>
      </c>
    </row>
    <row r="1016" spans="1:1" x14ac:dyDescent="0.25">
      <c r="A1016" s="216" t="str">
        <f t="shared" si="15"/>
        <v/>
      </c>
    </row>
    <row r="1017" spans="1:1" x14ac:dyDescent="0.25">
      <c r="A1017" s="216" t="str">
        <f t="shared" si="15"/>
        <v/>
      </c>
    </row>
    <row r="1018" spans="1:1" x14ac:dyDescent="0.25">
      <c r="A1018" s="216" t="str">
        <f t="shared" si="15"/>
        <v/>
      </c>
    </row>
    <row r="1019" spans="1:1" x14ac:dyDescent="0.25">
      <c r="A1019" s="216" t="str">
        <f t="shared" si="15"/>
        <v/>
      </c>
    </row>
    <row r="1020" spans="1:1" x14ac:dyDescent="0.25">
      <c r="A1020" s="216" t="str">
        <f t="shared" si="15"/>
        <v/>
      </c>
    </row>
    <row r="1021" spans="1:1" x14ac:dyDescent="0.25">
      <c r="A1021" s="216" t="str">
        <f t="shared" si="15"/>
        <v/>
      </c>
    </row>
    <row r="1022" spans="1:1" x14ac:dyDescent="0.25">
      <c r="A1022" s="216" t="str">
        <f t="shared" si="15"/>
        <v/>
      </c>
    </row>
    <row r="1023" spans="1:1" x14ac:dyDescent="0.25">
      <c r="A1023" s="216" t="str">
        <f t="shared" si="15"/>
        <v/>
      </c>
    </row>
    <row r="1024" spans="1:1" x14ac:dyDescent="0.25">
      <c r="A1024" s="216" t="str">
        <f t="shared" si="15"/>
        <v/>
      </c>
    </row>
    <row r="1025" spans="1:1" x14ac:dyDescent="0.25">
      <c r="A1025" s="216" t="str">
        <f t="shared" si="15"/>
        <v/>
      </c>
    </row>
    <row r="1026" spans="1:1" x14ac:dyDescent="0.25">
      <c r="A1026" s="216" t="str">
        <f t="shared" si="15"/>
        <v/>
      </c>
    </row>
    <row r="1027" spans="1:1" x14ac:dyDescent="0.25">
      <c r="A1027" s="216" t="str">
        <f t="shared" si="15"/>
        <v/>
      </c>
    </row>
    <row r="1028" spans="1:1" x14ac:dyDescent="0.25">
      <c r="A1028" s="216" t="str">
        <f t="shared" ref="A1028:A1091" si="16">IF(B1028&lt;&gt;"",A1027+1,"")</f>
        <v/>
      </c>
    </row>
    <row r="1029" spans="1:1" x14ac:dyDescent="0.25">
      <c r="A1029" s="216" t="str">
        <f t="shared" si="16"/>
        <v/>
      </c>
    </row>
    <row r="1030" spans="1:1" x14ac:dyDescent="0.25">
      <c r="A1030" s="216" t="str">
        <f t="shared" si="16"/>
        <v/>
      </c>
    </row>
    <row r="1031" spans="1:1" x14ac:dyDescent="0.25">
      <c r="A1031" s="216" t="str">
        <f t="shared" si="16"/>
        <v/>
      </c>
    </row>
    <row r="1032" spans="1:1" x14ac:dyDescent="0.25">
      <c r="A1032" s="216" t="str">
        <f t="shared" si="16"/>
        <v/>
      </c>
    </row>
    <row r="1033" spans="1:1" x14ac:dyDescent="0.25">
      <c r="A1033" s="216" t="str">
        <f t="shared" si="16"/>
        <v/>
      </c>
    </row>
    <row r="1034" spans="1:1" x14ac:dyDescent="0.25">
      <c r="A1034" s="216" t="str">
        <f t="shared" si="16"/>
        <v/>
      </c>
    </row>
    <row r="1035" spans="1:1" x14ac:dyDescent="0.25">
      <c r="A1035" s="216" t="str">
        <f t="shared" si="16"/>
        <v/>
      </c>
    </row>
    <row r="1036" spans="1:1" x14ac:dyDescent="0.25">
      <c r="A1036" s="216" t="str">
        <f t="shared" si="16"/>
        <v/>
      </c>
    </row>
    <row r="1037" spans="1:1" x14ac:dyDescent="0.25">
      <c r="A1037" s="216" t="str">
        <f t="shared" si="16"/>
        <v/>
      </c>
    </row>
    <row r="1038" spans="1:1" x14ac:dyDescent="0.25">
      <c r="A1038" s="216" t="str">
        <f t="shared" si="16"/>
        <v/>
      </c>
    </row>
    <row r="1039" spans="1:1" x14ac:dyDescent="0.25">
      <c r="A1039" s="216" t="str">
        <f t="shared" si="16"/>
        <v/>
      </c>
    </row>
    <row r="1040" spans="1:1" x14ac:dyDescent="0.25">
      <c r="A1040" s="216" t="str">
        <f t="shared" si="16"/>
        <v/>
      </c>
    </row>
    <row r="1041" spans="1:1" x14ac:dyDescent="0.25">
      <c r="A1041" s="216" t="str">
        <f t="shared" si="16"/>
        <v/>
      </c>
    </row>
    <row r="1042" spans="1:1" x14ac:dyDescent="0.25">
      <c r="A1042" s="216" t="str">
        <f t="shared" si="16"/>
        <v/>
      </c>
    </row>
    <row r="1043" spans="1:1" x14ac:dyDescent="0.25">
      <c r="A1043" s="216" t="str">
        <f t="shared" si="16"/>
        <v/>
      </c>
    </row>
    <row r="1044" spans="1:1" x14ac:dyDescent="0.25">
      <c r="A1044" s="216" t="str">
        <f t="shared" si="16"/>
        <v/>
      </c>
    </row>
    <row r="1045" spans="1:1" x14ac:dyDescent="0.25">
      <c r="A1045" s="216" t="str">
        <f t="shared" si="16"/>
        <v/>
      </c>
    </row>
    <row r="1046" spans="1:1" x14ac:dyDescent="0.25">
      <c r="A1046" s="216" t="str">
        <f t="shared" si="16"/>
        <v/>
      </c>
    </row>
    <row r="1047" spans="1:1" x14ac:dyDescent="0.25">
      <c r="A1047" s="216" t="str">
        <f t="shared" si="16"/>
        <v/>
      </c>
    </row>
    <row r="1048" spans="1:1" x14ac:dyDescent="0.25">
      <c r="A1048" s="216" t="str">
        <f t="shared" si="16"/>
        <v/>
      </c>
    </row>
    <row r="1049" spans="1:1" x14ac:dyDescent="0.25">
      <c r="A1049" s="216" t="str">
        <f t="shared" si="16"/>
        <v/>
      </c>
    </row>
    <row r="1050" spans="1:1" x14ac:dyDescent="0.25">
      <c r="A1050" s="216" t="str">
        <f t="shared" si="16"/>
        <v/>
      </c>
    </row>
    <row r="1051" spans="1:1" x14ac:dyDescent="0.25">
      <c r="A1051" s="216" t="str">
        <f t="shared" si="16"/>
        <v/>
      </c>
    </row>
    <row r="1052" spans="1:1" x14ac:dyDescent="0.25">
      <c r="A1052" s="216" t="str">
        <f t="shared" si="16"/>
        <v/>
      </c>
    </row>
    <row r="1053" spans="1:1" x14ac:dyDescent="0.25">
      <c r="A1053" s="216" t="str">
        <f t="shared" si="16"/>
        <v/>
      </c>
    </row>
    <row r="1054" spans="1:1" x14ac:dyDescent="0.25">
      <c r="A1054" s="216" t="str">
        <f t="shared" si="16"/>
        <v/>
      </c>
    </row>
    <row r="1055" spans="1:1" x14ac:dyDescent="0.25">
      <c r="A1055" s="216" t="str">
        <f t="shared" si="16"/>
        <v/>
      </c>
    </row>
    <row r="1056" spans="1:1" x14ac:dyDescent="0.25">
      <c r="A1056" s="216" t="str">
        <f t="shared" si="16"/>
        <v/>
      </c>
    </row>
    <row r="1057" spans="1:1" x14ac:dyDescent="0.25">
      <c r="A1057" s="216" t="str">
        <f t="shared" si="16"/>
        <v/>
      </c>
    </row>
    <row r="1058" spans="1:1" x14ac:dyDescent="0.25">
      <c r="A1058" s="216" t="str">
        <f t="shared" si="16"/>
        <v/>
      </c>
    </row>
    <row r="1059" spans="1:1" x14ac:dyDescent="0.25">
      <c r="A1059" s="216" t="str">
        <f t="shared" si="16"/>
        <v/>
      </c>
    </row>
    <row r="1060" spans="1:1" x14ac:dyDescent="0.25">
      <c r="A1060" s="216" t="str">
        <f t="shared" si="16"/>
        <v/>
      </c>
    </row>
    <row r="1061" spans="1:1" x14ac:dyDescent="0.25">
      <c r="A1061" s="216" t="str">
        <f t="shared" si="16"/>
        <v/>
      </c>
    </row>
    <row r="1062" spans="1:1" x14ac:dyDescent="0.25">
      <c r="A1062" s="216" t="str">
        <f t="shared" si="16"/>
        <v/>
      </c>
    </row>
    <row r="1063" spans="1:1" x14ac:dyDescent="0.25">
      <c r="A1063" s="216" t="str">
        <f t="shared" si="16"/>
        <v/>
      </c>
    </row>
    <row r="1064" spans="1:1" x14ac:dyDescent="0.25">
      <c r="A1064" s="216" t="str">
        <f t="shared" si="16"/>
        <v/>
      </c>
    </row>
    <row r="1065" spans="1:1" x14ac:dyDescent="0.25">
      <c r="A1065" s="216" t="str">
        <f t="shared" si="16"/>
        <v/>
      </c>
    </row>
    <row r="1066" spans="1:1" x14ac:dyDescent="0.25">
      <c r="A1066" s="216" t="str">
        <f t="shared" si="16"/>
        <v/>
      </c>
    </row>
    <row r="1067" spans="1:1" x14ac:dyDescent="0.25">
      <c r="A1067" s="216" t="str">
        <f t="shared" si="16"/>
        <v/>
      </c>
    </row>
    <row r="1068" spans="1:1" x14ac:dyDescent="0.25">
      <c r="A1068" s="216" t="str">
        <f t="shared" si="16"/>
        <v/>
      </c>
    </row>
    <row r="1069" spans="1:1" x14ac:dyDescent="0.25">
      <c r="A1069" s="216" t="str">
        <f t="shared" si="16"/>
        <v/>
      </c>
    </row>
    <row r="1070" spans="1:1" x14ac:dyDescent="0.25">
      <c r="A1070" s="216" t="str">
        <f t="shared" si="16"/>
        <v/>
      </c>
    </row>
    <row r="1071" spans="1:1" x14ac:dyDescent="0.25">
      <c r="A1071" s="216" t="str">
        <f t="shared" si="16"/>
        <v/>
      </c>
    </row>
    <row r="1072" spans="1:1" x14ac:dyDescent="0.25">
      <c r="A1072" s="216" t="str">
        <f t="shared" si="16"/>
        <v/>
      </c>
    </row>
    <row r="1073" spans="1:1" x14ac:dyDescent="0.25">
      <c r="A1073" s="216" t="str">
        <f t="shared" si="16"/>
        <v/>
      </c>
    </row>
    <row r="1074" spans="1:1" x14ac:dyDescent="0.25">
      <c r="A1074" s="216" t="str">
        <f t="shared" si="16"/>
        <v/>
      </c>
    </row>
    <row r="1075" spans="1:1" x14ac:dyDescent="0.25">
      <c r="A1075" s="216" t="str">
        <f t="shared" si="16"/>
        <v/>
      </c>
    </row>
    <row r="1076" spans="1:1" x14ac:dyDescent="0.25">
      <c r="A1076" s="216" t="str">
        <f t="shared" si="16"/>
        <v/>
      </c>
    </row>
    <row r="1077" spans="1:1" x14ac:dyDescent="0.25">
      <c r="A1077" s="216" t="str">
        <f t="shared" si="16"/>
        <v/>
      </c>
    </row>
    <row r="1078" spans="1:1" x14ac:dyDescent="0.25">
      <c r="A1078" s="216" t="str">
        <f t="shared" si="16"/>
        <v/>
      </c>
    </row>
    <row r="1079" spans="1:1" x14ac:dyDescent="0.25">
      <c r="A1079" s="216" t="str">
        <f t="shared" si="16"/>
        <v/>
      </c>
    </row>
    <row r="1080" spans="1:1" x14ac:dyDescent="0.25">
      <c r="A1080" s="216" t="str">
        <f t="shared" si="16"/>
        <v/>
      </c>
    </row>
    <row r="1081" spans="1:1" x14ac:dyDescent="0.25">
      <c r="A1081" s="216" t="str">
        <f t="shared" si="16"/>
        <v/>
      </c>
    </row>
    <row r="1082" spans="1:1" x14ac:dyDescent="0.25">
      <c r="A1082" s="216" t="str">
        <f t="shared" si="16"/>
        <v/>
      </c>
    </row>
    <row r="1083" spans="1:1" x14ac:dyDescent="0.25">
      <c r="A1083" s="216" t="str">
        <f t="shared" si="16"/>
        <v/>
      </c>
    </row>
    <row r="1084" spans="1:1" x14ac:dyDescent="0.25">
      <c r="A1084" s="216" t="str">
        <f t="shared" si="16"/>
        <v/>
      </c>
    </row>
    <row r="1085" spans="1:1" x14ac:dyDescent="0.25">
      <c r="A1085" s="216" t="str">
        <f t="shared" si="16"/>
        <v/>
      </c>
    </row>
    <row r="1086" spans="1:1" x14ac:dyDescent="0.25">
      <c r="A1086" s="216" t="str">
        <f t="shared" si="16"/>
        <v/>
      </c>
    </row>
    <row r="1087" spans="1:1" x14ac:dyDescent="0.25">
      <c r="A1087" s="216" t="str">
        <f t="shared" si="16"/>
        <v/>
      </c>
    </row>
    <row r="1088" spans="1:1" x14ac:dyDescent="0.25">
      <c r="A1088" s="216" t="str">
        <f t="shared" si="16"/>
        <v/>
      </c>
    </row>
    <row r="1089" spans="1:1" x14ac:dyDescent="0.25">
      <c r="A1089" s="216" t="str">
        <f t="shared" si="16"/>
        <v/>
      </c>
    </row>
    <row r="1090" spans="1:1" x14ac:dyDescent="0.25">
      <c r="A1090" s="216" t="str">
        <f t="shared" si="16"/>
        <v/>
      </c>
    </row>
    <row r="1091" spans="1:1" x14ac:dyDescent="0.25">
      <c r="A1091" s="216" t="str">
        <f t="shared" si="16"/>
        <v/>
      </c>
    </row>
    <row r="1092" spans="1:1" x14ac:dyDescent="0.25">
      <c r="A1092" s="216" t="str">
        <f t="shared" ref="A1092:A1155" si="17">IF(B1092&lt;&gt;"",A1091+1,"")</f>
        <v/>
      </c>
    </row>
    <row r="1093" spans="1:1" x14ac:dyDescent="0.25">
      <c r="A1093" s="216" t="str">
        <f t="shared" si="17"/>
        <v/>
      </c>
    </row>
    <row r="1094" spans="1:1" x14ac:dyDescent="0.25">
      <c r="A1094" s="216" t="str">
        <f t="shared" si="17"/>
        <v/>
      </c>
    </row>
    <row r="1095" spans="1:1" x14ac:dyDescent="0.25">
      <c r="A1095" s="216" t="str">
        <f t="shared" si="17"/>
        <v/>
      </c>
    </row>
    <row r="1096" spans="1:1" x14ac:dyDescent="0.25">
      <c r="A1096" s="216" t="str">
        <f t="shared" si="17"/>
        <v/>
      </c>
    </row>
    <row r="1097" spans="1:1" x14ac:dyDescent="0.25">
      <c r="A1097" s="216" t="str">
        <f t="shared" si="17"/>
        <v/>
      </c>
    </row>
    <row r="1098" spans="1:1" x14ac:dyDescent="0.25">
      <c r="A1098" s="216" t="str">
        <f t="shared" si="17"/>
        <v/>
      </c>
    </row>
    <row r="1099" spans="1:1" x14ac:dyDescent="0.25">
      <c r="A1099" s="216" t="str">
        <f t="shared" si="17"/>
        <v/>
      </c>
    </row>
    <row r="1100" spans="1:1" x14ac:dyDescent="0.25">
      <c r="A1100" s="216" t="str">
        <f t="shared" si="17"/>
        <v/>
      </c>
    </row>
    <row r="1101" spans="1:1" x14ac:dyDescent="0.25">
      <c r="A1101" s="216" t="str">
        <f t="shared" si="17"/>
        <v/>
      </c>
    </row>
    <row r="1102" spans="1:1" x14ac:dyDescent="0.25">
      <c r="A1102" s="216" t="str">
        <f t="shared" si="17"/>
        <v/>
      </c>
    </row>
    <row r="1103" spans="1:1" x14ac:dyDescent="0.25">
      <c r="A1103" s="216" t="str">
        <f t="shared" si="17"/>
        <v/>
      </c>
    </row>
    <row r="1104" spans="1:1" x14ac:dyDescent="0.25">
      <c r="A1104" s="216" t="str">
        <f t="shared" si="17"/>
        <v/>
      </c>
    </row>
    <row r="1105" spans="1:1" x14ac:dyDescent="0.25">
      <c r="A1105" s="216" t="str">
        <f t="shared" si="17"/>
        <v/>
      </c>
    </row>
    <row r="1106" spans="1:1" x14ac:dyDescent="0.25">
      <c r="A1106" s="216" t="str">
        <f t="shared" si="17"/>
        <v/>
      </c>
    </row>
    <row r="1107" spans="1:1" x14ac:dyDescent="0.25">
      <c r="A1107" s="216" t="str">
        <f t="shared" si="17"/>
        <v/>
      </c>
    </row>
    <row r="1108" spans="1:1" x14ac:dyDescent="0.25">
      <c r="A1108" s="216" t="str">
        <f t="shared" si="17"/>
        <v/>
      </c>
    </row>
    <row r="1109" spans="1:1" x14ac:dyDescent="0.25">
      <c r="A1109" s="216" t="str">
        <f t="shared" si="17"/>
        <v/>
      </c>
    </row>
    <row r="1110" spans="1:1" x14ac:dyDescent="0.25">
      <c r="A1110" s="216" t="str">
        <f t="shared" si="17"/>
        <v/>
      </c>
    </row>
    <row r="1111" spans="1:1" x14ac:dyDescent="0.25">
      <c r="A1111" s="216" t="str">
        <f t="shared" si="17"/>
        <v/>
      </c>
    </row>
    <row r="1112" spans="1:1" x14ac:dyDescent="0.25">
      <c r="A1112" s="216" t="str">
        <f t="shared" si="17"/>
        <v/>
      </c>
    </row>
    <row r="1113" spans="1:1" x14ac:dyDescent="0.25">
      <c r="A1113" s="216" t="str">
        <f t="shared" si="17"/>
        <v/>
      </c>
    </row>
    <row r="1114" spans="1:1" x14ac:dyDescent="0.25">
      <c r="A1114" s="216" t="str">
        <f t="shared" si="17"/>
        <v/>
      </c>
    </row>
    <row r="1115" spans="1:1" x14ac:dyDescent="0.25">
      <c r="A1115" s="216" t="str">
        <f t="shared" si="17"/>
        <v/>
      </c>
    </row>
    <row r="1116" spans="1:1" x14ac:dyDescent="0.25">
      <c r="A1116" s="216" t="str">
        <f t="shared" si="17"/>
        <v/>
      </c>
    </row>
    <row r="1117" spans="1:1" x14ac:dyDescent="0.25">
      <c r="A1117" s="216" t="str">
        <f t="shared" si="17"/>
        <v/>
      </c>
    </row>
    <row r="1118" spans="1:1" x14ac:dyDescent="0.25">
      <c r="A1118" s="216" t="str">
        <f t="shared" si="17"/>
        <v/>
      </c>
    </row>
    <row r="1119" spans="1:1" x14ac:dyDescent="0.25">
      <c r="A1119" s="216" t="str">
        <f t="shared" si="17"/>
        <v/>
      </c>
    </row>
    <row r="1120" spans="1:1" x14ac:dyDescent="0.25">
      <c r="A1120" s="216" t="str">
        <f t="shared" si="17"/>
        <v/>
      </c>
    </row>
    <row r="1121" spans="1:1" x14ac:dyDescent="0.25">
      <c r="A1121" s="216" t="str">
        <f t="shared" si="17"/>
        <v/>
      </c>
    </row>
    <row r="1122" spans="1:1" x14ac:dyDescent="0.25">
      <c r="A1122" s="216" t="str">
        <f t="shared" si="17"/>
        <v/>
      </c>
    </row>
    <row r="1123" spans="1:1" x14ac:dyDescent="0.25">
      <c r="A1123" s="216" t="str">
        <f t="shared" si="17"/>
        <v/>
      </c>
    </row>
    <row r="1124" spans="1:1" x14ac:dyDescent="0.25">
      <c r="A1124" s="216" t="str">
        <f t="shared" si="17"/>
        <v/>
      </c>
    </row>
    <row r="1125" spans="1:1" x14ac:dyDescent="0.25">
      <c r="A1125" s="216" t="str">
        <f t="shared" si="17"/>
        <v/>
      </c>
    </row>
    <row r="1126" spans="1:1" x14ac:dyDescent="0.25">
      <c r="A1126" s="216" t="str">
        <f t="shared" si="17"/>
        <v/>
      </c>
    </row>
    <row r="1127" spans="1:1" x14ac:dyDescent="0.25">
      <c r="A1127" s="216" t="str">
        <f t="shared" si="17"/>
        <v/>
      </c>
    </row>
    <row r="1128" spans="1:1" x14ac:dyDescent="0.25">
      <c r="A1128" s="216" t="str">
        <f t="shared" si="17"/>
        <v/>
      </c>
    </row>
    <row r="1129" spans="1:1" x14ac:dyDescent="0.25">
      <c r="A1129" s="216" t="str">
        <f t="shared" si="17"/>
        <v/>
      </c>
    </row>
    <row r="1130" spans="1:1" x14ac:dyDescent="0.25">
      <c r="A1130" s="216" t="str">
        <f t="shared" si="17"/>
        <v/>
      </c>
    </row>
    <row r="1131" spans="1:1" x14ac:dyDescent="0.25">
      <c r="A1131" s="216" t="str">
        <f t="shared" si="17"/>
        <v/>
      </c>
    </row>
    <row r="1132" spans="1:1" x14ac:dyDescent="0.25">
      <c r="A1132" s="216" t="str">
        <f t="shared" si="17"/>
        <v/>
      </c>
    </row>
    <row r="1133" spans="1:1" x14ac:dyDescent="0.25">
      <c r="A1133" s="216" t="str">
        <f t="shared" si="17"/>
        <v/>
      </c>
    </row>
    <row r="1134" spans="1:1" x14ac:dyDescent="0.25">
      <c r="A1134" s="216" t="str">
        <f t="shared" si="17"/>
        <v/>
      </c>
    </row>
    <row r="1135" spans="1:1" x14ac:dyDescent="0.25">
      <c r="A1135" s="216" t="str">
        <f t="shared" si="17"/>
        <v/>
      </c>
    </row>
    <row r="1136" spans="1:1" x14ac:dyDescent="0.25">
      <c r="A1136" s="216" t="str">
        <f t="shared" si="17"/>
        <v/>
      </c>
    </row>
    <row r="1137" spans="1:1" x14ac:dyDescent="0.25">
      <c r="A1137" s="216" t="str">
        <f t="shared" si="17"/>
        <v/>
      </c>
    </row>
    <row r="1138" spans="1:1" x14ac:dyDescent="0.25">
      <c r="A1138" s="216" t="str">
        <f t="shared" si="17"/>
        <v/>
      </c>
    </row>
    <row r="1139" spans="1:1" x14ac:dyDescent="0.25">
      <c r="A1139" s="216" t="str">
        <f t="shared" si="17"/>
        <v/>
      </c>
    </row>
    <row r="1140" spans="1:1" x14ac:dyDescent="0.25">
      <c r="A1140" s="216" t="str">
        <f t="shared" si="17"/>
        <v/>
      </c>
    </row>
    <row r="1141" spans="1:1" x14ac:dyDescent="0.25">
      <c r="A1141" s="216" t="str">
        <f t="shared" si="17"/>
        <v/>
      </c>
    </row>
    <row r="1142" spans="1:1" x14ac:dyDescent="0.25">
      <c r="A1142" s="216" t="str">
        <f t="shared" si="17"/>
        <v/>
      </c>
    </row>
    <row r="1143" spans="1:1" x14ac:dyDescent="0.25">
      <c r="A1143" s="216" t="str">
        <f t="shared" si="17"/>
        <v/>
      </c>
    </row>
    <row r="1144" spans="1:1" x14ac:dyDescent="0.25">
      <c r="A1144" s="216" t="str">
        <f t="shared" si="17"/>
        <v/>
      </c>
    </row>
    <row r="1145" spans="1:1" x14ac:dyDescent="0.25">
      <c r="A1145" s="216" t="str">
        <f t="shared" si="17"/>
        <v/>
      </c>
    </row>
    <row r="1146" spans="1:1" x14ac:dyDescent="0.25">
      <c r="A1146" s="216" t="str">
        <f t="shared" si="17"/>
        <v/>
      </c>
    </row>
    <row r="1147" spans="1:1" x14ac:dyDescent="0.25">
      <c r="A1147" s="216" t="str">
        <f t="shared" si="17"/>
        <v/>
      </c>
    </row>
    <row r="1148" spans="1:1" x14ac:dyDescent="0.25">
      <c r="A1148" s="216" t="str">
        <f t="shared" si="17"/>
        <v/>
      </c>
    </row>
    <row r="1149" spans="1:1" x14ac:dyDescent="0.25">
      <c r="A1149" s="216" t="str">
        <f t="shared" si="17"/>
        <v/>
      </c>
    </row>
    <row r="1150" spans="1:1" x14ac:dyDescent="0.25">
      <c r="A1150" s="216" t="str">
        <f t="shared" si="17"/>
        <v/>
      </c>
    </row>
    <row r="1151" spans="1:1" x14ac:dyDescent="0.25">
      <c r="A1151" s="216" t="str">
        <f t="shared" si="17"/>
        <v/>
      </c>
    </row>
    <row r="1152" spans="1:1" x14ac:dyDescent="0.25">
      <c r="A1152" s="216" t="str">
        <f t="shared" si="17"/>
        <v/>
      </c>
    </row>
    <row r="1153" spans="1:1" x14ac:dyDescent="0.25">
      <c r="A1153" s="216" t="str">
        <f t="shared" si="17"/>
        <v/>
      </c>
    </row>
    <row r="1154" spans="1:1" x14ac:dyDescent="0.25">
      <c r="A1154" s="216" t="str">
        <f t="shared" si="17"/>
        <v/>
      </c>
    </row>
    <row r="1155" spans="1:1" x14ac:dyDescent="0.25">
      <c r="A1155" s="216" t="str">
        <f t="shared" si="17"/>
        <v/>
      </c>
    </row>
    <row r="1156" spans="1:1" x14ac:dyDescent="0.25">
      <c r="A1156" s="216" t="str">
        <f t="shared" ref="A1156:A1219" si="18">IF(B1156&lt;&gt;"",A1155+1,"")</f>
        <v/>
      </c>
    </row>
    <row r="1157" spans="1:1" x14ac:dyDescent="0.25">
      <c r="A1157" s="216" t="str">
        <f t="shared" si="18"/>
        <v/>
      </c>
    </row>
    <row r="1158" spans="1:1" x14ac:dyDescent="0.25">
      <c r="A1158" s="216" t="str">
        <f t="shared" si="18"/>
        <v/>
      </c>
    </row>
    <row r="1159" spans="1:1" x14ac:dyDescent="0.25">
      <c r="A1159" s="216" t="str">
        <f t="shared" si="18"/>
        <v/>
      </c>
    </row>
    <row r="1160" spans="1:1" x14ac:dyDescent="0.25">
      <c r="A1160" s="216" t="str">
        <f t="shared" si="18"/>
        <v/>
      </c>
    </row>
    <row r="1161" spans="1:1" x14ac:dyDescent="0.25">
      <c r="A1161" s="216" t="str">
        <f t="shared" si="18"/>
        <v/>
      </c>
    </row>
    <row r="1162" spans="1:1" x14ac:dyDescent="0.25">
      <c r="A1162" s="216" t="str">
        <f t="shared" si="18"/>
        <v/>
      </c>
    </row>
    <row r="1163" spans="1:1" x14ac:dyDescent="0.25">
      <c r="A1163" s="216" t="str">
        <f t="shared" si="18"/>
        <v/>
      </c>
    </row>
    <row r="1164" spans="1:1" x14ac:dyDescent="0.25">
      <c r="A1164" s="216" t="str">
        <f t="shared" si="18"/>
        <v/>
      </c>
    </row>
    <row r="1165" spans="1:1" x14ac:dyDescent="0.25">
      <c r="A1165" s="216" t="str">
        <f t="shared" si="18"/>
        <v/>
      </c>
    </row>
    <row r="1166" spans="1:1" x14ac:dyDescent="0.25">
      <c r="A1166" s="216" t="str">
        <f t="shared" si="18"/>
        <v/>
      </c>
    </row>
    <row r="1167" spans="1:1" x14ac:dyDescent="0.25">
      <c r="A1167" s="216" t="str">
        <f t="shared" si="18"/>
        <v/>
      </c>
    </row>
    <row r="1168" spans="1:1" x14ac:dyDescent="0.25">
      <c r="A1168" s="216" t="str">
        <f t="shared" si="18"/>
        <v/>
      </c>
    </row>
    <row r="1169" spans="1:1" x14ac:dyDescent="0.25">
      <c r="A1169" s="216" t="str">
        <f t="shared" si="18"/>
        <v/>
      </c>
    </row>
    <row r="1170" spans="1:1" x14ac:dyDescent="0.25">
      <c r="A1170" s="216" t="str">
        <f t="shared" si="18"/>
        <v/>
      </c>
    </row>
    <row r="1171" spans="1:1" x14ac:dyDescent="0.25">
      <c r="A1171" s="216" t="str">
        <f t="shared" si="18"/>
        <v/>
      </c>
    </row>
    <row r="1172" spans="1:1" x14ac:dyDescent="0.25">
      <c r="A1172" s="216" t="str">
        <f t="shared" si="18"/>
        <v/>
      </c>
    </row>
    <row r="1173" spans="1:1" x14ac:dyDescent="0.25">
      <c r="A1173" s="216" t="str">
        <f t="shared" si="18"/>
        <v/>
      </c>
    </row>
    <row r="1174" spans="1:1" x14ac:dyDescent="0.25">
      <c r="A1174" s="216" t="str">
        <f t="shared" si="18"/>
        <v/>
      </c>
    </row>
    <row r="1175" spans="1:1" x14ac:dyDescent="0.25">
      <c r="A1175" s="216" t="str">
        <f t="shared" si="18"/>
        <v/>
      </c>
    </row>
    <row r="1176" spans="1:1" x14ac:dyDescent="0.25">
      <c r="A1176" s="216" t="str">
        <f t="shared" si="18"/>
        <v/>
      </c>
    </row>
    <row r="1177" spans="1:1" x14ac:dyDescent="0.25">
      <c r="A1177" s="216" t="str">
        <f t="shared" si="18"/>
        <v/>
      </c>
    </row>
    <row r="1178" spans="1:1" x14ac:dyDescent="0.25">
      <c r="A1178" s="216" t="str">
        <f t="shared" si="18"/>
        <v/>
      </c>
    </row>
    <row r="1179" spans="1:1" x14ac:dyDescent="0.25">
      <c r="A1179" s="216" t="str">
        <f t="shared" si="18"/>
        <v/>
      </c>
    </row>
    <row r="1180" spans="1:1" x14ac:dyDescent="0.25">
      <c r="A1180" s="216" t="str">
        <f t="shared" si="18"/>
        <v/>
      </c>
    </row>
    <row r="1181" spans="1:1" x14ac:dyDescent="0.25">
      <c r="A1181" s="216" t="str">
        <f t="shared" si="18"/>
        <v/>
      </c>
    </row>
    <row r="1182" spans="1:1" x14ac:dyDescent="0.25">
      <c r="A1182" s="216" t="str">
        <f t="shared" si="18"/>
        <v/>
      </c>
    </row>
    <row r="1183" spans="1:1" x14ac:dyDescent="0.25">
      <c r="A1183" s="216" t="str">
        <f t="shared" si="18"/>
        <v/>
      </c>
    </row>
    <row r="1184" spans="1:1" x14ac:dyDescent="0.25">
      <c r="A1184" s="216" t="str">
        <f t="shared" si="18"/>
        <v/>
      </c>
    </row>
    <row r="1185" spans="1:1" x14ac:dyDescent="0.25">
      <c r="A1185" s="216" t="str">
        <f t="shared" si="18"/>
        <v/>
      </c>
    </row>
    <row r="1186" spans="1:1" x14ac:dyDescent="0.25">
      <c r="A1186" s="216" t="str">
        <f t="shared" si="18"/>
        <v/>
      </c>
    </row>
    <row r="1187" spans="1:1" x14ac:dyDescent="0.25">
      <c r="A1187" s="216" t="str">
        <f t="shared" si="18"/>
        <v/>
      </c>
    </row>
    <row r="1188" spans="1:1" x14ac:dyDescent="0.25">
      <c r="A1188" s="216" t="str">
        <f t="shared" si="18"/>
        <v/>
      </c>
    </row>
    <row r="1189" spans="1:1" x14ac:dyDescent="0.25">
      <c r="A1189" s="216" t="str">
        <f t="shared" si="18"/>
        <v/>
      </c>
    </row>
    <row r="1190" spans="1:1" x14ac:dyDescent="0.25">
      <c r="A1190" s="216" t="str">
        <f t="shared" si="18"/>
        <v/>
      </c>
    </row>
    <row r="1191" spans="1:1" x14ac:dyDescent="0.25">
      <c r="A1191" s="216" t="str">
        <f t="shared" si="18"/>
        <v/>
      </c>
    </row>
    <row r="1192" spans="1:1" x14ac:dyDescent="0.25">
      <c r="A1192" s="216" t="str">
        <f t="shared" si="18"/>
        <v/>
      </c>
    </row>
    <row r="1193" spans="1:1" x14ac:dyDescent="0.25">
      <c r="A1193" s="216" t="str">
        <f t="shared" si="18"/>
        <v/>
      </c>
    </row>
    <row r="1194" spans="1:1" x14ac:dyDescent="0.25">
      <c r="A1194" s="216" t="str">
        <f t="shared" si="18"/>
        <v/>
      </c>
    </row>
    <row r="1195" spans="1:1" x14ac:dyDescent="0.25">
      <c r="A1195" s="216" t="str">
        <f t="shared" si="18"/>
        <v/>
      </c>
    </row>
    <row r="1196" spans="1:1" x14ac:dyDescent="0.25">
      <c r="A1196" s="216" t="str">
        <f t="shared" si="18"/>
        <v/>
      </c>
    </row>
    <row r="1197" spans="1:1" x14ac:dyDescent="0.25">
      <c r="A1197" s="216" t="str">
        <f t="shared" si="18"/>
        <v/>
      </c>
    </row>
    <row r="1198" spans="1:1" x14ac:dyDescent="0.25">
      <c r="A1198" s="216" t="str">
        <f t="shared" si="18"/>
        <v/>
      </c>
    </row>
    <row r="1199" spans="1:1" x14ac:dyDescent="0.25">
      <c r="A1199" s="216" t="str">
        <f t="shared" si="18"/>
        <v/>
      </c>
    </row>
    <row r="1200" spans="1:1" x14ac:dyDescent="0.25">
      <c r="A1200" s="216" t="str">
        <f t="shared" si="18"/>
        <v/>
      </c>
    </row>
    <row r="1201" spans="1:1" x14ac:dyDescent="0.25">
      <c r="A1201" s="216" t="str">
        <f t="shared" si="18"/>
        <v/>
      </c>
    </row>
    <row r="1202" spans="1:1" x14ac:dyDescent="0.25">
      <c r="A1202" s="216" t="str">
        <f t="shared" si="18"/>
        <v/>
      </c>
    </row>
    <row r="1203" spans="1:1" x14ac:dyDescent="0.25">
      <c r="A1203" s="216" t="str">
        <f t="shared" si="18"/>
        <v/>
      </c>
    </row>
    <row r="1204" spans="1:1" x14ac:dyDescent="0.25">
      <c r="A1204" s="216" t="str">
        <f t="shared" si="18"/>
        <v/>
      </c>
    </row>
    <row r="1205" spans="1:1" x14ac:dyDescent="0.25">
      <c r="A1205" s="216" t="str">
        <f t="shared" si="18"/>
        <v/>
      </c>
    </row>
    <row r="1206" spans="1:1" x14ac:dyDescent="0.25">
      <c r="A1206" s="216" t="str">
        <f t="shared" si="18"/>
        <v/>
      </c>
    </row>
    <row r="1207" spans="1:1" x14ac:dyDescent="0.25">
      <c r="A1207" s="216" t="str">
        <f t="shared" si="18"/>
        <v/>
      </c>
    </row>
    <row r="1208" spans="1:1" x14ac:dyDescent="0.25">
      <c r="A1208" s="216" t="str">
        <f t="shared" si="18"/>
        <v/>
      </c>
    </row>
    <row r="1209" spans="1:1" x14ac:dyDescent="0.25">
      <c r="A1209" s="216" t="str">
        <f t="shared" si="18"/>
        <v/>
      </c>
    </row>
    <row r="1210" spans="1:1" x14ac:dyDescent="0.25">
      <c r="A1210" s="216" t="str">
        <f t="shared" si="18"/>
        <v/>
      </c>
    </row>
    <row r="1211" spans="1:1" x14ac:dyDescent="0.25">
      <c r="A1211" s="216" t="str">
        <f t="shared" si="18"/>
        <v/>
      </c>
    </row>
    <row r="1212" spans="1:1" x14ac:dyDescent="0.25">
      <c r="A1212" s="216" t="str">
        <f t="shared" si="18"/>
        <v/>
      </c>
    </row>
    <row r="1213" spans="1:1" x14ac:dyDescent="0.25">
      <c r="A1213" s="216" t="str">
        <f t="shared" si="18"/>
        <v/>
      </c>
    </row>
    <row r="1214" spans="1:1" x14ac:dyDescent="0.25">
      <c r="A1214" s="216" t="str">
        <f t="shared" si="18"/>
        <v/>
      </c>
    </row>
    <row r="1215" spans="1:1" x14ac:dyDescent="0.25">
      <c r="A1215" s="216" t="str">
        <f t="shared" si="18"/>
        <v/>
      </c>
    </row>
    <row r="1216" spans="1:1" x14ac:dyDescent="0.25">
      <c r="A1216" s="216" t="str">
        <f t="shared" si="18"/>
        <v/>
      </c>
    </row>
    <row r="1217" spans="1:1" x14ac:dyDescent="0.25">
      <c r="A1217" s="216" t="str">
        <f t="shared" si="18"/>
        <v/>
      </c>
    </row>
    <row r="1218" spans="1:1" x14ac:dyDescent="0.25">
      <c r="A1218" s="216" t="str">
        <f t="shared" si="18"/>
        <v/>
      </c>
    </row>
    <row r="1219" spans="1:1" x14ac:dyDescent="0.25">
      <c r="A1219" s="216" t="str">
        <f t="shared" si="18"/>
        <v/>
      </c>
    </row>
    <row r="1220" spans="1:1" x14ac:dyDescent="0.25">
      <c r="A1220" s="216" t="str">
        <f t="shared" ref="A1220:A1283" si="19">IF(B1220&lt;&gt;"",A1219+1,"")</f>
        <v/>
      </c>
    </row>
    <row r="1221" spans="1:1" x14ac:dyDescent="0.25">
      <c r="A1221" s="216" t="str">
        <f t="shared" si="19"/>
        <v/>
      </c>
    </row>
    <row r="1222" spans="1:1" x14ac:dyDescent="0.25">
      <c r="A1222" s="216" t="str">
        <f t="shared" si="19"/>
        <v/>
      </c>
    </row>
    <row r="1223" spans="1:1" x14ac:dyDescent="0.25">
      <c r="A1223" s="216" t="str">
        <f t="shared" si="19"/>
        <v/>
      </c>
    </row>
    <row r="1224" spans="1:1" x14ac:dyDescent="0.25">
      <c r="A1224" s="216" t="str">
        <f t="shared" si="19"/>
        <v/>
      </c>
    </row>
    <row r="1225" spans="1:1" x14ac:dyDescent="0.25">
      <c r="A1225" s="216" t="str">
        <f t="shared" si="19"/>
        <v/>
      </c>
    </row>
    <row r="1226" spans="1:1" x14ac:dyDescent="0.25">
      <c r="A1226" s="216" t="str">
        <f t="shared" si="19"/>
        <v/>
      </c>
    </row>
    <row r="1227" spans="1:1" x14ac:dyDescent="0.25">
      <c r="A1227" s="216" t="str">
        <f t="shared" si="19"/>
        <v/>
      </c>
    </row>
    <row r="1228" spans="1:1" x14ac:dyDescent="0.25">
      <c r="A1228" s="216" t="str">
        <f t="shared" si="19"/>
        <v/>
      </c>
    </row>
    <row r="1229" spans="1:1" x14ac:dyDescent="0.25">
      <c r="A1229" s="216" t="str">
        <f t="shared" si="19"/>
        <v/>
      </c>
    </row>
    <row r="1230" spans="1:1" x14ac:dyDescent="0.25">
      <c r="A1230" s="216" t="str">
        <f t="shared" si="19"/>
        <v/>
      </c>
    </row>
    <row r="1231" spans="1:1" x14ac:dyDescent="0.25">
      <c r="A1231" s="216" t="str">
        <f t="shared" si="19"/>
        <v/>
      </c>
    </row>
    <row r="1232" spans="1:1" x14ac:dyDescent="0.25">
      <c r="A1232" s="216" t="str">
        <f t="shared" si="19"/>
        <v/>
      </c>
    </row>
    <row r="1233" spans="1:1" x14ac:dyDescent="0.25">
      <c r="A1233" s="216" t="str">
        <f t="shared" si="19"/>
        <v/>
      </c>
    </row>
    <row r="1234" spans="1:1" x14ac:dyDescent="0.25">
      <c r="A1234" s="216" t="str">
        <f t="shared" si="19"/>
        <v/>
      </c>
    </row>
    <row r="1235" spans="1:1" x14ac:dyDescent="0.25">
      <c r="A1235" s="216" t="str">
        <f t="shared" si="19"/>
        <v/>
      </c>
    </row>
    <row r="1236" spans="1:1" x14ac:dyDescent="0.25">
      <c r="A1236" s="216" t="str">
        <f t="shared" si="19"/>
        <v/>
      </c>
    </row>
    <row r="1237" spans="1:1" x14ac:dyDescent="0.25">
      <c r="A1237" s="216" t="str">
        <f t="shared" si="19"/>
        <v/>
      </c>
    </row>
    <row r="1238" spans="1:1" x14ac:dyDescent="0.25">
      <c r="A1238" s="216" t="str">
        <f t="shared" si="19"/>
        <v/>
      </c>
    </row>
    <row r="1239" spans="1:1" x14ac:dyDescent="0.25">
      <c r="A1239" s="216" t="str">
        <f t="shared" si="19"/>
        <v/>
      </c>
    </row>
    <row r="1240" spans="1:1" x14ac:dyDescent="0.25">
      <c r="A1240" s="216" t="str">
        <f t="shared" si="19"/>
        <v/>
      </c>
    </row>
    <row r="1241" spans="1:1" x14ac:dyDescent="0.25">
      <c r="A1241" s="216" t="str">
        <f t="shared" si="19"/>
        <v/>
      </c>
    </row>
    <row r="1242" spans="1:1" x14ac:dyDescent="0.25">
      <c r="A1242" s="216" t="str">
        <f t="shared" si="19"/>
        <v/>
      </c>
    </row>
    <row r="1243" spans="1:1" x14ac:dyDescent="0.25">
      <c r="A1243" s="216" t="str">
        <f t="shared" si="19"/>
        <v/>
      </c>
    </row>
    <row r="1244" spans="1:1" x14ac:dyDescent="0.25">
      <c r="A1244" s="216" t="str">
        <f t="shared" si="19"/>
        <v/>
      </c>
    </row>
    <row r="1245" spans="1:1" x14ac:dyDescent="0.25">
      <c r="A1245" s="216" t="str">
        <f t="shared" si="19"/>
        <v/>
      </c>
    </row>
    <row r="1246" spans="1:1" x14ac:dyDescent="0.25">
      <c r="A1246" s="216" t="str">
        <f t="shared" si="19"/>
        <v/>
      </c>
    </row>
    <row r="1247" spans="1:1" x14ac:dyDescent="0.25">
      <c r="A1247" s="216" t="str">
        <f t="shared" si="19"/>
        <v/>
      </c>
    </row>
    <row r="1248" spans="1:1" x14ac:dyDescent="0.25">
      <c r="A1248" s="216" t="str">
        <f t="shared" si="19"/>
        <v/>
      </c>
    </row>
    <row r="1249" spans="1:1" x14ac:dyDescent="0.25">
      <c r="A1249" s="216" t="str">
        <f t="shared" si="19"/>
        <v/>
      </c>
    </row>
    <row r="1250" spans="1:1" x14ac:dyDescent="0.25">
      <c r="A1250" s="216" t="str">
        <f t="shared" si="19"/>
        <v/>
      </c>
    </row>
    <row r="1251" spans="1:1" x14ac:dyDescent="0.25">
      <c r="A1251" s="216" t="str">
        <f t="shared" si="19"/>
        <v/>
      </c>
    </row>
    <row r="1252" spans="1:1" x14ac:dyDescent="0.25">
      <c r="A1252" s="216" t="str">
        <f t="shared" si="19"/>
        <v/>
      </c>
    </row>
    <row r="1253" spans="1:1" x14ac:dyDescent="0.25">
      <c r="A1253" s="216" t="str">
        <f t="shared" si="19"/>
        <v/>
      </c>
    </row>
    <row r="1254" spans="1:1" x14ac:dyDescent="0.25">
      <c r="A1254" s="216" t="str">
        <f t="shared" si="19"/>
        <v/>
      </c>
    </row>
    <row r="1255" spans="1:1" x14ac:dyDescent="0.25">
      <c r="A1255" s="216" t="str">
        <f t="shared" si="19"/>
        <v/>
      </c>
    </row>
    <row r="1256" spans="1:1" x14ac:dyDescent="0.25">
      <c r="A1256" s="216" t="str">
        <f t="shared" si="19"/>
        <v/>
      </c>
    </row>
    <row r="1257" spans="1:1" x14ac:dyDescent="0.25">
      <c r="A1257" s="216" t="str">
        <f t="shared" si="19"/>
        <v/>
      </c>
    </row>
    <row r="1258" spans="1:1" x14ac:dyDescent="0.25">
      <c r="A1258" s="216" t="str">
        <f t="shared" si="19"/>
        <v/>
      </c>
    </row>
    <row r="1259" spans="1:1" x14ac:dyDescent="0.25">
      <c r="A1259" s="216" t="str">
        <f t="shared" si="19"/>
        <v/>
      </c>
    </row>
    <row r="1260" spans="1:1" x14ac:dyDescent="0.25">
      <c r="A1260" s="216" t="str">
        <f t="shared" si="19"/>
        <v/>
      </c>
    </row>
    <row r="1261" spans="1:1" x14ac:dyDescent="0.25">
      <c r="A1261" s="216" t="str">
        <f t="shared" si="19"/>
        <v/>
      </c>
    </row>
    <row r="1262" spans="1:1" x14ac:dyDescent="0.25">
      <c r="A1262" s="216" t="str">
        <f t="shared" si="19"/>
        <v/>
      </c>
    </row>
    <row r="1263" spans="1:1" x14ac:dyDescent="0.25">
      <c r="A1263" s="216" t="str">
        <f t="shared" si="19"/>
        <v/>
      </c>
    </row>
    <row r="1264" spans="1:1" x14ac:dyDescent="0.25">
      <c r="A1264" s="216" t="str">
        <f t="shared" si="19"/>
        <v/>
      </c>
    </row>
    <row r="1265" spans="1:1" x14ac:dyDescent="0.25">
      <c r="A1265" s="216" t="str">
        <f t="shared" si="19"/>
        <v/>
      </c>
    </row>
    <row r="1266" spans="1:1" x14ac:dyDescent="0.25">
      <c r="A1266" s="216" t="str">
        <f t="shared" si="19"/>
        <v/>
      </c>
    </row>
    <row r="1267" spans="1:1" x14ac:dyDescent="0.25">
      <c r="A1267" s="216" t="str">
        <f t="shared" si="19"/>
        <v/>
      </c>
    </row>
    <row r="1268" spans="1:1" x14ac:dyDescent="0.25">
      <c r="A1268" s="216" t="str">
        <f t="shared" si="19"/>
        <v/>
      </c>
    </row>
    <row r="1269" spans="1:1" x14ac:dyDescent="0.25">
      <c r="A1269" s="216" t="str">
        <f t="shared" si="19"/>
        <v/>
      </c>
    </row>
    <row r="1270" spans="1:1" x14ac:dyDescent="0.25">
      <c r="A1270" s="216" t="str">
        <f t="shared" si="19"/>
        <v/>
      </c>
    </row>
    <row r="1271" spans="1:1" x14ac:dyDescent="0.25">
      <c r="A1271" s="216" t="str">
        <f t="shared" si="19"/>
        <v/>
      </c>
    </row>
    <row r="1272" spans="1:1" x14ac:dyDescent="0.25">
      <c r="A1272" s="216" t="str">
        <f t="shared" si="19"/>
        <v/>
      </c>
    </row>
    <row r="1273" spans="1:1" x14ac:dyDescent="0.25">
      <c r="A1273" s="216" t="str">
        <f t="shared" si="19"/>
        <v/>
      </c>
    </row>
    <row r="1274" spans="1:1" x14ac:dyDescent="0.25">
      <c r="A1274" s="216" t="str">
        <f t="shared" si="19"/>
        <v/>
      </c>
    </row>
    <row r="1275" spans="1:1" x14ac:dyDescent="0.25">
      <c r="A1275" s="216" t="str">
        <f t="shared" si="19"/>
        <v/>
      </c>
    </row>
    <row r="1276" spans="1:1" x14ac:dyDescent="0.25">
      <c r="A1276" s="216" t="str">
        <f t="shared" si="19"/>
        <v/>
      </c>
    </row>
    <row r="1277" spans="1:1" x14ac:dyDescent="0.25">
      <c r="A1277" s="216" t="str">
        <f t="shared" si="19"/>
        <v/>
      </c>
    </row>
    <row r="1278" spans="1:1" x14ac:dyDescent="0.25">
      <c r="A1278" s="216" t="str">
        <f t="shared" si="19"/>
        <v/>
      </c>
    </row>
    <row r="1279" spans="1:1" x14ac:dyDescent="0.25">
      <c r="A1279" s="216" t="str">
        <f t="shared" si="19"/>
        <v/>
      </c>
    </row>
    <row r="1280" spans="1:1" x14ac:dyDescent="0.25">
      <c r="A1280" s="216" t="str">
        <f t="shared" si="19"/>
        <v/>
      </c>
    </row>
    <row r="1281" spans="1:1" x14ac:dyDescent="0.25">
      <c r="A1281" s="216" t="str">
        <f t="shared" si="19"/>
        <v/>
      </c>
    </row>
    <row r="1282" spans="1:1" x14ac:dyDescent="0.25">
      <c r="A1282" s="216" t="str">
        <f t="shared" si="19"/>
        <v/>
      </c>
    </row>
    <row r="1283" spans="1:1" x14ac:dyDescent="0.25">
      <c r="A1283" s="216" t="str">
        <f t="shared" si="19"/>
        <v/>
      </c>
    </row>
    <row r="1284" spans="1:1" x14ac:dyDescent="0.25">
      <c r="A1284" s="216" t="str">
        <f t="shared" ref="A1284:A1347" si="20">IF(B1284&lt;&gt;"",A1283+1,"")</f>
        <v/>
      </c>
    </row>
    <row r="1285" spans="1:1" x14ac:dyDescent="0.25">
      <c r="A1285" s="216" t="str">
        <f t="shared" si="20"/>
        <v/>
      </c>
    </row>
    <row r="1286" spans="1:1" x14ac:dyDescent="0.25">
      <c r="A1286" s="216" t="str">
        <f t="shared" si="20"/>
        <v/>
      </c>
    </row>
    <row r="1287" spans="1:1" x14ac:dyDescent="0.25">
      <c r="A1287" s="216" t="str">
        <f t="shared" si="20"/>
        <v/>
      </c>
    </row>
    <row r="1288" spans="1:1" x14ac:dyDescent="0.25">
      <c r="A1288" s="216" t="str">
        <f t="shared" si="20"/>
        <v/>
      </c>
    </row>
    <row r="1289" spans="1:1" x14ac:dyDescent="0.25">
      <c r="A1289" s="216" t="str">
        <f t="shared" si="20"/>
        <v/>
      </c>
    </row>
    <row r="1290" spans="1:1" x14ac:dyDescent="0.25">
      <c r="A1290" s="216" t="str">
        <f t="shared" si="20"/>
        <v/>
      </c>
    </row>
    <row r="1291" spans="1:1" x14ac:dyDescent="0.25">
      <c r="A1291" s="216" t="str">
        <f t="shared" si="20"/>
        <v/>
      </c>
    </row>
    <row r="1292" spans="1:1" x14ac:dyDescent="0.25">
      <c r="A1292" s="216" t="str">
        <f t="shared" si="20"/>
        <v/>
      </c>
    </row>
    <row r="1293" spans="1:1" x14ac:dyDescent="0.25">
      <c r="A1293" s="216" t="str">
        <f t="shared" si="20"/>
        <v/>
      </c>
    </row>
    <row r="1294" spans="1:1" x14ac:dyDescent="0.25">
      <c r="A1294" s="216" t="str">
        <f t="shared" si="20"/>
        <v/>
      </c>
    </row>
    <row r="1295" spans="1:1" x14ac:dyDescent="0.25">
      <c r="A1295" s="216" t="str">
        <f t="shared" si="20"/>
        <v/>
      </c>
    </row>
    <row r="1296" spans="1:1" x14ac:dyDescent="0.25">
      <c r="A1296" s="216" t="str">
        <f t="shared" si="20"/>
        <v/>
      </c>
    </row>
    <row r="1297" spans="1:1" x14ac:dyDescent="0.25">
      <c r="A1297" s="216" t="str">
        <f t="shared" si="20"/>
        <v/>
      </c>
    </row>
    <row r="1298" spans="1:1" x14ac:dyDescent="0.25">
      <c r="A1298" s="216" t="str">
        <f t="shared" si="20"/>
        <v/>
      </c>
    </row>
    <row r="1299" spans="1:1" x14ac:dyDescent="0.25">
      <c r="A1299" s="216" t="str">
        <f t="shared" si="20"/>
        <v/>
      </c>
    </row>
    <row r="1300" spans="1:1" x14ac:dyDescent="0.25">
      <c r="A1300" s="216" t="str">
        <f t="shared" si="20"/>
        <v/>
      </c>
    </row>
    <row r="1301" spans="1:1" x14ac:dyDescent="0.25">
      <c r="A1301" s="216" t="str">
        <f t="shared" si="20"/>
        <v/>
      </c>
    </row>
    <row r="1302" spans="1:1" x14ac:dyDescent="0.25">
      <c r="A1302" s="216" t="str">
        <f t="shared" si="20"/>
        <v/>
      </c>
    </row>
    <row r="1303" spans="1:1" x14ac:dyDescent="0.25">
      <c r="A1303" s="216" t="str">
        <f t="shared" si="20"/>
        <v/>
      </c>
    </row>
    <row r="1304" spans="1:1" x14ac:dyDescent="0.25">
      <c r="A1304" s="216" t="str">
        <f t="shared" si="20"/>
        <v/>
      </c>
    </row>
    <row r="1305" spans="1:1" x14ac:dyDescent="0.25">
      <c r="A1305" s="216" t="str">
        <f t="shared" si="20"/>
        <v/>
      </c>
    </row>
    <row r="1306" spans="1:1" x14ac:dyDescent="0.25">
      <c r="A1306" s="216" t="str">
        <f t="shared" si="20"/>
        <v/>
      </c>
    </row>
    <row r="1307" spans="1:1" x14ac:dyDescent="0.25">
      <c r="A1307" s="216" t="str">
        <f t="shared" si="20"/>
        <v/>
      </c>
    </row>
    <row r="1308" spans="1:1" x14ac:dyDescent="0.25">
      <c r="A1308" s="216" t="str">
        <f t="shared" si="20"/>
        <v/>
      </c>
    </row>
    <row r="1309" spans="1:1" x14ac:dyDescent="0.25">
      <c r="A1309" s="216" t="str">
        <f t="shared" si="20"/>
        <v/>
      </c>
    </row>
    <row r="1310" spans="1:1" x14ac:dyDescent="0.25">
      <c r="A1310" s="216" t="str">
        <f t="shared" si="20"/>
        <v/>
      </c>
    </row>
    <row r="1311" spans="1:1" x14ac:dyDescent="0.25">
      <c r="A1311" s="216" t="str">
        <f t="shared" si="20"/>
        <v/>
      </c>
    </row>
    <row r="1312" spans="1:1" x14ac:dyDescent="0.25">
      <c r="A1312" s="216" t="str">
        <f t="shared" si="20"/>
        <v/>
      </c>
    </row>
    <row r="1313" spans="1:1" x14ac:dyDescent="0.25">
      <c r="A1313" s="216" t="str">
        <f t="shared" si="20"/>
        <v/>
      </c>
    </row>
    <row r="1314" spans="1:1" x14ac:dyDescent="0.25">
      <c r="A1314" s="216" t="str">
        <f t="shared" si="20"/>
        <v/>
      </c>
    </row>
    <row r="1315" spans="1:1" x14ac:dyDescent="0.25">
      <c r="A1315" s="216" t="str">
        <f t="shared" si="20"/>
        <v/>
      </c>
    </row>
    <row r="1316" spans="1:1" x14ac:dyDescent="0.25">
      <c r="A1316" s="216" t="str">
        <f t="shared" si="20"/>
        <v/>
      </c>
    </row>
    <row r="1317" spans="1:1" x14ac:dyDescent="0.25">
      <c r="A1317" s="216" t="str">
        <f t="shared" si="20"/>
        <v/>
      </c>
    </row>
    <row r="1318" spans="1:1" x14ac:dyDescent="0.25">
      <c r="A1318" s="216" t="str">
        <f t="shared" si="20"/>
        <v/>
      </c>
    </row>
    <row r="1319" spans="1:1" x14ac:dyDescent="0.25">
      <c r="A1319" s="216" t="str">
        <f t="shared" si="20"/>
        <v/>
      </c>
    </row>
    <row r="1320" spans="1:1" x14ac:dyDescent="0.25">
      <c r="A1320" s="216" t="str">
        <f t="shared" si="20"/>
        <v/>
      </c>
    </row>
    <row r="1321" spans="1:1" x14ac:dyDescent="0.25">
      <c r="A1321" s="216" t="str">
        <f t="shared" si="20"/>
        <v/>
      </c>
    </row>
    <row r="1322" spans="1:1" x14ac:dyDescent="0.25">
      <c r="A1322" s="216" t="str">
        <f t="shared" si="20"/>
        <v/>
      </c>
    </row>
    <row r="1323" spans="1:1" x14ac:dyDescent="0.25">
      <c r="A1323" s="216" t="str">
        <f t="shared" si="20"/>
        <v/>
      </c>
    </row>
    <row r="1324" spans="1:1" x14ac:dyDescent="0.25">
      <c r="A1324" s="216" t="str">
        <f t="shared" si="20"/>
        <v/>
      </c>
    </row>
    <row r="1325" spans="1:1" x14ac:dyDescent="0.25">
      <c r="A1325" s="216" t="str">
        <f t="shared" si="20"/>
        <v/>
      </c>
    </row>
    <row r="1326" spans="1:1" x14ac:dyDescent="0.25">
      <c r="A1326" s="216" t="str">
        <f t="shared" si="20"/>
        <v/>
      </c>
    </row>
    <row r="1327" spans="1:1" x14ac:dyDescent="0.25">
      <c r="A1327" s="216" t="str">
        <f t="shared" si="20"/>
        <v/>
      </c>
    </row>
    <row r="1328" spans="1:1" x14ac:dyDescent="0.25">
      <c r="A1328" s="216" t="str">
        <f t="shared" si="20"/>
        <v/>
      </c>
    </row>
    <row r="1329" spans="1:1" x14ac:dyDescent="0.25">
      <c r="A1329" s="216" t="str">
        <f t="shared" si="20"/>
        <v/>
      </c>
    </row>
    <row r="1330" spans="1:1" x14ac:dyDescent="0.25">
      <c r="A1330" s="216" t="str">
        <f t="shared" si="20"/>
        <v/>
      </c>
    </row>
    <row r="1331" spans="1:1" x14ac:dyDescent="0.25">
      <c r="A1331" s="216" t="str">
        <f t="shared" si="20"/>
        <v/>
      </c>
    </row>
    <row r="1332" spans="1:1" x14ac:dyDescent="0.25">
      <c r="A1332" s="216" t="str">
        <f t="shared" si="20"/>
        <v/>
      </c>
    </row>
    <row r="1333" spans="1:1" x14ac:dyDescent="0.25">
      <c r="A1333" s="216" t="str">
        <f t="shared" si="20"/>
        <v/>
      </c>
    </row>
    <row r="1334" spans="1:1" x14ac:dyDescent="0.25">
      <c r="A1334" s="216" t="str">
        <f t="shared" si="20"/>
        <v/>
      </c>
    </row>
    <row r="1335" spans="1:1" x14ac:dyDescent="0.25">
      <c r="A1335" s="216" t="str">
        <f t="shared" si="20"/>
        <v/>
      </c>
    </row>
    <row r="1336" spans="1:1" x14ac:dyDescent="0.25">
      <c r="A1336" s="216" t="str">
        <f t="shared" si="20"/>
        <v/>
      </c>
    </row>
    <row r="1337" spans="1:1" x14ac:dyDescent="0.25">
      <c r="A1337" s="216" t="str">
        <f t="shared" si="20"/>
        <v/>
      </c>
    </row>
    <row r="1338" spans="1:1" x14ac:dyDescent="0.25">
      <c r="A1338" s="216" t="str">
        <f t="shared" si="20"/>
        <v/>
      </c>
    </row>
    <row r="1339" spans="1:1" x14ac:dyDescent="0.25">
      <c r="A1339" s="216" t="str">
        <f t="shared" si="20"/>
        <v/>
      </c>
    </row>
    <row r="1340" spans="1:1" x14ac:dyDescent="0.25">
      <c r="A1340" s="216" t="str">
        <f t="shared" si="20"/>
        <v/>
      </c>
    </row>
    <row r="1341" spans="1:1" x14ac:dyDescent="0.25">
      <c r="A1341" s="216" t="str">
        <f t="shared" si="20"/>
        <v/>
      </c>
    </row>
    <row r="1342" spans="1:1" x14ac:dyDescent="0.25">
      <c r="A1342" s="216" t="str">
        <f t="shared" si="20"/>
        <v/>
      </c>
    </row>
    <row r="1343" spans="1:1" x14ac:dyDescent="0.25">
      <c r="A1343" s="216" t="str">
        <f t="shared" si="20"/>
        <v/>
      </c>
    </row>
    <row r="1344" spans="1:1" x14ac:dyDescent="0.25">
      <c r="A1344" s="216" t="str">
        <f t="shared" si="20"/>
        <v/>
      </c>
    </row>
    <row r="1345" spans="1:1" x14ac:dyDescent="0.25">
      <c r="A1345" s="216" t="str">
        <f t="shared" si="20"/>
        <v/>
      </c>
    </row>
    <row r="1346" spans="1:1" x14ac:dyDescent="0.25">
      <c r="A1346" s="216" t="str">
        <f t="shared" si="20"/>
        <v/>
      </c>
    </row>
    <row r="1347" spans="1:1" x14ac:dyDescent="0.25">
      <c r="A1347" s="216" t="str">
        <f t="shared" si="20"/>
        <v/>
      </c>
    </row>
    <row r="1348" spans="1:1" x14ac:dyDescent="0.25">
      <c r="A1348" s="216" t="str">
        <f t="shared" ref="A1348:A1411" si="21">IF(B1348&lt;&gt;"",A1347+1,"")</f>
        <v/>
      </c>
    </row>
    <row r="1349" spans="1:1" x14ac:dyDescent="0.25">
      <c r="A1349" s="216" t="str">
        <f t="shared" si="21"/>
        <v/>
      </c>
    </row>
    <row r="1350" spans="1:1" x14ac:dyDescent="0.25">
      <c r="A1350" s="216" t="str">
        <f t="shared" si="21"/>
        <v/>
      </c>
    </row>
    <row r="1351" spans="1:1" x14ac:dyDescent="0.25">
      <c r="A1351" s="216" t="str">
        <f t="shared" si="21"/>
        <v/>
      </c>
    </row>
    <row r="1352" spans="1:1" x14ac:dyDescent="0.25">
      <c r="A1352" s="216" t="str">
        <f t="shared" si="21"/>
        <v/>
      </c>
    </row>
    <row r="1353" spans="1:1" x14ac:dyDescent="0.25">
      <c r="A1353" s="216" t="str">
        <f t="shared" si="21"/>
        <v/>
      </c>
    </row>
    <row r="1354" spans="1:1" x14ac:dyDescent="0.25">
      <c r="A1354" s="216" t="str">
        <f t="shared" si="21"/>
        <v/>
      </c>
    </row>
    <row r="1355" spans="1:1" x14ac:dyDescent="0.25">
      <c r="A1355" s="216" t="str">
        <f t="shared" si="21"/>
        <v/>
      </c>
    </row>
    <row r="1356" spans="1:1" x14ac:dyDescent="0.25">
      <c r="A1356" s="216" t="str">
        <f t="shared" si="21"/>
        <v/>
      </c>
    </row>
    <row r="1357" spans="1:1" x14ac:dyDescent="0.25">
      <c r="A1357" s="216" t="str">
        <f t="shared" si="21"/>
        <v/>
      </c>
    </row>
    <row r="1358" spans="1:1" x14ac:dyDescent="0.25">
      <c r="A1358" s="216" t="str">
        <f t="shared" si="21"/>
        <v/>
      </c>
    </row>
    <row r="1359" spans="1:1" x14ac:dyDescent="0.25">
      <c r="A1359" s="216" t="str">
        <f t="shared" si="21"/>
        <v/>
      </c>
    </row>
    <row r="1360" spans="1:1" x14ac:dyDescent="0.25">
      <c r="A1360" s="216" t="str">
        <f t="shared" si="21"/>
        <v/>
      </c>
    </row>
    <row r="1361" spans="1:1" x14ac:dyDescent="0.25">
      <c r="A1361" s="216" t="str">
        <f t="shared" si="21"/>
        <v/>
      </c>
    </row>
    <row r="1362" spans="1:1" x14ac:dyDescent="0.25">
      <c r="A1362" s="216" t="str">
        <f t="shared" si="21"/>
        <v/>
      </c>
    </row>
    <row r="1363" spans="1:1" x14ac:dyDescent="0.25">
      <c r="A1363" s="216" t="str">
        <f t="shared" si="21"/>
        <v/>
      </c>
    </row>
    <row r="1364" spans="1:1" x14ac:dyDescent="0.25">
      <c r="A1364" s="216" t="str">
        <f t="shared" si="21"/>
        <v/>
      </c>
    </row>
    <row r="1365" spans="1:1" x14ac:dyDescent="0.25">
      <c r="A1365" s="216" t="str">
        <f t="shared" si="21"/>
        <v/>
      </c>
    </row>
    <row r="1366" spans="1:1" x14ac:dyDescent="0.25">
      <c r="A1366" s="216" t="str">
        <f t="shared" si="21"/>
        <v/>
      </c>
    </row>
    <row r="1367" spans="1:1" x14ac:dyDescent="0.25">
      <c r="A1367" s="216" t="str">
        <f t="shared" si="21"/>
        <v/>
      </c>
    </row>
    <row r="1368" spans="1:1" x14ac:dyDescent="0.25">
      <c r="A1368" s="216" t="str">
        <f t="shared" si="21"/>
        <v/>
      </c>
    </row>
    <row r="1369" spans="1:1" x14ac:dyDescent="0.25">
      <c r="A1369" s="216" t="str">
        <f t="shared" si="21"/>
        <v/>
      </c>
    </row>
    <row r="1370" spans="1:1" x14ac:dyDescent="0.25">
      <c r="A1370" s="216" t="str">
        <f t="shared" si="21"/>
        <v/>
      </c>
    </row>
    <row r="1371" spans="1:1" x14ac:dyDescent="0.25">
      <c r="A1371" s="216" t="str">
        <f t="shared" si="21"/>
        <v/>
      </c>
    </row>
    <row r="1372" spans="1:1" x14ac:dyDescent="0.25">
      <c r="A1372" s="216" t="str">
        <f t="shared" si="21"/>
        <v/>
      </c>
    </row>
    <row r="1373" spans="1:1" x14ac:dyDescent="0.25">
      <c r="A1373" s="216" t="str">
        <f t="shared" si="21"/>
        <v/>
      </c>
    </row>
    <row r="1374" spans="1:1" x14ac:dyDescent="0.25">
      <c r="A1374" s="216" t="str">
        <f t="shared" si="21"/>
        <v/>
      </c>
    </row>
    <row r="1375" spans="1:1" x14ac:dyDescent="0.25">
      <c r="A1375" s="216" t="str">
        <f t="shared" si="21"/>
        <v/>
      </c>
    </row>
    <row r="1376" spans="1:1" x14ac:dyDescent="0.25">
      <c r="A1376" s="216" t="str">
        <f t="shared" si="21"/>
        <v/>
      </c>
    </row>
    <row r="1377" spans="1:1" x14ac:dyDescent="0.25">
      <c r="A1377" s="216" t="str">
        <f t="shared" si="21"/>
        <v/>
      </c>
    </row>
    <row r="1378" spans="1:1" x14ac:dyDescent="0.25">
      <c r="A1378" s="216" t="str">
        <f t="shared" si="21"/>
        <v/>
      </c>
    </row>
    <row r="1379" spans="1:1" x14ac:dyDescent="0.25">
      <c r="A1379" s="216" t="str">
        <f t="shared" si="21"/>
        <v/>
      </c>
    </row>
    <row r="1380" spans="1:1" x14ac:dyDescent="0.25">
      <c r="A1380" s="216" t="str">
        <f t="shared" si="21"/>
        <v/>
      </c>
    </row>
    <row r="1381" spans="1:1" x14ac:dyDescent="0.25">
      <c r="A1381" s="216" t="str">
        <f t="shared" si="21"/>
        <v/>
      </c>
    </row>
    <row r="1382" spans="1:1" x14ac:dyDescent="0.25">
      <c r="A1382" s="216" t="str">
        <f t="shared" si="21"/>
        <v/>
      </c>
    </row>
    <row r="1383" spans="1:1" x14ac:dyDescent="0.25">
      <c r="A1383" s="216" t="str">
        <f t="shared" si="21"/>
        <v/>
      </c>
    </row>
    <row r="1384" spans="1:1" x14ac:dyDescent="0.25">
      <c r="A1384" s="216" t="str">
        <f t="shared" si="21"/>
        <v/>
      </c>
    </row>
    <row r="1385" spans="1:1" x14ac:dyDescent="0.25">
      <c r="A1385" s="216" t="str">
        <f t="shared" si="21"/>
        <v/>
      </c>
    </row>
    <row r="1386" spans="1:1" x14ac:dyDescent="0.25">
      <c r="A1386" s="216" t="str">
        <f t="shared" si="21"/>
        <v/>
      </c>
    </row>
    <row r="1387" spans="1:1" x14ac:dyDescent="0.25">
      <c r="A1387" s="216" t="str">
        <f t="shared" si="21"/>
        <v/>
      </c>
    </row>
    <row r="1388" spans="1:1" x14ac:dyDescent="0.25">
      <c r="A1388" s="216" t="str">
        <f t="shared" si="21"/>
        <v/>
      </c>
    </row>
    <row r="1389" spans="1:1" x14ac:dyDescent="0.25">
      <c r="A1389" s="216" t="str">
        <f t="shared" si="21"/>
        <v/>
      </c>
    </row>
    <row r="1390" spans="1:1" x14ac:dyDescent="0.25">
      <c r="A1390" s="216" t="str">
        <f t="shared" si="21"/>
        <v/>
      </c>
    </row>
    <row r="1391" spans="1:1" x14ac:dyDescent="0.25">
      <c r="A1391" s="216" t="str">
        <f t="shared" si="21"/>
        <v/>
      </c>
    </row>
    <row r="1392" spans="1:1" x14ac:dyDescent="0.25">
      <c r="A1392" s="216" t="str">
        <f t="shared" si="21"/>
        <v/>
      </c>
    </row>
    <row r="1393" spans="1:1" x14ac:dyDescent="0.25">
      <c r="A1393" s="216" t="str">
        <f t="shared" si="21"/>
        <v/>
      </c>
    </row>
    <row r="1394" spans="1:1" x14ac:dyDescent="0.25">
      <c r="A1394" s="216" t="str">
        <f t="shared" si="21"/>
        <v/>
      </c>
    </row>
    <row r="1395" spans="1:1" x14ac:dyDescent="0.25">
      <c r="A1395" s="216" t="str">
        <f t="shared" si="21"/>
        <v/>
      </c>
    </row>
    <row r="1396" spans="1:1" x14ac:dyDescent="0.25">
      <c r="A1396" s="216" t="str">
        <f t="shared" si="21"/>
        <v/>
      </c>
    </row>
    <row r="1397" spans="1:1" x14ac:dyDescent="0.25">
      <c r="A1397" s="216" t="str">
        <f t="shared" si="21"/>
        <v/>
      </c>
    </row>
    <row r="1398" spans="1:1" x14ac:dyDescent="0.25">
      <c r="A1398" s="216" t="str">
        <f t="shared" si="21"/>
        <v/>
      </c>
    </row>
    <row r="1399" spans="1:1" x14ac:dyDescent="0.25">
      <c r="A1399" s="216" t="str">
        <f t="shared" si="21"/>
        <v/>
      </c>
    </row>
    <row r="1400" spans="1:1" x14ac:dyDescent="0.25">
      <c r="A1400" s="216" t="str">
        <f t="shared" si="21"/>
        <v/>
      </c>
    </row>
    <row r="1401" spans="1:1" x14ac:dyDescent="0.25">
      <c r="A1401" s="216" t="str">
        <f t="shared" si="21"/>
        <v/>
      </c>
    </row>
    <row r="1402" spans="1:1" x14ac:dyDescent="0.25">
      <c r="A1402" s="216" t="str">
        <f t="shared" si="21"/>
        <v/>
      </c>
    </row>
    <row r="1403" spans="1:1" x14ac:dyDescent="0.25">
      <c r="A1403" s="216" t="str">
        <f t="shared" si="21"/>
        <v/>
      </c>
    </row>
    <row r="1404" spans="1:1" x14ac:dyDescent="0.25">
      <c r="A1404" s="216" t="str">
        <f t="shared" si="21"/>
        <v/>
      </c>
    </row>
    <row r="1405" spans="1:1" x14ac:dyDescent="0.25">
      <c r="A1405" s="216" t="str">
        <f t="shared" si="21"/>
        <v/>
      </c>
    </row>
    <row r="1406" spans="1:1" x14ac:dyDescent="0.25">
      <c r="A1406" s="216" t="str">
        <f t="shared" si="21"/>
        <v/>
      </c>
    </row>
    <row r="1407" spans="1:1" x14ac:dyDescent="0.25">
      <c r="A1407" s="216" t="str">
        <f t="shared" si="21"/>
        <v/>
      </c>
    </row>
    <row r="1408" spans="1:1" x14ac:dyDescent="0.25">
      <c r="A1408" s="216" t="str">
        <f t="shared" si="21"/>
        <v/>
      </c>
    </row>
    <row r="1409" spans="1:1" x14ac:dyDescent="0.25">
      <c r="A1409" s="216" t="str">
        <f t="shared" si="21"/>
        <v/>
      </c>
    </row>
    <row r="1410" spans="1:1" x14ac:dyDescent="0.25">
      <c r="A1410" s="216" t="str">
        <f t="shared" si="21"/>
        <v/>
      </c>
    </row>
    <row r="1411" spans="1:1" x14ac:dyDescent="0.25">
      <c r="A1411" s="216" t="str">
        <f t="shared" si="21"/>
        <v/>
      </c>
    </row>
    <row r="1412" spans="1:1" x14ac:dyDescent="0.25">
      <c r="A1412" s="216" t="str">
        <f t="shared" ref="A1412:A1475" si="22">IF(B1412&lt;&gt;"",A1411+1,"")</f>
        <v/>
      </c>
    </row>
    <row r="1413" spans="1:1" x14ac:dyDescent="0.25">
      <c r="A1413" s="216" t="str">
        <f t="shared" si="22"/>
        <v/>
      </c>
    </row>
    <row r="1414" spans="1:1" x14ac:dyDescent="0.25">
      <c r="A1414" s="216" t="str">
        <f t="shared" si="22"/>
        <v/>
      </c>
    </row>
    <row r="1415" spans="1:1" x14ac:dyDescent="0.25">
      <c r="A1415" s="216" t="str">
        <f t="shared" si="22"/>
        <v/>
      </c>
    </row>
    <row r="1416" spans="1:1" x14ac:dyDescent="0.25">
      <c r="A1416" s="216" t="str">
        <f t="shared" si="22"/>
        <v/>
      </c>
    </row>
    <row r="1417" spans="1:1" x14ac:dyDescent="0.25">
      <c r="A1417" s="216" t="str">
        <f t="shared" si="22"/>
        <v/>
      </c>
    </row>
    <row r="1418" spans="1:1" x14ac:dyDescent="0.25">
      <c r="A1418" s="216" t="str">
        <f t="shared" si="22"/>
        <v/>
      </c>
    </row>
    <row r="1419" spans="1:1" x14ac:dyDescent="0.25">
      <c r="A1419" s="216" t="str">
        <f t="shared" si="22"/>
        <v/>
      </c>
    </row>
    <row r="1420" spans="1:1" x14ac:dyDescent="0.25">
      <c r="A1420" s="216" t="str">
        <f t="shared" si="22"/>
        <v/>
      </c>
    </row>
    <row r="1421" spans="1:1" x14ac:dyDescent="0.25">
      <c r="A1421" s="216" t="str">
        <f t="shared" si="22"/>
        <v/>
      </c>
    </row>
    <row r="1422" spans="1:1" x14ac:dyDescent="0.25">
      <c r="A1422" s="216" t="str">
        <f t="shared" si="22"/>
        <v/>
      </c>
    </row>
    <row r="1423" spans="1:1" x14ac:dyDescent="0.25">
      <c r="A1423" s="216" t="str">
        <f t="shared" si="22"/>
        <v/>
      </c>
    </row>
    <row r="1424" spans="1:1" x14ac:dyDescent="0.25">
      <c r="A1424" s="216" t="str">
        <f t="shared" si="22"/>
        <v/>
      </c>
    </row>
    <row r="1425" spans="1:1" x14ac:dyDescent="0.25">
      <c r="A1425" s="216" t="str">
        <f t="shared" si="22"/>
        <v/>
      </c>
    </row>
    <row r="1426" spans="1:1" x14ac:dyDescent="0.25">
      <c r="A1426" s="216" t="str">
        <f t="shared" si="22"/>
        <v/>
      </c>
    </row>
    <row r="1427" spans="1:1" x14ac:dyDescent="0.25">
      <c r="A1427" s="216" t="str">
        <f t="shared" si="22"/>
        <v/>
      </c>
    </row>
    <row r="1428" spans="1:1" x14ac:dyDescent="0.25">
      <c r="A1428" s="216" t="str">
        <f t="shared" si="22"/>
        <v/>
      </c>
    </row>
    <row r="1429" spans="1:1" x14ac:dyDescent="0.25">
      <c r="A1429" s="216" t="str">
        <f t="shared" si="22"/>
        <v/>
      </c>
    </row>
    <row r="1430" spans="1:1" x14ac:dyDescent="0.25">
      <c r="A1430" s="216" t="str">
        <f t="shared" si="22"/>
        <v/>
      </c>
    </row>
    <row r="1431" spans="1:1" x14ac:dyDescent="0.25">
      <c r="A1431" s="216" t="str">
        <f t="shared" si="22"/>
        <v/>
      </c>
    </row>
    <row r="1432" spans="1:1" x14ac:dyDescent="0.25">
      <c r="A1432" s="216" t="str">
        <f t="shared" si="22"/>
        <v/>
      </c>
    </row>
    <row r="1433" spans="1:1" x14ac:dyDescent="0.25">
      <c r="A1433" s="216" t="str">
        <f t="shared" si="22"/>
        <v/>
      </c>
    </row>
    <row r="1434" spans="1:1" x14ac:dyDescent="0.25">
      <c r="A1434" s="216" t="str">
        <f t="shared" si="22"/>
        <v/>
      </c>
    </row>
    <row r="1435" spans="1:1" x14ac:dyDescent="0.25">
      <c r="A1435" s="216" t="str">
        <f t="shared" si="22"/>
        <v/>
      </c>
    </row>
    <row r="1436" spans="1:1" x14ac:dyDescent="0.25">
      <c r="A1436" s="216" t="str">
        <f t="shared" si="22"/>
        <v/>
      </c>
    </row>
    <row r="1437" spans="1:1" x14ac:dyDescent="0.25">
      <c r="A1437" s="216" t="str">
        <f t="shared" si="22"/>
        <v/>
      </c>
    </row>
    <row r="1438" spans="1:1" x14ac:dyDescent="0.25">
      <c r="A1438" s="216" t="str">
        <f t="shared" si="22"/>
        <v/>
      </c>
    </row>
    <row r="1439" spans="1:1" x14ac:dyDescent="0.25">
      <c r="A1439" s="216" t="str">
        <f t="shared" si="22"/>
        <v/>
      </c>
    </row>
    <row r="1440" spans="1:1" x14ac:dyDescent="0.25">
      <c r="A1440" s="216" t="str">
        <f t="shared" si="22"/>
        <v/>
      </c>
    </row>
    <row r="1441" spans="1:1" x14ac:dyDescent="0.25">
      <c r="A1441" s="216" t="str">
        <f t="shared" si="22"/>
        <v/>
      </c>
    </row>
    <row r="1442" spans="1:1" x14ac:dyDescent="0.25">
      <c r="A1442" s="216" t="str">
        <f t="shared" si="22"/>
        <v/>
      </c>
    </row>
    <row r="1443" spans="1:1" x14ac:dyDescent="0.25">
      <c r="A1443" s="216" t="str">
        <f t="shared" si="22"/>
        <v/>
      </c>
    </row>
    <row r="1444" spans="1:1" x14ac:dyDescent="0.25">
      <c r="A1444" s="216" t="str">
        <f t="shared" si="22"/>
        <v/>
      </c>
    </row>
    <row r="1445" spans="1:1" x14ac:dyDescent="0.25">
      <c r="A1445" s="216" t="str">
        <f t="shared" si="22"/>
        <v/>
      </c>
    </row>
    <row r="1446" spans="1:1" x14ac:dyDescent="0.25">
      <c r="A1446" s="216" t="str">
        <f t="shared" si="22"/>
        <v/>
      </c>
    </row>
    <row r="1447" spans="1:1" x14ac:dyDescent="0.25">
      <c r="A1447" s="216" t="str">
        <f t="shared" si="22"/>
        <v/>
      </c>
    </row>
    <row r="1448" spans="1:1" x14ac:dyDescent="0.25">
      <c r="A1448" s="216" t="str">
        <f t="shared" si="22"/>
        <v/>
      </c>
    </row>
    <row r="1449" spans="1:1" x14ac:dyDescent="0.25">
      <c r="A1449" s="216" t="str">
        <f t="shared" si="22"/>
        <v/>
      </c>
    </row>
    <row r="1450" spans="1:1" x14ac:dyDescent="0.25">
      <c r="A1450" s="216" t="str">
        <f t="shared" si="22"/>
        <v/>
      </c>
    </row>
    <row r="1451" spans="1:1" x14ac:dyDescent="0.25">
      <c r="A1451" s="216" t="str">
        <f t="shared" si="22"/>
        <v/>
      </c>
    </row>
    <row r="1452" spans="1:1" x14ac:dyDescent="0.25">
      <c r="A1452" s="216" t="str">
        <f t="shared" si="22"/>
        <v/>
      </c>
    </row>
    <row r="1453" spans="1:1" x14ac:dyDescent="0.25">
      <c r="A1453" s="216" t="str">
        <f t="shared" si="22"/>
        <v/>
      </c>
    </row>
    <row r="1454" spans="1:1" x14ac:dyDescent="0.25">
      <c r="A1454" s="216" t="str">
        <f t="shared" si="22"/>
        <v/>
      </c>
    </row>
    <row r="1455" spans="1:1" x14ac:dyDescent="0.25">
      <c r="A1455" s="216" t="str">
        <f t="shared" si="22"/>
        <v/>
      </c>
    </row>
    <row r="1456" spans="1:1" x14ac:dyDescent="0.25">
      <c r="A1456" s="216" t="str">
        <f t="shared" si="22"/>
        <v/>
      </c>
    </row>
    <row r="1457" spans="1:1" x14ac:dyDescent="0.25">
      <c r="A1457" s="216" t="str">
        <f t="shared" si="22"/>
        <v/>
      </c>
    </row>
    <row r="1458" spans="1:1" x14ac:dyDescent="0.25">
      <c r="A1458" s="216" t="str">
        <f t="shared" si="22"/>
        <v/>
      </c>
    </row>
    <row r="1459" spans="1:1" x14ac:dyDescent="0.25">
      <c r="A1459" s="216" t="str">
        <f t="shared" si="22"/>
        <v/>
      </c>
    </row>
    <row r="1460" spans="1:1" x14ac:dyDescent="0.25">
      <c r="A1460" s="216" t="str">
        <f t="shared" si="22"/>
        <v/>
      </c>
    </row>
    <row r="1461" spans="1:1" x14ac:dyDescent="0.25">
      <c r="A1461" s="216" t="str">
        <f t="shared" si="22"/>
        <v/>
      </c>
    </row>
    <row r="1462" spans="1:1" x14ac:dyDescent="0.25">
      <c r="A1462" s="216" t="str">
        <f t="shared" si="22"/>
        <v/>
      </c>
    </row>
    <row r="1463" spans="1:1" x14ac:dyDescent="0.25">
      <c r="A1463" s="216" t="str">
        <f t="shared" si="22"/>
        <v/>
      </c>
    </row>
    <row r="1464" spans="1:1" x14ac:dyDescent="0.25">
      <c r="A1464" s="216" t="str">
        <f t="shared" si="22"/>
        <v/>
      </c>
    </row>
    <row r="1465" spans="1:1" x14ac:dyDescent="0.25">
      <c r="A1465" s="216" t="str">
        <f t="shared" si="22"/>
        <v/>
      </c>
    </row>
    <row r="1466" spans="1:1" x14ac:dyDescent="0.25">
      <c r="A1466" s="216" t="str">
        <f t="shared" si="22"/>
        <v/>
      </c>
    </row>
    <row r="1467" spans="1:1" x14ac:dyDescent="0.25">
      <c r="A1467" s="216" t="str">
        <f t="shared" si="22"/>
        <v/>
      </c>
    </row>
    <row r="1468" spans="1:1" x14ac:dyDescent="0.25">
      <c r="A1468" s="216" t="str">
        <f t="shared" si="22"/>
        <v/>
      </c>
    </row>
    <row r="1469" spans="1:1" x14ac:dyDescent="0.25">
      <c r="A1469" s="216" t="str">
        <f t="shared" si="22"/>
        <v/>
      </c>
    </row>
    <row r="1470" spans="1:1" x14ac:dyDescent="0.25">
      <c r="A1470" s="216" t="str">
        <f t="shared" si="22"/>
        <v/>
      </c>
    </row>
    <row r="1471" spans="1:1" x14ac:dyDescent="0.25">
      <c r="A1471" s="216" t="str">
        <f t="shared" si="22"/>
        <v/>
      </c>
    </row>
    <row r="1472" spans="1:1" x14ac:dyDescent="0.25">
      <c r="A1472" s="216" t="str">
        <f t="shared" si="22"/>
        <v/>
      </c>
    </row>
    <row r="1473" spans="1:1" x14ac:dyDescent="0.25">
      <c r="A1473" s="216" t="str">
        <f t="shared" si="22"/>
        <v/>
      </c>
    </row>
    <row r="1474" spans="1:1" x14ac:dyDescent="0.25">
      <c r="A1474" s="216" t="str">
        <f t="shared" si="22"/>
        <v/>
      </c>
    </row>
    <row r="1475" spans="1:1" x14ac:dyDescent="0.25">
      <c r="A1475" s="216" t="str">
        <f t="shared" si="22"/>
        <v/>
      </c>
    </row>
    <row r="1476" spans="1:1" x14ac:dyDescent="0.25">
      <c r="A1476" s="216" t="str">
        <f t="shared" ref="A1476:A1500" si="23">IF(B1476&lt;&gt;"",A1475+1,"")</f>
        <v/>
      </c>
    </row>
    <row r="1477" spans="1:1" x14ac:dyDescent="0.25">
      <c r="A1477" s="216" t="str">
        <f t="shared" si="23"/>
        <v/>
      </c>
    </row>
    <row r="1478" spans="1:1" x14ac:dyDescent="0.25">
      <c r="A1478" s="216" t="str">
        <f t="shared" si="23"/>
        <v/>
      </c>
    </row>
    <row r="1479" spans="1:1" x14ac:dyDescent="0.25">
      <c r="A1479" s="216" t="str">
        <f t="shared" si="23"/>
        <v/>
      </c>
    </row>
    <row r="1480" spans="1:1" x14ac:dyDescent="0.25">
      <c r="A1480" s="216" t="str">
        <f t="shared" si="23"/>
        <v/>
      </c>
    </row>
    <row r="1481" spans="1:1" x14ac:dyDescent="0.25">
      <c r="A1481" s="216" t="str">
        <f t="shared" si="23"/>
        <v/>
      </c>
    </row>
    <row r="1482" spans="1:1" x14ac:dyDescent="0.25">
      <c r="A1482" s="216" t="str">
        <f t="shared" si="23"/>
        <v/>
      </c>
    </row>
    <row r="1483" spans="1:1" x14ac:dyDescent="0.25">
      <c r="A1483" s="216" t="str">
        <f t="shared" si="23"/>
        <v/>
      </c>
    </row>
    <row r="1484" spans="1:1" x14ac:dyDescent="0.25">
      <c r="A1484" s="216" t="str">
        <f t="shared" si="23"/>
        <v/>
      </c>
    </row>
    <row r="1485" spans="1:1" x14ac:dyDescent="0.25">
      <c r="A1485" s="216" t="str">
        <f t="shared" si="23"/>
        <v/>
      </c>
    </row>
    <row r="1486" spans="1:1" x14ac:dyDescent="0.25">
      <c r="A1486" s="216" t="str">
        <f t="shared" si="23"/>
        <v/>
      </c>
    </row>
    <row r="1487" spans="1:1" x14ac:dyDescent="0.25">
      <c r="A1487" s="216" t="str">
        <f t="shared" si="23"/>
        <v/>
      </c>
    </row>
    <row r="1488" spans="1:1" x14ac:dyDescent="0.25">
      <c r="A1488" s="216" t="str">
        <f t="shared" si="23"/>
        <v/>
      </c>
    </row>
    <row r="1489" spans="1:1" x14ac:dyDescent="0.25">
      <c r="A1489" s="216" t="str">
        <f t="shared" si="23"/>
        <v/>
      </c>
    </row>
    <row r="1490" spans="1:1" x14ac:dyDescent="0.25">
      <c r="A1490" s="216" t="str">
        <f t="shared" si="23"/>
        <v/>
      </c>
    </row>
    <row r="1491" spans="1:1" x14ac:dyDescent="0.25">
      <c r="A1491" s="216" t="str">
        <f t="shared" si="23"/>
        <v/>
      </c>
    </row>
    <row r="1492" spans="1:1" x14ac:dyDescent="0.25">
      <c r="A1492" s="216" t="str">
        <f t="shared" si="23"/>
        <v/>
      </c>
    </row>
    <row r="1493" spans="1:1" x14ac:dyDescent="0.25">
      <c r="A1493" s="216" t="str">
        <f t="shared" si="23"/>
        <v/>
      </c>
    </row>
    <row r="1494" spans="1:1" x14ac:dyDescent="0.25">
      <c r="A1494" s="216" t="str">
        <f t="shared" si="23"/>
        <v/>
      </c>
    </row>
    <row r="1495" spans="1:1" x14ac:dyDescent="0.25">
      <c r="A1495" s="216" t="str">
        <f t="shared" si="23"/>
        <v/>
      </c>
    </row>
    <row r="1496" spans="1:1" x14ac:dyDescent="0.25">
      <c r="A1496" s="216" t="str">
        <f t="shared" si="23"/>
        <v/>
      </c>
    </row>
    <row r="1497" spans="1:1" x14ac:dyDescent="0.25">
      <c r="A1497" s="216" t="str">
        <f t="shared" si="23"/>
        <v/>
      </c>
    </row>
    <row r="1498" spans="1:1" x14ac:dyDescent="0.25">
      <c r="A1498" s="216" t="str">
        <f t="shared" si="23"/>
        <v/>
      </c>
    </row>
    <row r="1499" spans="1:1" x14ac:dyDescent="0.25">
      <c r="A1499" s="216" t="str">
        <f t="shared" si="23"/>
        <v/>
      </c>
    </row>
    <row r="1500" spans="1:1" x14ac:dyDescent="0.25">
      <c r="A1500" s="216" t="str">
        <f t="shared" si="23"/>
        <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
  <sheetViews>
    <sheetView workbookViewId="0"/>
  </sheetViews>
  <sheetFormatPr baseColWidth="10" defaultRowHeight="15" x14ac:dyDescent="0.2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3:AD218"/>
  <sheetViews>
    <sheetView topLeftCell="G148" workbookViewId="0">
      <selection activeCell="U160" sqref="U160"/>
    </sheetView>
  </sheetViews>
  <sheetFormatPr baseColWidth="10" defaultRowHeight="18.75" x14ac:dyDescent="0.25"/>
  <cols>
    <col min="2" max="2" width="5.85546875" bestFit="1" customWidth="1"/>
    <col min="3" max="3" width="21.140625" bestFit="1" customWidth="1"/>
    <col min="4" max="4" width="21.85546875" bestFit="1" customWidth="1"/>
    <col min="5" max="5" width="6" style="260" bestFit="1" customWidth="1"/>
    <col min="7" max="7" width="6" bestFit="1" customWidth="1"/>
    <col min="8" max="8" width="2.85546875" bestFit="1" customWidth="1"/>
    <col min="14" max="14" width="6" customWidth="1"/>
    <col min="17" max="17" width="9.5703125" bestFit="1" customWidth="1"/>
    <col min="19" max="19" width="8.42578125" customWidth="1"/>
    <col min="24" max="24" width="6" customWidth="1"/>
    <col min="29" max="29" width="5.85546875" customWidth="1"/>
    <col min="30" max="30" width="12.42578125" bestFit="1" customWidth="1"/>
  </cols>
  <sheetData>
    <row r="3" spans="2:10" x14ac:dyDescent="0.3">
      <c r="B3" s="293">
        <f ca="1">VCR</f>
        <v>1</v>
      </c>
      <c r="C3" s="294" t="str">
        <f ca="1">"["&amp;CR_DATE&amp;"]"</f>
        <v>[JANVIER 25]</v>
      </c>
    </row>
    <row r="4" spans="2:10" x14ac:dyDescent="0.25">
      <c r="C4" s="226"/>
    </row>
    <row r="5" spans="2:10" x14ac:dyDescent="0.3">
      <c r="B5" s="256">
        <f ca="1">CR_POURINP</f>
        <v>-70.588235294117652</v>
      </c>
      <c r="E5" s="287"/>
    </row>
    <row r="7" spans="2:10" x14ac:dyDescent="0.3">
      <c r="B7" s="258">
        <f ca="1">CR_INP</f>
        <v>5</v>
      </c>
    </row>
    <row r="8" spans="2:10" x14ac:dyDescent="0.3">
      <c r="B8" s="257"/>
    </row>
    <row r="9" spans="2:10" x14ac:dyDescent="0.3">
      <c r="B9" s="258">
        <f ca="1">CR_INPO</f>
        <v>4</v>
      </c>
      <c r="D9" s="259" t="str">
        <f ca="1">CR_INPOT</f>
        <v>SUSPICION BIRD STRIKE</v>
      </c>
    </row>
    <row r="10" spans="2:10" x14ac:dyDescent="0.3">
      <c r="B10" s="257"/>
      <c r="C10" s="28"/>
    </row>
    <row r="11" spans="2:10" x14ac:dyDescent="0.3">
      <c r="B11" s="258">
        <f ca="1">CR_BS</f>
        <v>0</v>
      </c>
      <c r="C11" s="28"/>
    </row>
    <row r="12" spans="2:10" x14ac:dyDescent="0.25">
      <c r="E12" s="261">
        <f ca="1">CR_TIN</f>
        <v>98</v>
      </c>
    </row>
    <row r="13" spans="2:10" x14ac:dyDescent="0.25">
      <c r="E13" s="262">
        <f ca="1">CR_KMS</f>
        <v>707.25900000000001</v>
      </c>
    </row>
    <row r="15" spans="2:10" ht="28.5" x14ac:dyDescent="0.25">
      <c r="B15" s="264">
        <f ca="1">CR_SGS</f>
        <v>5</v>
      </c>
    </row>
    <row r="16" spans="2:10" ht="28.5" x14ac:dyDescent="0.25">
      <c r="B16" s="264">
        <f ca="1">CR_FNA</f>
        <v>0</v>
      </c>
      <c r="J16" s="273">
        <f ca="1">YEAR(TODAY())-1</f>
        <v>2024</v>
      </c>
    </row>
    <row r="17" spans="2:8" ht="28.5" x14ac:dyDescent="0.25">
      <c r="B17" s="264">
        <f ca="1">CR_FOA</f>
        <v>0</v>
      </c>
    </row>
    <row r="18" spans="2:8" ht="28.5" x14ac:dyDescent="0.25">
      <c r="B18" s="264">
        <f ca="1">CR_FPA</f>
        <v>0</v>
      </c>
    </row>
    <row r="19" spans="2:8" ht="28.5" x14ac:dyDescent="0.25">
      <c r="B19" s="264">
        <f ca="1">CR_INFRA</f>
        <v>8</v>
      </c>
    </row>
    <row r="20" spans="2:8" ht="28.5" x14ac:dyDescent="0.25">
      <c r="B20" s="264">
        <f ca="1">CR_BAL</f>
        <v>10</v>
      </c>
    </row>
    <row r="22" spans="2:8" ht="26.25" x14ac:dyDescent="0.25">
      <c r="B22" s="265">
        <f ca="1">CR_FRET</f>
        <v>13</v>
      </c>
    </row>
    <row r="23" spans="2:8" ht="28.5" x14ac:dyDescent="0.25">
      <c r="B23" s="266">
        <f ca="1">+CR_EMT</f>
        <v>7</v>
      </c>
    </row>
    <row r="25" spans="2:8" ht="21" x14ac:dyDescent="0.25">
      <c r="B25" s="269">
        <f ca="1">CR_DEVS</f>
        <v>2</v>
      </c>
    </row>
    <row r="26" spans="2:8" ht="21" x14ac:dyDescent="0.25">
      <c r="B26" s="267"/>
    </row>
    <row r="27" spans="2:8" ht="21" x14ac:dyDescent="0.25">
      <c r="B27" s="270">
        <f ca="1">CR_DEVP</f>
        <v>0</v>
      </c>
    </row>
    <row r="29" spans="2:8" ht="21" x14ac:dyDescent="0.25">
      <c r="D29" s="263" t="str">
        <f ca="1">Q119</f>
        <v>JANVIER</v>
      </c>
      <c r="G29" s="269">
        <f ca="1">CR_PERTT</f>
        <v>65</v>
      </c>
      <c r="H29" s="269">
        <f>CR_PERT</f>
        <v>65</v>
      </c>
    </row>
    <row r="30" spans="2:8" ht="21" x14ac:dyDescent="0.25">
      <c r="G30" s="267"/>
      <c r="H30" s="267"/>
    </row>
    <row r="31" spans="2:8" ht="21" x14ac:dyDescent="0.25">
      <c r="B31" s="269"/>
      <c r="G31" s="271">
        <f ca="1">CR_PERMT</f>
        <v>1</v>
      </c>
      <c r="H31" s="271">
        <f>CR_PERM</f>
        <v>1</v>
      </c>
    </row>
    <row r="32" spans="2:8" ht="21" x14ac:dyDescent="0.25">
      <c r="G32" s="267"/>
      <c r="H32" s="267"/>
    </row>
    <row r="33" spans="2:18" ht="21" x14ac:dyDescent="0.25">
      <c r="G33" s="268">
        <f ca="1">CR_PERCT</f>
        <v>10</v>
      </c>
      <c r="H33" s="268">
        <f>CR_PERC</f>
        <v>10</v>
      </c>
    </row>
    <row r="34" spans="2:18" ht="21" x14ac:dyDescent="0.25">
      <c r="B34" s="270"/>
      <c r="G34" s="267"/>
      <c r="H34" s="267"/>
    </row>
    <row r="35" spans="2:18" ht="21" x14ac:dyDescent="0.25">
      <c r="G35" s="272">
        <f ca="1">CR_PERPT</f>
        <v>108</v>
      </c>
      <c r="H35" s="273">
        <f>CR_PERP</f>
        <v>108</v>
      </c>
    </row>
    <row r="36" spans="2:18" ht="21" x14ac:dyDescent="0.25">
      <c r="G36" s="267"/>
      <c r="H36" s="267"/>
    </row>
    <row r="37" spans="2:18" ht="26.25" x14ac:dyDescent="0.25">
      <c r="J37" s="275">
        <f>CR_PERT</f>
        <v>65</v>
      </c>
    </row>
    <row r="38" spans="2:18" ht="21" customHeight="1" x14ac:dyDescent="0.25">
      <c r="J38" s="276"/>
      <c r="L38" s="263">
        <f>CR_PERH</f>
        <v>73</v>
      </c>
    </row>
    <row r="39" spans="2:18" ht="26.25" x14ac:dyDescent="0.25">
      <c r="J39" s="277">
        <f>CR_PERM</f>
        <v>1</v>
      </c>
    </row>
    <row r="40" spans="2:18" ht="26.25" x14ac:dyDescent="0.25">
      <c r="J40" s="276"/>
    </row>
    <row r="41" spans="2:18" ht="26.25" x14ac:dyDescent="0.25">
      <c r="J41" s="274">
        <f>CR_PERC</f>
        <v>10</v>
      </c>
    </row>
    <row r="42" spans="2:18" ht="26.25" x14ac:dyDescent="0.25">
      <c r="J42" s="276"/>
    </row>
    <row r="43" spans="2:18" ht="26.25" x14ac:dyDescent="0.25">
      <c r="J43" s="278">
        <f>CR_PERP</f>
        <v>108</v>
      </c>
      <c r="L43" s="278"/>
      <c r="O43" s="278"/>
      <c r="P43" s="278">
        <v>10947</v>
      </c>
      <c r="R43" s="278"/>
    </row>
    <row r="45" spans="2:18" x14ac:dyDescent="0.25">
      <c r="B45" s="279">
        <f ca="1">CR_NEI</f>
        <v>1</v>
      </c>
      <c r="P45" s="341">
        <f>P43/674</f>
        <v>16.241839762611274</v>
      </c>
    </row>
    <row r="46" spans="2:18" x14ac:dyDescent="0.25">
      <c r="B46" s="279">
        <f ca="1">CR_PLUIE</f>
        <v>8</v>
      </c>
      <c r="P46" s="341">
        <f>P43/4791</f>
        <v>2.284909204758923</v>
      </c>
    </row>
    <row r="47" spans="2:18" x14ac:dyDescent="0.25">
      <c r="B47" s="279">
        <f ca="1">CR_VF</f>
        <v>0</v>
      </c>
      <c r="P47" s="341">
        <f>P43/6789</f>
        <v>1.61246133451171</v>
      </c>
    </row>
    <row r="48" spans="2:18" x14ac:dyDescent="0.25">
      <c r="B48" s="279">
        <f ca="1">CR_CDM</f>
        <v>2</v>
      </c>
    </row>
    <row r="51" spans="2:14" x14ac:dyDescent="0.25">
      <c r="B51" s="281">
        <f ca="1">CR_FATT</f>
        <v>15</v>
      </c>
    </row>
    <row r="52" spans="2:14" x14ac:dyDescent="0.25">
      <c r="B52" s="281">
        <f>CR_NOTT</f>
        <v>31</v>
      </c>
    </row>
    <row r="53" spans="2:14" x14ac:dyDescent="0.25">
      <c r="B53" s="281">
        <f>CR_MRRT</f>
        <v>5</v>
      </c>
    </row>
    <row r="54" spans="2:14" x14ac:dyDescent="0.25">
      <c r="B54" s="281">
        <f>CR_GRUT</f>
        <v>22</v>
      </c>
    </row>
    <row r="57" spans="2:14" ht="23.25" x14ac:dyDescent="0.35">
      <c r="N57" s="282">
        <f>CR_FATA</f>
        <v>25</v>
      </c>
    </row>
    <row r="58" spans="2:14" ht="23.25" x14ac:dyDescent="0.35">
      <c r="N58" s="282">
        <f>CR_NOTA</f>
        <v>31</v>
      </c>
    </row>
    <row r="59" spans="2:14" ht="23.25" x14ac:dyDescent="0.35">
      <c r="N59" s="282">
        <f>CR_MRRA</f>
        <v>5</v>
      </c>
    </row>
    <row r="60" spans="2:14" ht="23.25" x14ac:dyDescent="0.35">
      <c r="N60" s="282">
        <f>CR_GRUA</f>
        <v>22</v>
      </c>
    </row>
    <row r="63" spans="2:14" ht="21" x14ac:dyDescent="0.25">
      <c r="N63" s="295">
        <f ca="1">CR_CDF</f>
        <v>0</v>
      </c>
    </row>
    <row r="64" spans="2:14" ht="21" x14ac:dyDescent="0.25">
      <c r="B64" s="286">
        <f ca="1">CR_ETV</f>
        <v>1</v>
      </c>
      <c r="N64" s="296">
        <f ca="1">CR_DCT</f>
        <v>73</v>
      </c>
    </row>
    <row r="65" spans="2:15" ht="21" x14ac:dyDescent="0.25">
      <c r="B65" s="260"/>
      <c r="N65" s="295">
        <f ca="1">CR_DK</f>
        <v>5</v>
      </c>
    </row>
    <row r="66" spans="2:15" ht="21" x14ac:dyDescent="0.25">
      <c r="B66" s="287">
        <f ca="1">CR_ETA</f>
        <v>3</v>
      </c>
      <c r="N66" s="296">
        <f ca="1">CR_MDE</f>
        <v>0</v>
      </c>
    </row>
    <row r="67" spans="2:15" ht="21" x14ac:dyDescent="0.25">
      <c r="B67" s="260"/>
      <c r="N67" s="295">
        <f ca="1">CR_REP</f>
        <v>22</v>
      </c>
    </row>
    <row r="68" spans="2:15" ht="21" x14ac:dyDescent="0.25">
      <c r="B68" s="288">
        <f ca="1">CR_ETC</f>
        <v>0</v>
      </c>
      <c r="N68" s="296">
        <f ca="1">CR_AOG</f>
        <v>3</v>
      </c>
    </row>
    <row r="69" spans="2:15" ht="21" x14ac:dyDescent="0.25">
      <c r="N69" s="295">
        <f ca="1">CR_SAT</f>
        <v>6</v>
      </c>
    </row>
    <row r="70" spans="2:15" ht="21" x14ac:dyDescent="0.25">
      <c r="N70" s="296">
        <f ca="1">CR_TVX</f>
        <v>0</v>
      </c>
    </row>
    <row r="72" spans="2:15" ht="21" x14ac:dyDescent="0.25">
      <c r="N72" s="283">
        <f ca="1">CR_TOTR</f>
        <v>109</v>
      </c>
    </row>
    <row r="74" spans="2:15" ht="23.25" x14ac:dyDescent="0.25">
      <c r="B74" s="284">
        <f ca="1">CR_TOTST</f>
        <v>8</v>
      </c>
    </row>
    <row r="76" spans="2:15" x14ac:dyDescent="0.25">
      <c r="N76" s="280"/>
      <c r="O76" s="285" t="str">
        <f>HDG_1</f>
        <v>AFR</v>
      </c>
    </row>
    <row r="77" spans="2:15" x14ac:dyDescent="0.25">
      <c r="N77" s="280"/>
      <c r="O77" s="285" t="str">
        <f>HDG_2</f>
        <v>AVP</v>
      </c>
    </row>
    <row r="78" spans="2:15" x14ac:dyDescent="0.25">
      <c r="N78" s="280"/>
      <c r="O78" s="285" t="str">
        <f>HDG_3</f>
        <v>ALZ</v>
      </c>
    </row>
    <row r="79" spans="2:15" x14ac:dyDescent="0.25">
      <c r="N79" s="280"/>
      <c r="O79" s="285" t="str">
        <f>HDG_4</f>
        <v>MZS</v>
      </c>
    </row>
    <row r="81" spans="1:15" ht="23.25" x14ac:dyDescent="0.25">
      <c r="B81" s="334">
        <f ca="1">CR_STNC</f>
        <v>0.25</v>
      </c>
    </row>
    <row r="82" spans="1:15" x14ac:dyDescent="0.25">
      <c r="A82" s="560"/>
      <c r="B82" s="560"/>
      <c r="C82" s="560"/>
    </row>
    <row r="83" spans="1:15" x14ac:dyDescent="0.25">
      <c r="A83" s="560"/>
      <c r="B83" s="561">
        <f ca="1">CR!M65</f>
        <v>0</v>
      </c>
      <c r="C83" s="560"/>
    </row>
    <row r="84" spans="1:15" x14ac:dyDescent="0.25">
      <c r="A84" s="560"/>
      <c r="B84" s="560"/>
      <c r="C84" s="560"/>
    </row>
    <row r="85" spans="1:15" x14ac:dyDescent="0.25">
      <c r="O85" s="289">
        <f ca="1">IF(MOIS_M=1,'LOG_ANNUEL_A-1'!P172,VLOOKUP(301,DATA_A_FAC,VCR+3,FALSE))</f>
        <v>0</v>
      </c>
    </row>
    <row r="86" spans="1:15" x14ac:dyDescent="0.25">
      <c r="O86" s="289">
        <f ca="1">IF(MOIS_M=1,'LOG_ANNUEL_A-1'!P173,VLOOKUP(302,DATA_A_FAC,VCR+3,FALSE))</f>
        <v>0</v>
      </c>
    </row>
    <row r="87" spans="1:15" x14ac:dyDescent="0.25">
      <c r="O87" s="289">
        <f ca="1">IF(MOIS_M=1,'LOG_ANNUEL_A-1'!P174,VLOOKUP(303,DATA_A_FAC,VCR+3,FALSE))</f>
        <v>0</v>
      </c>
    </row>
    <row r="88" spans="1:15" x14ac:dyDescent="0.25">
      <c r="O88" s="289">
        <f ca="1">IF(MOIS_M=1,'LOG_ANNUEL_A-1'!P175,VLOOKUP(304,DATA_A_FAC,VCR+3,FALSE))</f>
        <v>0</v>
      </c>
    </row>
    <row r="89" spans="1:15" x14ac:dyDescent="0.25">
      <c r="O89" s="289">
        <f ca="1">IF(MOIS_M=1,'LOG_ANNUEL_A-1'!P176,VLOOKUP(305,DATA_A_FAC,VCR+3,FALSE))</f>
        <v>0</v>
      </c>
    </row>
    <row r="90" spans="1:15" x14ac:dyDescent="0.25">
      <c r="O90" s="289">
        <f ca="1">IF(MOIS_M=1,'LOG_ANNUEL_A-1'!P177,VLOOKUP(306,DATA_A_FAC,VCR+3,FALSE))</f>
        <v>1603</v>
      </c>
    </row>
    <row r="91" spans="1:15" x14ac:dyDescent="0.25">
      <c r="O91" s="289">
        <f ca="1">IF(MOIS_M=1,('LOG_ANNUEL_A-1'!P50+'LOG_ANNUEL_A-1'!P48)*PRIX_TRACT,(VLOOKUP(34,DATA_A_MAIN,VCR+3,FALSE)+VLOOKUP(32,DATA_A_MAIN,VCR+3,FALSE))*PRIX_TRACT)</f>
        <v>8395</v>
      </c>
    </row>
    <row r="92" spans="1:15" x14ac:dyDescent="0.25">
      <c r="A92" s="17"/>
      <c r="B92" s="17"/>
      <c r="C92" s="17"/>
      <c r="O92" s="289">
        <f ca="1">IF(MOIS_M=1,'LOG_ANNUEL_A-1'!P268,(VLOOKUP(195,DATA_A_PERMIS,VCR+3,FALSE)))</f>
        <v>6202</v>
      </c>
    </row>
    <row r="93" spans="1:15" ht="26.25" x14ac:dyDescent="0.25">
      <c r="A93" s="17"/>
      <c r="B93" s="290"/>
      <c r="C93" s="17"/>
    </row>
    <row r="94" spans="1:15" ht="26.25" x14ac:dyDescent="0.25">
      <c r="A94" s="17"/>
      <c r="B94" s="265"/>
      <c r="C94" s="17"/>
    </row>
    <row r="95" spans="1:15" ht="26.25" x14ac:dyDescent="0.25">
      <c r="A95" s="17"/>
      <c r="B95" s="290" t="str">
        <f ca="1">IF(T_BS="0",$B$109,IF(T_BS="1",$B$111,IF(T_BS="2",$B$110)))</f>
        <v>↘</v>
      </c>
      <c r="C95" s="17"/>
    </row>
    <row r="96" spans="1:15" ht="26.25" x14ac:dyDescent="0.25">
      <c r="A96" s="17"/>
      <c r="B96" s="265"/>
      <c r="C96" s="17"/>
    </row>
    <row r="97" spans="1:3" ht="26.25" x14ac:dyDescent="0.25">
      <c r="A97" s="17"/>
      <c r="B97" s="290" t="str">
        <f ca="1">IF(T_SGS="0",$B$109,IF(T_SGS="1",$B$111,IF(T_SGS="2",$B$110)))</f>
        <v>↘</v>
      </c>
      <c r="C97" s="17"/>
    </row>
    <row r="98" spans="1:3" ht="26.25" x14ac:dyDescent="0.25">
      <c r="A98" s="17"/>
      <c r="B98" s="265"/>
      <c r="C98" s="17"/>
    </row>
    <row r="99" spans="1:3" ht="26.25" x14ac:dyDescent="0.25">
      <c r="A99" s="17"/>
      <c r="B99" s="290" t="str">
        <f ca="1">IF(T_FNA="0",$B$109,IF(T_FNA="1",$B$111,IF(T_FNA="2",$B$110)))</f>
        <v>↘</v>
      </c>
      <c r="C99" s="17"/>
    </row>
    <row r="100" spans="1:3" ht="26.25" x14ac:dyDescent="0.25">
      <c r="A100" s="17"/>
      <c r="B100" s="265"/>
      <c r="C100" s="17"/>
    </row>
    <row r="101" spans="1:3" ht="26.25" x14ac:dyDescent="0.25">
      <c r="A101" s="17"/>
      <c r="B101" s="290" t="str">
        <f ca="1">IF(T_FOA="0",$B$109,IF(T_FOA="1",$B$111,IF(T_FOA="2",$B$110)))</f>
        <v>↘</v>
      </c>
      <c r="C101" s="17"/>
    </row>
    <row r="102" spans="1:3" ht="26.25" x14ac:dyDescent="0.25">
      <c r="A102" s="17"/>
      <c r="B102" s="265"/>
      <c r="C102" s="17"/>
    </row>
    <row r="103" spans="1:3" ht="26.25" x14ac:dyDescent="0.25">
      <c r="A103" s="17"/>
      <c r="B103" s="290" t="str">
        <f ca="1">IF(T_FPA="0",$B$109,IF(T_FPA="1",$B$111,IF(T_FPA="2",$B$110)))</f>
        <v>↘</v>
      </c>
      <c r="C103" s="17"/>
    </row>
    <row r="104" spans="1:3" ht="26.25" x14ac:dyDescent="0.25">
      <c r="A104" s="17"/>
      <c r="B104" s="265"/>
      <c r="C104" s="17"/>
    </row>
    <row r="105" spans="1:3" ht="26.25" x14ac:dyDescent="0.25">
      <c r="A105" s="17"/>
      <c r="B105" s="290" t="str">
        <f ca="1">IF(T_BAL="0",$B$109,IF(T_BAL="1",$B$111,IF(T_BAL="2",$B$110)))</f>
        <v>↘</v>
      </c>
      <c r="C105" s="17"/>
    </row>
    <row r="106" spans="1:3" ht="26.25" x14ac:dyDescent="0.25">
      <c r="A106" s="17"/>
      <c r="B106" s="265"/>
      <c r="C106" s="17"/>
    </row>
    <row r="107" spans="1:3" ht="26.25" x14ac:dyDescent="0.25">
      <c r="A107" s="17"/>
      <c r="B107" s="290" t="str">
        <f ca="1">IF(T_INFRA="0",$B$109,IF(T_INFRA="1",$B$111,IF(T_INFRA="2",$B$110)))</f>
        <v>↘</v>
      </c>
      <c r="C107" s="17"/>
    </row>
    <row r="108" spans="1:3" x14ac:dyDescent="0.25">
      <c r="B108" s="17"/>
      <c r="C108" s="17"/>
    </row>
    <row r="109" spans="1:3" ht="26.25" x14ac:dyDescent="0.25">
      <c r="A109">
        <v>0</v>
      </c>
      <c r="B109" s="292" t="s">
        <v>845</v>
      </c>
    </row>
    <row r="110" spans="1:3" ht="26.25" x14ac:dyDescent="0.25">
      <c r="A110">
        <v>2</v>
      </c>
      <c r="B110" s="291" t="s">
        <v>846</v>
      </c>
    </row>
    <row r="111" spans="1:3" ht="26.25" x14ac:dyDescent="0.25">
      <c r="A111">
        <v>1</v>
      </c>
      <c r="B111" s="290" t="s">
        <v>847</v>
      </c>
    </row>
    <row r="119" spans="2:17" x14ac:dyDescent="0.25">
      <c r="Q119" s="352" t="str">
        <f ca="1">CR_INPM</f>
        <v>JANVIER</v>
      </c>
    </row>
    <row r="120" spans="2:17" x14ac:dyDescent="0.25">
      <c r="Q120" s="297" t="str">
        <f ca="1">CR_INPM1</f>
        <v>DECEMBRE</v>
      </c>
    </row>
    <row r="122" spans="2:17" x14ac:dyDescent="0.25">
      <c r="B122" s="17"/>
      <c r="C122" s="17"/>
      <c r="D122" s="17"/>
    </row>
    <row r="123" spans="2:17" x14ac:dyDescent="0.25">
      <c r="B123" s="17"/>
      <c r="C123" s="333" t="str">
        <f ca="1">"(tendances "&amp;MOIS_N1&amp;")"</f>
        <v>(tendances JANVIER 25)</v>
      </c>
      <c r="D123" s="17"/>
    </row>
    <row r="124" spans="2:17" x14ac:dyDescent="0.25">
      <c r="B124" s="17"/>
      <c r="C124" s="17"/>
      <c r="D124" s="17"/>
    </row>
    <row r="127" spans="2:17" x14ac:dyDescent="0.25">
      <c r="B127" s="336"/>
    </row>
    <row r="128" spans="2:17" x14ac:dyDescent="0.25">
      <c r="B128" s="337"/>
    </row>
    <row r="129" spans="2:19" x14ac:dyDescent="0.25">
      <c r="B129" s="335"/>
    </row>
    <row r="130" spans="2:19" x14ac:dyDescent="0.25">
      <c r="B130" s="338"/>
    </row>
    <row r="131" spans="2:19" x14ac:dyDescent="0.25">
      <c r="B131" s="335"/>
    </row>
    <row r="132" spans="2:19" x14ac:dyDescent="0.25">
      <c r="B132" s="339"/>
    </row>
    <row r="138" spans="2:19" ht="28.5" x14ac:dyDescent="0.45">
      <c r="S138" s="342"/>
    </row>
    <row r="139" spans="2:19" ht="28.5" x14ac:dyDescent="0.45">
      <c r="S139" s="342"/>
    </row>
    <row r="140" spans="2:19" ht="28.5" x14ac:dyDescent="0.45">
      <c r="S140" s="342"/>
    </row>
    <row r="141" spans="2:19" ht="28.5" x14ac:dyDescent="0.45">
      <c r="S141" s="342"/>
    </row>
    <row r="142" spans="2:19" ht="28.5" x14ac:dyDescent="0.45">
      <c r="S142" s="342"/>
    </row>
    <row r="143" spans="2:19" ht="28.5" x14ac:dyDescent="0.45">
      <c r="S143" s="342"/>
    </row>
    <row r="147" spans="5:30" x14ac:dyDescent="0.25">
      <c r="AB147" s="17"/>
      <c r="AC147" s="17"/>
      <c r="AD147" s="17"/>
    </row>
    <row r="148" spans="5:30" ht="26.25" x14ac:dyDescent="0.25">
      <c r="AB148" s="17"/>
      <c r="AC148" s="290"/>
      <c r="AD148" s="17"/>
    </row>
    <row r="149" spans="5:30" ht="26.25" x14ac:dyDescent="0.25">
      <c r="E149" s="279"/>
      <c r="F149" s="17"/>
      <c r="G149" s="17"/>
      <c r="AB149" s="17"/>
      <c r="AC149" s="265"/>
      <c r="AD149" s="17"/>
    </row>
    <row r="150" spans="5:30" ht="26.25" x14ac:dyDescent="0.25">
      <c r="E150" s="279"/>
      <c r="F150" s="281" t="str">
        <f ca="1">CR!N96</f>
        <v>0/20</v>
      </c>
      <c r="G150" s="17"/>
      <c r="AB150" s="17"/>
      <c r="AC150" s="290" t="str">
        <f ca="1">IF(T_BS="0",$B$109,IF(T_BS="1",$B$111,IF(T_BS="2",$B$110)))</f>
        <v>↘</v>
      </c>
      <c r="AD150" s="17"/>
    </row>
    <row r="151" spans="5:30" ht="26.25" x14ac:dyDescent="0.25">
      <c r="E151" s="279"/>
      <c r="F151" s="17"/>
      <c r="G151" s="17"/>
      <c r="AB151" s="17"/>
      <c r="AC151" s="265"/>
      <c r="AD151" s="17"/>
    </row>
    <row r="152" spans="5:30" ht="26.25" x14ac:dyDescent="0.25">
      <c r="AB152" s="17"/>
      <c r="AC152" s="290"/>
      <c r="AD152" s="17"/>
    </row>
    <row r="153" spans="5:30" ht="26.25" x14ac:dyDescent="0.25">
      <c r="AB153" s="17"/>
      <c r="AC153" s="265"/>
      <c r="AD153" s="17"/>
    </row>
    <row r="154" spans="5:30" ht="26.25" x14ac:dyDescent="0.25">
      <c r="AB154" s="17"/>
      <c r="AC154" s="290"/>
      <c r="AD154" s="17"/>
    </row>
    <row r="155" spans="5:30" ht="26.25" x14ac:dyDescent="0.25">
      <c r="AB155" s="17"/>
      <c r="AC155" s="265"/>
      <c r="AD155" s="17"/>
    </row>
    <row r="156" spans="5:30" ht="26.25" x14ac:dyDescent="0.25">
      <c r="AB156" s="17"/>
      <c r="AC156" s="290"/>
      <c r="AD156" s="17"/>
    </row>
    <row r="157" spans="5:30" ht="26.25" x14ac:dyDescent="0.25">
      <c r="AB157" s="17"/>
      <c r="AC157" s="265"/>
      <c r="AD157" s="17"/>
    </row>
    <row r="158" spans="5:30" ht="26.25" x14ac:dyDescent="0.25">
      <c r="AB158" s="17"/>
      <c r="AC158" s="290"/>
      <c r="AD158" s="17"/>
    </row>
    <row r="159" spans="5:30" ht="26.25" x14ac:dyDescent="0.25">
      <c r="AB159" s="17"/>
      <c r="AC159" s="265"/>
      <c r="AD159" s="17"/>
    </row>
    <row r="160" spans="5:30" ht="26.25" x14ac:dyDescent="0.25">
      <c r="AB160" s="17"/>
      <c r="AC160" s="290"/>
      <c r="AD160" s="17"/>
    </row>
    <row r="161" spans="7:30" ht="26.25" x14ac:dyDescent="0.25">
      <c r="AB161" s="17"/>
      <c r="AC161" s="265"/>
      <c r="AD161" s="17"/>
    </row>
    <row r="162" spans="7:30" ht="26.25" x14ac:dyDescent="0.25">
      <c r="AB162" s="17"/>
      <c r="AC162" s="290"/>
      <c r="AD162" s="17"/>
    </row>
    <row r="163" spans="7:30" x14ac:dyDescent="0.25">
      <c r="AB163" s="17"/>
      <c r="AC163" s="17"/>
      <c r="AD163" s="17"/>
    </row>
    <row r="165" spans="7:30" ht="21" x14ac:dyDescent="0.25">
      <c r="G165" s="269"/>
      <c r="X165" s="296"/>
    </row>
    <row r="166" spans="7:30" ht="21" x14ac:dyDescent="0.25">
      <c r="G166" s="267"/>
      <c r="X166" s="296"/>
    </row>
    <row r="167" spans="7:30" ht="21" x14ac:dyDescent="0.25">
      <c r="G167" s="271"/>
      <c r="X167" s="296"/>
    </row>
    <row r="168" spans="7:30" ht="21" x14ac:dyDescent="0.25">
      <c r="G168" s="267"/>
      <c r="X168" s="296"/>
    </row>
    <row r="169" spans="7:30" ht="21" x14ac:dyDescent="0.25">
      <c r="G169" s="268"/>
      <c r="X169" s="296"/>
    </row>
    <row r="170" spans="7:30" ht="21" x14ac:dyDescent="0.25">
      <c r="G170" s="267"/>
      <c r="X170" s="296"/>
    </row>
    <row r="171" spans="7:30" ht="21" x14ac:dyDescent="0.25">
      <c r="G171" s="272"/>
      <c r="X171" s="296"/>
    </row>
    <row r="172" spans="7:30" ht="21" x14ac:dyDescent="0.25">
      <c r="X172" s="296"/>
    </row>
    <row r="173" spans="7:30" ht="21" x14ac:dyDescent="0.25">
      <c r="G173" s="346"/>
      <c r="X173" s="295"/>
    </row>
    <row r="174" spans="7:30" ht="21" x14ac:dyDescent="0.25">
      <c r="X174" s="296"/>
    </row>
    <row r="175" spans="7:30" ht="21" x14ac:dyDescent="0.25">
      <c r="X175" s="295"/>
    </row>
    <row r="176" spans="7:30" ht="21" x14ac:dyDescent="0.25">
      <c r="X176" s="296"/>
    </row>
    <row r="177" spans="24:26" ht="21" x14ac:dyDescent="0.25">
      <c r="X177" s="295"/>
    </row>
    <row r="178" spans="24:26" ht="21" x14ac:dyDescent="0.25">
      <c r="X178" s="296"/>
    </row>
    <row r="179" spans="24:26" ht="21" x14ac:dyDescent="0.25">
      <c r="X179" s="295"/>
    </row>
    <row r="180" spans="24:26" ht="21" x14ac:dyDescent="0.25">
      <c r="X180" s="296"/>
    </row>
    <row r="182" spans="24:26" ht="21" x14ac:dyDescent="0.25">
      <c r="Z182" s="268"/>
    </row>
    <row r="186" spans="24:26" ht="23.25" x14ac:dyDescent="0.25">
      <c r="X186" s="284"/>
    </row>
    <row r="187" spans="24:26" ht="21" x14ac:dyDescent="0.25">
      <c r="X187" s="344"/>
    </row>
    <row r="188" spans="24:26" ht="21" x14ac:dyDescent="0.25">
      <c r="X188" s="344"/>
    </row>
    <row r="189" spans="24:26" ht="21" x14ac:dyDescent="0.25">
      <c r="X189" s="344"/>
    </row>
    <row r="190" spans="24:26" ht="21" x14ac:dyDescent="0.25">
      <c r="X190" s="344"/>
    </row>
    <row r="191" spans="24:26" ht="21" x14ac:dyDescent="0.25">
      <c r="X191" s="344"/>
    </row>
    <row r="208" spans="30:30" x14ac:dyDescent="0.25">
      <c r="AD208" s="289"/>
    </row>
    <row r="209" spans="30:30" x14ac:dyDescent="0.25">
      <c r="AD209" s="289"/>
    </row>
    <row r="210" spans="30:30" x14ac:dyDescent="0.25">
      <c r="AD210" s="289"/>
    </row>
    <row r="211" spans="30:30" x14ac:dyDescent="0.25">
      <c r="AD211" s="289"/>
    </row>
    <row r="212" spans="30:30" x14ac:dyDescent="0.25">
      <c r="AD212" s="289"/>
    </row>
    <row r="213" spans="30:30" x14ac:dyDescent="0.25">
      <c r="AD213" s="289"/>
    </row>
    <row r="214" spans="30:30" x14ac:dyDescent="0.25">
      <c r="AD214" s="289"/>
    </row>
    <row r="215" spans="30:30" x14ac:dyDescent="0.25">
      <c r="AD215" s="289"/>
    </row>
    <row r="216" spans="30:30" x14ac:dyDescent="0.25">
      <c r="AD216" s="289"/>
    </row>
    <row r="218" spans="30:30" x14ac:dyDescent="0.25">
      <c r="AD218" s="345"/>
    </row>
  </sheetData>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containsText" priority="4" operator="containsText" id="{D755F596-C10D-4C10-9442-95A783F52EAA}">
            <xm:f>NOT(ISERROR(SEARCH($B$111,B93)))</xm:f>
            <xm:f>$B$111</xm:f>
            <x14:dxf>
              <font>
                <b/>
                <i val="0"/>
              </font>
            </x14:dxf>
          </x14:cfRule>
          <x14:cfRule type="containsText" priority="5" operator="containsText" id="{205D29D9-6413-4A30-83EA-1BC626FB365A}">
            <xm:f>NOT(ISERROR(SEARCH($B$110,B93)))</xm:f>
            <xm:f>$B$110</xm:f>
            <x14:dxf>
              <font>
                <b/>
                <i val="0"/>
                <color rgb="FF92D050"/>
              </font>
            </x14:dxf>
          </x14:cfRule>
          <x14:cfRule type="containsText" priority="6" operator="containsText" id="{6EA3DF03-3E64-409D-9EB4-53018274A639}">
            <xm:f>NOT(ISERROR(SEARCH($B$109,B93)))</xm:f>
            <xm:f>$B$109</xm:f>
            <x14:dxf>
              <font>
                <b/>
                <i val="0"/>
                <color rgb="FFFF0000"/>
              </font>
            </x14:dxf>
          </x14:cfRule>
          <xm:sqref>B93:B107</xm:sqref>
        </x14:conditionalFormatting>
        <x14:conditionalFormatting xmlns:xm="http://schemas.microsoft.com/office/excel/2006/main">
          <x14:cfRule type="containsText" priority="1" operator="containsText" id="{3A5BC77D-6372-413B-8AD5-EE7B922E4A5C}">
            <xm:f>NOT(ISERROR(SEARCH($B$111,AC148)))</xm:f>
            <xm:f>$B$111</xm:f>
            <x14:dxf>
              <font>
                <b/>
                <i val="0"/>
              </font>
            </x14:dxf>
          </x14:cfRule>
          <x14:cfRule type="containsText" priority="2" operator="containsText" id="{8A23D0E0-0A89-4F69-8D12-927E07091B09}">
            <xm:f>NOT(ISERROR(SEARCH($B$110,AC148)))</xm:f>
            <xm:f>$B$110</xm:f>
            <x14:dxf>
              <font>
                <b/>
                <i val="0"/>
                <color rgb="FF92D050"/>
              </font>
            </x14:dxf>
          </x14:cfRule>
          <x14:cfRule type="containsText" priority="3" operator="containsText" id="{58DC8E6A-9D59-4408-A9F1-E6E5D83D3E92}">
            <xm:f>NOT(ISERROR(SEARCH($B$109,AC148)))</xm:f>
            <xm:f>$B$109</xm:f>
            <x14:dxf>
              <font>
                <b/>
                <i val="0"/>
                <color rgb="FFFF0000"/>
              </font>
            </x14:dxf>
          </x14:cfRule>
          <xm:sqref>AC148:AC162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V57"/>
  <sheetViews>
    <sheetView workbookViewId="0">
      <selection activeCell="H15" sqref="H15"/>
    </sheetView>
  </sheetViews>
  <sheetFormatPr baseColWidth="10" defaultRowHeight="15" x14ac:dyDescent="0.25"/>
  <cols>
    <col min="8" max="8" width="22.7109375" customWidth="1"/>
    <col min="22" max="22" width="16.42578125" bestFit="1" customWidth="1"/>
  </cols>
  <sheetData>
    <row r="1" spans="2:22" ht="15.75" thickBot="1" x14ac:dyDescent="0.3"/>
    <row r="2" spans="2:22" ht="15.75" thickBot="1" x14ac:dyDescent="0.3">
      <c r="B2" s="82" t="s">
        <v>220</v>
      </c>
      <c r="C2" s="920" t="str">
        <f ca="1">TEXT(TODAY(),"MMMM")&amp;" "&amp;DATA_ANNN</f>
        <v>février 2025</v>
      </c>
      <c r="D2" s="920"/>
      <c r="E2" s="122" t="str">
        <f ca="1">TEXT(TODAY(),"MMM")&amp;" "&amp;DATA_ANNN</f>
        <v>févr 2025</v>
      </c>
      <c r="G2" s="1044" t="s">
        <v>396</v>
      </c>
      <c r="H2" s="1045"/>
      <c r="I2" s="107"/>
      <c r="J2" s="107"/>
      <c r="L2" s="1044" t="s">
        <v>22</v>
      </c>
      <c r="M2" s="1046"/>
      <c r="N2" s="1046"/>
      <c r="O2" s="1046"/>
      <c r="P2" s="1045"/>
      <c r="R2" s="919" t="s">
        <v>577</v>
      </c>
      <c r="S2" s="921"/>
      <c r="U2" s="919" t="s">
        <v>578</v>
      </c>
      <c r="V2" s="921"/>
    </row>
    <row r="3" spans="2:22" ht="15.75" thickBot="1" x14ac:dyDescent="0.3">
      <c r="B3" s="73">
        <f ca="1">DAY(TODAY())</f>
        <v>9</v>
      </c>
      <c r="C3" s="749">
        <f ca="1">MONTH(TODAY())</f>
        <v>2</v>
      </c>
      <c r="D3" s="750"/>
      <c r="E3" s="73">
        <f ca="1">YEAR(TODAY())</f>
        <v>2025</v>
      </c>
      <c r="G3" s="129">
        <v>1</v>
      </c>
      <c r="H3" s="112" t="s">
        <v>473</v>
      </c>
      <c r="I3" s="45"/>
      <c r="J3" s="45"/>
      <c r="L3" s="120" t="s">
        <v>32</v>
      </c>
      <c r="M3" s="810" t="s">
        <v>23</v>
      </c>
      <c r="N3" s="810"/>
      <c r="O3" s="810"/>
      <c r="P3" s="59">
        <v>1</v>
      </c>
      <c r="R3" s="58">
        <v>1</v>
      </c>
      <c r="S3" s="59" t="s">
        <v>548</v>
      </c>
      <c r="U3" s="120" t="s">
        <v>387</v>
      </c>
      <c r="V3" s="59">
        <v>1</v>
      </c>
    </row>
    <row r="4" spans="2:22" x14ac:dyDescent="0.25">
      <c r="B4" s="41">
        <v>1</v>
      </c>
      <c r="C4" s="41">
        <v>1</v>
      </c>
      <c r="D4" s="41">
        <v>1</v>
      </c>
      <c r="E4" s="41">
        <v>1</v>
      </c>
      <c r="G4" s="36">
        <v>2</v>
      </c>
      <c r="H4" s="113" t="s">
        <v>397</v>
      </c>
      <c r="I4" s="45"/>
      <c r="J4" s="45"/>
      <c r="L4" s="109" t="s">
        <v>33</v>
      </c>
      <c r="M4" s="677" t="s">
        <v>24</v>
      </c>
      <c r="N4" s="677"/>
      <c r="O4" s="677"/>
      <c r="P4" s="78">
        <v>2</v>
      </c>
      <c r="R4" s="76">
        <v>2</v>
      </c>
      <c r="S4" s="78" t="s">
        <v>549</v>
      </c>
      <c r="U4" s="109" t="s">
        <v>388</v>
      </c>
      <c r="V4" s="78">
        <v>2</v>
      </c>
    </row>
    <row r="5" spans="2:22" ht="15.75" thickBot="1" x14ac:dyDescent="0.3">
      <c r="B5" s="74">
        <v>2</v>
      </c>
      <c r="C5" s="74">
        <v>2</v>
      </c>
      <c r="D5" s="74">
        <v>2</v>
      </c>
      <c r="E5" s="74">
        <v>2</v>
      </c>
      <c r="G5" s="36">
        <v>3</v>
      </c>
      <c r="H5" s="113" t="s">
        <v>849</v>
      </c>
      <c r="I5" s="45"/>
      <c r="J5" s="107"/>
      <c r="L5" s="109" t="s">
        <v>34</v>
      </c>
      <c r="M5" s="677" t="s">
        <v>25</v>
      </c>
      <c r="N5" s="677"/>
      <c r="O5" s="677"/>
      <c r="P5" s="78">
        <v>3</v>
      </c>
      <c r="R5" s="76">
        <v>3</v>
      </c>
      <c r="S5" s="78" t="s">
        <v>70</v>
      </c>
      <c r="U5" s="119" t="s">
        <v>386</v>
      </c>
      <c r="V5" s="64">
        <v>0</v>
      </c>
    </row>
    <row r="6" spans="2:22" x14ac:dyDescent="0.25">
      <c r="B6" s="74">
        <v>3</v>
      </c>
      <c r="C6" s="74">
        <v>3</v>
      </c>
      <c r="D6" s="74">
        <v>3</v>
      </c>
      <c r="E6" s="74">
        <v>3</v>
      </c>
      <c r="G6" s="36">
        <v>4</v>
      </c>
      <c r="H6" s="6" t="s">
        <v>612</v>
      </c>
      <c r="I6" s="45"/>
      <c r="J6" s="45"/>
      <c r="L6" s="109" t="s">
        <v>35</v>
      </c>
      <c r="M6" s="677" t="s">
        <v>26</v>
      </c>
      <c r="N6" s="677"/>
      <c r="O6" s="677"/>
      <c r="P6" s="78">
        <v>4</v>
      </c>
      <c r="R6" s="76">
        <v>4</v>
      </c>
      <c r="S6" s="78" t="s">
        <v>550</v>
      </c>
      <c r="U6" s="301">
        <v>3</v>
      </c>
      <c r="V6" s="59" t="str">
        <f>ADDRESS(HDG_LI1+10,22)</f>
        <v>$V$13</v>
      </c>
    </row>
    <row r="7" spans="2:22" ht="15.75" thickBot="1" x14ac:dyDescent="0.3">
      <c r="B7" s="74">
        <v>4</v>
      </c>
      <c r="C7" s="74">
        <v>4</v>
      </c>
      <c r="D7" s="74">
        <v>4</v>
      </c>
      <c r="E7" s="74">
        <v>4</v>
      </c>
      <c r="G7" s="36">
        <v>5</v>
      </c>
      <c r="H7" s="6" t="s">
        <v>738</v>
      </c>
      <c r="I7" s="45"/>
      <c r="J7" s="45"/>
      <c r="L7" s="109" t="s">
        <v>36</v>
      </c>
      <c r="M7" s="677" t="s">
        <v>27</v>
      </c>
      <c r="N7" s="677"/>
      <c r="O7" s="677"/>
      <c r="P7" s="78">
        <v>5</v>
      </c>
      <c r="R7" s="76">
        <v>5</v>
      </c>
      <c r="S7" s="78" t="s">
        <v>551</v>
      </c>
      <c r="U7" s="62"/>
      <c r="V7" s="64" t="str">
        <f>ADDRESS(HDG_LI1+34,22)</f>
        <v>$V$37</v>
      </c>
    </row>
    <row r="8" spans="2:22" x14ac:dyDescent="0.25">
      <c r="B8" s="74">
        <v>5</v>
      </c>
      <c r="C8" s="74">
        <v>5</v>
      </c>
      <c r="D8" s="74">
        <v>5</v>
      </c>
      <c r="E8" s="74">
        <v>5</v>
      </c>
      <c r="G8" s="36">
        <v>6</v>
      </c>
      <c r="H8" s="113" t="s">
        <v>99</v>
      </c>
      <c r="I8" s="45"/>
      <c r="J8" s="107"/>
      <c r="L8" s="109" t="s">
        <v>37</v>
      </c>
      <c r="M8" s="677" t="s">
        <v>28</v>
      </c>
      <c r="N8" s="677"/>
      <c r="O8" s="677"/>
      <c r="P8" s="78">
        <v>6</v>
      </c>
      <c r="R8" s="76">
        <v>6</v>
      </c>
      <c r="S8" s="78" t="s">
        <v>552</v>
      </c>
      <c r="U8" s="727" t="str">
        <f>VLOOKUP(HDG_LI1,U11:V22,2,FALSE)</f>
        <v>ALZ</v>
      </c>
      <c r="V8" s="728"/>
    </row>
    <row r="9" spans="2:22" ht="15.75" thickBot="1" x14ac:dyDescent="0.3">
      <c r="B9" s="74">
        <v>6</v>
      </c>
      <c r="C9" s="74">
        <v>6</v>
      </c>
      <c r="D9" s="74">
        <v>6</v>
      </c>
      <c r="E9" s="74">
        <v>6</v>
      </c>
      <c r="G9" s="36">
        <v>7</v>
      </c>
      <c r="H9" s="6" t="s">
        <v>893</v>
      </c>
      <c r="I9" s="45"/>
      <c r="J9" s="107"/>
      <c r="L9" s="109" t="s">
        <v>38</v>
      </c>
      <c r="M9" s="677" t="s">
        <v>29</v>
      </c>
      <c r="N9" s="677"/>
      <c r="O9" s="677"/>
      <c r="P9" s="78">
        <v>7</v>
      </c>
      <c r="R9" s="76">
        <v>7</v>
      </c>
      <c r="S9" s="78" t="s">
        <v>553</v>
      </c>
      <c r="U9" s="743" t="str">
        <f>VLOOKUP(HDG_LI1,U35:V46,2,FALSE)</f>
        <v>Alyzia</v>
      </c>
      <c r="V9" s="744"/>
    </row>
    <row r="10" spans="2:22" ht="15.75" thickBot="1" x14ac:dyDescent="0.3">
      <c r="B10" s="74">
        <v>7</v>
      </c>
      <c r="C10" s="74">
        <v>7</v>
      </c>
      <c r="D10" s="74">
        <v>7</v>
      </c>
      <c r="E10" s="74">
        <v>7</v>
      </c>
      <c r="G10" s="36">
        <v>8</v>
      </c>
      <c r="H10" s="6" t="s">
        <v>737</v>
      </c>
      <c r="I10" s="45"/>
      <c r="J10" s="45"/>
      <c r="L10" s="109" t="s">
        <v>39</v>
      </c>
      <c r="M10" s="677" t="s">
        <v>30</v>
      </c>
      <c r="N10" s="677"/>
      <c r="O10" s="677"/>
      <c r="P10" s="78">
        <v>8</v>
      </c>
      <c r="R10" s="76">
        <v>8</v>
      </c>
      <c r="S10" s="78" t="s">
        <v>554</v>
      </c>
      <c r="U10" s="1044" t="s">
        <v>101</v>
      </c>
      <c r="V10" s="1045"/>
    </row>
    <row r="11" spans="2:22" ht="15.75" thickBot="1" x14ac:dyDescent="0.3">
      <c r="B11" s="74">
        <v>8</v>
      </c>
      <c r="C11" s="74">
        <v>8</v>
      </c>
      <c r="D11" s="74">
        <v>8</v>
      </c>
      <c r="E11" s="74">
        <v>8</v>
      </c>
      <c r="G11" s="36">
        <v>9</v>
      </c>
      <c r="H11" s="6" t="s">
        <v>613</v>
      </c>
      <c r="I11" s="45"/>
      <c r="J11" s="45"/>
      <c r="L11" s="119" t="s">
        <v>40</v>
      </c>
      <c r="M11" s="811" t="s">
        <v>31</v>
      </c>
      <c r="N11" s="811"/>
      <c r="O11" s="811"/>
      <c r="P11" s="64">
        <v>9</v>
      </c>
      <c r="R11" s="76">
        <v>9</v>
      </c>
      <c r="S11" s="78" t="s">
        <v>68</v>
      </c>
      <c r="U11" s="58">
        <v>1</v>
      </c>
      <c r="V11" s="59" t="s">
        <v>92</v>
      </c>
    </row>
    <row r="12" spans="2:22" ht="15.75" thickBot="1" x14ac:dyDescent="0.3">
      <c r="B12" s="74">
        <v>9</v>
      </c>
      <c r="C12" s="74">
        <v>9</v>
      </c>
      <c r="D12" s="74">
        <v>9</v>
      </c>
      <c r="E12" s="74">
        <v>9</v>
      </c>
      <c r="G12" s="36">
        <v>10</v>
      </c>
      <c r="H12" s="6" t="s">
        <v>640</v>
      </c>
      <c r="I12" s="45"/>
      <c r="J12" s="107"/>
      <c r="R12" s="76">
        <v>10</v>
      </c>
      <c r="S12" s="78" t="s">
        <v>69</v>
      </c>
      <c r="U12" s="76">
        <v>2</v>
      </c>
      <c r="V12" s="78" t="s">
        <v>57</v>
      </c>
    </row>
    <row r="13" spans="2:22" ht="15.75" thickBot="1" x14ac:dyDescent="0.3">
      <c r="B13" s="74">
        <v>10</v>
      </c>
      <c r="C13" s="74">
        <v>10</v>
      </c>
      <c r="D13" s="74">
        <v>10</v>
      </c>
      <c r="E13" s="74">
        <v>10</v>
      </c>
      <c r="G13" s="36">
        <v>11</v>
      </c>
      <c r="H13" s="6" t="s">
        <v>905</v>
      </c>
      <c r="I13" s="45"/>
      <c r="J13" s="45"/>
      <c r="L13" s="749"/>
      <c r="M13" s="923"/>
      <c r="N13" s="923"/>
      <c r="O13" s="923"/>
      <c r="P13" s="750"/>
      <c r="R13" s="76">
        <v>11</v>
      </c>
      <c r="S13" s="78" t="s">
        <v>556</v>
      </c>
      <c r="U13" s="76">
        <v>3</v>
      </c>
      <c r="V13" s="78" t="s">
        <v>859</v>
      </c>
    </row>
    <row r="14" spans="2:22" x14ac:dyDescent="0.25">
      <c r="B14" s="74">
        <v>11</v>
      </c>
      <c r="C14" s="74">
        <v>11</v>
      </c>
      <c r="D14" s="74">
        <v>11</v>
      </c>
      <c r="E14" s="74">
        <v>11</v>
      </c>
      <c r="G14" s="36">
        <v>12</v>
      </c>
      <c r="H14" s="113" t="s">
        <v>424</v>
      </c>
      <c r="I14" s="45"/>
      <c r="J14" s="45"/>
      <c r="L14" s="58">
        <v>1</v>
      </c>
      <c r="M14" s="810" t="s">
        <v>425</v>
      </c>
      <c r="N14" s="810"/>
      <c r="O14" s="810"/>
      <c r="P14" s="2"/>
      <c r="Q14" s="107"/>
      <c r="R14" s="76">
        <v>12</v>
      </c>
      <c r="S14" s="78" t="s">
        <v>555</v>
      </c>
      <c r="U14" s="76">
        <v>4</v>
      </c>
      <c r="V14" s="78" t="s">
        <v>61</v>
      </c>
    </row>
    <row r="15" spans="2:22" x14ac:dyDescent="0.25">
      <c r="B15" s="74">
        <v>12</v>
      </c>
      <c r="C15" s="74">
        <v>12</v>
      </c>
      <c r="D15" s="74">
        <v>12</v>
      </c>
      <c r="E15" s="74">
        <v>12</v>
      </c>
      <c r="G15" s="36">
        <v>13</v>
      </c>
      <c r="H15" s="113" t="s">
        <v>424</v>
      </c>
      <c r="I15" s="45"/>
      <c r="L15" s="76">
        <v>2</v>
      </c>
      <c r="M15" s="677" t="s">
        <v>64</v>
      </c>
      <c r="N15" s="677"/>
      <c r="O15" s="677"/>
      <c r="P15" s="3"/>
      <c r="R15" s="76">
        <v>13</v>
      </c>
      <c r="S15" s="78" t="s">
        <v>557</v>
      </c>
      <c r="U15" s="76">
        <v>5</v>
      </c>
      <c r="V15" s="78" t="s">
        <v>58</v>
      </c>
    </row>
    <row r="16" spans="2:22" x14ac:dyDescent="0.25">
      <c r="B16" s="74">
        <v>13</v>
      </c>
      <c r="C16" s="74">
        <v>13</v>
      </c>
      <c r="D16" s="74">
        <v>13</v>
      </c>
      <c r="E16" s="74">
        <v>13</v>
      </c>
      <c r="G16" s="36">
        <v>14</v>
      </c>
      <c r="H16" s="6" t="s">
        <v>424</v>
      </c>
      <c r="I16" s="45"/>
      <c r="L16" s="76">
        <v>3</v>
      </c>
      <c r="M16" s="677" t="s">
        <v>65</v>
      </c>
      <c r="N16" s="677"/>
      <c r="O16" s="677"/>
      <c r="P16" s="3"/>
      <c r="R16" s="76">
        <v>14</v>
      </c>
      <c r="S16" s="78" t="s">
        <v>558</v>
      </c>
      <c r="U16" s="76">
        <v>6</v>
      </c>
      <c r="V16" s="78" t="s">
        <v>872</v>
      </c>
    </row>
    <row r="17" spans="2:22" ht="15.75" thickBot="1" x14ac:dyDescent="0.3">
      <c r="B17" s="74">
        <v>14</v>
      </c>
      <c r="C17" s="74">
        <v>14</v>
      </c>
      <c r="D17" s="74">
        <v>14</v>
      </c>
      <c r="E17" s="74">
        <v>14</v>
      </c>
      <c r="G17" s="130">
        <v>15</v>
      </c>
      <c r="H17" s="114" t="s">
        <v>424</v>
      </c>
      <c r="I17" s="45"/>
      <c r="L17" s="62">
        <v>4</v>
      </c>
      <c r="M17" s="811" t="s">
        <v>67</v>
      </c>
      <c r="N17" s="811"/>
      <c r="O17" s="811"/>
      <c r="P17" s="5"/>
      <c r="R17" s="76">
        <v>15</v>
      </c>
      <c r="S17" s="78" t="s">
        <v>559</v>
      </c>
      <c r="U17" s="76">
        <v>7</v>
      </c>
      <c r="V17" s="78" t="s">
        <v>59</v>
      </c>
    </row>
    <row r="18" spans="2:22" x14ac:dyDescent="0.25">
      <c r="B18" s="74">
        <v>15</v>
      </c>
      <c r="C18" s="74">
        <v>15</v>
      </c>
      <c r="D18" s="74">
        <v>15</v>
      </c>
      <c r="E18" s="74">
        <v>15</v>
      </c>
      <c r="M18" s="677"/>
      <c r="N18" s="677"/>
      <c r="R18" s="76">
        <v>16</v>
      </c>
      <c r="S18" s="78" t="s">
        <v>560</v>
      </c>
      <c r="U18" s="76">
        <v>8</v>
      </c>
      <c r="V18" s="78" t="s">
        <v>219</v>
      </c>
    </row>
    <row r="19" spans="2:22" ht="15.75" thickBot="1" x14ac:dyDescent="0.3">
      <c r="B19" s="74">
        <v>16</v>
      </c>
      <c r="C19" s="74">
        <v>16</v>
      </c>
      <c r="D19" s="74">
        <v>16</v>
      </c>
      <c r="E19" s="74">
        <v>16</v>
      </c>
      <c r="R19" s="76">
        <v>17</v>
      </c>
      <c r="S19" s="78" t="s">
        <v>561</v>
      </c>
      <c r="U19" s="76">
        <v>9</v>
      </c>
      <c r="V19" s="78" t="s">
        <v>403</v>
      </c>
    </row>
    <row r="20" spans="2:22" ht="15.75" thickBot="1" x14ac:dyDescent="0.3">
      <c r="B20" s="74">
        <v>17</v>
      </c>
      <c r="C20" s="74">
        <v>17</v>
      </c>
      <c r="D20" s="74">
        <v>17</v>
      </c>
      <c r="E20" s="74">
        <v>17</v>
      </c>
      <c r="G20" s="919" t="s">
        <v>991</v>
      </c>
      <c r="H20" s="920"/>
      <c r="I20" s="920"/>
      <c r="J20" s="921"/>
      <c r="M20" s="931"/>
      <c r="N20" s="931"/>
      <c r="R20" s="76">
        <v>18</v>
      </c>
      <c r="S20" s="78" t="s">
        <v>562</v>
      </c>
      <c r="U20" s="76">
        <v>10</v>
      </c>
      <c r="V20" s="78" t="s">
        <v>405</v>
      </c>
    </row>
    <row r="21" spans="2:22" x14ac:dyDescent="0.25">
      <c r="B21" s="74">
        <v>18</v>
      </c>
      <c r="C21" s="74">
        <v>18</v>
      </c>
      <c r="D21" s="74">
        <v>18</v>
      </c>
      <c r="E21" s="74">
        <v>18</v>
      </c>
      <c r="G21" s="58">
        <v>1</v>
      </c>
      <c r="H21" s="1043" t="s">
        <v>589</v>
      </c>
      <c r="I21" s="1043"/>
      <c r="J21" s="59">
        <v>229</v>
      </c>
      <c r="R21" s="76">
        <v>19</v>
      </c>
      <c r="S21" s="78" t="s">
        <v>563</v>
      </c>
      <c r="U21" s="76">
        <v>11</v>
      </c>
      <c r="V21" s="78" t="s">
        <v>404</v>
      </c>
    </row>
    <row r="22" spans="2:22" ht="15.75" thickBot="1" x14ac:dyDescent="0.3">
      <c r="B22" s="74">
        <v>19</v>
      </c>
      <c r="C22" s="74">
        <v>19</v>
      </c>
      <c r="D22" s="74">
        <v>19</v>
      </c>
      <c r="E22" s="74">
        <v>19</v>
      </c>
      <c r="G22" s="76">
        <v>2</v>
      </c>
      <c r="H22" s="954" t="s">
        <v>590</v>
      </c>
      <c r="I22" s="954"/>
      <c r="J22" s="78">
        <v>124</v>
      </c>
      <c r="R22" s="76">
        <v>20</v>
      </c>
      <c r="S22" s="78" t="s">
        <v>564</v>
      </c>
      <c r="U22" s="62">
        <v>12</v>
      </c>
      <c r="V22" s="64" t="s">
        <v>735</v>
      </c>
    </row>
    <row r="23" spans="2:22" x14ac:dyDescent="0.25">
      <c r="B23" s="74">
        <v>20</v>
      </c>
      <c r="C23" s="74">
        <v>20</v>
      </c>
      <c r="D23" s="74">
        <v>20</v>
      </c>
      <c r="E23" s="74">
        <v>20</v>
      </c>
      <c r="G23" s="76">
        <v>3</v>
      </c>
      <c r="H23" s="954" t="s">
        <v>179</v>
      </c>
      <c r="I23" s="954"/>
      <c r="J23" s="78">
        <v>115</v>
      </c>
      <c r="R23" s="76">
        <v>21</v>
      </c>
      <c r="S23" s="78" t="s">
        <v>565</v>
      </c>
      <c r="U23" s="58" t="str">
        <f>HDG_1</f>
        <v>AFR</v>
      </c>
      <c r="V23" s="59">
        <v>1</v>
      </c>
    </row>
    <row r="24" spans="2:22" ht="15.75" thickBot="1" x14ac:dyDescent="0.3">
      <c r="B24" s="74">
        <v>21</v>
      </c>
      <c r="C24" s="74">
        <v>21</v>
      </c>
      <c r="D24" s="74">
        <v>21</v>
      </c>
      <c r="E24" s="74">
        <v>21</v>
      </c>
      <c r="G24" s="76">
        <v>4</v>
      </c>
      <c r="H24" s="954" t="s">
        <v>591</v>
      </c>
      <c r="I24" s="954"/>
      <c r="J24" s="78">
        <v>113</v>
      </c>
      <c r="R24" s="76">
        <v>22</v>
      </c>
      <c r="S24" s="78" t="s">
        <v>566</v>
      </c>
      <c r="U24" s="76" t="str">
        <f>HDG_2</f>
        <v>AVP</v>
      </c>
      <c r="V24" s="78">
        <v>2</v>
      </c>
    </row>
    <row r="25" spans="2:22" ht="15.75" thickBot="1" x14ac:dyDescent="0.3">
      <c r="B25" s="74">
        <v>22</v>
      </c>
      <c r="C25" s="74">
        <v>22</v>
      </c>
      <c r="D25" s="74">
        <v>22</v>
      </c>
      <c r="E25" s="74">
        <v>22</v>
      </c>
      <c r="G25" s="76">
        <v>5</v>
      </c>
      <c r="H25" s="954" t="s">
        <v>606</v>
      </c>
      <c r="I25" s="954"/>
      <c r="J25" s="78">
        <v>113</v>
      </c>
      <c r="L25" s="1044" t="s">
        <v>588</v>
      </c>
      <c r="M25" s="1046"/>
      <c r="N25" s="1046"/>
      <c r="O25" s="1046"/>
      <c r="P25" s="1045"/>
      <c r="R25" s="76">
        <v>23</v>
      </c>
      <c r="S25" s="78" t="s">
        <v>567</v>
      </c>
      <c r="U25" s="76" t="str">
        <f>HDG_3</f>
        <v>ALZ</v>
      </c>
      <c r="V25" s="78">
        <v>3</v>
      </c>
    </row>
    <row r="26" spans="2:22" x14ac:dyDescent="0.25">
      <c r="B26" s="74">
        <v>23</v>
      </c>
      <c r="C26" s="74">
        <v>23</v>
      </c>
      <c r="D26" s="74">
        <v>23</v>
      </c>
      <c r="E26" s="74">
        <v>23</v>
      </c>
      <c r="G26" s="76">
        <v>6</v>
      </c>
      <c r="H26" s="954" t="s">
        <v>17</v>
      </c>
      <c r="I26" s="954"/>
      <c r="J26" s="78">
        <v>229</v>
      </c>
      <c r="L26" s="58">
        <v>1</v>
      </c>
      <c r="M26" s="810" t="s">
        <v>589</v>
      </c>
      <c r="N26" s="810"/>
      <c r="O26" s="810"/>
      <c r="P26" s="738"/>
      <c r="R26" s="76">
        <v>24</v>
      </c>
      <c r="S26" s="78" t="s">
        <v>568</v>
      </c>
      <c r="U26" s="76" t="str">
        <f>HDG_4</f>
        <v>MZS</v>
      </c>
      <c r="V26" s="78">
        <v>4</v>
      </c>
    </row>
    <row r="27" spans="2:22" x14ac:dyDescent="0.25">
      <c r="B27" s="74">
        <v>24</v>
      </c>
      <c r="C27" s="74">
        <v>24</v>
      </c>
      <c r="D27" s="74">
        <v>24</v>
      </c>
      <c r="E27" s="74">
        <v>24</v>
      </c>
      <c r="G27" s="76">
        <v>7</v>
      </c>
      <c r="H27" s="954" t="s">
        <v>611</v>
      </c>
      <c r="I27" s="954"/>
      <c r="J27" s="78">
        <v>115</v>
      </c>
      <c r="L27" s="76">
        <v>2</v>
      </c>
      <c r="M27" s="677" t="s">
        <v>590</v>
      </c>
      <c r="N27" s="677"/>
      <c r="O27" s="677"/>
      <c r="P27" s="728"/>
      <c r="R27" s="76">
        <v>25</v>
      </c>
      <c r="S27" s="78" t="s">
        <v>569</v>
      </c>
      <c r="U27" s="76" t="str">
        <f>HDG_5</f>
        <v>APR</v>
      </c>
      <c r="V27" s="78">
        <v>5</v>
      </c>
    </row>
    <row r="28" spans="2:22" x14ac:dyDescent="0.25">
      <c r="B28" s="74">
        <v>25</v>
      </c>
      <c r="C28" s="74">
        <v>25</v>
      </c>
      <c r="D28" s="74">
        <v>25</v>
      </c>
      <c r="E28" s="74">
        <v>25</v>
      </c>
      <c r="G28" s="76">
        <v>8</v>
      </c>
      <c r="H28" s="954" t="s">
        <v>807</v>
      </c>
      <c r="I28" s="954"/>
      <c r="J28" s="78">
        <v>1382</v>
      </c>
      <c r="L28" s="76">
        <v>3</v>
      </c>
      <c r="M28" s="677" t="s">
        <v>179</v>
      </c>
      <c r="N28" s="677"/>
      <c r="O28" s="677"/>
      <c r="P28" s="728"/>
      <c r="R28" s="76">
        <v>26</v>
      </c>
      <c r="S28" s="78" t="s">
        <v>570</v>
      </c>
      <c r="U28" s="76" t="str">
        <f>HDG_6</f>
        <v>DCG</v>
      </c>
      <c r="V28" s="78">
        <v>6</v>
      </c>
    </row>
    <row r="29" spans="2:22" x14ac:dyDescent="0.25">
      <c r="B29" s="74">
        <v>26</v>
      </c>
      <c r="C29" s="74">
        <v>26</v>
      </c>
      <c r="D29" s="74">
        <v>26</v>
      </c>
      <c r="E29" s="74">
        <v>26</v>
      </c>
      <c r="G29" s="76">
        <v>9</v>
      </c>
      <c r="H29" s="954" t="s">
        <v>808</v>
      </c>
      <c r="I29" s="954"/>
      <c r="J29" s="78">
        <v>259</v>
      </c>
      <c r="L29" s="76">
        <v>4</v>
      </c>
      <c r="M29" s="677" t="s">
        <v>591</v>
      </c>
      <c r="N29" s="677"/>
      <c r="O29" s="677"/>
      <c r="P29" s="728"/>
      <c r="R29" s="76">
        <v>27</v>
      </c>
      <c r="S29" s="78" t="s">
        <v>571</v>
      </c>
      <c r="U29" s="76" t="str">
        <f>HDG_7</f>
        <v>SFS</v>
      </c>
      <c r="V29" s="78">
        <v>7</v>
      </c>
    </row>
    <row r="30" spans="2:22" x14ac:dyDescent="0.25">
      <c r="B30" s="74">
        <v>27</v>
      </c>
      <c r="C30" s="74">
        <v>27</v>
      </c>
      <c r="D30" s="74">
        <v>27</v>
      </c>
      <c r="E30" s="74">
        <v>27</v>
      </c>
      <c r="G30" s="76">
        <v>10</v>
      </c>
      <c r="H30" s="954" t="s">
        <v>809</v>
      </c>
      <c r="I30" s="954"/>
      <c r="J30" s="78">
        <v>57</v>
      </c>
      <c r="L30" s="76">
        <v>5</v>
      </c>
      <c r="M30" s="677" t="s">
        <v>606</v>
      </c>
      <c r="N30" s="677"/>
      <c r="O30" s="677"/>
      <c r="P30" s="728"/>
      <c r="R30" s="76">
        <v>28</v>
      </c>
      <c r="S30" s="78" t="s">
        <v>572</v>
      </c>
      <c r="U30" s="76" t="s">
        <v>735</v>
      </c>
      <c r="V30" s="78">
        <v>12</v>
      </c>
    </row>
    <row r="31" spans="2:22" ht="15.75" thickBot="1" x14ac:dyDescent="0.3">
      <c r="B31" s="74">
        <v>28</v>
      </c>
      <c r="C31" s="74">
        <v>28</v>
      </c>
      <c r="D31" s="74">
        <v>28</v>
      </c>
      <c r="E31" s="87">
        <v>28</v>
      </c>
      <c r="G31" s="76">
        <v>11</v>
      </c>
      <c r="H31" s="954" t="s">
        <v>810</v>
      </c>
      <c r="I31" s="954"/>
      <c r="J31" s="78">
        <v>41</v>
      </c>
      <c r="L31" s="62">
        <v>6</v>
      </c>
      <c r="M31" s="811" t="s">
        <v>17</v>
      </c>
      <c r="N31" s="811"/>
      <c r="O31" s="811"/>
      <c r="P31" s="744"/>
      <c r="R31" s="76">
        <v>29</v>
      </c>
      <c r="S31" s="78" t="s">
        <v>573</v>
      </c>
      <c r="U31" s="76" t="str">
        <f>HDG_8</f>
        <v>AZH</v>
      </c>
      <c r="V31" s="78">
        <v>8</v>
      </c>
    </row>
    <row r="32" spans="2:22" ht="15.75" customHeight="1" thickBot="1" x14ac:dyDescent="0.3">
      <c r="B32" s="74">
        <v>29</v>
      </c>
      <c r="C32" s="74">
        <v>29</v>
      </c>
      <c r="D32" s="87">
        <v>29</v>
      </c>
      <c r="E32" s="124"/>
      <c r="G32" s="76">
        <v>12</v>
      </c>
      <c r="H32" s="954" t="s">
        <v>811</v>
      </c>
      <c r="I32" s="954"/>
      <c r="J32" s="78">
        <v>22</v>
      </c>
      <c r="R32" s="76">
        <v>30</v>
      </c>
      <c r="S32" s="78" t="s">
        <v>574</v>
      </c>
      <c r="U32" s="76" t="str">
        <f>HDG_9</f>
        <v>HLI</v>
      </c>
      <c r="V32" s="78">
        <v>9</v>
      </c>
    </row>
    <row r="33" spans="1:22" ht="15.75" customHeight="1" thickBot="1" x14ac:dyDescent="0.3">
      <c r="B33" s="74">
        <v>30</v>
      </c>
      <c r="C33" s="42">
        <v>30</v>
      </c>
      <c r="D33" s="125">
        <f ca="1">IF(AND(JOUR_DATA=29,DATA_MOISN=2,ANN_BISEX=1),1,0)</f>
        <v>0</v>
      </c>
      <c r="E33" s="128">
        <f ca="1">IF(AND(JOUR_DATA=28,DATA_MOISN=2,ANN_BISEX=0),1,0)</f>
        <v>0</v>
      </c>
      <c r="G33" s="76">
        <v>13</v>
      </c>
      <c r="H33" s="954" t="s">
        <v>812</v>
      </c>
      <c r="I33" s="954"/>
      <c r="J33" s="78">
        <v>324</v>
      </c>
      <c r="R33" s="76">
        <v>31</v>
      </c>
      <c r="S33" s="78" t="s">
        <v>575</v>
      </c>
      <c r="U33" s="76" t="str">
        <f>HDG_10</f>
        <v>MCM</v>
      </c>
      <c r="V33" s="78">
        <v>10</v>
      </c>
    </row>
    <row r="34" spans="1:22" ht="15.75" thickBot="1" x14ac:dyDescent="0.3">
      <c r="B34" s="42">
        <v>31</v>
      </c>
      <c r="C34" s="27" t="s">
        <v>474</v>
      </c>
      <c r="D34" s="1048">
        <f ca="1">IF(OR(MOD(DATA_ANNN,400)=0,AND(MOD(DATA_ANNN,4)=0,MOD(DATA_ANNN,100)&lt;&gt;0)),1,0)</f>
        <v>0</v>
      </c>
      <c r="E34" s="1049"/>
      <c r="G34" s="62">
        <v>14</v>
      </c>
      <c r="H34" s="930" t="s">
        <v>813</v>
      </c>
      <c r="I34" s="930"/>
      <c r="J34" s="64">
        <v>954</v>
      </c>
      <c r="R34" s="76">
        <v>32</v>
      </c>
      <c r="S34" s="78" t="s">
        <v>486</v>
      </c>
      <c r="U34" s="62" t="str">
        <f>HDG_11</f>
        <v>MCR</v>
      </c>
      <c r="V34" s="64">
        <v>11</v>
      </c>
    </row>
    <row r="35" spans="1:22" ht="15.75" thickBot="1" x14ac:dyDescent="0.3">
      <c r="B35" s="126">
        <f ca="1">IF(AND(JOUR_DATA=31,OR(DATA_MOISN=1,DATA_MOISN=3,DATA_MOISN=5,DATA_MOISN=7,DATA_MOISN=8,DATA_MOISN=10,DATA_MOISN=12)),1,0)</f>
        <v>0</v>
      </c>
      <c r="C35" s="127">
        <f ca="1">IF(AND(JOUR_DATA=30,OR(DATA_MOISN=4,DATA_MOISN=6,DATA_MOISN=9,DATA_MOISN=11)),1,0)</f>
        <v>0</v>
      </c>
      <c r="D35" s="93" t="str">
        <f ca="1">TEXT(TODAY(),"AA")</f>
        <v>25</v>
      </c>
      <c r="E35" s="93" t="str">
        <f ca="1">TEXT(TODAY(),"MM")</f>
        <v>02</v>
      </c>
      <c r="R35" s="76">
        <v>33</v>
      </c>
      <c r="S35" s="78" t="s">
        <v>576</v>
      </c>
      <c r="U35" s="58">
        <v>1</v>
      </c>
      <c r="V35" s="59" t="s">
        <v>712</v>
      </c>
    </row>
    <row r="36" spans="1:22" ht="15.75" thickBot="1" x14ac:dyDescent="0.3">
      <c r="B36" s="82" t="s">
        <v>407</v>
      </c>
      <c r="C36" s="1050" t="str">
        <f ca="1">D35&amp;E35&amp;"-"</f>
        <v>2502-</v>
      </c>
      <c r="D36" s="1051"/>
      <c r="E36" s="1052"/>
      <c r="R36" s="62">
        <v>34</v>
      </c>
      <c r="S36" s="64" t="s">
        <v>31</v>
      </c>
      <c r="U36" s="76">
        <v>2</v>
      </c>
      <c r="V36" s="78" t="s">
        <v>711</v>
      </c>
    </row>
    <row r="37" spans="1:22" x14ac:dyDescent="0.25">
      <c r="U37" s="76">
        <v>3</v>
      </c>
      <c r="V37" s="78" t="s">
        <v>871</v>
      </c>
    </row>
    <row r="38" spans="1:22" ht="15.75" thickBot="1" x14ac:dyDescent="0.3">
      <c r="U38" s="76">
        <v>4</v>
      </c>
      <c r="V38" s="78" t="s">
        <v>861</v>
      </c>
    </row>
    <row r="39" spans="1:22" ht="15.75" thickBot="1" x14ac:dyDescent="0.3">
      <c r="B39" s="919" t="s">
        <v>485</v>
      </c>
      <c r="C39" s="921"/>
      <c r="E39" s="73" t="s">
        <v>579</v>
      </c>
      <c r="U39" s="76">
        <v>5</v>
      </c>
      <c r="V39" s="78" t="s">
        <v>862</v>
      </c>
    </row>
    <row r="40" spans="1:22" ht="15.75" thickBot="1" x14ac:dyDescent="0.3">
      <c r="B40" s="1047">
        <f ca="1">NOW()</f>
        <v>45697.962348958332</v>
      </c>
      <c r="C40" s="728"/>
      <c r="E40" s="73">
        <v>0</v>
      </c>
      <c r="U40" s="76">
        <v>6</v>
      </c>
      <c r="V40" s="78" t="s">
        <v>870</v>
      </c>
    </row>
    <row r="41" spans="1:22" ht="15.75" thickBot="1" x14ac:dyDescent="0.3">
      <c r="B41" s="883">
        <f ca="1">HOUR(B40)</f>
        <v>23</v>
      </c>
      <c r="C41" s="884"/>
      <c r="U41" s="76">
        <v>7</v>
      </c>
      <c r="V41" s="78" t="s">
        <v>863</v>
      </c>
    </row>
    <row r="42" spans="1:22" ht="15.75" thickBot="1" x14ac:dyDescent="0.3">
      <c r="E42" s="165" t="s">
        <v>585</v>
      </c>
      <c r="U42" s="76">
        <v>8</v>
      </c>
      <c r="V42" s="78" t="s">
        <v>708</v>
      </c>
    </row>
    <row r="43" spans="1:22" ht="15.75" thickBot="1" x14ac:dyDescent="0.3">
      <c r="E43" s="44"/>
      <c r="U43" s="76">
        <v>9</v>
      </c>
      <c r="V43" s="78" t="s">
        <v>864</v>
      </c>
    </row>
    <row r="44" spans="1:22" ht="15.75" thickBot="1" x14ac:dyDescent="0.3">
      <c r="U44" s="76">
        <v>10</v>
      </c>
      <c r="V44" s="78" t="s">
        <v>709</v>
      </c>
    </row>
    <row r="45" spans="1:22" ht="15.75" thickBot="1" x14ac:dyDescent="0.3">
      <c r="B45" s="919" t="s">
        <v>186</v>
      </c>
      <c r="C45" s="921"/>
      <c r="U45" s="76">
        <v>11</v>
      </c>
      <c r="V45" s="78" t="s">
        <v>710</v>
      </c>
    </row>
    <row r="46" spans="1:22" ht="15.75" thickBot="1" x14ac:dyDescent="0.3">
      <c r="A46">
        <v>1</v>
      </c>
      <c r="B46" s="727" t="s">
        <v>0</v>
      </c>
      <c r="C46" s="728"/>
      <c r="U46" s="62">
        <v>12</v>
      </c>
      <c r="V46" s="64" t="s">
        <v>865</v>
      </c>
    </row>
    <row r="47" spans="1:22" x14ac:dyDescent="0.25">
      <c r="A47">
        <v>2</v>
      </c>
      <c r="B47" s="727" t="s">
        <v>44</v>
      </c>
      <c r="C47" s="728"/>
    </row>
    <row r="48" spans="1:22" x14ac:dyDescent="0.25">
      <c r="A48">
        <v>3</v>
      </c>
      <c r="B48" s="727" t="s">
        <v>45</v>
      </c>
      <c r="C48" s="728"/>
    </row>
    <row r="49" spans="1:3" x14ac:dyDescent="0.25">
      <c r="A49">
        <v>4</v>
      </c>
      <c r="B49" s="727" t="s">
        <v>46</v>
      </c>
      <c r="C49" s="728"/>
    </row>
    <row r="50" spans="1:3" x14ac:dyDescent="0.25">
      <c r="A50">
        <v>5</v>
      </c>
      <c r="B50" s="727" t="s">
        <v>47</v>
      </c>
      <c r="C50" s="728"/>
    </row>
    <row r="51" spans="1:3" x14ac:dyDescent="0.25">
      <c r="A51">
        <v>6</v>
      </c>
      <c r="B51" s="727" t="s">
        <v>48</v>
      </c>
      <c r="C51" s="728"/>
    </row>
    <row r="52" spans="1:3" x14ac:dyDescent="0.25">
      <c r="A52">
        <v>7</v>
      </c>
      <c r="B52" s="727" t="s">
        <v>49</v>
      </c>
      <c r="C52" s="728"/>
    </row>
    <row r="53" spans="1:3" x14ac:dyDescent="0.25">
      <c r="A53">
        <v>8</v>
      </c>
      <c r="B53" s="727" t="s">
        <v>50</v>
      </c>
      <c r="C53" s="728"/>
    </row>
    <row r="54" spans="1:3" x14ac:dyDescent="0.25">
      <c r="A54">
        <v>9</v>
      </c>
      <c r="B54" s="727" t="s">
        <v>51</v>
      </c>
      <c r="C54" s="728"/>
    </row>
    <row r="55" spans="1:3" x14ac:dyDescent="0.25">
      <c r="A55">
        <v>10</v>
      </c>
      <c r="B55" s="727" t="s">
        <v>52</v>
      </c>
      <c r="C55" s="728"/>
    </row>
    <row r="56" spans="1:3" x14ac:dyDescent="0.25">
      <c r="A56">
        <v>11</v>
      </c>
      <c r="B56" s="727" t="s">
        <v>53</v>
      </c>
      <c r="C56" s="728"/>
    </row>
    <row r="57" spans="1:3" ht="15.75" thickBot="1" x14ac:dyDescent="0.3">
      <c r="A57">
        <v>12</v>
      </c>
      <c r="B57" s="743" t="s">
        <v>54</v>
      </c>
      <c r="C57" s="744"/>
    </row>
  </sheetData>
  <sortState ref="H3:H17">
    <sortCondition ref="H17"/>
  </sortState>
  <mergeCells count="65">
    <mergeCell ref="L13:P13"/>
    <mergeCell ref="M20:N20"/>
    <mergeCell ref="M14:O14"/>
    <mergeCell ref="M15:O15"/>
    <mergeCell ref="M16:O16"/>
    <mergeCell ref="M17:O17"/>
    <mergeCell ref="M18:N18"/>
    <mergeCell ref="M28:P28"/>
    <mergeCell ref="M29:P29"/>
    <mergeCell ref="B56:C56"/>
    <mergeCell ref="B57:C57"/>
    <mergeCell ref="B45:C45"/>
    <mergeCell ref="B46:C46"/>
    <mergeCell ref="B47:C47"/>
    <mergeCell ref="B48:C48"/>
    <mergeCell ref="B54:C54"/>
    <mergeCell ref="B55:C55"/>
    <mergeCell ref="B51:C51"/>
    <mergeCell ref="B52:C52"/>
    <mergeCell ref="B53:C53"/>
    <mergeCell ref="B49:C49"/>
    <mergeCell ref="B50:C50"/>
    <mergeCell ref="M10:O10"/>
    <mergeCell ref="M9:O9"/>
    <mergeCell ref="G2:H2"/>
    <mergeCell ref="B41:C41"/>
    <mergeCell ref="B40:C40"/>
    <mergeCell ref="M11:O11"/>
    <mergeCell ref="B39:C39"/>
    <mergeCell ref="D34:E34"/>
    <mergeCell ref="C36:E36"/>
    <mergeCell ref="C2:D2"/>
    <mergeCell ref="C3:D3"/>
    <mergeCell ref="M30:P30"/>
    <mergeCell ref="M31:P31"/>
    <mergeCell ref="L25:P25"/>
    <mergeCell ref="M26:P26"/>
    <mergeCell ref="M27:P27"/>
    <mergeCell ref="H21:I21"/>
    <mergeCell ref="H22:I22"/>
    <mergeCell ref="H23:I23"/>
    <mergeCell ref="G20:J20"/>
    <mergeCell ref="U2:V2"/>
    <mergeCell ref="U10:V10"/>
    <mergeCell ref="R2:S2"/>
    <mergeCell ref="L2:P2"/>
    <mergeCell ref="M3:O3"/>
    <mergeCell ref="M4:O4"/>
    <mergeCell ref="M5:O5"/>
    <mergeCell ref="M6:O6"/>
    <mergeCell ref="M7:O7"/>
    <mergeCell ref="M8:O8"/>
    <mergeCell ref="U8:V8"/>
    <mergeCell ref="U9:V9"/>
    <mergeCell ref="H24:I24"/>
    <mergeCell ref="H34:I34"/>
    <mergeCell ref="H33:I33"/>
    <mergeCell ref="H32:I32"/>
    <mergeCell ref="H31:I31"/>
    <mergeCell ref="H30:I30"/>
    <mergeCell ref="H29:I29"/>
    <mergeCell ref="H28:I28"/>
    <mergeCell ref="H27:I27"/>
    <mergeCell ref="H26:I26"/>
    <mergeCell ref="H25:I25"/>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B3:E13"/>
  <sheetViews>
    <sheetView workbookViewId="0">
      <selection activeCell="D6" sqref="D6"/>
    </sheetView>
  </sheetViews>
  <sheetFormatPr baseColWidth="10" defaultRowHeight="15" x14ac:dyDescent="0.25"/>
  <cols>
    <col min="3" max="3" width="89.85546875" bestFit="1" customWidth="1"/>
    <col min="4" max="4" width="91.42578125" customWidth="1"/>
  </cols>
  <sheetData>
    <row r="3" spans="2:5" x14ac:dyDescent="0.25">
      <c r="B3" s="28" t="s">
        <v>850</v>
      </c>
      <c r="C3" s="28"/>
      <c r="D3" s="28" t="s">
        <v>842</v>
      </c>
      <c r="E3" s="28" t="s">
        <v>841</v>
      </c>
    </row>
    <row r="4" spans="2:5" ht="75" x14ac:dyDescent="0.25">
      <c r="C4" s="33" t="s">
        <v>894</v>
      </c>
      <c r="D4" s="350" t="s">
        <v>839</v>
      </c>
      <c r="E4" s="33">
        <v>21</v>
      </c>
    </row>
    <row r="5" spans="2:5" ht="75" x14ac:dyDescent="0.25">
      <c r="C5" s="33"/>
      <c r="D5" s="351" t="s">
        <v>840</v>
      </c>
      <c r="E5" s="33">
        <v>21</v>
      </c>
    </row>
    <row r="6" spans="2:5" ht="30" x14ac:dyDescent="0.25">
      <c r="C6" s="33" t="s">
        <v>902</v>
      </c>
      <c r="D6" s="247" t="s">
        <v>851</v>
      </c>
      <c r="E6" s="33">
        <v>21</v>
      </c>
    </row>
    <row r="7" spans="2:5" ht="45" x14ac:dyDescent="0.25">
      <c r="C7" s="33" t="s">
        <v>901</v>
      </c>
      <c r="D7" s="247" t="s">
        <v>843</v>
      </c>
      <c r="E7" s="33">
        <v>21</v>
      </c>
    </row>
    <row r="8" spans="2:5" ht="45" x14ac:dyDescent="0.25">
      <c r="C8" s="33"/>
      <c r="D8" s="350" t="s">
        <v>874</v>
      </c>
      <c r="E8" s="33">
        <v>20</v>
      </c>
    </row>
    <row r="9" spans="2:5" ht="90" x14ac:dyDescent="0.25">
      <c r="C9" s="33" t="s">
        <v>900</v>
      </c>
      <c r="D9" s="247" t="s">
        <v>895</v>
      </c>
      <c r="E9" s="33">
        <v>27</v>
      </c>
    </row>
    <row r="10" spans="2:5" ht="45" x14ac:dyDescent="0.25">
      <c r="C10" s="33" t="s">
        <v>899</v>
      </c>
      <c r="D10" s="350" t="s">
        <v>896</v>
      </c>
      <c r="E10" s="33">
        <v>28</v>
      </c>
    </row>
    <row r="11" spans="2:5" ht="30" x14ac:dyDescent="0.25">
      <c r="C11" s="33" t="s">
        <v>898</v>
      </c>
      <c r="D11" s="247" t="s">
        <v>897</v>
      </c>
      <c r="E11" s="33">
        <v>28</v>
      </c>
    </row>
    <row r="12" spans="2:5" ht="30" x14ac:dyDescent="0.25">
      <c r="C12" s="33" t="s">
        <v>903</v>
      </c>
      <c r="D12" s="247" t="s">
        <v>904</v>
      </c>
      <c r="E12" s="33">
        <v>28</v>
      </c>
    </row>
    <row r="13" spans="2:5" ht="60" x14ac:dyDescent="0.25">
      <c r="C13" s="33" t="s">
        <v>911</v>
      </c>
      <c r="D13" s="247" t="s">
        <v>910</v>
      </c>
      <c r="E13" s="33">
        <v>27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5:L33"/>
  <sheetViews>
    <sheetView workbookViewId="0">
      <selection activeCell="K3" sqref="K3:N40"/>
    </sheetView>
  </sheetViews>
  <sheetFormatPr baseColWidth="10" defaultRowHeight="15" x14ac:dyDescent="0.25"/>
  <cols>
    <col min="7" max="7" width="3.28515625" bestFit="1" customWidth="1"/>
    <col min="13" max="13" width="3.28515625" bestFit="1" customWidth="1"/>
  </cols>
  <sheetData>
    <row r="5" spans="2:7" x14ac:dyDescent="0.25">
      <c r="B5" s="677" t="s">
        <v>827</v>
      </c>
      <c r="C5" s="677"/>
      <c r="D5" t="s">
        <v>423</v>
      </c>
      <c r="E5" t="s">
        <v>186</v>
      </c>
      <c r="F5" t="s">
        <v>610</v>
      </c>
      <c r="G5" t="s">
        <v>828</v>
      </c>
    </row>
    <row r="11" spans="2:7" ht="26.25" x14ac:dyDescent="0.4">
      <c r="C11" s="255">
        <v>25</v>
      </c>
    </row>
    <row r="33" spans="12:12" x14ac:dyDescent="0.25">
      <c r="L33" t="s">
        <v>844</v>
      </c>
    </row>
  </sheetData>
  <mergeCells count="1">
    <mergeCell ref="B5:C5"/>
  </mergeCell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B1:E29"/>
  <sheetViews>
    <sheetView workbookViewId="0">
      <selection activeCell="D3" sqref="D3:D6"/>
    </sheetView>
  </sheetViews>
  <sheetFormatPr baseColWidth="10" defaultRowHeight="15" x14ac:dyDescent="0.25"/>
  <cols>
    <col min="3" max="3" width="22.85546875" customWidth="1"/>
    <col min="4" max="4" width="13.140625" customWidth="1"/>
    <col min="5" max="5" width="12.5703125" customWidth="1"/>
  </cols>
  <sheetData>
    <row r="1" spans="2:5" ht="15.75" thickBot="1" x14ac:dyDescent="0.3"/>
    <row r="2" spans="2:5" ht="15.75" thickBot="1" x14ac:dyDescent="0.3">
      <c r="B2" s="729" t="s">
        <v>101</v>
      </c>
      <c r="C2" s="730"/>
    </row>
    <row r="3" spans="2:5" x14ac:dyDescent="0.25">
      <c r="B3" s="46"/>
      <c r="C3" s="78" t="s">
        <v>92</v>
      </c>
      <c r="D3" s="28" t="e">
        <f>TOTB_STH1</f>
        <v>#NAME?</v>
      </c>
    </row>
    <row r="4" spans="2:5" x14ac:dyDescent="0.25">
      <c r="B4" s="46"/>
      <c r="C4" s="78" t="s">
        <v>57</v>
      </c>
      <c r="D4" s="28" t="e">
        <f>TOTB_STH2</f>
        <v>#NAME?</v>
      </c>
    </row>
    <row r="5" spans="2:5" x14ac:dyDescent="0.25">
      <c r="B5" s="46"/>
      <c r="C5" s="78" t="s">
        <v>62</v>
      </c>
      <c r="D5" s="28" t="e">
        <f>#REF!</f>
        <v>#REF!</v>
      </c>
    </row>
    <row r="6" spans="2:5" ht="15.75" thickBot="1" x14ac:dyDescent="0.3">
      <c r="B6" s="43"/>
      <c r="C6" s="64" t="s">
        <v>61</v>
      </c>
      <c r="D6" s="28" t="e">
        <f>TOTB_STH4</f>
        <v>#NAME?</v>
      </c>
    </row>
    <row r="7" spans="2:5" ht="15.75" thickBot="1" x14ac:dyDescent="0.3">
      <c r="B7" s="749" t="s">
        <v>677</v>
      </c>
      <c r="C7" s="750"/>
      <c r="D7" s="31" t="e">
        <f>SUM(D3:D6)</f>
        <v>#NAME?</v>
      </c>
    </row>
    <row r="8" spans="2:5" ht="15.75" thickBot="1" x14ac:dyDescent="0.3">
      <c r="B8" s="992" t="s">
        <v>676</v>
      </c>
      <c r="C8" s="994"/>
      <c r="D8" s="198" t="s">
        <v>675</v>
      </c>
      <c r="E8" s="28" t="s">
        <v>674</v>
      </c>
    </row>
    <row r="9" spans="2:5" x14ac:dyDescent="0.25">
      <c r="B9" s="1030" t="s">
        <v>356</v>
      </c>
      <c r="C9" s="1031"/>
      <c r="D9" s="28" t="e">
        <f>#REF!</f>
        <v>#REF!</v>
      </c>
      <c r="E9" s="28" t="e">
        <f t="shared" ref="E9:E29" si="0">$D$7-D9</f>
        <v>#NAME?</v>
      </c>
    </row>
    <row r="10" spans="2:5" x14ac:dyDescent="0.25">
      <c r="B10" s="763" t="s">
        <v>357</v>
      </c>
      <c r="C10" s="764"/>
      <c r="D10" s="28" t="e">
        <f>#REF!</f>
        <v>#REF!</v>
      </c>
      <c r="E10" s="28" t="e">
        <f t="shared" si="0"/>
        <v>#NAME?</v>
      </c>
    </row>
    <row r="11" spans="2:5" x14ac:dyDescent="0.25">
      <c r="B11" s="763" t="s">
        <v>358</v>
      </c>
      <c r="C11" s="764"/>
      <c r="D11" s="28" t="e">
        <f>#REF!</f>
        <v>#REF!</v>
      </c>
      <c r="E11" s="28" t="e">
        <f t="shared" si="0"/>
        <v>#NAME?</v>
      </c>
    </row>
    <row r="12" spans="2:5" x14ac:dyDescent="0.25">
      <c r="B12" s="763" t="s">
        <v>359</v>
      </c>
      <c r="C12" s="764"/>
      <c r="D12" s="28" t="e">
        <f>#REF!</f>
        <v>#REF!</v>
      </c>
      <c r="E12" s="28" t="e">
        <f t="shared" si="0"/>
        <v>#NAME?</v>
      </c>
    </row>
    <row r="13" spans="2:5" ht="15.75" thickBot="1" x14ac:dyDescent="0.3">
      <c r="B13" s="1028" t="s">
        <v>360</v>
      </c>
      <c r="C13" s="1029"/>
      <c r="D13" s="28" t="e">
        <f>#REF!</f>
        <v>#REF!</v>
      </c>
      <c r="E13" s="28" t="e">
        <f t="shared" si="0"/>
        <v>#NAME?</v>
      </c>
    </row>
    <row r="14" spans="2:5" x14ac:dyDescent="0.25">
      <c r="B14" s="1030" t="s">
        <v>361</v>
      </c>
      <c r="C14" s="1031"/>
      <c r="D14" s="28" t="e">
        <f>#REF!</f>
        <v>#REF!</v>
      </c>
      <c r="E14" s="28" t="e">
        <f t="shared" si="0"/>
        <v>#NAME?</v>
      </c>
    </row>
    <row r="15" spans="2:5" x14ac:dyDescent="0.25">
      <c r="B15" s="763" t="s">
        <v>362</v>
      </c>
      <c r="C15" s="764"/>
      <c r="D15" s="28" t="e">
        <f>#REF!</f>
        <v>#REF!</v>
      </c>
      <c r="E15" s="28" t="e">
        <f t="shared" si="0"/>
        <v>#NAME?</v>
      </c>
    </row>
    <row r="16" spans="2:5" ht="15.75" thickBot="1" x14ac:dyDescent="0.3">
      <c r="B16" s="1028" t="s">
        <v>363</v>
      </c>
      <c r="C16" s="1029"/>
      <c r="D16" s="28" t="e">
        <f>#REF!</f>
        <v>#REF!</v>
      </c>
      <c r="E16" s="28" t="e">
        <f t="shared" si="0"/>
        <v>#NAME?</v>
      </c>
    </row>
    <row r="17" spans="2:5" x14ac:dyDescent="0.25">
      <c r="B17" s="1030" t="s">
        <v>365</v>
      </c>
      <c r="C17" s="1031"/>
      <c r="D17" s="28" t="e">
        <f>#REF!</f>
        <v>#REF!</v>
      </c>
      <c r="E17" s="28" t="e">
        <f t="shared" si="0"/>
        <v>#NAME?</v>
      </c>
    </row>
    <row r="18" spans="2:5" x14ac:dyDescent="0.25">
      <c r="B18" s="763" t="s">
        <v>368</v>
      </c>
      <c r="C18" s="764"/>
      <c r="D18" s="28" t="e">
        <f>#REF!</f>
        <v>#REF!</v>
      </c>
      <c r="E18" s="28" t="e">
        <f t="shared" si="0"/>
        <v>#NAME?</v>
      </c>
    </row>
    <row r="19" spans="2:5" ht="15.75" thickBot="1" x14ac:dyDescent="0.3">
      <c r="B19" s="1028" t="s">
        <v>369</v>
      </c>
      <c r="C19" s="1029"/>
      <c r="D19" s="28" t="e">
        <f>#REF!</f>
        <v>#REF!</v>
      </c>
      <c r="E19" s="28" t="e">
        <f t="shared" si="0"/>
        <v>#NAME?</v>
      </c>
    </row>
    <row r="20" spans="2:5" ht="15.75" thickBot="1" x14ac:dyDescent="0.3">
      <c r="B20" s="765" t="s">
        <v>374</v>
      </c>
      <c r="C20" s="766"/>
      <c r="D20" s="28" t="e">
        <f>#REF!</f>
        <v>#REF!</v>
      </c>
      <c r="E20" s="28" t="e">
        <f t="shared" si="0"/>
        <v>#NAME?</v>
      </c>
    </row>
    <row r="21" spans="2:5" x14ac:dyDescent="0.25">
      <c r="B21" s="1037" t="s">
        <v>377</v>
      </c>
      <c r="C21" s="1038"/>
      <c r="D21" s="28" t="e">
        <f>#REF!</f>
        <v>#REF!</v>
      </c>
      <c r="E21" s="28" t="e">
        <f t="shared" si="0"/>
        <v>#NAME?</v>
      </c>
    </row>
    <row r="22" spans="2:5" x14ac:dyDescent="0.25">
      <c r="B22" s="1032" t="s">
        <v>378</v>
      </c>
      <c r="C22" s="1033"/>
      <c r="D22" s="28" t="e">
        <f>#REF!</f>
        <v>#REF!</v>
      </c>
      <c r="E22" s="28" t="e">
        <f t="shared" si="0"/>
        <v>#NAME?</v>
      </c>
    </row>
    <row r="23" spans="2:5" x14ac:dyDescent="0.25">
      <c r="B23" s="1032" t="s">
        <v>379</v>
      </c>
      <c r="C23" s="1033"/>
      <c r="D23" s="28" t="e">
        <f>#REF!</f>
        <v>#REF!</v>
      </c>
      <c r="E23" s="28" t="e">
        <f t="shared" si="0"/>
        <v>#NAME?</v>
      </c>
    </row>
    <row r="24" spans="2:5" ht="15.75" thickBot="1" x14ac:dyDescent="0.3">
      <c r="B24" s="1026" t="s">
        <v>380</v>
      </c>
      <c r="C24" s="1027"/>
      <c r="D24" s="28" t="e">
        <f>#REF!</f>
        <v>#REF!</v>
      </c>
      <c r="E24" s="28" t="e">
        <f t="shared" si="0"/>
        <v>#NAME?</v>
      </c>
    </row>
    <row r="25" spans="2:5" x14ac:dyDescent="0.25">
      <c r="B25" s="1030" t="s">
        <v>383</v>
      </c>
      <c r="C25" s="1031"/>
      <c r="D25" s="28" t="e">
        <f>#REF!</f>
        <v>#REF!</v>
      </c>
      <c r="E25" s="28" t="e">
        <f t="shared" si="0"/>
        <v>#NAME?</v>
      </c>
    </row>
    <row r="26" spans="2:5" x14ac:dyDescent="0.25">
      <c r="B26" s="763" t="s">
        <v>357</v>
      </c>
      <c r="C26" s="764"/>
      <c r="D26" s="28" t="e">
        <f>#REF!</f>
        <v>#REF!</v>
      </c>
      <c r="E26" s="28" t="e">
        <f t="shared" si="0"/>
        <v>#NAME?</v>
      </c>
    </row>
    <row r="27" spans="2:5" x14ac:dyDescent="0.25">
      <c r="B27" s="763" t="s">
        <v>384</v>
      </c>
      <c r="C27" s="764"/>
      <c r="D27" s="28" t="e">
        <f>#REF!</f>
        <v>#REF!</v>
      </c>
      <c r="E27" s="28" t="e">
        <f t="shared" si="0"/>
        <v>#NAME?</v>
      </c>
    </row>
    <row r="28" spans="2:5" x14ac:dyDescent="0.25">
      <c r="B28" s="763" t="s">
        <v>385</v>
      </c>
      <c r="C28" s="764"/>
      <c r="D28" s="28" t="e">
        <f>#REF!</f>
        <v>#REF!</v>
      </c>
      <c r="E28" s="28" t="e">
        <f t="shared" si="0"/>
        <v>#NAME?</v>
      </c>
    </row>
    <row r="29" spans="2:5" ht="15.75" thickBot="1" x14ac:dyDescent="0.3">
      <c r="B29" s="1028" t="s">
        <v>356</v>
      </c>
      <c r="C29" s="1029"/>
      <c r="D29" s="28" t="e">
        <f>#REF!</f>
        <v>#REF!</v>
      </c>
      <c r="E29" s="28" t="e">
        <f t="shared" si="0"/>
        <v>#NAME?</v>
      </c>
    </row>
  </sheetData>
  <mergeCells count="24">
    <mergeCell ref="B2:C2"/>
    <mergeCell ref="B7:C7"/>
    <mergeCell ref="B17:C17"/>
    <mergeCell ref="B9:C9"/>
    <mergeCell ref="B10:C10"/>
    <mergeCell ref="B11:C11"/>
    <mergeCell ref="B12:C12"/>
    <mergeCell ref="B13:C13"/>
    <mergeCell ref="B27:C27"/>
    <mergeCell ref="B28:C28"/>
    <mergeCell ref="B29:C29"/>
    <mergeCell ref="B8:C8"/>
    <mergeCell ref="B22:C22"/>
    <mergeCell ref="B23:C23"/>
    <mergeCell ref="B24:C24"/>
    <mergeCell ref="B25:C25"/>
    <mergeCell ref="B26:C26"/>
    <mergeCell ref="B20:C20"/>
    <mergeCell ref="B21:C21"/>
    <mergeCell ref="B18:C18"/>
    <mergeCell ref="B19:C19"/>
    <mergeCell ref="B14:C14"/>
    <mergeCell ref="B15:C15"/>
    <mergeCell ref="B16:C1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yracuseOfficeCustomData>{"createMode":"plain_doc","forceRefresh":"0"}</SyracuseOfficeCustomData>
</file>

<file path=customXml/itemProps1.xml><?xml version="1.0" encoding="utf-8"?>
<ds:datastoreItem xmlns:ds="http://schemas.openxmlformats.org/officeDocument/2006/customXml" ds:itemID="{AA4A8EE1-C2F1-424E-BE41-BB13176EC17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2171</vt:i4>
      </vt:variant>
    </vt:vector>
  </HeadingPairs>
  <TitlesOfParts>
    <vt:vector size="2174" baseType="lpstr">
      <vt:lpstr>SAISIE</vt:lpstr>
      <vt:lpstr>TDB STATS</vt:lpstr>
      <vt:lpstr>SYNTH_ST</vt:lpstr>
      <vt:lpstr>ACT_CHECK</vt:lpstr>
      <vt:lpstr>ACT_MOD</vt:lpstr>
      <vt:lpstr>ACT_SP</vt:lpstr>
      <vt:lpstr>ADD_ASS_CR</vt:lpstr>
      <vt:lpstr>ADD_FACT_HDG</vt:lpstr>
      <vt:lpstr>ADD_FACT_MAIN</vt:lpstr>
      <vt:lpstr>ADD_JJ_1</vt:lpstr>
      <vt:lpstr>ADD_JJ_10</vt:lpstr>
      <vt:lpstr>ADD_JJ_100</vt:lpstr>
      <vt:lpstr>ADD_JJ_101</vt:lpstr>
      <vt:lpstr>ADD_JJ_102</vt:lpstr>
      <vt:lpstr>ADD_JJ_103</vt:lpstr>
      <vt:lpstr>ADD_JJ_104</vt:lpstr>
      <vt:lpstr>ADD_JJ_105</vt:lpstr>
      <vt:lpstr>ADD_JJ_106</vt:lpstr>
      <vt:lpstr>ADD_JJ_107</vt:lpstr>
      <vt:lpstr>ADD_JJ_108</vt:lpstr>
      <vt:lpstr>ADD_JJ_109</vt:lpstr>
      <vt:lpstr>ADD_JJ_11</vt:lpstr>
      <vt:lpstr>ADD_JJ_110</vt:lpstr>
      <vt:lpstr>ADD_JJ_111</vt:lpstr>
      <vt:lpstr>ADD_JJ_112</vt:lpstr>
      <vt:lpstr>ADD_JJ_113</vt:lpstr>
      <vt:lpstr>ADD_JJ_114</vt:lpstr>
      <vt:lpstr>ADD_JJ_115</vt:lpstr>
      <vt:lpstr>ADD_JJ_116</vt:lpstr>
      <vt:lpstr>ADD_JJ_117</vt:lpstr>
      <vt:lpstr>ADD_JJ_118</vt:lpstr>
      <vt:lpstr>ADD_JJ_119</vt:lpstr>
      <vt:lpstr>ADD_JJ_12</vt:lpstr>
      <vt:lpstr>ADD_JJ_120</vt:lpstr>
      <vt:lpstr>ADD_JJ_121</vt:lpstr>
      <vt:lpstr>ADD_JJ_122</vt:lpstr>
      <vt:lpstr>ADD_JJ_123</vt:lpstr>
      <vt:lpstr>ADD_JJ_124</vt:lpstr>
      <vt:lpstr>ADD_JJ_125</vt:lpstr>
      <vt:lpstr>ADD_JJ_126</vt:lpstr>
      <vt:lpstr>ADD_JJ_127</vt:lpstr>
      <vt:lpstr>ADD_JJ_128</vt:lpstr>
      <vt:lpstr>ADD_JJ_129</vt:lpstr>
      <vt:lpstr>ADD_JJ_13</vt:lpstr>
      <vt:lpstr>ADD_JJ_130</vt:lpstr>
      <vt:lpstr>ADD_JJ_131</vt:lpstr>
      <vt:lpstr>ADD_JJ_132</vt:lpstr>
      <vt:lpstr>ADD_JJ_133</vt:lpstr>
      <vt:lpstr>ADD_JJ_134</vt:lpstr>
      <vt:lpstr>ADD_JJ_135</vt:lpstr>
      <vt:lpstr>ADD_JJ_136</vt:lpstr>
      <vt:lpstr>ADD_JJ_137</vt:lpstr>
      <vt:lpstr>ADD_JJ_14</vt:lpstr>
      <vt:lpstr>ADD_JJ_144</vt:lpstr>
      <vt:lpstr>ADD_JJ_145</vt:lpstr>
      <vt:lpstr>ADD_JJ_146</vt:lpstr>
      <vt:lpstr>ADD_JJ_147</vt:lpstr>
      <vt:lpstr>ADD_JJ_148</vt:lpstr>
      <vt:lpstr>ADD_JJ_149</vt:lpstr>
      <vt:lpstr>ADD_JJ_15</vt:lpstr>
      <vt:lpstr>ADD_JJ_150</vt:lpstr>
      <vt:lpstr>ADD_JJ_151</vt:lpstr>
      <vt:lpstr>ADD_JJ_16</vt:lpstr>
      <vt:lpstr>ADD_JJ_17</vt:lpstr>
      <vt:lpstr>ADD_JJ_18</vt:lpstr>
      <vt:lpstr>ADD_JJ_183</vt:lpstr>
      <vt:lpstr>ADD_JJ_184</vt:lpstr>
      <vt:lpstr>ADD_JJ_185</vt:lpstr>
      <vt:lpstr>ADD_JJ_186</vt:lpstr>
      <vt:lpstr>ADD_JJ_187</vt:lpstr>
      <vt:lpstr>ADD_JJ_188</vt:lpstr>
      <vt:lpstr>ADD_JJ_189</vt:lpstr>
      <vt:lpstr>ADD_JJ_19</vt:lpstr>
      <vt:lpstr>ADD_JJ_190</vt:lpstr>
      <vt:lpstr>ADD_JJ_191</vt:lpstr>
      <vt:lpstr>ADD_JJ_192</vt:lpstr>
      <vt:lpstr>ADD_JJ_193</vt:lpstr>
      <vt:lpstr>ADD_JJ_194</vt:lpstr>
      <vt:lpstr>ADD_JJ_195</vt:lpstr>
      <vt:lpstr>ADD_JJ_196</vt:lpstr>
      <vt:lpstr>ADD_JJ_197</vt:lpstr>
      <vt:lpstr>ADD_JJ_198</vt:lpstr>
      <vt:lpstr>ADD_JJ_199</vt:lpstr>
      <vt:lpstr>ADD_JJ_2</vt:lpstr>
      <vt:lpstr>ADD_JJ_20</vt:lpstr>
      <vt:lpstr>ADD_JJ_200</vt:lpstr>
      <vt:lpstr>ADD_JJ_201</vt:lpstr>
      <vt:lpstr>ADD_JJ_202</vt:lpstr>
      <vt:lpstr>ADD_JJ_203</vt:lpstr>
      <vt:lpstr>ADD_JJ_204</vt:lpstr>
      <vt:lpstr>ADD_JJ_205</vt:lpstr>
      <vt:lpstr>ADD_JJ_206</vt:lpstr>
      <vt:lpstr>ADD_JJ_21</vt:lpstr>
      <vt:lpstr>ADD_JJ_22</vt:lpstr>
      <vt:lpstr>ADD_JJ_23</vt:lpstr>
      <vt:lpstr>ADD_JJ_24</vt:lpstr>
      <vt:lpstr>ADD_JJ_25</vt:lpstr>
      <vt:lpstr>ADD_JJ_26</vt:lpstr>
      <vt:lpstr>ADD_JJ_27</vt:lpstr>
      <vt:lpstr>ADD_JJ_28</vt:lpstr>
      <vt:lpstr>ADD_JJ_29</vt:lpstr>
      <vt:lpstr>ADD_JJ_3</vt:lpstr>
      <vt:lpstr>ADD_JJ_30</vt:lpstr>
      <vt:lpstr>ADD_JJ_31</vt:lpstr>
      <vt:lpstr>ADD_JJ_32</vt:lpstr>
      <vt:lpstr>ADD_JJ_33</vt:lpstr>
      <vt:lpstr>ADD_JJ_34</vt:lpstr>
      <vt:lpstr>ADD_JJ_35</vt:lpstr>
      <vt:lpstr>ADD_JJ_36</vt:lpstr>
      <vt:lpstr>ADD_JJ_37</vt:lpstr>
      <vt:lpstr>ADD_JJ_38</vt:lpstr>
      <vt:lpstr>ADD_JJ_39</vt:lpstr>
      <vt:lpstr>ADD_JJ_4</vt:lpstr>
      <vt:lpstr>ADD_JJ_41</vt:lpstr>
      <vt:lpstr>ADD_JJ_42</vt:lpstr>
      <vt:lpstr>ADD_JJ_43</vt:lpstr>
      <vt:lpstr>ADD_JJ_44</vt:lpstr>
      <vt:lpstr>ADD_JJ_45</vt:lpstr>
      <vt:lpstr>ADD_JJ_46</vt:lpstr>
      <vt:lpstr>ADD_JJ_47</vt:lpstr>
      <vt:lpstr>ADD_JJ_48</vt:lpstr>
      <vt:lpstr>ADD_JJ_49</vt:lpstr>
      <vt:lpstr>ADD_JJ_5</vt:lpstr>
      <vt:lpstr>ADD_JJ_50</vt:lpstr>
      <vt:lpstr>ADD_JJ_51</vt:lpstr>
      <vt:lpstr>ADD_JJ_52</vt:lpstr>
      <vt:lpstr>ADD_JJ_53</vt:lpstr>
      <vt:lpstr>ADD_JJ_54</vt:lpstr>
      <vt:lpstr>ADD_JJ_55</vt:lpstr>
      <vt:lpstr>ADD_JJ_56</vt:lpstr>
      <vt:lpstr>ADD_JJ_57</vt:lpstr>
      <vt:lpstr>ADD_JJ_58</vt:lpstr>
      <vt:lpstr>ADD_JJ_59</vt:lpstr>
      <vt:lpstr>ADD_JJ_6</vt:lpstr>
      <vt:lpstr>ADD_JJ_60</vt:lpstr>
      <vt:lpstr>ADD_JJ_61</vt:lpstr>
      <vt:lpstr>ADD_JJ_62</vt:lpstr>
      <vt:lpstr>ADD_JJ_63</vt:lpstr>
      <vt:lpstr>ADD_JJ_64</vt:lpstr>
      <vt:lpstr>ADD_JJ_65</vt:lpstr>
      <vt:lpstr>ADD_JJ_66</vt:lpstr>
      <vt:lpstr>ADD_JJ_67</vt:lpstr>
      <vt:lpstr>ADD_JJ_68</vt:lpstr>
      <vt:lpstr>ADD_JJ_69</vt:lpstr>
      <vt:lpstr>ADD_JJ_7</vt:lpstr>
      <vt:lpstr>ADD_JJ_70</vt:lpstr>
      <vt:lpstr>ADD_JJ_71</vt:lpstr>
      <vt:lpstr>ADD_JJ_72</vt:lpstr>
      <vt:lpstr>ADD_JJ_73</vt:lpstr>
      <vt:lpstr>ADD_JJ_74</vt:lpstr>
      <vt:lpstr>ADD_JJ_75</vt:lpstr>
      <vt:lpstr>ADD_JJ_76</vt:lpstr>
      <vt:lpstr>ADD_JJ_77</vt:lpstr>
      <vt:lpstr>ADD_JJ_78</vt:lpstr>
      <vt:lpstr>ADD_JJ_79</vt:lpstr>
      <vt:lpstr>ADD_JJ_8</vt:lpstr>
      <vt:lpstr>ADD_JJ_80</vt:lpstr>
      <vt:lpstr>ADD_JJ_81</vt:lpstr>
      <vt:lpstr>ADD_JJ_82</vt:lpstr>
      <vt:lpstr>ADD_JJ_83</vt:lpstr>
      <vt:lpstr>ADD_JJ_84</vt:lpstr>
      <vt:lpstr>ADD_JJ_85</vt:lpstr>
      <vt:lpstr>ADD_JJ_86</vt:lpstr>
      <vt:lpstr>ADD_JJ_87</vt:lpstr>
      <vt:lpstr>ADD_JJ_88</vt:lpstr>
      <vt:lpstr>ADD_JJ_89</vt:lpstr>
      <vt:lpstr>ADD_JJ_9</vt:lpstr>
      <vt:lpstr>ADD_JJ_90</vt:lpstr>
      <vt:lpstr>ADD_JJ_91</vt:lpstr>
      <vt:lpstr>ADD_JJ_92</vt:lpstr>
      <vt:lpstr>ADD_JJ_93</vt:lpstr>
      <vt:lpstr>ADD_JJ_94</vt:lpstr>
      <vt:lpstr>ADD_JJ_95</vt:lpstr>
      <vt:lpstr>ADD_JJ_96</vt:lpstr>
      <vt:lpstr>ADD_JJ_97</vt:lpstr>
      <vt:lpstr>ADD_JJ_98</vt:lpstr>
      <vt:lpstr>ADD_JJ_99</vt:lpstr>
      <vt:lpstr>ADD_JJ_FACT</vt:lpstr>
      <vt:lpstr>ADD_JJ_FASS</vt:lpstr>
      <vt:lpstr>ADD_JJ_TMAFR</vt:lpstr>
      <vt:lpstr>ADD_JJ_TMAIN</vt:lpstr>
      <vt:lpstr>ADD_JX_1</vt:lpstr>
      <vt:lpstr>ADD_JX_10</vt:lpstr>
      <vt:lpstr>ADD_JX_100</vt:lpstr>
      <vt:lpstr>ADD_JX_101</vt:lpstr>
      <vt:lpstr>ADD_JX_102</vt:lpstr>
      <vt:lpstr>ADD_JX_103</vt:lpstr>
      <vt:lpstr>ADD_JX_104</vt:lpstr>
      <vt:lpstr>ADD_JX_105</vt:lpstr>
      <vt:lpstr>ADD_JX_106</vt:lpstr>
      <vt:lpstr>ADD_JX_107</vt:lpstr>
      <vt:lpstr>ADD_JX_108</vt:lpstr>
      <vt:lpstr>ADD_JX_109</vt:lpstr>
      <vt:lpstr>ADD_JX_11</vt:lpstr>
      <vt:lpstr>ADD_JX_110</vt:lpstr>
      <vt:lpstr>ADD_JX_111</vt:lpstr>
      <vt:lpstr>ADD_JX_112</vt:lpstr>
      <vt:lpstr>ADD_JX_113</vt:lpstr>
      <vt:lpstr>ADD_JX_114</vt:lpstr>
      <vt:lpstr>ADD_JX_115</vt:lpstr>
      <vt:lpstr>ADD_JX_116</vt:lpstr>
      <vt:lpstr>ADD_JX_117</vt:lpstr>
      <vt:lpstr>ADD_JX_118</vt:lpstr>
      <vt:lpstr>ADD_JX_119</vt:lpstr>
      <vt:lpstr>ADD_JX_12</vt:lpstr>
      <vt:lpstr>ADD_JX_120</vt:lpstr>
      <vt:lpstr>ADD_JX_121</vt:lpstr>
      <vt:lpstr>ADD_JX_122</vt:lpstr>
      <vt:lpstr>ADD_JX_123</vt:lpstr>
      <vt:lpstr>ADD_JX_124</vt:lpstr>
      <vt:lpstr>ADD_JX_125</vt:lpstr>
      <vt:lpstr>ADD_JX_126</vt:lpstr>
      <vt:lpstr>ADD_JX_127</vt:lpstr>
      <vt:lpstr>ADD_JX_128</vt:lpstr>
      <vt:lpstr>ADD_JX_129</vt:lpstr>
      <vt:lpstr>ADD_JX_13</vt:lpstr>
      <vt:lpstr>ADD_JX_130</vt:lpstr>
      <vt:lpstr>ADD_JX_131</vt:lpstr>
      <vt:lpstr>ADD_JX_132</vt:lpstr>
      <vt:lpstr>ADD_JX_133</vt:lpstr>
      <vt:lpstr>ADD_JX_134</vt:lpstr>
      <vt:lpstr>ADD_JX_135</vt:lpstr>
      <vt:lpstr>ADD_JX_136</vt:lpstr>
      <vt:lpstr>ADD_JX_137</vt:lpstr>
      <vt:lpstr>ADD_JX_14</vt:lpstr>
      <vt:lpstr>ADD_JX_144</vt:lpstr>
      <vt:lpstr>ADD_JX_145</vt:lpstr>
      <vt:lpstr>ADD_JX_146</vt:lpstr>
      <vt:lpstr>ADD_JX_147</vt:lpstr>
      <vt:lpstr>ADD_JX_148</vt:lpstr>
      <vt:lpstr>ADD_JX_149</vt:lpstr>
      <vt:lpstr>ADD_JX_15</vt:lpstr>
      <vt:lpstr>ADD_JX_150</vt:lpstr>
      <vt:lpstr>ADD_JX_151</vt:lpstr>
      <vt:lpstr>ADD_JX_16</vt:lpstr>
      <vt:lpstr>ADD_JX_17</vt:lpstr>
      <vt:lpstr>ADD_JX_18</vt:lpstr>
      <vt:lpstr>ADD_JX_183</vt:lpstr>
      <vt:lpstr>ADD_JX_184</vt:lpstr>
      <vt:lpstr>ADD_JX_185</vt:lpstr>
      <vt:lpstr>ADD_JX_186</vt:lpstr>
      <vt:lpstr>ADD_JX_187</vt:lpstr>
      <vt:lpstr>ADD_JX_188</vt:lpstr>
      <vt:lpstr>ADD_JX_189</vt:lpstr>
      <vt:lpstr>ADD_JX_19</vt:lpstr>
      <vt:lpstr>ADD_JX_190</vt:lpstr>
      <vt:lpstr>ADD_JX_191</vt:lpstr>
      <vt:lpstr>ADD_JX_192</vt:lpstr>
      <vt:lpstr>ADD_JX_193</vt:lpstr>
      <vt:lpstr>ADD_JX_194</vt:lpstr>
      <vt:lpstr>ADD_JX_195</vt:lpstr>
      <vt:lpstr>ADD_JX_196</vt:lpstr>
      <vt:lpstr>ADD_JX_197</vt:lpstr>
      <vt:lpstr>ADD_JX_198</vt:lpstr>
      <vt:lpstr>ADD_JX_199</vt:lpstr>
      <vt:lpstr>ADD_JX_2</vt:lpstr>
      <vt:lpstr>ADD_JX_20</vt:lpstr>
      <vt:lpstr>ADD_JX_200</vt:lpstr>
      <vt:lpstr>ADD_JX_201</vt:lpstr>
      <vt:lpstr>ADD_JX_202</vt:lpstr>
      <vt:lpstr>ADD_JX_203</vt:lpstr>
      <vt:lpstr>ADD_JX_204</vt:lpstr>
      <vt:lpstr>ADD_JX_205</vt:lpstr>
      <vt:lpstr>ADD_JX_206</vt:lpstr>
      <vt:lpstr>ADD_JX_21</vt:lpstr>
      <vt:lpstr>ADD_JX_22</vt:lpstr>
      <vt:lpstr>ADD_JX_23</vt:lpstr>
      <vt:lpstr>ADD_JX_24</vt:lpstr>
      <vt:lpstr>ADD_JX_25</vt:lpstr>
      <vt:lpstr>ADD_JX_26</vt:lpstr>
      <vt:lpstr>ADD_JX_27</vt:lpstr>
      <vt:lpstr>ADD_JX_28</vt:lpstr>
      <vt:lpstr>ADD_JX_29</vt:lpstr>
      <vt:lpstr>ADD_JX_3</vt:lpstr>
      <vt:lpstr>ADD_JX_30</vt:lpstr>
      <vt:lpstr>ADD_JX_31</vt:lpstr>
      <vt:lpstr>ADD_JX_32</vt:lpstr>
      <vt:lpstr>ADD_JX_33</vt:lpstr>
      <vt:lpstr>ADD_JX_34</vt:lpstr>
      <vt:lpstr>ADD_JX_35</vt:lpstr>
      <vt:lpstr>ADD_JX_36</vt:lpstr>
      <vt:lpstr>ADD_JX_37</vt:lpstr>
      <vt:lpstr>ADD_JX_38</vt:lpstr>
      <vt:lpstr>ADD_JX_39</vt:lpstr>
      <vt:lpstr>ADD_JX_4</vt:lpstr>
      <vt:lpstr>ADD_JX_41</vt:lpstr>
      <vt:lpstr>ADD_JX_42</vt:lpstr>
      <vt:lpstr>ADD_JX_43</vt:lpstr>
      <vt:lpstr>ADD_JX_44</vt:lpstr>
      <vt:lpstr>ADD_JX_45</vt:lpstr>
      <vt:lpstr>ADD_JX_46</vt:lpstr>
      <vt:lpstr>ADD_JX_47</vt:lpstr>
      <vt:lpstr>ADD_JX_48</vt:lpstr>
      <vt:lpstr>ADD_JX_49</vt:lpstr>
      <vt:lpstr>ADD_JX_5</vt:lpstr>
      <vt:lpstr>ADD_JX_50</vt:lpstr>
      <vt:lpstr>ADD_JX_51</vt:lpstr>
      <vt:lpstr>ADD_JX_52</vt:lpstr>
      <vt:lpstr>ADD_JX_53</vt:lpstr>
      <vt:lpstr>ADD_JX_54</vt:lpstr>
      <vt:lpstr>ADD_JX_55</vt:lpstr>
      <vt:lpstr>ADD_JX_56</vt:lpstr>
      <vt:lpstr>ADD_JX_57</vt:lpstr>
      <vt:lpstr>ADD_JX_58</vt:lpstr>
      <vt:lpstr>ADD_JX_59</vt:lpstr>
      <vt:lpstr>ADD_JX_6</vt:lpstr>
      <vt:lpstr>ADD_JX_60</vt:lpstr>
      <vt:lpstr>ADD_JX_61</vt:lpstr>
      <vt:lpstr>ADD_JX_62</vt:lpstr>
      <vt:lpstr>ADD_JX_63</vt:lpstr>
      <vt:lpstr>ADD_JX_64</vt:lpstr>
      <vt:lpstr>ADD_JX_65</vt:lpstr>
      <vt:lpstr>ADD_JX_66</vt:lpstr>
      <vt:lpstr>ADD_JX_67</vt:lpstr>
      <vt:lpstr>ADD_JX_68</vt:lpstr>
      <vt:lpstr>ADD_JX_69</vt:lpstr>
      <vt:lpstr>ADD_JX_7</vt:lpstr>
      <vt:lpstr>ADD_JX_70</vt:lpstr>
      <vt:lpstr>ADD_JX_71</vt:lpstr>
      <vt:lpstr>ADD_JX_72</vt:lpstr>
      <vt:lpstr>ADD_JX_73</vt:lpstr>
      <vt:lpstr>ADD_JX_74</vt:lpstr>
      <vt:lpstr>ADD_JX_75</vt:lpstr>
      <vt:lpstr>ADD_JX_76</vt:lpstr>
      <vt:lpstr>ADD_JX_77</vt:lpstr>
      <vt:lpstr>ADD_JX_78</vt:lpstr>
      <vt:lpstr>ADD_JX_79</vt:lpstr>
      <vt:lpstr>ADD_JX_8</vt:lpstr>
      <vt:lpstr>ADD_JX_80</vt:lpstr>
      <vt:lpstr>ADD_JX_81</vt:lpstr>
      <vt:lpstr>ADD_JX_82</vt:lpstr>
      <vt:lpstr>ADD_JX_83</vt:lpstr>
      <vt:lpstr>ADD_JX_84</vt:lpstr>
      <vt:lpstr>ADD_JX_85</vt:lpstr>
      <vt:lpstr>ADD_JX_86</vt:lpstr>
      <vt:lpstr>ADD_JX_87</vt:lpstr>
      <vt:lpstr>ADD_JX_88</vt:lpstr>
      <vt:lpstr>ADD_JX_89</vt:lpstr>
      <vt:lpstr>ADD_JX_9</vt:lpstr>
      <vt:lpstr>ADD_JX_90</vt:lpstr>
      <vt:lpstr>ADD_JX_91</vt:lpstr>
      <vt:lpstr>ADD_JX_92</vt:lpstr>
      <vt:lpstr>ADD_JX_93</vt:lpstr>
      <vt:lpstr>ADD_JX_94</vt:lpstr>
      <vt:lpstr>ADD_JX_95</vt:lpstr>
      <vt:lpstr>ADD_JX_96</vt:lpstr>
      <vt:lpstr>ADD_JX_97</vt:lpstr>
      <vt:lpstr>ADD_JX_98</vt:lpstr>
      <vt:lpstr>ADD_JX_99</vt:lpstr>
      <vt:lpstr>ADD_JX_CGP</vt:lpstr>
      <vt:lpstr>ADD_JX_FACT</vt:lpstr>
      <vt:lpstr>ADD_JX_PBSF</vt:lpstr>
      <vt:lpstr>ADD_JX_THDG</vt:lpstr>
      <vt:lpstr>ADD_JX_TMAIN</vt:lpstr>
      <vt:lpstr>ADD_LOG_CK</vt:lpstr>
      <vt:lpstr>ADD_MCR_1</vt:lpstr>
      <vt:lpstr>ADD_MCR_10</vt:lpstr>
      <vt:lpstr>ADD_MCR_100</vt:lpstr>
      <vt:lpstr>ADD_MCR_101</vt:lpstr>
      <vt:lpstr>ADD_MCR_102</vt:lpstr>
      <vt:lpstr>ADD_MCR_103</vt:lpstr>
      <vt:lpstr>ADD_MCR_104</vt:lpstr>
      <vt:lpstr>ADD_MCR_105</vt:lpstr>
      <vt:lpstr>ADD_MCR_106</vt:lpstr>
      <vt:lpstr>ADD_MCR_107</vt:lpstr>
      <vt:lpstr>ADD_MCR_108</vt:lpstr>
      <vt:lpstr>ADD_MCR_109</vt:lpstr>
      <vt:lpstr>ADD_MCR_11</vt:lpstr>
      <vt:lpstr>ADD_MCR_110</vt:lpstr>
      <vt:lpstr>ADD_MCR_111</vt:lpstr>
      <vt:lpstr>ADD_MCR_112</vt:lpstr>
      <vt:lpstr>ADD_MCR_113</vt:lpstr>
      <vt:lpstr>ADD_MCR_114</vt:lpstr>
      <vt:lpstr>ADD_MCR_115</vt:lpstr>
      <vt:lpstr>ADD_MCR_116</vt:lpstr>
      <vt:lpstr>ADD_MCR_117</vt:lpstr>
      <vt:lpstr>ADD_MCR_118</vt:lpstr>
      <vt:lpstr>ADD_MCR_119</vt:lpstr>
      <vt:lpstr>ADD_MCR_12</vt:lpstr>
      <vt:lpstr>ADD_MCR_120</vt:lpstr>
      <vt:lpstr>ADD_MCR_121</vt:lpstr>
      <vt:lpstr>ADD_MCR_122</vt:lpstr>
      <vt:lpstr>ADD_MCR_123</vt:lpstr>
      <vt:lpstr>ADD_MCR_124</vt:lpstr>
      <vt:lpstr>ADD_MCR_125</vt:lpstr>
      <vt:lpstr>ADD_MCR_126</vt:lpstr>
      <vt:lpstr>ADD_MCR_127</vt:lpstr>
      <vt:lpstr>ADD_MCR_128</vt:lpstr>
      <vt:lpstr>ADD_MCR_129</vt:lpstr>
      <vt:lpstr>ADD_MCR_13</vt:lpstr>
      <vt:lpstr>ADD_MCR_130</vt:lpstr>
      <vt:lpstr>ADD_MCR_131</vt:lpstr>
      <vt:lpstr>ADD_MCR_132</vt:lpstr>
      <vt:lpstr>ADD_MCR_133</vt:lpstr>
      <vt:lpstr>ADD_MCR_134</vt:lpstr>
      <vt:lpstr>ADD_MCR_135</vt:lpstr>
      <vt:lpstr>ADD_MCR_136</vt:lpstr>
      <vt:lpstr>ADD_MCR_137</vt:lpstr>
      <vt:lpstr>ADD_MCR_138</vt:lpstr>
      <vt:lpstr>ADD_MCR_139</vt:lpstr>
      <vt:lpstr>ADD_MCR_14</vt:lpstr>
      <vt:lpstr>ADD_MCR_140</vt:lpstr>
      <vt:lpstr>ADD_MCR_141</vt:lpstr>
      <vt:lpstr>ADD_MCR_142</vt:lpstr>
      <vt:lpstr>ADD_MCR_143</vt:lpstr>
      <vt:lpstr>ADD_MCR_144</vt:lpstr>
      <vt:lpstr>ADD_MCR_145</vt:lpstr>
      <vt:lpstr>ADD_MCR_146</vt:lpstr>
      <vt:lpstr>ADD_MCR_147</vt:lpstr>
      <vt:lpstr>ADD_MCR_148</vt:lpstr>
      <vt:lpstr>ADD_MCR_149</vt:lpstr>
      <vt:lpstr>ADD_MCR_150</vt:lpstr>
      <vt:lpstr>ADD_MCR_151</vt:lpstr>
      <vt:lpstr>ADD_MCR_152</vt:lpstr>
      <vt:lpstr>ADD_MCR_153</vt:lpstr>
      <vt:lpstr>ADD_MCR_154</vt:lpstr>
      <vt:lpstr>ADD_MCR_155</vt:lpstr>
      <vt:lpstr>ADD_MCR_156</vt:lpstr>
      <vt:lpstr>ADD_MCR_157</vt:lpstr>
      <vt:lpstr>ADD_MCR_158</vt:lpstr>
      <vt:lpstr>ADD_MCR_159</vt:lpstr>
      <vt:lpstr>ADD_MCR_16</vt:lpstr>
      <vt:lpstr>ADD_MCR_160</vt:lpstr>
      <vt:lpstr>ADD_MCR_161</vt:lpstr>
      <vt:lpstr>ADD_MCR_162</vt:lpstr>
      <vt:lpstr>ADD_MCR_163</vt:lpstr>
      <vt:lpstr>ADD_MCR_164</vt:lpstr>
      <vt:lpstr>ADD_MCR_165</vt:lpstr>
      <vt:lpstr>ADD_MCR_166</vt:lpstr>
      <vt:lpstr>ADD_MCR_167</vt:lpstr>
      <vt:lpstr>ADD_MCR_168</vt:lpstr>
      <vt:lpstr>ADD_MCR_169</vt:lpstr>
      <vt:lpstr>ADD_MCR_17</vt:lpstr>
      <vt:lpstr>ADD_MCR_170</vt:lpstr>
      <vt:lpstr>ADD_MCR_171</vt:lpstr>
      <vt:lpstr>ADD_MCR_172</vt:lpstr>
      <vt:lpstr>ADD_MCR_173</vt:lpstr>
      <vt:lpstr>ADD_MCR_174</vt:lpstr>
      <vt:lpstr>ADD_MCR_175</vt:lpstr>
      <vt:lpstr>ADD_MCR_176</vt:lpstr>
      <vt:lpstr>ADD_MCR_177</vt:lpstr>
      <vt:lpstr>ADD_MCR_178</vt:lpstr>
      <vt:lpstr>ADD_MCR_179</vt:lpstr>
      <vt:lpstr>ADD_MCR_18</vt:lpstr>
      <vt:lpstr>ADD_MCR_180</vt:lpstr>
      <vt:lpstr>ADD_MCR_181</vt:lpstr>
      <vt:lpstr>ADD_MCR_182</vt:lpstr>
      <vt:lpstr>ADD_MCR_19</vt:lpstr>
      <vt:lpstr>ADD_MCR_195</vt:lpstr>
      <vt:lpstr>ADD_MCR_196</vt:lpstr>
      <vt:lpstr>ADD_MCR_197</vt:lpstr>
      <vt:lpstr>ADD_MCR_198</vt:lpstr>
      <vt:lpstr>ADD_MCR_199</vt:lpstr>
      <vt:lpstr>ADD_MCR_2</vt:lpstr>
      <vt:lpstr>ADD_MCR_20</vt:lpstr>
      <vt:lpstr>ADD_MCR_200</vt:lpstr>
      <vt:lpstr>ADD_MCR_201</vt:lpstr>
      <vt:lpstr>ADD_MCR_202</vt:lpstr>
      <vt:lpstr>ADD_MCR_203</vt:lpstr>
      <vt:lpstr>ADD_MCR_204</vt:lpstr>
      <vt:lpstr>ADD_MCR_205</vt:lpstr>
      <vt:lpstr>ADD_MCR_206</vt:lpstr>
      <vt:lpstr>ADD_MCR_21</vt:lpstr>
      <vt:lpstr>ADD_MCR_22</vt:lpstr>
      <vt:lpstr>ADD_MCR_23</vt:lpstr>
      <vt:lpstr>ADD_MCR_24</vt:lpstr>
      <vt:lpstr>ADD_MCR_25</vt:lpstr>
      <vt:lpstr>ADD_MCR_26</vt:lpstr>
      <vt:lpstr>ADD_MCR_27</vt:lpstr>
      <vt:lpstr>ADD_MCR_28</vt:lpstr>
      <vt:lpstr>ADD_MCR_29</vt:lpstr>
      <vt:lpstr>ADD_MCR_3</vt:lpstr>
      <vt:lpstr>ADD_MCR_30</vt:lpstr>
      <vt:lpstr>ADD_MCR_32</vt:lpstr>
      <vt:lpstr>ADD_MCR_33</vt:lpstr>
      <vt:lpstr>ADD_MCR_34</vt:lpstr>
      <vt:lpstr>ADD_MCR_35</vt:lpstr>
      <vt:lpstr>ADD_MCR_36</vt:lpstr>
      <vt:lpstr>ADD_MCR_37</vt:lpstr>
      <vt:lpstr>ADD_MCR_38</vt:lpstr>
      <vt:lpstr>ADD_MCR_39</vt:lpstr>
      <vt:lpstr>ADD_MCR_4</vt:lpstr>
      <vt:lpstr>ADD_MCR_40</vt:lpstr>
      <vt:lpstr>ADD_MCR_41</vt:lpstr>
      <vt:lpstr>ADD_MCR_42</vt:lpstr>
      <vt:lpstr>ADD_MCR_43</vt:lpstr>
      <vt:lpstr>ADD_MCR_44</vt:lpstr>
      <vt:lpstr>ADD_MCR_45</vt:lpstr>
      <vt:lpstr>ADD_MCR_46</vt:lpstr>
      <vt:lpstr>ADD_MCR_47</vt:lpstr>
      <vt:lpstr>ADD_MCR_48</vt:lpstr>
      <vt:lpstr>ADD_MCR_49</vt:lpstr>
      <vt:lpstr>ADD_MCR_5</vt:lpstr>
      <vt:lpstr>ADD_MCR_50</vt:lpstr>
      <vt:lpstr>ADD_MCR_51</vt:lpstr>
      <vt:lpstr>ADD_MCR_52</vt:lpstr>
      <vt:lpstr>ADD_MCR_53</vt:lpstr>
      <vt:lpstr>ADD_MCR_54</vt:lpstr>
      <vt:lpstr>ADD_MCR_56</vt:lpstr>
      <vt:lpstr>ADD_MCR_57</vt:lpstr>
      <vt:lpstr>ADD_MCR_58</vt:lpstr>
      <vt:lpstr>ADD_MCR_59</vt:lpstr>
      <vt:lpstr>ADD_MCR_6</vt:lpstr>
      <vt:lpstr>ADD_MCR_60</vt:lpstr>
      <vt:lpstr>ADD_MCR_61</vt:lpstr>
      <vt:lpstr>ADD_MCR_62</vt:lpstr>
      <vt:lpstr>ADD_MCR_63</vt:lpstr>
      <vt:lpstr>ADD_MCR_64</vt:lpstr>
      <vt:lpstr>ADD_MCR_65</vt:lpstr>
      <vt:lpstr>ADD_MCR_66</vt:lpstr>
      <vt:lpstr>ADD_MCR_67</vt:lpstr>
      <vt:lpstr>ADD_MCR_68</vt:lpstr>
      <vt:lpstr>ADD_MCR_69</vt:lpstr>
      <vt:lpstr>ADD_MCR_7</vt:lpstr>
      <vt:lpstr>ADD_MCR_70</vt:lpstr>
      <vt:lpstr>ADD_MCR_71</vt:lpstr>
      <vt:lpstr>ADD_MCR_72</vt:lpstr>
      <vt:lpstr>ADD_MCR_73</vt:lpstr>
      <vt:lpstr>ADD_MCR_74</vt:lpstr>
      <vt:lpstr>ADD_MCR_75</vt:lpstr>
      <vt:lpstr>ADD_MCR_76</vt:lpstr>
      <vt:lpstr>ADD_MCR_77</vt:lpstr>
      <vt:lpstr>ADD_MCR_78</vt:lpstr>
      <vt:lpstr>ADD_MCR_79</vt:lpstr>
      <vt:lpstr>ADD_MCR_8</vt:lpstr>
      <vt:lpstr>ADD_MCR_80</vt:lpstr>
      <vt:lpstr>ADD_MCR_81</vt:lpstr>
      <vt:lpstr>ADD_MCR_82</vt:lpstr>
      <vt:lpstr>ADD_MCR_83</vt:lpstr>
      <vt:lpstr>ADD_MCR_84</vt:lpstr>
      <vt:lpstr>ADD_MCR_85</vt:lpstr>
      <vt:lpstr>ADD_MCR_86</vt:lpstr>
      <vt:lpstr>ADD_MCR_87</vt:lpstr>
      <vt:lpstr>ADD_MCR_88</vt:lpstr>
      <vt:lpstr>ADD_MCR_89</vt:lpstr>
      <vt:lpstr>ADD_MCR_9</vt:lpstr>
      <vt:lpstr>ADD_MCR_90</vt:lpstr>
      <vt:lpstr>ADD_MCR_91</vt:lpstr>
      <vt:lpstr>ADD_MCR_92</vt:lpstr>
      <vt:lpstr>ADD_MCR_93</vt:lpstr>
      <vt:lpstr>ADD_MCR_94</vt:lpstr>
      <vt:lpstr>ADD_MCR_95</vt:lpstr>
      <vt:lpstr>ADD_MCR_96</vt:lpstr>
      <vt:lpstr>ADD_MCR_97</vt:lpstr>
      <vt:lpstr>ADD_MCR_98</vt:lpstr>
      <vt:lpstr>ADD_MCR_99</vt:lpstr>
      <vt:lpstr>ADD_MX_1</vt:lpstr>
      <vt:lpstr>ADD_MX_10</vt:lpstr>
      <vt:lpstr>ADD_MX_100</vt:lpstr>
      <vt:lpstr>ADD_MX_101</vt:lpstr>
      <vt:lpstr>ADD_MX_102</vt:lpstr>
      <vt:lpstr>ADD_MX_103</vt:lpstr>
      <vt:lpstr>ADD_MX_104</vt:lpstr>
      <vt:lpstr>ADD_MX_105</vt:lpstr>
      <vt:lpstr>ADD_MX_106</vt:lpstr>
      <vt:lpstr>ADD_MX_107</vt:lpstr>
      <vt:lpstr>ADD_MX_108</vt:lpstr>
      <vt:lpstr>ADD_MX_109</vt:lpstr>
      <vt:lpstr>ADD_MX_11</vt:lpstr>
      <vt:lpstr>ADD_MX_110</vt:lpstr>
      <vt:lpstr>ADD_MX_111</vt:lpstr>
      <vt:lpstr>ADD_MX_112</vt:lpstr>
      <vt:lpstr>ADD_MX_113</vt:lpstr>
      <vt:lpstr>ADD_MX_114</vt:lpstr>
      <vt:lpstr>ADD_MX_115</vt:lpstr>
      <vt:lpstr>ADD_MX_116</vt:lpstr>
      <vt:lpstr>ADD_MX_117</vt:lpstr>
      <vt:lpstr>ADD_MX_118</vt:lpstr>
      <vt:lpstr>ADD_MX_119</vt:lpstr>
      <vt:lpstr>ADD_MX_12</vt:lpstr>
      <vt:lpstr>ADD_MX_120</vt:lpstr>
      <vt:lpstr>ADD_MX_121</vt:lpstr>
      <vt:lpstr>ADD_MX_122</vt:lpstr>
      <vt:lpstr>ADD_MX_123</vt:lpstr>
      <vt:lpstr>ADD_MX_124</vt:lpstr>
      <vt:lpstr>ADD_MX_125</vt:lpstr>
      <vt:lpstr>ADD_MX_126</vt:lpstr>
      <vt:lpstr>ADD_MX_127</vt:lpstr>
      <vt:lpstr>ADD_MX_128</vt:lpstr>
      <vt:lpstr>ADD_MX_129</vt:lpstr>
      <vt:lpstr>ADD_MX_13</vt:lpstr>
      <vt:lpstr>ADD_MX_130</vt:lpstr>
      <vt:lpstr>ADD_MX_131</vt:lpstr>
      <vt:lpstr>ADD_MX_132</vt:lpstr>
      <vt:lpstr>ADD_MX_133</vt:lpstr>
      <vt:lpstr>ADD_MX_134</vt:lpstr>
      <vt:lpstr>ADD_MX_135</vt:lpstr>
      <vt:lpstr>ADD_MX_136</vt:lpstr>
      <vt:lpstr>ADD_MX_137</vt:lpstr>
      <vt:lpstr>ADD_MX_138</vt:lpstr>
      <vt:lpstr>ADD_MX_139</vt:lpstr>
      <vt:lpstr>ADD_MX_14</vt:lpstr>
      <vt:lpstr>ADD_MX_140</vt:lpstr>
      <vt:lpstr>ADD_MX_141</vt:lpstr>
      <vt:lpstr>ADD_MX_142</vt:lpstr>
      <vt:lpstr>ADD_MX_143</vt:lpstr>
      <vt:lpstr>ADD_MX_144</vt:lpstr>
      <vt:lpstr>ADD_MX_145</vt:lpstr>
      <vt:lpstr>ADD_MX_146</vt:lpstr>
      <vt:lpstr>ADD_MX_147</vt:lpstr>
      <vt:lpstr>ADD_MX_148</vt:lpstr>
      <vt:lpstr>ADD_MX_149</vt:lpstr>
      <vt:lpstr>ADD_MX_15</vt:lpstr>
      <vt:lpstr>ADD_MX_150</vt:lpstr>
      <vt:lpstr>ADD_MX_151</vt:lpstr>
      <vt:lpstr>ADD_MX_152</vt:lpstr>
      <vt:lpstr>ADD_MX_153</vt:lpstr>
      <vt:lpstr>ADD_MX_154</vt:lpstr>
      <vt:lpstr>ADD_MX_155</vt:lpstr>
      <vt:lpstr>ADD_MX_156</vt:lpstr>
      <vt:lpstr>ADD_MX_157</vt:lpstr>
      <vt:lpstr>ADD_MX_158</vt:lpstr>
      <vt:lpstr>ADD_MX_159</vt:lpstr>
      <vt:lpstr>ADD_MX_16</vt:lpstr>
      <vt:lpstr>ADD_MX_160</vt:lpstr>
      <vt:lpstr>ADD_MX_161</vt:lpstr>
      <vt:lpstr>ADD_MX_162</vt:lpstr>
      <vt:lpstr>ADD_MX_163</vt:lpstr>
      <vt:lpstr>ADD_MX_164</vt:lpstr>
      <vt:lpstr>ADD_MX_165</vt:lpstr>
      <vt:lpstr>ADD_MX_166</vt:lpstr>
      <vt:lpstr>ADD_MX_167</vt:lpstr>
      <vt:lpstr>ADD_MX_168</vt:lpstr>
      <vt:lpstr>ADD_MX_169</vt:lpstr>
      <vt:lpstr>ADD_MX_17</vt:lpstr>
      <vt:lpstr>ADD_MX_170</vt:lpstr>
      <vt:lpstr>ADD_MX_171</vt:lpstr>
      <vt:lpstr>ADD_MX_172</vt:lpstr>
      <vt:lpstr>ADD_MX_173</vt:lpstr>
      <vt:lpstr>ADD_MX_174</vt:lpstr>
      <vt:lpstr>ADD_MX_175</vt:lpstr>
      <vt:lpstr>ADD_MX_176</vt:lpstr>
      <vt:lpstr>ADD_MX_177</vt:lpstr>
      <vt:lpstr>ADD_MX_178</vt:lpstr>
      <vt:lpstr>ADD_MX_179</vt:lpstr>
      <vt:lpstr>ADD_MX_18</vt:lpstr>
      <vt:lpstr>ADD_MX_180</vt:lpstr>
      <vt:lpstr>ADD_MX_181</vt:lpstr>
      <vt:lpstr>ADD_MX_182</vt:lpstr>
      <vt:lpstr>ADD_MX_183</vt:lpstr>
      <vt:lpstr>ADD_MX_184</vt:lpstr>
      <vt:lpstr>ADD_MX_185</vt:lpstr>
      <vt:lpstr>ADD_MX_186</vt:lpstr>
      <vt:lpstr>ADD_MX_187</vt:lpstr>
      <vt:lpstr>ADD_MX_188</vt:lpstr>
      <vt:lpstr>ADD_MX_189</vt:lpstr>
      <vt:lpstr>ADD_MX_19</vt:lpstr>
      <vt:lpstr>ADD_MX_190</vt:lpstr>
      <vt:lpstr>ADD_MX_191</vt:lpstr>
      <vt:lpstr>ADD_MX_192</vt:lpstr>
      <vt:lpstr>ADD_MX_193</vt:lpstr>
      <vt:lpstr>ADD_MX_194</vt:lpstr>
      <vt:lpstr>ADD_MX_195</vt:lpstr>
      <vt:lpstr>ADD_MX_196</vt:lpstr>
      <vt:lpstr>ADD_MX_197</vt:lpstr>
      <vt:lpstr>ADD_MX_198</vt:lpstr>
      <vt:lpstr>ADD_MX_199</vt:lpstr>
      <vt:lpstr>ADD_MX_2</vt:lpstr>
      <vt:lpstr>ADD_MX_20</vt:lpstr>
      <vt:lpstr>ADD_MX_200</vt:lpstr>
      <vt:lpstr>ADD_MX_201</vt:lpstr>
      <vt:lpstr>ADD_MX_202</vt:lpstr>
      <vt:lpstr>ADD_MX_203</vt:lpstr>
      <vt:lpstr>ADD_MX_204</vt:lpstr>
      <vt:lpstr>ADD_MX_205</vt:lpstr>
      <vt:lpstr>ADD_MX_206</vt:lpstr>
      <vt:lpstr>ADD_MX_21</vt:lpstr>
      <vt:lpstr>ADD_MX_22</vt:lpstr>
      <vt:lpstr>ADD_MX_23</vt:lpstr>
      <vt:lpstr>ADD_MX_24</vt:lpstr>
      <vt:lpstr>ADD_MX_25</vt:lpstr>
      <vt:lpstr>ADD_MX_26</vt:lpstr>
      <vt:lpstr>ADD_MX_27</vt:lpstr>
      <vt:lpstr>ADD_MX_28</vt:lpstr>
      <vt:lpstr>ADD_MX_29</vt:lpstr>
      <vt:lpstr>ADD_MX_3</vt:lpstr>
      <vt:lpstr>ADD_MX_30</vt:lpstr>
      <vt:lpstr>ADD_MX_32</vt:lpstr>
      <vt:lpstr>ADD_MX_33</vt:lpstr>
      <vt:lpstr>ADD_MX_34</vt:lpstr>
      <vt:lpstr>ADD_MX_35</vt:lpstr>
      <vt:lpstr>ADD_MX_36</vt:lpstr>
      <vt:lpstr>ADD_MX_37</vt:lpstr>
      <vt:lpstr>ADD_MX_38</vt:lpstr>
      <vt:lpstr>ADD_MX_39</vt:lpstr>
      <vt:lpstr>ADD_MX_4</vt:lpstr>
      <vt:lpstr>ADD_MX_41</vt:lpstr>
      <vt:lpstr>ADD_MX_42</vt:lpstr>
      <vt:lpstr>ADD_MX_43</vt:lpstr>
      <vt:lpstr>ADD_MX_44</vt:lpstr>
      <vt:lpstr>ADD_MX_45</vt:lpstr>
      <vt:lpstr>ADD_MX_46</vt:lpstr>
      <vt:lpstr>ADD_MX_47</vt:lpstr>
      <vt:lpstr>ADD_MX_48</vt:lpstr>
      <vt:lpstr>ADD_MX_49</vt:lpstr>
      <vt:lpstr>ADD_MX_5</vt:lpstr>
      <vt:lpstr>ADD_MX_50</vt:lpstr>
      <vt:lpstr>ADD_MX_51</vt:lpstr>
      <vt:lpstr>ADD_MX_52</vt:lpstr>
      <vt:lpstr>ADD_MX_53</vt:lpstr>
      <vt:lpstr>ADD_MX_54</vt:lpstr>
      <vt:lpstr>ADD_MX_56</vt:lpstr>
      <vt:lpstr>ADD_MX_57</vt:lpstr>
      <vt:lpstr>ADD_MX_58</vt:lpstr>
      <vt:lpstr>ADD_MX_59</vt:lpstr>
      <vt:lpstr>ADD_MX_6</vt:lpstr>
      <vt:lpstr>ADD_MX_60</vt:lpstr>
      <vt:lpstr>ADD_MX_61</vt:lpstr>
      <vt:lpstr>ADD_MX_62</vt:lpstr>
      <vt:lpstr>ADD_MX_63</vt:lpstr>
      <vt:lpstr>ADD_MX_64</vt:lpstr>
      <vt:lpstr>ADD_MX_65</vt:lpstr>
      <vt:lpstr>ADD_MX_66</vt:lpstr>
      <vt:lpstr>ADD_MX_67</vt:lpstr>
      <vt:lpstr>ADD_MX_68</vt:lpstr>
      <vt:lpstr>ADD_MX_69</vt:lpstr>
      <vt:lpstr>ADD_MX_7</vt:lpstr>
      <vt:lpstr>ADD_MX_70</vt:lpstr>
      <vt:lpstr>ADD_MX_71</vt:lpstr>
      <vt:lpstr>ADD_MX_72</vt:lpstr>
      <vt:lpstr>ADD_MX_73</vt:lpstr>
      <vt:lpstr>ADD_MX_74</vt:lpstr>
      <vt:lpstr>ADD_MX_75</vt:lpstr>
      <vt:lpstr>ADD_MX_76</vt:lpstr>
      <vt:lpstr>ADD_MX_77</vt:lpstr>
      <vt:lpstr>ADD_MX_78</vt:lpstr>
      <vt:lpstr>ADD_MX_79</vt:lpstr>
      <vt:lpstr>ADD_MX_8</vt:lpstr>
      <vt:lpstr>ADD_MX_80</vt:lpstr>
      <vt:lpstr>ADD_MX_81</vt:lpstr>
      <vt:lpstr>ADD_MX_82</vt:lpstr>
      <vt:lpstr>ADD_MX_83</vt:lpstr>
      <vt:lpstr>ADD_MX_84</vt:lpstr>
      <vt:lpstr>ADD_MX_85</vt:lpstr>
      <vt:lpstr>ADD_MX_86</vt:lpstr>
      <vt:lpstr>ADD_MX_87</vt:lpstr>
      <vt:lpstr>ADD_MX_88</vt:lpstr>
      <vt:lpstr>ADD_MX_89</vt:lpstr>
      <vt:lpstr>ADD_MX_9</vt:lpstr>
      <vt:lpstr>ADD_MX_90</vt:lpstr>
      <vt:lpstr>ADD_MX_91</vt:lpstr>
      <vt:lpstr>ADD_MX_92</vt:lpstr>
      <vt:lpstr>ADD_MX_93</vt:lpstr>
      <vt:lpstr>ADD_MX_94</vt:lpstr>
      <vt:lpstr>ADD_MX_95</vt:lpstr>
      <vt:lpstr>ADD_MX_96</vt:lpstr>
      <vt:lpstr>ADD_MX_97</vt:lpstr>
      <vt:lpstr>ADD_MX_98</vt:lpstr>
      <vt:lpstr>ADD_MX_99</vt:lpstr>
      <vt:lpstr>LOG_ST!ADD_ST_ACOP</vt:lpstr>
      <vt:lpstr>LOG_ST!ADD_ST_BOF</vt:lpstr>
      <vt:lpstr>LOG_ST!ADD_ST_BON</vt:lpstr>
      <vt:lpstr>LOG_ST!ADD_ST_CIE</vt:lpstr>
      <vt:lpstr>LOG_ST!ADD_ST_COP</vt:lpstr>
      <vt:lpstr>LOG_ST!ADD_ST_DAT</vt:lpstr>
      <vt:lpstr>ADD_ST_HDGM</vt:lpstr>
      <vt:lpstr>ADD_ST_MOISM</vt:lpstr>
      <vt:lpstr>LOG_ST!ADD_ST_P11</vt:lpstr>
      <vt:lpstr>LOG_ST!ADD_ST_P12</vt:lpstr>
      <vt:lpstr>LOG_ST!ADD_ST_P13</vt:lpstr>
      <vt:lpstr>LOG_ST!ADD_ST_P14</vt:lpstr>
      <vt:lpstr>LOG_ST!ADD_ST_P15</vt:lpstr>
      <vt:lpstr>LOG_ST!ADD_ST_P16</vt:lpstr>
      <vt:lpstr>LOG_ST!ADD_ST_P17</vt:lpstr>
      <vt:lpstr>LOG_ST!ADD_ST_P18</vt:lpstr>
      <vt:lpstr>LOG_ST!ADD_ST_P19</vt:lpstr>
      <vt:lpstr>LOG_ST!ADD_ST_P20</vt:lpstr>
      <vt:lpstr>LOG_ST!ADD_ST_P21</vt:lpstr>
      <vt:lpstr>LOG_ST!ADD_ST_P22</vt:lpstr>
      <vt:lpstr>LOG_ST!ADD_ST_P23</vt:lpstr>
      <vt:lpstr>LOG_ST!ADD_ST_P24</vt:lpstr>
      <vt:lpstr>LOG_ST!ADD_ST_P25</vt:lpstr>
      <vt:lpstr>LOG_ST!ADD_ST_P26</vt:lpstr>
      <vt:lpstr>LOG_ST!ADD_ST_P27</vt:lpstr>
      <vt:lpstr>LOG_ST!ADD_ST_P28</vt:lpstr>
      <vt:lpstr>LOG_ST!ADD_ST_P29</vt:lpstr>
      <vt:lpstr>LOG_ST!ADD_ST_P30</vt:lpstr>
      <vt:lpstr>LOG_ST!ADD_ST_P31</vt:lpstr>
      <vt:lpstr>LOG_ST!ADD_ST_P32</vt:lpstr>
      <vt:lpstr>LOG_ST!ADD_ST_P33</vt:lpstr>
      <vt:lpstr>LOG_ST!ADD_ST_P34</vt:lpstr>
      <vt:lpstr>LOG_ST!ADD_ST_P35</vt:lpstr>
      <vt:lpstr>LOG_ST!ADD_ST_P36</vt:lpstr>
      <vt:lpstr>LOG_ST!ADD_ST_P37</vt:lpstr>
      <vt:lpstr>LOG_ST!ADD_ST_PKG</vt:lpstr>
      <vt:lpstr>LOG_ST!ADD_ST_REG</vt:lpstr>
      <vt:lpstr>LOG_ST!ADD_ST_TYP</vt:lpstr>
      <vt:lpstr>ADD_TRA_MAIN</vt:lpstr>
      <vt:lpstr>ADD_TRAF_HDG</vt:lpstr>
      <vt:lpstr>ANN_BISEX</vt:lpstr>
      <vt:lpstr>ANN_DATA</vt:lpstr>
      <vt:lpstr>ANNEE_A</vt:lpstr>
      <vt:lpstr>ANNEE_AM1</vt:lpstr>
      <vt:lpstr>ANNEE_XX</vt:lpstr>
      <vt:lpstr>BISEX</vt:lpstr>
      <vt:lpstr>C_AAC</vt:lpstr>
      <vt:lpstr>C_AACF</vt:lpstr>
      <vt:lpstr>C_AACF2</vt:lpstr>
      <vt:lpstr>C_AAFR</vt:lpstr>
      <vt:lpstr>C_AAG</vt:lpstr>
      <vt:lpstr>C_AAPR</vt:lpstr>
      <vt:lpstr>C_AAVP</vt:lpstr>
      <vt:lpstr>C_AC</vt:lpstr>
      <vt:lpstr>C_ACF</vt:lpstr>
      <vt:lpstr>C_ACF2</vt:lpstr>
      <vt:lpstr>C_ADCT</vt:lpstr>
      <vt:lpstr>C_ADCT2</vt:lpstr>
      <vt:lpstr>C_ADK23</vt:lpstr>
      <vt:lpstr>C_ADK232</vt:lpstr>
      <vt:lpstr>C_AFR</vt:lpstr>
      <vt:lpstr>C_AG</vt:lpstr>
      <vt:lpstr>C_AGEH</vt:lpstr>
      <vt:lpstr>C_AMDE</vt:lpstr>
      <vt:lpstr>C_AMDE2</vt:lpstr>
      <vt:lpstr>C_AMZS</vt:lpstr>
      <vt:lpstr>C_APAN</vt:lpstr>
      <vt:lpstr>C_APAN2</vt:lpstr>
      <vt:lpstr>C_APR</vt:lpstr>
      <vt:lpstr>C_AREP</vt:lpstr>
      <vt:lpstr>C_AREP2</vt:lpstr>
      <vt:lpstr>C_ASEA</vt:lpstr>
      <vt:lpstr>C_ASFS</vt:lpstr>
      <vt:lpstr>C_ASKU</vt:lpstr>
      <vt:lpstr>C_ASKU2</vt:lpstr>
      <vt:lpstr>C_ATVX</vt:lpstr>
      <vt:lpstr>C_ATVX2</vt:lpstr>
      <vt:lpstr>C_AVP</vt:lpstr>
      <vt:lpstr>C_CNT1</vt:lpstr>
      <vt:lpstr>C_CNT2</vt:lpstr>
      <vt:lpstr>C_DCT</vt:lpstr>
      <vt:lpstr>C_DCT2</vt:lpstr>
      <vt:lpstr>C_DK23</vt:lpstr>
      <vt:lpstr>C_DK232</vt:lpstr>
      <vt:lpstr>C_GEH</vt:lpstr>
      <vt:lpstr>C_MAC</vt:lpstr>
      <vt:lpstr>C_MACF</vt:lpstr>
      <vt:lpstr>C_MACF2</vt:lpstr>
      <vt:lpstr>C_MAFR</vt:lpstr>
      <vt:lpstr>C_MAG</vt:lpstr>
      <vt:lpstr>C_MAPR</vt:lpstr>
      <vt:lpstr>C_MAVP</vt:lpstr>
      <vt:lpstr>C_MDCT</vt:lpstr>
      <vt:lpstr>C_MDCT2</vt:lpstr>
      <vt:lpstr>C_MDE</vt:lpstr>
      <vt:lpstr>C_MDE2</vt:lpstr>
      <vt:lpstr>C_MDK23</vt:lpstr>
      <vt:lpstr>C_MDK232</vt:lpstr>
      <vt:lpstr>C_MGEH</vt:lpstr>
      <vt:lpstr>C_MMDE</vt:lpstr>
      <vt:lpstr>C_MMDE2</vt:lpstr>
      <vt:lpstr>C_MMZS</vt:lpstr>
      <vt:lpstr>C_MPAN</vt:lpstr>
      <vt:lpstr>C_MPAN2</vt:lpstr>
      <vt:lpstr>C_MREP</vt:lpstr>
      <vt:lpstr>C_MREP2</vt:lpstr>
      <vt:lpstr>C_MSEA</vt:lpstr>
      <vt:lpstr>C_MSFS</vt:lpstr>
      <vt:lpstr>C_MSKU</vt:lpstr>
      <vt:lpstr>C_MSKU2</vt:lpstr>
      <vt:lpstr>C_MTVX</vt:lpstr>
      <vt:lpstr>C_MTVX2</vt:lpstr>
      <vt:lpstr>C_MZS</vt:lpstr>
      <vt:lpstr>C_PACF</vt:lpstr>
      <vt:lpstr>C_PACF2</vt:lpstr>
      <vt:lpstr>C_PAN</vt:lpstr>
      <vt:lpstr>C_PAN2</vt:lpstr>
      <vt:lpstr>C_PCOM</vt:lpstr>
      <vt:lpstr>C_PCOM2</vt:lpstr>
      <vt:lpstr>C_PDCT</vt:lpstr>
      <vt:lpstr>C_PDCT2</vt:lpstr>
      <vt:lpstr>C_PDK23</vt:lpstr>
      <vt:lpstr>C_PDK232</vt:lpstr>
      <vt:lpstr>C_PGEN</vt:lpstr>
      <vt:lpstr>C_PGEN2</vt:lpstr>
      <vt:lpstr>C_PMDE</vt:lpstr>
      <vt:lpstr>C_PMDE2</vt:lpstr>
      <vt:lpstr>C_PPAN</vt:lpstr>
      <vt:lpstr>C_PPAN2</vt:lpstr>
      <vt:lpstr>C_PREP</vt:lpstr>
      <vt:lpstr>C_PREP2</vt:lpstr>
      <vt:lpstr>C_PSKU</vt:lpstr>
      <vt:lpstr>C_PSKU2</vt:lpstr>
      <vt:lpstr>C_PTOT</vt:lpstr>
      <vt:lpstr>C_PTVX</vt:lpstr>
      <vt:lpstr>C_PTVX2</vt:lpstr>
      <vt:lpstr>C_REP</vt:lpstr>
      <vt:lpstr>C_REP2</vt:lpstr>
      <vt:lpstr>C_SEA</vt:lpstr>
      <vt:lpstr>C_SFS</vt:lpstr>
      <vt:lpstr>C_SKU</vt:lpstr>
      <vt:lpstr>C_SKU2</vt:lpstr>
      <vt:lpstr>C_TVX</vt:lpstr>
      <vt:lpstr>C_TVX2</vt:lpstr>
      <vt:lpstr>CHAMPS_LIB</vt:lpstr>
      <vt:lpstr>CK_1</vt:lpstr>
      <vt:lpstr>CK_10</vt:lpstr>
      <vt:lpstr>CK_100</vt:lpstr>
      <vt:lpstr>CK_101</vt:lpstr>
      <vt:lpstr>CK_102</vt:lpstr>
      <vt:lpstr>CK_103</vt:lpstr>
      <vt:lpstr>CK_104</vt:lpstr>
      <vt:lpstr>CK_105</vt:lpstr>
      <vt:lpstr>CK_106</vt:lpstr>
      <vt:lpstr>CK_107</vt:lpstr>
      <vt:lpstr>CK_108</vt:lpstr>
      <vt:lpstr>CK_109</vt:lpstr>
      <vt:lpstr>CK_11</vt:lpstr>
      <vt:lpstr>CK_110</vt:lpstr>
      <vt:lpstr>CK_111</vt:lpstr>
      <vt:lpstr>CK_112</vt:lpstr>
      <vt:lpstr>CK_113</vt:lpstr>
      <vt:lpstr>CK_114</vt:lpstr>
      <vt:lpstr>CK_115</vt:lpstr>
      <vt:lpstr>CK_116</vt:lpstr>
      <vt:lpstr>CK_117</vt:lpstr>
      <vt:lpstr>CK_118</vt:lpstr>
      <vt:lpstr>CK_119</vt:lpstr>
      <vt:lpstr>CK_12</vt:lpstr>
      <vt:lpstr>CK_120</vt:lpstr>
      <vt:lpstr>CK_121</vt:lpstr>
      <vt:lpstr>CK_122</vt:lpstr>
      <vt:lpstr>CK_123</vt:lpstr>
      <vt:lpstr>CK_124</vt:lpstr>
      <vt:lpstr>CK_125</vt:lpstr>
      <vt:lpstr>CK_126</vt:lpstr>
      <vt:lpstr>CK_127</vt:lpstr>
      <vt:lpstr>CK_128</vt:lpstr>
      <vt:lpstr>CK_129</vt:lpstr>
      <vt:lpstr>CK_13</vt:lpstr>
      <vt:lpstr>CK_130</vt:lpstr>
      <vt:lpstr>CK_131</vt:lpstr>
      <vt:lpstr>CK_132</vt:lpstr>
      <vt:lpstr>CK_133</vt:lpstr>
      <vt:lpstr>CK_134</vt:lpstr>
      <vt:lpstr>CK_135</vt:lpstr>
      <vt:lpstr>CK_136</vt:lpstr>
      <vt:lpstr>CK_137</vt:lpstr>
      <vt:lpstr>CK_138</vt:lpstr>
      <vt:lpstr>CK_139</vt:lpstr>
      <vt:lpstr>CK_14</vt:lpstr>
      <vt:lpstr>CK_140</vt:lpstr>
      <vt:lpstr>CK_141</vt:lpstr>
      <vt:lpstr>CK_142</vt:lpstr>
      <vt:lpstr>CK_143</vt:lpstr>
      <vt:lpstr>CK_144</vt:lpstr>
      <vt:lpstr>CK_145</vt:lpstr>
      <vt:lpstr>CK_146</vt:lpstr>
      <vt:lpstr>CK_147</vt:lpstr>
      <vt:lpstr>CK_148</vt:lpstr>
      <vt:lpstr>CK_149</vt:lpstr>
      <vt:lpstr>CK_15</vt:lpstr>
      <vt:lpstr>CK_150</vt:lpstr>
      <vt:lpstr>CK_151</vt:lpstr>
      <vt:lpstr>CK_152</vt:lpstr>
      <vt:lpstr>CK_153</vt:lpstr>
      <vt:lpstr>CK_154</vt:lpstr>
      <vt:lpstr>CK_155</vt:lpstr>
      <vt:lpstr>CK_156</vt:lpstr>
      <vt:lpstr>CK_157</vt:lpstr>
      <vt:lpstr>CK_158</vt:lpstr>
      <vt:lpstr>CK_159</vt:lpstr>
      <vt:lpstr>CK_16</vt:lpstr>
      <vt:lpstr>CK_160</vt:lpstr>
      <vt:lpstr>CK_161</vt:lpstr>
      <vt:lpstr>CK_162</vt:lpstr>
      <vt:lpstr>CK_163</vt:lpstr>
      <vt:lpstr>CK_164</vt:lpstr>
      <vt:lpstr>CK_165</vt:lpstr>
      <vt:lpstr>CK_166</vt:lpstr>
      <vt:lpstr>CK_167</vt:lpstr>
      <vt:lpstr>CK_168</vt:lpstr>
      <vt:lpstr>CK_169</vt:lpstr>
      <vt:lpstr>CK_17</vt:lpstr>
      <vt:lpstr>CK_170</vt:lpstr>
      <vt:lpstr>CK_171</vt:lpstr>
      <vt:lpstr>CK_172</vt:lpstr>
      <vt:lpstr>CK_173</vt:lpstr>
      <vt:lpstr>CK_174</vt:lpstr>
      <vt:lpstr>CK_175</vt:lpstr>
      <vt:lpstr>CK_176</vt:lpstr>
      <vt:lpstr>CK_177</vt:lpstr>
      <vt:lpstr>CK_178</vt:lpstr>
      <vt:lpstr>CK_179</vt:lpstr>
      <vt:lpstr>CK_18</vt:lpstr>
      <vt:lpstr>CK_180</vt:lpstr>
      <vt:lpstr>CK_181</vt:lpstr>
      <vt:lpstr>CK_182</vt:lpstr>
      <vt:lpstr>CK_183</vt:lpstr>
      <vt:lpstr>CK_184</vt:lpstr>
      <vt:lpstr>CK_185</vt:lpstr>
      <vt:lpstr>CK_186</vt:lpstr>
      <vt:lpstr>CK_187</vt:lpstr>
      <vt:lpstr>CK_188</vt:lpstr>
      <vt:lpstr>CK_189</vt:lpstr>
      <vt:lpstr>CK_19</vt:lpstr>
      <vt:lpstr>CK_190</vt:lpstr>
      <vt:lpstr>CK_191</vt:lpstr>
      <vt:lpstr>CK_192</vt:lpstr>
      <vt:lpstr>CK_193</vt:lpstr>
      <vt:lpstr>CK_194</vt:lpstr>
      <vt:lpstr>CK_195</vt:lpstr>
      <vt:lpstr>CK_196</vt:lpstr>
      <vt:lpstr>CK_197</vt:lpstr>
      <vt:lpstr>CK_198</vt:lpstr>
      <vt:lpstr>CK_199</vt:lpstr>
      <vt:lpstr>CK_2</vt:lpstr>
      <vt:lpstr>CK_20</vt:lpstr>
      <vt:lpstr>CK_200</vt:lpstr>
      <vt:lpstr>CK_201</vt:lpstr>
      <vt:lpstr>CK_202</vt:lpstr>
      <vt:lpstr>CK_203</vt:lpstr>
      <vt:lpstr>CK_204</vt:lpstr>
      <vt:lpstr>CK_205</vt:lpstr>
      <vt:lpstr>CK_206</vt:lpstr>
      <vt:lpstr>CK_21</vt:lpstr>
      <vt:lpstr>CK_22</vt:lpstr>
      <vt:lpstr>CK_23</vt:lpstr>
      <vt:lpstr>CK_24</vt:lpstr>
      <vt:lpstr>CK_25</vt:lpstr>
      <vt:lpstr>CK_26</vt:lpstr>
      <vt:lpstr>CK_27</vt:lpstr>
      <vt:lpstr>CK_28</vt:lpstr>
      <vt:lpstr>CK_29</vt:lpstr>
      <vt:lpstr>CK_3</vt:lpstr>
      <vt:lpstr>CK_30</vt:lpstr>
      <vt:lpstr>CK_31</vt:lpstr>
      <vt:lpstr>CK_32</vt:lpstr>
      <vt:lpstr>CK_33</vt:lpstr>
      <vt:lpstr>CK_34</vt:lpstr>
      <vt:lpstr>CK_35</vt:lpstr>
      <vt:lpstr>CK_36</vt:lpstr>
      <vt:lpstr>CK_37</vt:lpstr>
      <vt:lpstr>CK_38</vt:lpstr>
      <vt:lpstr>CK_39</vt:lpstr>
      <vt:lpstr>CK_4</vt:lpstr>
      <vt:lpstr>CK_41</vt:lpstr>
      <vt:lpstr>CK_42</vt:lpstr>
      <vt:lpstr>CK_43</vt:lpstr>
      <vt:lpstr>CK_44</vt:lpstr>
      <vt:lpstr>CK_45</vt:lpstr>
      <vt:lpstr>CK_46</vt:lpstr>
      <vt:lpstr>CK_47</vt:lpstr>
      <vt:lpstr>CK_48</vt:lpstr>
      <vt:lpstr>CK_49</vt:lpstr>
      <vt:lpstr>CK_5</vt:lpstr>
      <vt:lpstr>CK_50</vt:lpstr>
      <vt:lpstr>CK_51</vt:lpstr>
      <vt:lpstr>CK_52</vt:lpstr>
      <vt:lpstr>CK_53</vt:lpstr>
      <vt:lpstr>CK_54</vt:lpstr>
      <vt:lpstr>CK_55</vt:lpstr>
      <vt:lpstr>CK_56</vt:lpstr>
      <vt:lpstr>CK_57</vt:lpstr>
      <vt:lpstr>CK_58</vt:lpstr>
      <vt:lpstr>CK_59</vt:lpstr>
      <vt:lpstr>CK_6</vt:lpstr>
      <vt:lpstr>CK_60</vt:lpstr>
      <vt:lpstr>CK_61</vt:lpstr>
      <vt:lpstr>CK_62</vt:lpstr>
      <vt:lpstr>CK_63</vt:lpstr>
      <vt:lpstr>CK_64</vt:lpstr>
      <vt:lpstr>CK_65</vt:lpstr>
      <vt:lpstr>CK_66</vt:lpstr>
      <vt:lpstr>CK_67</vt:lpstr>
      <vt:lpstr>CK_68</vt:lpstr>
      <vt:lpstr>CK_69</vt:lpstr>
      <vt:lpstr>CK_7</vt:lpstr>
      <vt:lpstr>CK_70</vt:lpstr>
      <vt:lpstr>CK_71</vt:lpstr>
      <vt:lpstr>CK_72</vt:lpstr>
      <vt:lpstr>CK_73</vt:lpstr>
      <vt:lpstr>CK_74</vt:lpstr>
      <vt:lpstr>CK_75</vt:lpstr>
      <vt:lpstr>CK_76</vt:lpstr>
      <vt:lpstr>CK_77</vt:lpstr>
      <vt:lpstr>CK_78</vt:lpstr>
      <vt:lpstr>CK_79</vt:lpstr>
      <vt:lpstr>CK_8</vt:lpstr>
      <vt:lpstr>CK_80</vt:lpstr>
      <vt:lpstr>CK_81</vt:lpstr>
      <vt:lpstr>CK_82</vt:lpstr>
      <vt:lpstr>CK_83</vt:lpstr>
      <vt:lpstr>CK_84</vt:lpstr>
      <vt:lpstr>CK_85</vt:lpstr>
      <vt:lpstr>CK_86</vt:lpstr>
      <vt:lpstr>CK_87</vt:lpstr>
      <vt:lpstr>CK_88</vt:lpstr>
      <vt:lpstr>CK_89</vt:lpstr>
      <vt:lpstr>CK_9</vt:lpstr>
      <vt:lpstr>CK_90</vt:lpstr>
      <vt:lpstr>CK_91</vt:lpstr>
      <vt:lpstr>CK_92</vt:lpstr>
      <vt:lpstr>CK_93</vt:lpstr>
      <vt:lpstr>CK_94</vt:lpstr>
      <vt:lpstr>CK_95</vt:lpstr>
      <vt:lpstr>CK_96</vt:lpstr>
      <vt:lpstr>CK_97</vt:lpstr>
      <vt:lpstr>CK_98</vt:lpstr>
      <vt:lpstr>CK_99</vt:lpstr>
      <vt:lpstr>CK_CHECK</vt:lpstr>
      <vt:lpstr>CK_CHECK_OP</vt:lpstr>
      <vt:lpstr>CK_CHECK2</vt:lpstr>
      <vt:lpstr>CK_DT1</vt:lpstr>
      <vt:lpstr>CK_DT2</vt:lpstr>
      <vt:lpstr>CK_FAITM</vt:lpstr>
      <vt:lpstr>CK_JOUR</vt:lpstr>
      <vt:lpstr>CK_LAST</vt:lpstr>
      <vt:lpstr>COP_1</vt:lpstr>
      <vt:lpstr>COP_10</vt:lpstr>
      <vt:lpstr>COP_11</vt:lpstr>
      <vt:lpstr>COP_12</vt:lpstr>
      <vt:lpstr>COP_13</vt:lpstr>
      <vt:lpstr>COP_14</vt:lpstr>
      <vt:lpstr>COP_15</vt:lpstr>
      <vt:lpstr>COP_2</vt:lpstr>
      <vt:lpstr>COP_3</vt:lpstr>
      <vt:lpstr>COP_4</vt:lpstr>
      <vt:lpstr>COP_5</vt:lpstr>
      <vt:lpstr>COP_6</vt:lpstr>
      <vt:lpstr>COP_7</vt:lpstr>
      <vt:lpstr>COP_8</vt:lpstr>
      <vt:lpstr>COP_9</vt:lpstr>
      <vt:lpstr>CR_AOG</vt:lpstr>
      <vt:lpstr>CR_BAL</vt:lpstr>
      <vt:lpstr>CR_BS</vt:lpstr>
      <vt:lpstr>CR_CDF</vt:lpstr>
      <vt:lpstr>CR_CDM</vt:lpstr>
      <vt:lpstr>CR_DATE</vt:lpstr>
      <vt:lpstr>CR_DCT</vt:lpstr>
      <vt:lpstr>CR_DEVP</vt:lpstr>
      <vt:lpstr>CR_DEVS</vt:lpstr>
      <vt:lpstr>CR_DK</vt:lpstr>
      <vt:lpstr>CR_EMT</vt:lpstr>
      <vt:lpstr>CR_ETA</vt:lpstr>
      <vt:lpstr>CR_ETC</vt:lpstr>
      <vt:lpstr>CR_ETV</vt:lpstr>
      <vt:lpstr>CR_FATA</vt:lpstr>
      <vt:lpstr>CR_FATT</vt:lpstr>
      <vt:lpstr>CR_FNA</vt:lpstr>
      <vt:lpstr>CR_FOA</vt:lpstr>
      <vt:lpstr>CR_FPA</vt:lpstr>
      <vt:lpstr>CR_FRET</vt:lpstr>
      <vt:lpstr>CR_GRUA</vt:lpstr>
      <vt:lpstr>CR_GRUT</vt:lpstr>
      <vt:lpstr>CR_INFRA</vt:lpstr>
      <vt:lpstr>CR_INP</vt:lpstr>
      <vt:lpstr>CR_INPM</vt:lpstr>
      <vt:lpstr>CR_INPM1</vt:lpstr>
      <vt:lpstr>CR_INPO</vt:lpstr>
      <vt:lpstr>CR_INPOT</vt:lpstr>
      <vt:lpstr>CR_KMS</vt:lpstr>
      <vt:lpstr>CR_MDE</vt:lpstr>
      <vt:lpstr>CR_MRRA</vt:lpstr>
      <vt:lpstr>CR_MRRT</vt:lpstr>
      <vt:lpstr>CR_NEI</vt:lpstr>
      <vt:lpstr>CR_NOTA</vt:lpstr>
      <vt:lpstr>CR_NOTT</vt:lpstr>
      <vt:lpstr>CR_NUM</vt:lpstr>
      <vt:lpstr>CR_PERC</vt:lpstr>
      <vt:lpstr>CR_PERCT</vt:lpstr>
      <vt:lpstr>CR_PERH</vt:lpstr>
      <vt:lpstr>CR_PERM</vt:lpstr>
      <vt:lpstr>CR_PERMT</vt:lpstr>
      <vt:lpstr>CR_PERP</vt:lpstr>
      <vt:lpstr>CR_PERPT</vt:lpstr>
      <vt:lpstr>CR_PERT</vt:lpstr>
      <vt:lpstr>CR_PERTT</vt:lpstr>
      <vt:lpstr>CR_PLUIE</vt:lpstr>
      <vt:lpstr>CR_POURINP</vt:lpstr>
      <vt:lpstr>CR_REP</vt:lpstr>
      <vt:lpstr>CR_SAT</vt:lpstr>
      <vt:lpstr>CR_SGS</vt:lpstr>
      <vt:lpstr>CR_STNC</vt:lpstr>
      <vt:lpstr>CR_TIN</vt:lpstr>
      <vt:lpstr>CR_TOTR</vt:lpstr>
      <vt:lpstr>CR_TOTST</vt:lpstr>
      <vt:lpstr>CR_TVX</vt:lpstr>
      <vt:lpstr>CR_VF</vt:lpstr>
      <vt:lpstr>CTL_DMA1</vt:lpstr>
      <vt:lpstr>CTL_DMA10</vt:lpstr>
      <vt:lpstr>CTL_DMA11</vt:lpstr>
      <vt:lpstr>CTL_DMA12</vt:lpstr>
      <vt:lpstr>CTL_DMA2</vt:lpstr>
      <vt:lpstr>CTL_DMA3</vt:lpstr>
      <vt:lpstr>CTL_DMA4</vt:lpstr>
      <vt:lpstr>CTL_DMA5</vt:lpstr>
      <vt:lpstr>CTL_DMA6</vt:lpstr>
      <vt:lpstr>CTL_DMA7</vt:lpstr>
      <vt:lpstr>CTL_DMA8</vt:lpstr>
      <vt:lpstr>CTL_DMA9</vt:lpstr>
      <vt:lpstr>CTL_J28</vt:lpstr>
      <vt:lpstr>CTL_J29</vt:lpstr>
      <vt:lpstr>CTL_J30</vt:lpstr>
      <vt:lpstr>CTL_J31</vt:lpstr>
      <vt:lpstr>DATA_A_CARB</vt:lpstr>
      <vt:lpstr>DATA_A_FAC</vt:lpstr>
      <vt:lpstr>DATA_A_MAA</vt:lpstr>
      <vt:lpstr>DATA_A_MAIN</vt:lpstr>
      <vt:lpstr>DATA_A_PERMIS</vt:lpstr>
      <vt:lpstr>DATA_A_REV</vt:lpstr>
      <vt:lpstr>DATA_A_TRA</vt:lpstr>
      <vt:lpstr>DATA_A_TVX</vt:lpstr>
      <vt:lpstr>DATA_A1_MAIN</vt:lpstr>
      <vt:lpstr>DATA_A1_REV</vt:lpstr>
      <vt:lpstr>DATA_AN_CARB</vt:lpstr>
      <vt:lpstr>DATA_AN_FAC</vt:lpstr>
      <vt:lpstr>DATA_AN_MAA</vt:lpstr>
      <vt:lpstr>DATA_AN_MAIN</vt:lpstr>
      <vt:lpstr>DATA_AN_PER</vt:lpstr>
      <vt:lpstr>DATA_AN_TRA</vt:lpstr>
      <vt:lpstr>DATA_AN_TVX</vt:lpstr>
      <vt:lpstr>DATA_ANN</vt:lpstr>
      <vt:lpstr>DATA_ANNN</vt:lpstr>
      <vt:lpstr>DATA_APP</vt:lpstr>
      <vt:lpstr>DATA_APP2</vt:lpstr>
      <vt:lpstr>DATA_COP</vt:lpstr>
      <vt:lpstr>DATA_HDG</vt:lpstr>
      <vt:lpstr>DATA_HDG2</vt:lpstr>
      <vt:lpstr>DATA_HEURE</vt:lpstr>
      <vt:lpstr>DATA_M_FACT</vt:lpstr>
      <vt:lpstr>DATA_M_MAA</vt:lpstr>
      <vt:lpstr>DATA_M_MAIN</vt:lpstr>
      <vt:lpstr>DATA_M_TRA</vt:lpstr>
      <vt:lpstr>DATA_M_TVX</vt:lpstr>
      <vt:lpstr>DATA_MOIS</vt:lpstr>
      <vt:lpstr>DATA_MOISN</vt:lpstr>
      <vt:lpstr>DATA_MOISNT</vt:lpstr>
      <vt:lpstr>DATA_MOISNT2</vt:lpstr>
      <vt:lpstr>DATA_MTRILI</vt:lpstr>
      <vt:lpstr>DATA_OCC_INP</vt:lpstr>
      <vt:lpstr>DATA_PKG</vt:lpstr>
      <vt:lpstr>DATA_SCIES</vt:lpstr>
      <vt:lpstr>DATA_SCIES2</vt:lpstr>
      <vt:lpstr>DATA_ST_LI</vt:lpstr>
      <vt:lpstr>DATA_TRANS</vt:lpstr>
      <vt:lpstr>DATA_VAL_MAIN</vt:lpstr>
      <vt:lpstr>DATE_G</vt:lpstr>
      <vt:lpstr>DATE_MAIN</vt:lpstr>
      <vt:lpstr>DEST_BUG</vt:lpstr>
      <vt:lpstr>DISP_CR</vt:lpstr>
      <vt:lpstr>DJX_1</vt:lpstr>
      <vt:lpstr>DJX_10</vt:lpstr>
      <vt:lpstr>DJX_100</vt:lpstr>
      <vt:lpstr>DJX_101</vt:lpstr>
      <vt:lpstr>DJX_102</vt:lpstr>
      <vt:lpstr>DJX_103</vt:lpstr>
      <vt:lpstr>DJX_104</vt:lpstr>
      <vt:lpstr>DJX_105</vt:lpstr>
      <vt:lpstr>DJX_106</vt:lpstr>
      <vt:lpstr>DJX_107</vt:lpstr>
      <vt:lpstr>DJX_108</vt:lpstr>
      <vt:lpstr>DJX_109</vt:lpstr>
      <vt:lpstr>DJX_11</vt:lpstr>
      <vt:lpstr>DJX_110</vt:lpstr>
      <vt:lpstr>DJX_111</vt:lpstr>
      <vt:lpstr>DJX_112</vt:lpstr>
      <vt:lpstr>DJX_113</vt:lpstr>
      <vt:lpstr>DJX_114</vt:lpstr>
      <vt:lpstr>DJX_115</vt:lpstr>
      <vt:lpstr>DJX_116</vt:lpstr>
      <vt:lpstr>DJX_117</vt:lpstr>
      <vt:lpstr>DJX_118</vt:lpstr>
      <vt:lpstr>DJX_119</vt:lpstr>
      <vt:lpstr>DJX_12</vt:lpstr>
      <vt:lpstr>DJX_120</vt:lpstr>
      <vt:lpstr>DJX_121</vt:lpstr>
      <vt:lpstr>DJX_122</vt:lpstr>
      <vt:lpstr>DJX_123</vt:lpstr>
      <vt:lpstr>DJX_124</vt:lpstr>
      <vt:lpstr>DJX_125</vt:lpstr>
      <vt:lpstr>DJX_126</vt:lpstr>
      <vt:lpstr>DJX_127</vt:lpstr>
      <vt:lpstr>DJX_128</vt:lpstr>
      <vt:lpstr>DJX_129</vt:lpstr>
      <vt:lpstr>DJX_13</vt:lpstr>
      <vt:lpstr>DJX_130</vt:lpstr>
      <vt:lpstr>DJX_131</vt:lpstr>
      <vt:lpstr>DJX_132</vt:lpstr>
      <vt:lpstr>DJX_133</vt:lpstr>
      <vt:lpstr>DJX_134</vt:lpstr>
      <vt:lpstr>DJX_135</vt:lpstr>
      <vt:lpstr>DJX_136</vt:lpstr>
      <vt:lpstr>DJX_137</vt:lpstr>
      <vt:lpstr>DJX_14</vt:lpstr>
      <vt:lpstr>DJX_144</vt:lpstr>
      <vt:lpstr>DJX_145</vt:lpstr>
      <vt:lpstr>DJX_146</vt:lpstr>
      <vt:lpstr>DJX_147</vt:lpstr>
      <vt:lpstr>DJX_148</vt:lpstr>
      <vt:lpstr>DJX_149</vt:lpstr>
      <vt:lpstr>DJX_15</vt:lpstr>
      <vt:lpstr>DJX_150</vt:lpstr>
      <vt:lpstr>DJX_151</vt:lpstr>
      <vt:lpstr>DJX_16</vt:lpstr>
      <vt:lpstr>DJX_17</vt:lpstr>
      <vt:lpstr>DJX_18</vt:lpstr>
      <vt:lpstr>DJX_183</vt:lpstr>
      <vt:lpstr>DJX_184</vt:lpstr>
      <vt:lpstr>DJX_185</vt:lpstr>
      <vt:lpstr>DJX_186</vt:lpstr>
      <vt:lpstr>DJX_187</vt:lpstr>
      <vt:lpstr>DJX_188</vt:lpstr>
      <vt:lpstr>DJX_189</vt:lpstr>
      <vt:lpstr>DJX_19</vt:lpstr>
      <vt:lpstr>DJX_190</vt:lpstr>
      <vt:lpstr>DJX_191</vt:lpstr>
      <vt:lpstr>DJX_192</vt:lpstr>
      <vt:lpstr>DJX_193</vt:lpstr>
      <vt:lpstr>DJX_194</vt:lpstr>
      <vt:lpstr>DJX_195</vt:lpstr>
      <vt:lpstr>DJX_196</vt:lpstr>
      <vt:lpstr>DJX_197</vt:lpstr>
      <vt:lpstr>DJX_198</vt:lpstr>
      <vt:lpstr>DJX_199</vt:lpstr>
      <vt:lpstr>DJX_2</vt:lpstr>
      <vt:lpstr>DJX_20</vt:lpstr>
      <vt:lpstr>DJX_200</vt:lpstr>
      <vt:lpstr>DJX_201</vt:lpstr>
      <vt:lpstr>DJX_202</vt:lpstr>
      <vt:lpstr>DJX_203</vt:lpstr>
      <vt:lpstr>DJX_204</vt:lpstr>
      <vt:lpstr>DJX_205</vt:lpstr>
      <vt:lpstr>DJX_206</vt:lpstr>
      <vt:lpstr>DJX_21</vt:lpstr>
      <vt:lpstr>DJX_22</vt:lpstr>
      <vt:lpstr>DJX_23</vt:lpstr>
      <vt:lpstr>DJX_24</vt:lpstr>
      <vt:lpstr>DJX_25</vt:lpstr>
      <vt:lpstr>DJX_26</vt:lpstr>
      <vt:lpstr>DJX_27</vt:lpstr>
      <vt:lpstr>DJX_28</vt:lpstr>
      <vt:lpstr>DJX_29</vt:lpstr>
      <vt:lpstr>DJX_3</vt:lpstr>
      <vt:lpstr>DJX_30</vt:lpstr>
      <vt:lpstr>DJX_31</vt:lpstr>
      <vt:lpstr>DJX_32</vt:lpstr>
      <vt:lpstr>DJX_33</vt:lpstr>
      <vt:lpstr>DJX_34</vt:lpstr>
      <vt:lpstr>DJX_35</vt:lpstr>
      <vt:lpstr>DJX_36</vt:lpstr>
      <vt:lpstr>DJX_37</vt:lpstr>
      <vt:lpstr>DJX_38</vt:lpstr>
      <vt:lpstr>DJX_39</vt:lpstr>
      <vt:lpstr>DJX_4</vt:lpstr>
      <vt:lpstr>DJX_41</vt:lpstr>
      <vt:lpstr>DJX_42</vt:lpstr>
      <vt:lpstr>DJX_43</vt:lpstr>
      <vt:lpstr>DJX_44</vt:lpstr>
      <vt:lpstr>DJX_45</vt:lpstr>
      <vt:lpstr>DJX_46</vt:lpstr>
      <vt:lpstr>DJX_47</vt:lpstr>
      <vt:lpstr>DJX_48</vt:lpstr>
      <vt:lpstr>DJX_49</vt:lpstr>
      <vt:lpstr>DJX_5</vt:lpstr>
      <vt:lpstr>DJX_50</vt:lpstr>
      <vt:lpstr>DJX_51</vt:lpstr>
      <vt:lpstr>DJX_52</vt:lpstr>
      <vt:lpstr>DJX_53</vt:lpstr>
      <vt:lpstr>DJX_54</vt:lpstr>
      <vt:lpstr>DJX_55</vt:lpstr>
      <vt:lpstr>DJX_56</vt:lpstr>
      <vt:lpstr>DJX_57</vt:lpstr>
      <vt:lpstr>DJX_58</vt:lpstr>
      <vt:lpstr>DJX_59</vt:lpstr>
      <vt:lpstr>DJX_6</vt:lpstr>
      <vt:lpstr>DJX_60</vt:lpstr>
      <vt:lpstr>DJX_61</vt:lpstr>
      <vt:lpstr>DJX_62</vt:lpstr>
      <vt:lpstr>DJX_63</vt:lpstr>
      <vt:lpstr>DJX_64</vt:lpstr>
      <vt:lpstr>DJX_65</vt:lpstr>
      <vt:lpstr>DJX_66</vt:lpstr>
      <vt:lpstr>DJX_67</vt:lpstr>
      <vt:lpstr>DJX_68</vt:lpstr>
      <vt:lpstr>DJX_69</vt:lpstr>
      <vt:lpstr>DJX_7</vt:lpstr>
      <vt:lpstr>DJX_70</vt:lpstr>
      <vt:lpstr>DJX_71</vt:lpstr>
      <vt:lpstr>DJX_72</vt:lpstr>
      <vt:lpstr>DJX_73</vt:lpstr>
      <vt:lpstr>DJX_74</vt:lpstr>
      <vt:lpstr>DJX_75</vt:lpstr>
      <vt:lpstr>DJX_76</vt:lpstr>
      <vt:lpstr>DJX_77</vt:lpstr>
      <vt:lpstr>DJX_78</vt:lpstr>
      <vt:lpstr>DJX_79</vt:lpstr>
      <vt:lpstr>DJX_8</vt:lpstr>
      <vt:lpstr>DJX_80</vt:lpstr>
      <vt:lpstr>DJX_81</vt:lpstr>
      <vt:lpstr>DJX_82</vt:lpstr>
      <vt:lpstr>DJX_83</vt:lpstr>
      <vt:lpstr>DJX_84</vt:lpstr>
      <vt:lpstr>DJX_85</vt:lpstr>
      <vt:lpstr>DJX_86</vt:lpstr>
      <vt:lpstr>DJX_87</vt:lpstr>
      <vt:lpstr>DJX_88</vt:lpstr>
      <vt:lpstr>DJX_89</vt:lpstr>
      <vt:lpstr>DJX_9</vt:lpstr>
      <vt:lpstr>DJX_90</vt:lpstr>
      <vt:lpstr>DJX_91</vt:lpstr>
      <vt:lpstr>DJX_92</vt:lpstr>
      <vt:lpstr>DJX_93</vt:lpstr>
      <vt:lpstr>DJX_94</vt:lpstr>
      <vt:lpstr>DJX_95</vt:lpstr>
      <vt:lpstr>DJX_96</vt:lpstr>
      <vt:lpstr>DJX_97</vt:lpstr>
      <vt:lpstr>DJX_98</vt:lpstr>
      <vt:lpstr>DJX_99</vt:lpstr>
      <vt:lpstr>DJX_DT1</vt:lpstr>
      <vt:lpstr>DJX_DT2</vt:lpstr>
      <vt:lpstr>DMX_1</vt:lpstr>
      <vt:lpstr>DMX_10</vt:lpstr>
      <vt:lpstr>DMX_108</vt:lpstr>
      <vt:lpstr>DMX_109</vt:lpstr>
      <vt:lpstr>DMX_11</vt:lpstr>
      <vt:lpstr>DMX_110</vt:lpstr>
      <vt:lpstr>DMX_111</vt:lpstr>
      <vt:lpstr>DMX_112</vt:lpstr>
      <vt:lpstr>DMX_113</vt:lpstr>
      <vt:lpstr>DMX_114</vt:lpstr>
      <vt:lpstr>DMX_115</vt:lpstr>
      <vt:lpstr>DMX_116</vt:lpstr>
      <vt:lpstr>DMX_117</vt:lpstr>
      <vt:lpstr>DMX_118</vt:lpstr>
      <vt:lpstr>DMX_119</vt:lpstr>
      <vt:lpstr>DMX_12</vt:lpstr>
      <vt:lpstr>DMX_120</vt:lpstr>
      <vt:lpstr>DMX_121</vt:lpstr>
      <vt:lpstr>DMX_122</vt:lpstr>
      <vt:lpstr>DMX_123</vt:lpstr>
      <vt:lpstr>DMX_124</vt:lpstr>
      <vt:lpstr>DMX_125</vt:lpstr>
      <vt:lpstr>DMX_126</vt:lpstr>
      <vt:lpstr>DMX_127</vt:lpstr>
      <vt:lpstr>DMX_128</vt:lpstr>
      <vt:lpstr>DMX_129</vt:lpstr>
      <vt:lpstr>DMX_13</vt:lpstr>
      <vt:lpstr>DMX_130</vt:lpstr>
      <vt:lpstr>DMX_131</vt:lpstr>
      <vt:lpstr>DMX_132</vt:lpstr>
      <vt:lpstr>DMX_133</vt:lpstr>
      <vt:lpstr>DMX_134</vt:lpstr>
      <vt:lpstr>DMX_135</vt:lpstr>
      <vt:lpstr>DMX_136</vt:lpstr>
      <vt:lpstr>DMX_137</vt:lpstr>
      <vt:lpstr>DMX_138</vt:lpstr>
      <vt:lpstr>DMX_139</vt:lpstr>
      <vt:lpstr>DMX_14</vt:lpstr>
      <vt:lpstr>DMX_140</vt:lpstr>
      <vt:lpstr>DMX_141</vt:lpstr>
      <vt:lpstr>DMX_142</vt:lpstr>
      <vt:lpstr>DMX_143</vt:lpstr>
      <vt:lpstr>DMX_144</vt:lpstr>
      <vt:lpstr>DMX_145</vt:lpstr>
      <vt:lpstr>DMX_146</vt:lpstr>
      <vt:lpstr>DMX_147</vt:lpstr>
      <vt:lpstr>DMX_148</vt:lpstr>
      <vt:lpstr>DMX_149</vt:lpstr>
      <vt:lpstr>DMX_15</vt:lpstr>
      <vt:lpstr>DMX_150</vt:lpstr>
      <vt:lpstr>DMX_151</vt:lpstr>
      <vt:lpstr>DMX_152</vt:lpstr>
      <vt:lpstr>DMX_153</vt:lpstr>
      <vt:lpstr>DMX_154</vt:lpstr>
      <vt:lpstr>DMX_155</vt:lpstr>
      <vt:lpstr>DMX_156</vt:lpstr>
      <vt:lpstr>DMX_157</vt:lpstr>
      <vt:lpstr>DMX_158</vt:lpstr>
      <vt:lpstr>DMX_159</vt:lpstr>
      <vt:lpstr>DMX_16</vt:lpstr>
      <vt:lpstr>DMX_160</vt:lpstr>
      <vt:lpstr>DMX_161</vt:lpstr>
      <vt:lpstr>DMX_162</vt:lpstr>
      <vt:lpstr>DMX_163</vt:lpstr>
      <vt:lpstr>DMX_164</vt:lpstr>
      <vt:lpstr>DMX_165</vt:lpstr>
      <vt:lpstr>DMX_166</vt:lpstr>
      <vt:lpstr>DMX_167</vt:lpstr>
      <vt:lpstr>DMX_168</vt:lpstr>
      <vt:lpstr>DMX_169</vt:lpstr>
      <vt:lpstr>DMX_17</vt:lpstr>
      <vt:lpstr>DMX_170</vt:lpstr>
      <vt:lpstr>DMX_171</vt:lpstr>
      <vt:lpstr>DMX_172</vt:lpstr>
      <vt:lpstr>DMX_173</vt:lpstr>
      <vt:lpstr>DMX_174</vt:lpstr>
      <vt:lpstr>DMX_175</vt:lpstr>
      <vt:lpstr>DMX_176</vt:lpstr>
      <vt:lpstr>DMX_177</vt:lpstr>
      <vt:lpstr>DMX_178</vt:lpstr>
      <vt:lpstr>DMX_179</vt:lpstr>
      <vt:lpstr>DMX_18</vt:lpstr>
      <vt:lpstr>DMX_180</vt:lpstr>
      <vt:lpstr>DMX_181</vt:lpstr>
      <vt:lpstr>DMX_182</vt:lpstr>
      <vt:lpstr>DMX_183</vt:lpstr>
      <vt:lpstr>DMX_184</vt:lpstr>
      <vt:lpstr>DMX_185</vt:lpstr>
      <vt:lpstr>DMX_186</vt:lpstr>
      <vt:lpstr>DMX_187</vt:lpstr>
      <vt:lpstr>DMX_188</vt:lpstr>
      <vt:lpstr>DMX_189</vt:lpstr>
      <vt:lpstr>DMX_19</vt:lpstr>
      <vt:lpstr>DMX_190</vt:lpstr>
      <vt:lpstr>DMX_191</vt:lpstr>
      <vt:lpstr>DMX_192</vt:lpstr>
      <vt:lpstr>DMX_193</vt:lpstr>
      <vt:lpstr>DMX_194</vt:lpstr>
      <vt:lpstr>DMX_195</vt:lpstr>
      <vt:lpstr>DMX_196</vt:lpstr>
      <vt:lpstr>DMX_197</vt:lpstr>
      <vt:lpstr>DMX_198</vt:lpstr>
      <vt:lpstr>DMX_199</vt:lpstr>
      <vt:lpstr>DMX_2</vt:lpstr>
      <vt:lpstr>DMX_20</vt:lpstr>
      <vt:lpstr>DMX_200</vt:lpstr>
      <vt:lpstr>DMX_201</vt:lpstr>
      <vt:lpstr>DMX_202</vt:lpstr>
      <vt:lpstr>DMX_203</vt:lpstr>
      <vt:lpstr>DMX_204</vt:lpstr>
      <vt:lpstr>DMX_205</vt:lpstr>
      <vt:lpstr>DMX_206</vt:lpstr>
      <vt:lpstr>DMX_21</vt:lpstr>
      <vt:lpstr>DMX_22</vt:lpstr>
      <vt:lpstr>DMX_23</vt:lpstr>
      <vt:lpstr>DMX_24</vt:lpstr>
      <vt:lpstr>DMX_25</vt:lpstr>
      <vt:lpstr>DMX_26</vt:lpstr>
      <vt:lpstr>DMX_27</vt:lpstr>
      <vt:lpstr>DMX_28</vt:lpstr>
      <vt:lpstr>DMX_29</vt:lpstr>
      <vt:lpstr>DMX_3</vt:lpstr>
      <vt:lpstr>DMX_30</vt:lpstr>
      <vt:lpstr>DMX_32</vt:lpstr>
      <vt:lpstr>DMX_33</vt:lpstr>
      <vt:lpstr>DMX_34</vt:lpstr>
      <vt:lpstr>DMX_35</vt:lpstr>
      <vt:lpstr>DMX_36</vt:lpstr>
      <vt:lpstr>DMX_37</vt:lpstr>
      <vt:lpstr>DMX_38</vt:lpstr>
      <vt:lpstr>DMX_39</vt:lpstr>
      <vt:lpstr>DMX_4</vt:lpstr>
      <vt:lpstr>DMX_41</vt:lpstr>
      <vt:lpstr>DMX_42</vt:lpstr>
      <vt:lpstr>DMX_43</vt:lpstr>
      <vt:lpstr>DMX_44</vt:lpstr>
      <vt:lpstr>DMX_45</vt:lpstr>
      <vt:lpstr>DMX_46</vt:lpstr>
      <vt:lpstr>DMX_47</vt:lpstr>
      <vt:lpstr>DMX_48</vt:lpstr>
      <vt:lpstr>DMX_49</vt:lpstr>
      <vt:lpstr>DMX_5</vt:lpstr>
      <vt:lpstr>DMX_50</vt:lpstr>
      <vt:lpstr>DMX_51</vt:lpstr>
      <vt:lpstr>DMX_52</vt:lpstr>
      <vt:lpstr>DMX_53</vt:lpstr>
      <vt:lpstr>DMX_54</vt:lpstr>
      <vt:lpstr>DMX_56</vt:lpstr>
      <vt:lpstr>DMX_6</vt:lpstr>
      <vt:lpstr>DMX_69</vt:lpstr>
      <vt:lpstr>DMX_7</vt:lpstr>
      <vt:lpstr>DMX_8</vt:lpstr>
      <vt:lpstr>DMX_82</vt:lpstr>
      <vt:lpstr>DMX_9</vt:lpstr>
      <vt:lpstr>DMX_95</vt:lpstr>
      <vt:lpstr>DMX_DT1</vt:lpstr>
      <vt:lpstr>DMX_DT2</vt:lpstr>
      <vt:lpstr>DV_CS1</vt:lpstr>
      <vt:lpstr>DV_CS10</vt:lpstr>
      <vt:lpstr>DV_CS11</vt:lpstr>
      <vt:lpstr>DV_CS12</vt:lpstr>
      <vt:lpstr>DV_CS2</vt:lpstr>
      <vt:lpstr>DV_CS3</vt:lpstr>
      <vt:lpstr>DV_CS4</vt:lpstr>
      <vt:lpstr>DV_CS5</vt:lpstr>
      <vt:lpstr>DV_CS6</vt:lpstr>
      <vt:lpstr>DV_CS7</vt:lpstr>
      <vt:lpstr>DV_CS8</vt:lpstr>
      <vt:lpstr>DV_CS9</vt:lpstr>
      <vt:lpstr>DV_PC1</vt:lpstr>
      <vt:lpstr>DV_PC10</vt:lpstr>
      <vt:lpstr>DV_PC11</vt:lpstr>
      <vt:lpstr>DV_PC12</vt:lpstr>
      <vt:lpstr>DV_PC2</vt:lpstr>
      <vt:lpstr>DV_PC3</vt:lpstr>
      <vt:lpstr>DV_PC4</vt:lpstr>
      <vt:lpstr>DV_PC5</vt:lpstr>
      <vt:lpstr>DV_PC6</vt:lpstr>
      <vt:lpstr>DV_PC7</vt:lpstr>
      <vt:lpstr>DV_PC8</vt:lpstr>
      <vt:lpstr>DV_PC9</vt:lpstr>
      <vt:lpstr>DV_PDV</vt:lpstr>
      <vt:lpstr>DV_PINF</vt:lpstr>
      <vt:lpstr>DV_PPI</vt:lpstr>
      <vt:lpstr>ESSAI_F244</vt:lpstr>
      <vt:lpstr>ET_ARCH</vt:lpstr>
      <vt:lpstr>ET_ARCH_ST</vt:lpstr>
      <vt:lpstr>ET_ARCHANN</vt:lpstr>
      <vt:lpstr>ET_ARSTANN</vt:lpstr>
      <vt:lpstr>ET_CR</vt:lpstr>
      <vt:lpstr>ET_LOG</vt:lpstr>
      <vt:lpstr>ET_MLG</vt:lpstr>
      <vt:lpstr>ETS_CAR</vt:lpstr>
      <vt:lpstr>ETS_PER</vt:lpstr>
      <vt:lpstr>ETS_TVX</vt:lpstr>
      <vt:lpstr>FAITM_CV</vt:lpstr>
      <vt:lpstr>FAITM1</vt:lpstr>
      <vt:lpstr>FAITM2</vt:lpstr>
      <vt:lpstr>FAITM3</vt:lpstr>
      <vt:lpstr>FAITM4</vt:lpstr>
      <vt:lpstr>FAITM5</vt:lpstr>
      <vt:lpstr>FAITM6</vt:lpstr>
      <vt:lpstr>FAITM7</vt:lpstr>
      <vt:lpstr>FAITM8</vt:lpstr>
      <vt:lpstr>FIN_MOIS</vt:lpstr>
      <vt:lpstr>FRET_1H</vt:lpstr>
      <vt:lpstr>FRET_A1H</vt:lpstr>
      <vt:lpstr>FRET_AENT</vt:lpstr>
      <vt:lpstr>FRET_AM30</vt:lpstr>
      <vt:lpstr>FRET_AP30</vt:lpstr>
      <vt:lpstr>FRET_ASOR</vt:lpstr>
      <vt:lpstr>FRET_CNT</vt:lpstr>
      <vt:lpstr>FRET_ENT</vt:lpstr>
      <vt:lpstr>FRET_M1H</vt:lpstr>
      <vt:lpstr>FRET_M30</vt:lpstr>
      <vt:lpstr>FRET_MENT</vt:lpstr>
      <vt:lpstr>FRET_MM30</vt:lpstr>
      <vt:lpstr>FRET_MP30</vt:lpstr>
      <vt:lpstr>FRET_MSOR</vt:lpstr>
      <vt:lpstr>FRET_P1H</vt:lpstr>
      <vt:lpstr>FRET_P30</vt:lpstr>
      <vt:lpstr>FRET_PENT</vt:lpstr>
      <vt:lpstr>FRET_PM30</vt:lpstr>
      <vt:lpstr>FRET_PP30</vt:lpstr>
      <vt:lpstr>FRET_PSOR</vt:lpstr>
      <vt:lpstr>FRET_SOR</vt:lpstr>
      <vt:lpstr>GECO_N</vt:lpstr>
      <vt:lpstr>HDG_1</vt:lpstr>
      <vt:lpstr>HDG_1_F</vt:lpstr>
      <vt:lpstr>HDG_10</vt:lpstr>
      <vt:lpstr>HDG_10_F</vt:lpstr>
      <vt:lpstr>HDG_11</vt:lpstr>
      <vt:lpstr>HDG_11_F</vt:lpstr>
      <vt:lpstr>HDG_2</vt:lpstr>
      <vt:lpstr>HDG_2_F</vt:lpstr>
      <vt:lpstr>HDG_3</vt:lpstr>
      <vt:lpstr>HDG_3_F</vt:lpstr>
      <vt:lpstr>HDG_4</vt:lpstr>
      <vt:lpstr>HDG_4_F</vt:lpstr>
      <vt:lpstr>HDG_5</vt:lpstr>
      <vt:lpstr>HDG_5_F</vt:lpstr>
      <vt:lpstr>HDG_6</vt:lpstr>
      <vt:lpstr>HDG_6_F</vt:lpstr>
      <vt:lpstr>HDG_7</vt:lpstr>
      <vt:lpstr>HDG_7_F</vt:lpstr>
      <vt:lpstr>HDG_8</vt:lpstr>
      <vt:lpstr>HDG_8_F</vt:lpstr>
      <vt:lpstr>HDG_9</vt:lpstr>
      <vt:lpstr>HDG_9_F</vt:lpstr>
      <vt:lpstr>HDG_LI1</vt:lpstr>
      <vt:lpstr>HDG_NAM</vt:lpstr>
      <vt:lpstr>HDG_R1</vt:lpstr>
      <vt:lpstr>HDG_R2</vt:lpstr>
      <vt:lpstr>HDG_TRI</vt:lpstr>
      <vt:lpstr>HDG1_MAX</vt:lpstr>
      <vt:lpstr>HDG1_MAX2</vt:lpstr>
      <vt:lpstr>HDG1_MIN</vt:lpstr>
      <vt:lpstr>HDG2_MAX</vt:lpstr>
      <vt:lpstr>HDG2_MAX2</vt:lpstr>
      <vt:lpstr>HDG2_MIN</vt:lpstr>
      <vt:lpstr>HDG3_MAX</vt:lpstr>
      <vt:lpstr>HDG3_MAX2</vt:lpstr>
      <vt:lpstr>HDG3_MIN</vt:lpstr>
      <vt:lpstr>HDG4_MAX</vt:lpstr>
      <vt:lpstr>HDG4_MAX2</vt:lpstr>
      <vt:lpstr>HDG4_MIN</vt:lpstr>
      <vt:lpstr>HEURE_H</vt:lpstr>
      <vt:lpstr>INP_AA</vt:lpstr>
      <vt:lpstr>INP_AAA</vt:lpstr>
      <vt:lpstr>INP_ABA</vt:lpstr>
      <vt:lpstr>INP_ADI</vt:lpstr>
      <vt:lpstr>INP_AEA</vt:lpstr>
      <vt:lpstr>INP_AEC</vt:lpstr>
      <vt:lpstr>INP_AEV</vt:lpstr>
      <vt:lpstr>INP_AIN</vt:lpstr>
      <vt:lpstr>INP_ASB</vt:lpstr>
      <vt:lpstr>INP_ATV</vt:lpstr>
      <vt:lpstr>INP_BA</vt:lpstr>
      <vt:lpstr>INP_CNT</vt:lpstr>
      <vt:lpstr>INP_DI</vt:lpstr>
      <vt:lpstr>INP_EA</vt:lpstr>
      <vt:lpstr>INP_EC</vt:lpstr>
      <vt:lpstr>INP_EV</vt:lpstr>
      <vt:lpstr>INP_IN</vt:lpstr>
      <vt:lpstr>INP_MAA</vt:lpstr>
      <vt:lpstr>INP_MBA</vt:lpstr>
      <vt:lpstr>INP_MDI</vt:lpstr>
      <vt:lpstr>INP_MEA</vt:lpstr>
      <vt:lpstr>INP_MEC</vt:lpstr>
      <vt:lpstr>INP_MEV</vt:lpstr>
      <vt:lpstr>INP_MIN</vt:lpstr>
      <vt:lpstr>INP_MSB</vt:lpstr>
      <vt:lpstr>INP_MTV</vt:lpstr>
      <vt:lpstr>INP_PAA</vt:lpstr>
      <vt:lpstr>INP_PBA</vt:lpstr>
      <vt:lpstr>INP_PDI</vt:lpstr>
      <vt:lpstr>INP_PEA</vt:lpstr>
      <vt:lpstr>INP_PEC</vt:lpstr>
      <vt:lpstr>INP_PEV</vt:lpstr>
      <vt:lpstr>INP_PIN</vt:lpstr>
      <vt:lpstr>INP_PSB</vt:lpstr>
      <vt:lpstr>INP_PTV</vt:lpstr>
      <vt:lpstr>INP_SB</vt:lpstr>
      <vt:lpstr>INP_TV</vt:lpstr>
      <vt:lpstr>JOUR_DATA</vt:lpstr>
      <vt:lpstr>JOUR_J</vt:lpstr>
      <vt:lpstr>JOUR_LAST</vt:lpstr>
      <vt:lpstr>JOUR_LAST_M1</vt:lpstr>
      <vt:lpstr>JOUR_X</vt:lpstr>
      <vt:lpstr>LOG_ANNUEL!LOG_NAME</vt:lpstr>
      <vt:lpstr>'LOG_ANNUEL_A-1'!LOG_NAME</vt:lpstr>
      <vt:lpstr>LOG_M!LOG_NAME</vt:lpstr>
      <vt:lpstr>LOM_AC</vt:lpstr>
      <vt:lpstr>LOM_AM</vt:lpstr>
      <vt:lpstr>LOM_AP</vt:lpstr>
      <vt:lpstr>LOM_AS</vt:lpstr>
      <vt:lpstr>LOM_AT</vt:lpstr>
      <vt:lpstr>LOM_EXT</vt:lpstr>
      <vt:lpstr>LOM_FAT</vt:lpstr>
      <vt:lpstr>LOM_FC</vt:lpstr>
      <vt:lpstr>LOM_FF</vt:lpstr>
      <vt:lpstr>LOM_FIM</vt:lpstr>
      <vt:lpstr>LOM_FIT</vt:lpstr>
      <vt:lpstr>LOM_FRM</vt:lpstr>
      <vt:lpstr>LOM_GR</vt:lpstr>
      <vt:lpstr>LOM_LA</vt:lpstr>
      <vt:lpstr>LOM_LF</vt:lpstr>
      <vt:lpstr>LOM_LG</vt:lpstr>
      <vt:lpstr>LOM_LSP</vt:lpstr>
      <vt:lpstr>LOM_MAI</vt:lpstr>
      <vt:lpstr>LOM_MAS</vt:lpstr>
      <vt:lpstr>LOM_MF</vt:lpstr>
      <vt:lpstr>LOM_MG</vt:lpstr>
      <vt:lpstr>LOM_MLA</vt:lpstr>
      <vt:lpstr>LOM_MRR</vt:lpstr>
      <vt:lpstr>LOM_MSP</vt:lpstr>
      <vt:lpstr>LOM_NOT</vt:lpstr>
      <vt:lpstr>LOM_P</vt:lpstr>
      <vt:lpstr>LOM_PC</vt:lpstr>
      <vt:lpstr>LOM_PM</vt:lpstr>
      <vt:lpstr>LOM_PT</vt:lpstr>
      <vt:lpstr>LOM_RC</vt:lpstr>
      <vt:lpstr>LOM_RFF</vt:lpstr>
      <vt:lpstr>LOM_RM</vt:lpstr>
      <vt:lpstr>LOM_RP</vt:lpstr>
      <vt:lpstr>LOM_RT</vt:lpstr>
      <vt:lpstr>LOM_SAI</vt:lpstr>
      <vt:lpstr>LOM_TH</vt:lpstr>
      <vt:lpstr>LOM_TR</vt:lpstr>
      <vt:lpstr>MAIL_OPSN</vt:lpstr>
      <vt:lpstr>MLG_AIP1</vt:lpstr>
      <vt:lpstr>MLG_AIP2</vt:lpstr>
      <vt:lpstr>MLG_FAT</vt:lpstr>
      <vt:lpstr>MLG_FATA</vt:lpstr>
      <vt:lpstr>MLG_GRU</vt:lpstr>
      <vt:lpstr>MLG_MRR</vt:lpstr>
      <vt:lpstr>MLG_NAME</vt:lpstr>
      <vt:lpstr>MLG_NOT</vt:lpstr>
      <vt:lpstr>MOIS_AN1</vt:lpstr>
      <vt:lpstr>MOIS_ANNEE</vt:lpstr>
      <vt:lpstr>MOIS_M</vt:lpstr>
      <vt:lpstr>MOIS_M1</vt:lpstr>
      <vt:lpstr>MOIS_N1</vt:lpstr>
      <vt:lpstr>MOIS_TXT</vt:lpstr>
      <vt:lpstr>MOIS_X</vt:lpstr>
      <vt:lpstr>MOIS_XX</vt:lpstr>
      <vt:lpstr>NAME_CK_1</vt:lpstr>
      <vt:lpstr>NAME_CK_10</vt:lpstr>
      <vt:lpstr>NAME_CK_11</vt:lpstr>
      <vt:lpstr>NAME_CK_12</vt:lpstr>
      <vt:lpstr>NAME_CK_13</vt:lpstr>
      <vt:lpstr>NAME_CK_14</vt:lpstr>
      <vt:lpstr>NAME_CK_15</vt:lpstr>
      <vt:lpstr>NAME_CK_16</vt:lpstr>
      <vt:lpstr>NAME_CK_17</vt:lpstr>
      <vt:lpstr>NAME_CK_18</vt:lpstr>
      <vt:lpstr>NAME_CK_19</vt:lpstr>
      <vt:lpstr>NAME_CK_2</vt:lpstr>
      <vt:lpstr>NAME_CK_20</vt:lpstr>
      <vt:lpstr>NAME_CK_21</vt:lpstr>
      <vt:lpstr>NAME_CK_22</vt:lpstr>
      <vt:lpstr>NAME_CK_23</vt:lpstr>
      <vt:lpstr>NAME_CK_24</vt:lpstr>
      <vt:lpstr>NAME_CK_25</vt:lpstr>
      <vt:lpstr>NAME_CK_26</vt:lpstr>
      <vt:lpstr>NAME_CK_27</vt:lpstr>
      <vt:lpstr>NAME_CK_28</vt:lpstr>
      <vt:lpstr>NAME_CK_29</vt:lpstr>
      <vt:lpstr>NAME_CK_3</vt:lpstr>
      <vt:lpstr>NAME_CK_30</vt:lpstr>
      <vt:lpstr>NAME_CK_31</vt:lpstr>
      <vt:lpstr>NAME_CK_4</vt:lpstr>
      <vt:lpstr>NAME_CK_5</vt:lpstr>
      <vt:lpstr>NAME_CK_6</vt:lpstr>
      <vt:lpstr>NAME_CK_7</vt:lpstr>
      <vt:lpstr>NAME_CK_8</vt:lpstr>
      <vt:lpstr>NAME_CK_9</vt:lpstr>
      <vt:lpstr>OCC_INP</vt:lpstr>
      <vt:lpstr>PRIX_CGP</vt:lpstr>
      <vt:lpstr>PRIX_EMT</vt:lpstr>
      <vt:lpstr>PRIX_EXAMT</vt:lpstr>
      <vt:lpstr>PRIX_FOM</vt:lpstr>
      <vt:lpstr>PRIX_FOT</vt:lpstr>
      <vt:lpstr>PRIX_JET</vt:lpstr>
      <vt:lpstr>PRIX_MSH</vt:lpstr>
      <vt:lpstr>PRIX_PBS</vt:lpstr>
      <vt:lpstr>PRIX_PERC</vt:lpstr>
      <vt:lpstr>PRIX_PERMI</vt:lpstr>
      <vt:lpstr>PRIX_PERMR</vt:lpstr>
      <vt:lpstr>PRIX_PNA</vt:lpstr>
      <vt:lpstr>PRIX_SAT</vt:lpstr>
      <vt:lpstr>PRIX_TRACT</vt:lpstr>
      <vt:lpstr>PST_ANN</vt:lpstr>
      <vt:lpstr>PST_D1HDG1</vt:lpstr>
      <vt:lpstr>PST_D1HDG2</vt:lpstr>
      <vt:lpstr>PST_D1HDG3</vt:lpstr>
      <vt:lpstr>PST_D1HDG4</vt:lpstr>
      <vt:lpstr>PST_D2HDG1</vt:lpstr>
      <vt:lpstr>PST_D2HDG2</vt:lpstr>
      <vt:lpstr>PST_D2HDG3</vt:lpstr>
      <vt:lpstr>PST_D2HDG4</vt:lpstr>
      <vt:lpstr>PST_MOIS</vt:lpstr>
      <vt:lpstr>ST_4001</vt:lpstr>
      <vt:lpstr>ST_4002</vt:lpstr>
      <vt:lpstr>ST_ACO</vt:lpstr>
      <vt:lpstr>ST_AKH</vt:lpstr>
      <vt:lpstr>ST_ALT_DATE</vt:lpstr>
      <vt:lpstr>ST_ASS_CR</vt:lpstr>
      <vt:lpstr>ST_CAT</vt:lpstr>
      <vt:lpstr>ST_CBV</vt:lpstr>
      <vt:lpstr>ST_CC</vt:lpstr>
      <vt:lpstr>ST_CMP</vt:lpstr>
      <vt:lpstr>ST_COP</vt:lpstr>
      <vt:lpstr>ST_COP_CT</vt:lpstr>
      <vt:lpstr>ST_CPM</vt:lpstr>
      <vt:lpstr>ST_CTL</vt:lpstr>
      <vt:lpstr>ST_DAO</vt:lpstr>
      <vt:lpstr>ST_DATE_ALT</vt:lpstr>
      <vt:lpstr>ST_DATE_CTL</vt:lpstr>
      <vt:lpstr>ST_DT</vt:lpstr>
      <vt:lpstr>ST_ECD</vt:lpstr>
      <vt:lpstr>ST_ENT_DATE</vt:lpstr>
      <vt:lpstr>ST_EY_APP_CT</vt:lpstr>
      <vt:lpstr>ST_EY_CIE_CT</vt:lpstr>
      <vt:lpstr>ST_EY_IMM</vt:lpstr>
      <vt:lpstr>ST_EY_MC_APP</vt:lpstr>
      <vt:lpstr>ST_EY_MC_CIE</vt:lpstr>
      <vt:lpstr>ST_EY_TAPP</vt:lpstr>
      <vt:lpstr>ST_EY_TCIE</vt:lpstr>
      <vt:lpstr>ST_GC</vt:lpstr>
      <vt:lpstr>ST_HDG_1</vt:lpstr>
      <vt:lpstr>ST_HDG_2</vt:lpstr>
      <vt:lpstr>ST_HDG_3</vt:lpstr>
      <vt:lpstr>ST_HDG_4</vt:lpstr>
      <vt:lpstr>ST_HDG_M</vt:lpstr>
      <vt:lpstr>ST_IPA1</vt:lpstr>
      <vt:lpstr>ST_IPA2</vt:lpstr>
      <vt:lpstr>ST_LI_APP</vt:lpstr>
      <vt:lpstr>ST_LI_CIE</vt:lpstr>
      <vt:lpstr>ST_LI_CIE3</vt:lpstr>
      <vt:lpstr>ST_LOD</vt:lpstr>
      <vt:lpstr>ST_MC_IMM</vt:lpstr>
      <vt:lpstr>ST_MC_TAPP</vt:lpstr>
      <vt:lpstr>ST_MC_TCIE</vt:lpstr>
      <vt:lpstr>ST_MIR</vt:lpstr>
      <vt:lpstr>ST_MOY</vt:lpstr>
      <vt:lpstr>ST_PARR</vt:lpstr>
      <vt:lpstr>ST_PKG</vt:lpstr>
      <vt:lpstr>ST_PKG_CT</vt:lpstr>
      <vt:lpstr>ST_PKG_LG</vt:lpstr>
      <vt:lpstr>ST_PKG_WW</vt:lpstr>
      <vt:lpstr>ST_PPP1</vt:lpstr>
      <vt:lpstr>ST_PPP2</vt:lpstr>
      <vt:lpstr>ST_PSI</vt:lpstr>
      <vt:lpstr>ST_REPO</vt:lpstr>
      <vt:lpstr>ST_RLI_APP</vt:lpstr>
      <vt:lpstr>ST_RLI_CIE</vt:lpstr>
      <vt:lpstr>ST_VDP</vt:lpstr>
      <vt:lpstr>ST_WW</vt:lpstr>
      <vt:lpstr>ST_ZD1</vt:lpstr>
      <vt:lpstr>ST_ZD2</vt:lpstr>
      <vt:lpstr>STAN_NAME</vt:lpstr>
      <vt:lpstr>STP_1</vt:lpstr>
      <vt:lpstr>STP_2</vt:lpstr>
      <vt:lpstr>STP_3</vt:lpstr>
      <vt:lpstr>STP_4</vt:lpstr>
      <vt:lpstr>STP_5</vt:lpstr>
      <vt:lpstr>STP_6</vt:lpstr>
      <vt:lpstr>STP_7</vt:lpstr>
      <vt:lpstr>STP_8</vt:lpstr>
      <vt:lpstr>T_BAL</vt:lpstr>
      <vt:lpstr>T_BS</vt:lpstr>
      <vt:lpstr>T_ET</vt:lpstr>
      <vt:lpstr>T_FNA</vt:lpstr>
      <vt:lpstr>T_FOA</vt:lpstr>
      <vt:lpstr>T_FPA</vt:lpstr>
      <vt:lpstr>T_INFRA</vt:lpstr>
      <vt:lpstr>T_SGS</vt:lpstr>
      <vt:lpstr>TODO_1</vt:lpstr>
      <vt:lpstr>TODO_10</vt:lpstr>
      <vt:lpstr>TODO_11</vt:lpstr>
      <vt:lpstr>TODO_12</vt:lpstr>
      <vt:lpstr>TODO_13</vt:lpstr>
      <vt:lpstr>TODO_14</vt:lpstr>
      <vt:lpstr>TODO_15</vt:lpstr>
      <vt:lpstr>TODO_16</vt:lpstr>
      <vt:lpstr>TODO_17</vt:lpstr>
      <vt:lpstr>TODO_18</vt:lpstr>
      <vt:lpstr>TODO_19</vt:lpstr>
      <vt:lpstr>TODO_2</vt:lpstr>
      <vt:lpstr>TODO_20</vt:lpstr>
      <vt:lpstr>TODO_21</vt:lpstr>
      <vt:lpstr>TODO_22</vt:lpstr>
      <vt:lpstr>TODO_23</vt:lpstr>
      <vt:lpstr>TODO_24</vt:lpstr>
      <vt:lpstr>TODO_25</vt:lpstr>
      <vt:lpstr>TODO_26</vt:lpstr>
      <vt:lpstr>TODO_27</vt:lpstr>
      <vt:lpstr>TODO_28</vt:lpstr>
      <vt:lpstr>TODO_29</vt:lpstr>
      <vt:lpstr>TODO_3</vt:lpstr>
      <vt:lpstr>TODO_30</vt:lpstr>
      <vt:lpstr>TODO_31</vt:lpstr>
      <vt:lpstr>TODO_4</vt:lpstr>
      <vt:lpstr>TODO_5</vt:lpstr>
      <vt:lpstr>TODO_6</vt:lpstr>
      <vt:lpstr>TODO_7</vt:lpstr>
      <vt:lpstr>TODO_8</vt:lpstr>
      <vt:lpstr>TODO_9</vt:lpstr>
      <vt:lpstr>TOT_</vt:lpstr>
      <vt:lpstr>TOT_1</vt:lpstr>
      <vt:lpstr>TOT_10</vt:lpstr>
      <vt:lpstr>TOT_100</vt:lpstr>
      <vt:lpstr>TOT_101</vt:lpstr>
      <vt:lpstr>TOT_102</vt:lpstr>
      <vt:lpstr>TOT_103</vt:lpstr>
      <vt:lpstr>TOT_104</vt:lpstr>
      <vt:lpstr>TOT_105</vt:lpstr>
      <vt:lpstr>TOT_106</vt:lpstr>
      <vt:lpstr>TOT_107</vt:lpstr>
      <vt:lpstr>TOT_108</vt:lpstr>
      <vt:lpstr>TOT_109</vt:lpstr>
      <vt:lpstr>TOT_11</vt:lpstr>
      <vt:lpstr>TOT_110</vt:lpstr>
      <vt:lpstr>TOT_111</vt:lpstr>
      <vt:lpstr>TOT_112</vt:lpstr>
      <vt:lpstr>TOT_113</vt:lpstr>
      <vt:lpstr>TOT_114</vt:lpstr>
      <vt:lpstr>TOT_115</vt:lpstr>
      <vt:lpstr>TOT_116</vt:lpstr>
      <vt:lpstr>TOT_117</vt:lpstr>
      <vt:lpstr>TOT_118</vt:lpstr>
      <vt:lpstr>TOT_119</vt:lpstr>
      <vt:lpstr>TOT_12</vt:lpstr>
      <vt:lpstr>TOT_120</vt:lpstr>
      <vt:lpstr>TOT_121</vt:lpstr>
      <vt:lpstr>TOT_122</vt:lpstr>
      <vt:lpstr>TOT_123</vt:lpstr>
      <vt:lpstr>TOT_124</vt:lpstr>
      <vt:lpstr>TOT_125</vt:lpstr>
      <vt:lpstr>TOT_126</vt:lpstr>
      <vt:lpstr>TOT_127</vt:lpstr>
      <vt:lpstr>TOT_128</vt:lpstr>
      <vt:lpstr>TOT_129</vt:lpstr>
      <vt:lpstr>TOT_13</vt:lpstr>
      <vt:lpstr>TOT_130</vt:lpstr>
      <vt:lpstr>TOT_131</vt:lpstr>
      <vt:lpstr>TOT_132</vt:lpstr>
      <vt:lpstr>TOT_133</vt:lpstr>
      <vt:lpstr>TOT_134</vt:lpstr>
      <vt:lpstr>TOT_135</vt:lpstr>
      <vt:lpstr>TOT_136</vt:lpstr>
      <vt:lpstr>TOT_137</vt:lpstr>
      <vt:lpstr>TOT_138</vt:lpstr>
      <vt:lpstr>TOT_139</vt:lpstr>
      <vt:lpstr>TOT_14</vt:lpstr>
      <vt:lpstr>TOT_140</vt:lpstr>
      <vt:lpstr>TOT_141</vt:lpstr>
      <vt:lpstr>TOT_142</vt:lpstr>
      <vt:lpstr>TOT_143</vt:lpstr>
      <vt:lpstr>TOT_144</vt:lpstr>
      <vt:lpstr>TOT_145</vt:lpstr>
      <vt:lpstr>TOT_146</vt:lpstr>
      <vt:lpstr>TOT_147</vt:lpstr>
      <vt:lpstr>TOT_148</vt:lpstr>
      <vt:lpstr>TOT_149</vt:lpstr>
      <vt:lpstr>TOT_150</vt:lpstr>
      <vt:lpstr>TOT_151</vt:lpstr>
      <vt:lpstr>TOT_16</vt:lpstr>
      <vt:lpstr>TOT_17</vt:lpstr>
      <vt:lpstr>TOT_18</vt:lpstr>
      <vt:lpstr>TOT_183</vt:lpstr>
      <vt:lpstr>TOT_184</vt:lpstr>
      <vt:lpstr>TOT_185</vt:lpstr>
      <vt:lpstr>TOT_186</vt:lpstr>
      <vt:lpstr>TOT_187</vt:lpstr>
      <vt:lpstr>TOT_188</vt:lpstr>
      <vt:lpstr>TOT_189</vt:lpstr>
      <vt:lpstr>TOT_19</vt:lpstr>
      <vt:lpstr>TOT_190</vt:lpstr>
      <vt:lpstr>TOT_191</vt:lpstr>
      <vt:lpstr>TOT_192</vt:lpstr>
      <vt:lpstr>TOT_193</vt:lpstr>
      <vt:lpstr>TOT_194</vt:lpstr>
      <vt:lpstr>TOT_195</vt:lpstr>
      <vt:lpstr>TOT_196</vt:lpstr>
      <vt:lpstr>TOT_197</vt:lpstr>
      <vt:lpstr>TOT_198</vt:lpstr>
      <vt:lpstr>TOT_199</vt:lpstr>
      <vt:lpstr>TOT_2</vt:lpstr>
      <vt:lpstr>TOT_20</vt:lpstr>
      <vt:lpstr>TOT_200</vt:lpstr>
      <vt:lpstr>TOT_201</vt:lpstr>
      <vt:lpstr>TOT_202</vt:lpstr>
      <vt:lpstr>TOT_203</vt:lpstr>
      <vt:lpstr>TOT_204</vt:lpstr>
      <vt:lpstr>TOT_205</vt:lpstr>
      <vt:lpstr>TOT_206</vt:lpstr>
      <vt:lpstr>TOT_21</vt:lpstr>
      <vt:lpstr>TOT_22</vt:lpstr>
      <vt:lpstr>TOT_23</vt:lpstr>
      <vt:lpstr>TOT_24</vt:lpstr>
      <vt:lpstr>TOT_25</vt:lpstr>
      <vt:lpstr>TOT_26</vt:lpstr>
      <vt:lpstr>TOT_27</vt:lpstr>
      <vt:lpstr>TOT_28</vt:lpstr>
      <vt:lpstr>TOT_29</vt:lpstr>
      <vt:lpstr>TOT_3</vt:lpstr>
      <vt:lpstr>TOT_30</vt:lpstr>
      <vt:lpstr>TOT_32</vt:lpstr>
      <vt:lpstr>TOT_33</vt:lpstr>
      <vt:lpstr>TOT_34</vt:lpstr>
      <vt:lpstr>TOT_35</vt:lpstr>
      <vt:lpstr>TOT_36</vt:lpstr>
      <vt:lpstr>TOT_37</vt:lpstr>
      <vt:lpstr>TOT_38</vt:lpstr>
      <vt:lpstr>TOT_39</vt:lpstr>
      <vt:lpstr>TOT_4</vt:lpstr>
      <vt:lpstr>TOT_40</vt:lpstr>
      <vt:lpstr>TOT_41</vt:lpstr>
      <vt:lpstr>TOT_42</vt:lpstr>
      <vt:lpstr>TOT_43</vt:lpstr>
      <vt:lpstr>TOT_44</vt:lpstr>
      <vt:lpstr>TOT_45</vt:lpstr>
      <vt:lpstr>TOT_46</vt:lpstr>
      <vt:lpstr>TOT_47</vt:lpstr>
      <vt:lpstr>TOT_48</vt:lpstr>
      <vt:lpstr>TOT_49</vt:lpstr>
      <vt:lpstr>TOT_5</vt:lpstr>
      <vt:lpstr>TOT_50</vt:lpstr>
      <vt:lpstr>TOT_51</vt:lpstr>
      <vt:lpstr>TOT_52</vt:lpstr>
      <vt:lpstr>TOT_53</vt:lpstr>
      <vt:lpstr>TOT_54</vt:lpstr>
      <vt:lpstr>TOT_56</vt:lpstr>
      <vt:lpstr>TOT_57</vt:lpstr>
      <vt:lpstr>TOT_58</vt:lpstr>
      <vt:lpstr>TOT_59</vt:lpstr>
      <vt:lpstr>TOT_6</vt:lpstr>
      <vt:lpstr>TOT_60</vt:lpstr>
      <vt:lpstr>TOT_61</vt:lpstr>
      <vt:lpstr>TOT_62</vt:lpstr>
      <vt:lpstr>TOT_63</vt:lpstr>
      <vt:lpstr>TOT_64</vt:lpstr>
      <vt:lpstr>TOT_65</vt:lpstr>
      <vt:lpstr>TOT_66</vt:lpstr>
      <vt:lpstr>TOT_67</vt:lpstr>
      <vt:lpstr>TOT_68</vt:lpstr>
      <vt:lpstr>TOT_69</vt:lpstr>
      <vt:lpstr>TOT_7</vt:lpstr>
      <vt:lpstr>TOT_70</vt:lpstr>
      <vt:lpstr>TOT_71</vt:lpstr>
      <vt:lpstr>TOT_72</vt:lpstr>
      <vt:lpstr>TOT_73</vt:lpstr>
      <vt:lpstr>TOT_74</vt:lpstr>
      <vt:lpstr>TOT_75</vt:lpstr>
      <vt:lpstr>TOT_76</vt:lpstr>
      <vt:lpstr>TOT_77</vt:lpstr>
      <vt:lpstr>TOT_78</vt:lpstr>
      <vt:lpstr>TOT_79</vt:lpstr>
      <vt:lpstr>TOT_8</vt:lpstr>
      <vt:lpstr>TOT_80</vt:lpstr>
      <vt:lpstr>TOT_81</vt:lpstr>
      <vt:lpstr>TOT_82</vt:lpstr>
      <vt:lpstr>TOT_83</vt:lpstr>
      <vt:lpstr>TOT_84</vt:lpstr>
      <vt:lpstr>TOT_85</vt:lpstr>
      <vt:lpstr>TOT_86</vt:lpstr>
      <vt:lpstr>TOT_87</vt:lpstr>
      <vt:lpstr>TOT_88</vt:lpstr>
      <vt:lpstr>TOT_89</vt:lpstr>
      <vt:lpstr>TOT_9</vt:lpstr>
      <vt:lpstr>TOT_90</vt:lpstr>
      <vt:lpstr>TOT_91</vt:lpstr>
      <vt:lpstr>TOT_92</vt:lpstr>
      <vt:lpstr>TOT_93</vt:lpstr>
      <vt:lpstr>TOT_94</vt:lpstr>
      <vt:lpstr>TOT_95</vt:lpstr>
      <vt:lpstr>TOT_96</vt:lpstr>
      <vt:lpstr>TOT_97</vt:lpstr>
      <vt:lpstr>TOT_98</vt:lpstr>
      <vt:lpstr>TOT_99</vt:lpstr>
      <vt:lpstr>TOT_ASS</vt:lpstr>
      <vt:lpstr>TOT_DV_CV</vt:lpstr>
      <vt:lpstr>TOT_DV_PI</vt:lpstr>
      <vt:lpstr>TOTA_KMS2</vt:lpstr>
      <vt:lpstr>TOU_CT1</vt:lpstr>
      <vt:lpstr>TOU_CT2</vt:lpstr>
      <vt:lpstr>TOU_CT3</vt:lpstr>
      <vt:lpstr>TOU_CT4</vt:lpstr>
      <vt:lpstr>TOU_CT5</vt:lpstr>
      <vt:lpstr>TOU_CT6</vt:lpstr>
      <vt:lpstr>TOU_CT7</vt:lpstr>
      <vt:lpstr>TOU_FUEL</vt:lpstr>
      <vt:lpstr>TRA_AAFR</vt:lpstr>
      <vt:lpstr>TRA_AAPR</vt:lpstr>
      <vt:lpstr>TRA_AAVP</vt:lpstr>
      <vt:lpstr>TRA_AAZH</vt:lpstr>
      <vt:lpstr>TRA_AFR</vt:lpstr>
      <vt:lpstr>TRA_AGEH</vt:lpstr>
      <vt:lpstr>TRA_AHLI</vt:lpstr>
      <vt:lpstr>TRA_AMCM</vt:lpstr>
      <vt:lpstr>TRA_AMCR</vt:lpstr>
      <vt:lpstr>TRA_AMZS</vt:lpstr>
      <vt:lpstr>TRA_ANI</vt:lpstr>
      <vt:lpstr>TRA_APR</vt:lpstr>
      <vt:lpstr>TRA_ASEA</vt:lpstr>
      <vt:lpstr>TRA_ASFS</vt:lpstr>
      <vt:lpstr>TRA_AVP</vt:lpstr>
      <vt:lpstr>TRA_AZH</vt:lpstr>
      <vt:lpstr>TRA_CNT</vt:lpstr>
      <vt:lpstr>TRA_GEH</vt:lpstr>
      <vt:lpstr>TRA_HLI</vt:lpstr>
      <vt:lpstr>TRA_MAFR</vt:lpstr>
      <vt:lpstr>TRA_MAPR</vt:lpstr>
      <vt:lpstr>TRA_MAVP</vt:lpstr>
      <vt:lpstr>TRA_MAZH</vt:lpstr>
      <vt:lpstr>TRA_MCM</vt:lpstr>
      <vt:lpstr>TRA_MCR</vt:lpstr>
      <vt:lpstr>TRA_MGEH</vt:lpstr>
      <vt:lpstr>TRA_MHLI</vt:lpstr>
      <vt:lpstr>TRA_MMCM</vt:lpstr>
      <vt:lpstr>TRA_MMCR</vt:lpstr>
      <vt:lpstr>TRA_MMZS</vt:lpstr>
      <vt:lpstr>TRA_MNI</vt:lpstr>
      <vt:lpstr>TRA_MSEA</vt:lpstr>
      <vt:lpstr>TRA_MSFS</vt:lpstr>
      <vt:lpstr>TRA_MZS</vt:lpstr>
      <vt:lpstr>TRA_NI</vt:lpstr>
      <vt:lpstr>TRA_PAFR</vt:lpstr>
      <vt:lpstr>TRA_PAPR</vt:lpstr>
      <vt:lpstr>TRA_PAVP</vt:lpstr>
      <vt:lpstr>TRA_PAZH</vt:lpstr>
      <vt:lpstr>TRA_PGEH</vt:lpstr>
      <vt:lpstr>TRA_PHLI</vt:lpstr>
      <vt:lpstr>TRA_PMCM</vt:lpstr>
      <vt:lpstr>TRA_PMCR</vt:lpstr>
      <vt:lpstr>TRA_PMZS</vt:lpstr>
      <vt:lpstr>TRA_PNI</vt:lpstr>
      <vt:lpstr>TRA_PSEA</vt:lpstr>
      <vt:lpstr>TRA_PSFS</vt:lpstr>
      <vt:lpstr>TRA_SEA</vt:lpstr>
      <vt:lpstr>TRA_SFS</vt:lpstr>
      <vt:lpstr>VCR</vt:lpstr>
    </vt:vector>
  </TitlesOfParts>
  <Company>ACA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ROUQUIER Valentin</dc:creator>
  <cp:lastModifiedBy>ROUQUIER Valentin</cp:lastModifiedBy>
  <cp:lastPrinted>2025-01-23T18:06:26Z</cp:lastPrinted>
  <dcterms:created xsi:type="dcterms:W3CDTF">2021-02-17T15:39:57Z</dcterms:created>
  <dcterms:modified xsi:type="dcterms:W3CDTF">2025-02-09T22:05:47Z</dcterms:modified>
</cp:coreProperties>
</file>